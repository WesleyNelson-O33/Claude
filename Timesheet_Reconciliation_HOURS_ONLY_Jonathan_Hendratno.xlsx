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025" yWindow="-16320" windowWidth="29040" windowHeight="15720" tabRatio="600" firstSheet="0" activeTab="0" autoFilterDateGrouping="1"/>
  </bookViews>
  <sheets>
    <sheet name="Summary " sheetId="1" state="visible" r:id="rId1"/>
    <sheet name="22 Sep 2026" sheetId="2" state="visible" r:id="rId2"/>
    <sheet name="20 Sept 2026 " sheetId="3" state="visible" r:id="rId3"/>
    <sheet name="21 Aug 2026" sheetId="4" state="visible" r:id="rId4"/>
    <sheet name="07 Aug 2026" sheetId="5" state="visible" r:id="rId5"/>
  </sheets>
  <definedNames>
    <definedName name="_xlnm._FilterDatabase" localSheetId="1" hidden="1">'22 Sep 2026'!$A$2:$Q$11</definedName>
    <definedName name="_xlnm._FilterDatabase" localSheetId="2" hidden="1">'20 Sept 2026 '!$A$2:$Q$14</definedName>
    <definedName name="_xlnm._FilterDatabase" localSheetId="3" hidden="1">'21 Aug 2026'!$A$2:$Q$7</definedName>
    <definedName name="_xlnm._FilterDatabase" localSheetId="4" hidden="1">'07 Aug 2026'!$A$2:$T$6</definedName>
  </definedNames>
  <calcPr calcId="191029" fullCalcOnLoad="1"/>
</workbook>
</file>

<file path=xl/styles.xml><?xml version="1.0" encoding="utf-8"?>
<styleSheet xmlns="http://schemas.openxmlformats.org/spreadsheetml/2006/main">
  <numFmts count="4">
    <numFmt numFmtId="164" formatCode="\$#,##0.00###"/>
    <numFmt numFmtId="165" formatCode="\$#,##0.00"/>
    <numFmt numFmtId="166" formatCode="dd/mm/yyyy"/>
    <numFmt numFmtId="167" formatCode="yyyy-mm-dd"/>
  </numFmts>
  <fonts count="11">
    <font>
      <name val="Aptos Narrow"/>
      <family val="2"/>
      <color theme="1"/>
      <sz val="11"/>
      <scheme val="minor"/>
    </font>
    <font>
      <name val="Aptos Narrow"/>
      <family val="2"/>
      <color theme="0"/>
      <sz val="11"/>
      <scheme val="minor"/>
    </font>
    <font>
      <name val="Calibri"/>
      <family val="2"/>
      <b val="1"/>
      <color rgb="FF000000"/>
      <sz val="11"/>
    </font>
    <font/>
    <font>
      <b val="1"/>
      <color rgb="00FFFFFF"/>
      <sz val="10"/>
    </font>
    <font>
      <b val="1"/>
      <color rgb="001F3864"/>
      <sz val="14"/>
    </font>
    <font>
      <i val="1"/>
      <color rgb="00595959"/>
      <sz val="9"/>
    </font>
    <font>
      <b val="1"/>
      <color rgb="00FFFFFF"/>
      <sz val="11"/>
    </font>
    <font>
      <color rgb="00404040"/>
      <sz val="9"/>
    </font>
    <font>
      <b val="1"/>
    </font>
    <font>
      <b val="1"/>
      <color rgb="009C0006"/>
      <sz val="9"/>
    </font>
  </fonts>
  <fills count="12">
    <fill>
      <patternFill/>
    </fill>
    <fill>
      <patternFill patternType="gray125"/>
    </fill>
    <fill>
      <patternFill patternType="solid">
        <fgColor theme="0"/>
        <bgColor indexed="64"/>
      </patternFill>
    </fill>
    <fill>
      <patternFill patternType="solid">
        <fgColor rgb="FF002060"/>
        <bgColor indexed="64"/>
      </patternFill>
    </fill>
    <fill>
      <patternFill patternType="solid">
        <fgColor theme="6" tint="0.7999816888943144"/>
        <bgColor indexed="64"/>
      </patternFill>
    </fill>
    <fill>
      <patternFill patternType="solid">
        <fgColor theme="2" tint="-0.09997863704336681"/>
        <bgColor indexed="64"/>
      </patternFill>
    </fill>
    <fill>
      <patternFill patternType="solid">
        <fgColor rgb="0044546A"/>
      </patternFill>
    </fill>
    <fill>
      <patternFill patternType="solid">
        <fgColor rgb="00C00000"/>
      </patternFill>
    </fill>
    <fill>
      <patternFill patternType="solid">
        <fgColor rgb="00FFE699"/>
      </patternFill>
    </fill>
    <fill>
      <patternFill patternType="solid">
        <fgColor rgb="00C6EFCE"/>
      </patternFill>
    </fill>
    <fill>
      <patternFill patternType="solid">
        <fgColor rgb="001F3864"/>
      </patternFill>
    </fill>
    <fill>
      <patternFill patternType="solid">
        <fgColor rgb="00D9E2F3"/>
      </patternFill>
    </fill>
  </fills>
  <borders count="3">
    <border>
      <left/>
      <right/>
      <top/>
      <bottom/>
      <diagonal/>
    </border>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2" fillId="0" borderId="0" pivotButton="0" quotePrefix="0" xfId="0"/>
    <xf numFmtId="2" fontId="2" fillId="0" borderId="0" pivotButton="0" quotePrefix="0" xfId="0"/>
    <xf numFmtId="164" fontId="2" fillId="0" borderId="0" pivotButton="0" quotePrefix="0" xfId="0"/>
    <xf numFmtId="165" fontId="2" fillId="0" borderId="0" pivotButton="0" quotePrefix="0" xfId="0"/>
    <xf numFmtId="2" fontId="0" fillId="0" borderId="0" pivotButton="0" quotePrefix="0" xfId="0"/>
    <xf numFmtId="164" fontId="0" fillId="0" borderId="0" pivotButton="0" quotePrefix="0" xfId="0"/>
    <xf numFmtId="165" fontId="0" fillId="0" borderId="0" pivotButton="0" quotePrefix="0" xfId="0"/>
    <xf numFmtId="0" fontId="2" fillId="0" borderId="0" pivotButton="0" quotePrefix="0" xfId="0"/>
    <xf numFmtId="2" fontId="2" fillId="0" borderId="0" pivotButton="0" quotePrefix="0" xfId="0"/>
    <xf numFmtId="164" fontId="2" fillId="0" borderId="0" pivotButton="0" quotePrefix="0" xfId="0"/>
    <xf numFmtId="165" fontId="2" fillId="0" borderId="0" pivotButton="0" quotePrefix="0" xfId="0"/>
    <xf numFmtId="0" fontId="0" fillId="0" borderId="0" pivotButton="0" quotePrefix="0" xfId="0"/>
    <xf numFmtId="2" fontId="0" fillId="0" borderId="0" pivotButton="0" quotePrefix="0" xfId="0"/>
    <xf numFmtId="164" fontId="0" fillId="0" borderId="0" pivotButton="0" quotePrefix="0" xfId="0"/>
    <xf numFmtId="165" fontId="0" fillId="0" borderId="0" pivotButton="0" quotePrefix="0" xfId="0"/>
    <xf numFmtId="14" fontId="0" fillId="0" borderId="0" pivotButton="0" quotePrefix="0" xfId="0"/>
    <xf numFmtId="0" fontId="0" fillId="2" borderId="0" pivotButton="0" quotePrefix="0" xfId="0"/>
    <xf numFmtId="0" fontId="1" fillId="3" borderId="0" pivotButton="0" quotePrefix="0" xfId="0"/>
    <xf numFmtId="0" fontId="1" fillId="2" borderId="0" pivotButton="0" quotePrefix="0" xfId="0"/>
    <xf numFmtId="0" fontId="0" fillId="4" borderId="0" pivotButton="0" quotePrefix="0" xfId="0"/>
    <xf numFmtId="0" fontId="0" fillId="5" borderId="0" pivotButton="0" quotePrefix="0" xfId="0"/>
    <xf numFmtId="2" fontId="0" fillId="2" borderId="0" pivotButton="0" quotePrefix="0" xfId="0"/>
    <xf numFmtId="0" fontId="5" fillId="0" borderId="1" pivotButton="0" quotePrefix="0" xfId="0"/>
    <xf numFmtId="0" fontId="3" fillId="0" borderId="1" pivotButton="0" quotePrefix="0" xfId="0"/>
    <xf numFmtId="0" fontId="6" fillId="0" borderId="1" applyAlignment="1" pivotButton="0" quotePrefix="0" xfId="0">
      <alignment vertical="top" wrapText="1"/>
    </xf>
    <xf numFmtId="0" fontId="7" fillId="7" borderId="1" pivotButton="0" quotePrefix="0" xfId="0"/>
    <xf numFmtId="0" fontId="4" fillId="6" borderId="2" applyAlignment="1" pivotButton="0" quotePrefix="0" xfId="0">
      <alignment horizontal="center" vertical="center" wrapText="1"/>
    </xf>
    <xf numFmtId="166" fontId="3" fillId="8" borderId="2" pivotButton="0" quotePrefix="0" xfId="0"/>
    <xf numFmtId="0" fontId="3" fillId="8" borderId="2" applyAlignment="1" pivotButton="0" quotePrefix="0" xfId="0">
      <alignment horizontal="center"/>
    </xf>
    <xf numFmtId="0" fontId="3" fillId="8" borderId="2" pivotButton="0" quotePrefix="0" xfId="0"/>
    <xf numFmtId="4" fontId="3" fillId="8" borderId="2" pivotButton="0" quotePrefix="0" xfId="0"/>
    <xf numFmtId="0" fontId="8" fillId="8" borderId="2" applyAlignment="1" pivotButton="0" quotePrefix="0" xfId="0">
      <alignment vertical="top" wrapText="1"/>
    </xf>
    <xf numFmtId="0" fontId="9" fillId="9" borderId="2" pivotButton="0" quotePrefix="0" xfId="0"/>
    <xf numFmtId="4" fontId="9" fillId="9" borderId="2" pivotButton="0" quotePrefix="0" xfId="0"/>
    <xf numFmtId="0" fontId="10" fillId="0" borderId="1" applyAlignment="1" pivotButton="0" quotePrefix="0" xfId="0">
      <alignment vertical="top" wrapText="1"/>
    </xf>
    <xf numFmtId="0" fontId="7" fillId="10" borderId="1" pivotButton="0" quotePrefix="0" xfId="0"/>
    <xf numFmtId="166" fontId="3" fillId="0" borderId="2" pivotButton="0" quotePrefix="0" xfId="0"/>
    <xf numFmtId="0" fontId="3" fillId="0" borderId="2" applyAlignment="1" pivotButton="0" quotePrefix="0" xfId="0">
      <alignment horizontal="center"/>
    </xf>
    <xf numFmtId="4" fontId="3" fillId="0" borderId="2" pivotButton="0" quotePrefix="0" xfId="0"/>
    <xf numFmtId="0" fontId="3" fillId="0" borderId="2" pivotButton="0" quotePrefix="0" xfId="0"/>
    <xf numFmtId="0" fontId="9" fillId="11" borderId="2" pivotButton="0" quotePrefix="0" xfId="0"/>
    <xf numFmtId="0" fontId="9" fillId="11" borderId="2" applyAlignment="1" pivotButton="0" quotePrefix="0" xfId="0">
      <alignment horizontal="center"/>
    </xf>
    <xf numFmtId="4" fontId="9" fillId="11" borderId="2" pivotButton="0" quotePrefix="0" xfId="0"/>
    <xf numFmtId="0" fontId="8" fillId="0" borderId="2" applyAlignment="1" pivotButton="0" quotePrefix="0" xfId="0">
      <alignment vertical="top" wrapText="1"/>
    </xf>
    <xf numFmtId="0" fontId="10" fillId="8" borderId="2" applyAlignment="1" pivotButton="0" quotePrefix="0" xfId="0">
      <alignment vertical="top" wrapText="1"/>
    </xf>
    <xf numFmtId="0" fontId="9" fillId="11" borderId="2" applyAlignment="1" pivotButton="0" quotePrefix="0" xfId="0">
      <alignment vertical="top" wrapText="1"/>
    </xf>
    <xf numFmtId="0" fontId="9" fillId="0" borderId="1" applyAlignment="1" pivotButton="0" quotePrefix="0" xfId="0">
      <alignment vertical="top"/>
    </xf>
    <xf numFmtId="0" fontId="9" fillId="0" borderId="1" applyAlignment="1" pivotButton="0" quotePrefix="0" xfId="0">
      <alignment vertical="top" wrapText="1"/>
    </xf>
    <xf numFmtId="0" fontId="8" fillId="0" borderId="1" applyAlignment="1" pivotButton="0" quotePrefix="0" xfId="0">
      <alignment vertical="top" wrapText="1"/>
    </xf>
    <xf numFmtId="0" fontId="4" fillId="6" borderId="0" pivotButton="0" quotePrefix="0" xfId="0"/>
    <xf numFmtId="166" fontId="0" fillId="0" borderId="0" pivotButton="0" quotePrefix="0" xfId="0"/>
  </cellXfs>
  <cellStyles count="1">
    <cellStyle name="Normal" xfId="0" builtinId="0"/>
  </cellStyles>
  <dxfs count="2">
    <dxf>
      <font>
        <b val="1"/>
        <color rgb="009C0006"/>
      </font>
      <fill>
        <patternFill patternType="solid">
          <fgColor rgb="00FFC7CE"/>
        </patternFill>
      </fill>
    </dxf>
    <dxf>
      <font>
        <color rgb="00006100"/>
      </font>
      <fill>
        <patternFill patternType="solid">
          <fgColor rgb="00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T90"/>
  <sheetViews>
    <sheetView showGridLines="0" tabSelected="1" workbookViewId="0">
      <pane ySplit="2" topLeftCell="A3" activePane="bottomLeft" state="frozen"/>
      <selection pane="bottomLeft" activeCell="E18" sqref="E18"/>
    </sheetView>
  </sheetViews>
  <sheetFormatPr baseColWidth="8" defaultRowHeight="15"/>
  <cols>
    <col width="34" customWidth="1" style="17" min="1" max="1"/>
    <col width="11" bestFit="1" customWidth="1" style="17" min="2" max="2"/>
    <col width="34" customWidth="1" style="17" min="3" max="4"/>
    <col width="34" customWidth="1" style="12" min="4" max="4"/>
    <col width="10" bestFit="1" customWidth="1" style="17" min="5" max="5"/>
    <col width="10" customWidth="1" style="17" min="6" max="16384"/>
    <col width="12" customWidth="1" style="12" min="7" max="7"/>
    <col width="11" customWidth="1" style="12" min="8" max="8"/>
    <col width="12" customWidth="1" style="12" min="9" max="9"/>
    <col width="10" customWidth="1" style="12" min="10" max="10"/>
    <col width="14" customWidth="1" style="12" min="11" max="11"/>
    <col width="46" customWidth="1" style="12" min="12" max="12"/>
  </cols>
  <sheetData>
    <row r="1" ht="4.5" customHeight="1" s="12">
      <c r="A1" s="23" t="inlineStr">
        <is>
          <t>TIMESHEET TO PAYROLL RECONCILIATION (HOURS ONLY) - Jonathan Hendratno (Employee ID 12414219)</t>
        </is>
      </c>
      <c r="B1" s="24" t="n"/>
      <c r="C1" s="24" t="n"/>
      <c r="D1" s="24" t="n"/>
      <c r="E1" s="24" t="n"/>
      <c r="F1" s="24" t="n"/>
      <c r="G1" s="24" t="n"/>
      <c r="H1" s="24" t="n"/>
      <c r="I1" s="24" t="n"/>
      <c r="J1" s="24" t="n"/>
      <c r="K1" s="24" t="n"/>
      <c r="L1" s="24" t="n"/>
      <c r="M1" s="24" t="n"/>
      <c r="N1" s="24" t="n"/>
      <c r="O1" s="24" t="n"/>
      <c r="P1" s="24" t="n"/>
      <c r="Q1" s="24" t="n"/>
      <c r="R1" s="24" t="n"/>
      <c r="S1" s="24" t="n"/>
      <c r="T1" s="24" t="n"/>
    </row>
    <row r="2" ht="28" customHeight="1" s="12">
      <c r="A2" s="25" t="inlineStr">
        <is>
          <t>Hours only - no rates, gross pay or superannuation appear anywhere in this file. Timesheet hours transcribed from the timesheet screenshots (fortnights ending 07/08/2026, 21/08/2026, 04/09/2026 and 18/09/2026). Paid hours are pulled live by formula from the pay-run tabs in this workbook, matched on work date AND location. Prepared 22/09/2026.</t>
        </is>
      </c>
      <c r="M2" s="24" t="n"/>
      <c r="N2" s="24" t="n"/>
      <c r="O2" s="24" t="n"/>
      <c r="P2" s="24" t="n"/>
      <c r="Q2" s="24" t="n"/>
      <c r="R2" s="24" t="n"/>
      <c r="S2" s="24" t="n"/>
      <c r="T2" s="24" t="n"/>
    </row>
    <row r="3">
      <c r="A3" s="24" t="n"/>
      <c r="B3" s="24" t="n"/>
      <c r="C3" s="24" t="n"/>
      <c r="D3" s="24" t="n"/>
      <c r="E3" s="24" t="n"/>
      <c r="F3" s="24" t="n"/>
      <c r="G3" s="24" t="n"/>
      <c r="H3" s="24" t="n"/>
      <c r="I3" s="24" t="n"/>
      <c r="J3" s="24" t="n"/>
      <c r="K3" s="24" t="n"/>
      <c r="L3" s="24" t="n"/>
      <c r="M3" s="24" t="n"/>
      <c r="N3" s="24" t="n"/>
      <c r="O3" s="24" t="n"/>
      <c r="P3" s="24" t="n"/>
      <c r="Q3" s="24" t="n"/>
      <c r="R3" s="24" t="n"/>
      <c r="S3" s="24" t="n"/>
      <c r="T3" s="24" t="n"/>
    </row>
    <row r="4">
      <c r="A4" s="26" t="inlineStr">
        <is>
          <t>A.  QUERY RESPONSE  -  the 16 hours claimed missing WERE paid.  Nothing is owing.</t>
        </is>
      </c>
      <c r="B4" s="26" t="n"/>
      <c r="C4" s="26" t="n"/>
      <c r="D4" s="26" t="n"/>
      <c r="E4" s="26" t="n"/>
      <c r="F4" s="26" t="n"/>
      <c r="G4" s="26" t="n"/>
      <c r="H4" s="26" t="n"/>
      <c r="I4" s="26" t="n"/>
      <c r="J4" s="26" t="n"/>
      <c r="K4" s="26" t="n"/>
      <c r="L4" s="26" t="n"/>
      <c r="M4" s="24" t="n"/>
      <c r="N4" s="24" t="n"/>
      <c r="O4" s="24" t="n"/>
      <c r="P4" s="24" t="n"/>
      <c r="Q4" s="24" t="n"/>
      <c r="R4" s="24" t="n"/>
      <c r="S4" s="24" t="n"/>
      <c r="T4" s="24" t="n"/>
    </row>
    <row r="5" ht="30" customHeight="1" s="12">
      <c r="A5" s="27" t="inlineStr">
        <is>
          <t>Date</t>
        </is>
      </c>
      <c r="B5" s="27" t="inlineStr">
        <is>
          <t>Day</t>
        </is>
      </c>
      <c r="C5" s="27" t="inlineStr">
        <is>
          <t>Location / Client</t>
        </is>
      </c>
      <c r="D5" s="27" t="inlineStr">
        <is>
          <t>Hours
Claimed Missing</t>
        </is>
      </c>
      <c r="E5" s="27" t="inlineStr">
        <is>
          <t>Hours
Actually Paid</t>
        </is>
      </c>
      <c r="F5" s="27" t="inlineStr">
        <is>
          <t>Shortfall
(Hrs)</t>
        </is>
      </c>
      <c r="G5" s="27" t="inlineStr">
        <is>
          <t>Paid in
Pay Run</t>
        </is>
      </c>
      <c r="H5" s="27" t="inlineStr">
        <is>
          <t>Where to find it on that tab</t>
        </is>
      </c>
      <c r="I5" s="27" t="inlineStr">
        <is>
          <t>Outcome</t>
        </is>
      </c>
      <c r="J5" s="24" t="n"/>
      <c r="K5" s="24" t="n"/>
      <c r="L5" s="24" t="n"/>
      <c r="M5" s="24" t="n"/>
      <c r="N5" s="24" t="n"/>
      <c r="O5" s="24" t="n"/>
      <c r="P5" s="24" t="n"/>
      <c r="Q5" s="24" t="n"/>
      <c r="R5" s="24" t="n"/>
      <c r="S5" s="24" t="n"/>
      <c r="T5" s="24" t="n"/>
    </row>
    <row r="6">
      <c r="A6" s="28" t="n">
        <v>46258</v>
      </c>
      <c r="B6" s="29" t="inlineStr">
        <is>
          <t>Mon</t>
        </is>
      </c>
      <c r="C6" s="30" t="inlineStr">
        <is>
          <t>DTTL Mel Tech FT 1 [ONS]</t>
        </is>
      </c>
      <c r="D6" s="31" t="n">
        <v>8</v>
      </c>
      <c r="E6" s="31">
        <f>SUMIFS('07 Aug 2026'!$G$3:$G$6,'07 Aug 2026'!$M$3:$M$6,$A6,'07 Aug 2026'!$K$3:$K$6,$C6)+SUMIFS('21 Aug 2026'!$G$3:$G$7,'21 Aug 2026'!$M$3:$M$7,$A6,'21 Aug 2026'!$K$3:$K$7,$C6)+SUMIFS('20 Sept 2026 '!$G$3:$G$14,'20 Sept 2026 '!$M$3:$M$14,$A6,'20 Sept 2026 '!$K$3:$K$14,$C6)+SUMIFS('22 Sep 2026'!$G$3:$G$11,'22 Sep 2026'!$M$3:$M$11,$A6,'22 Sep 2026'!$K$3:$K$11,$C6)</f>
        <v/>
      </c>
      <c r="F6" s="31">
        <f>D6-E6</f>
        <v/>
      </c>
      <c r="G6" s="29">
        <f>IF(SUMIFS('07 Aug 2026'!$G$3:$G$6,'07 Aug 2026'!$M$3:$M$6,$A6,'07 Aug 2026'!$K$3:$K$6,$C6)&lt;&gt;0,"07 Aug 2026",IF(SUMIFS('21 Aug 2026'!$G$3:$G$7,'21 Aug 2026'!$M$3:$M$7,$A6,'21 Aug 2026'!$K$3:$K$7,$C6)&lt;&gt;0,"21 Aug 2026",IF(SUMIFS('20 Sept 2026 '!$G$3:$G$14,'20 Sept 2026 '!$M$3:$M$14,$A6,'20 Sept 2026 '!$K$3:$K$14,$C6)&lt;&gt;0,"20 Sep 2026",IF(SUMIFS('22 Sep 2026'!$G$3:$G$11,'22 Sep 2026'!$M$3:$M$11,$A6,'22 Sep 2026'!$K$3:$K$11,$C6)&lt;&gt;0,"22 Sep 2026","NOT PAID"))))</f>
        <v/>
      </c>
      <c r="H6" s="32" t="inlineStr">
        <is>
          <t>'20 Sept 2026 ' rows 3 and 4  (3.5 hrs 08:30-12:00  +  4.5 hrs 12:30-17:00)</t>
        </is>
      </c>
      <c r="I6" s="29">
        <f>IF(ROUND(F6,2)=0,"PAID IN FULL - nothing owing","SHORTFALL - investigate")</f>
        <v/>
      </c>
      <c r="J6" s="24" t="n"/>
      <c r="K6" s="24" t="n"/>
      <c r="L6" s="24" t="n"/>
      <c r="M6" s="24" t="n"/>
      <c r="N6" s="24" t="n"/>
      <c r="O6" s="24" t="n"/>
      <c r="P6" s="24" t="n"/>
      <c r="Q6" s="24" t="n"/>
      <c r="R6" s="24" t="n"/>
      <c r="S6" s="24" t="n"/>
      <c r="T6" s="24" t="n"/>
    </row>
    <row r="7">
      <c r="A7" s="28" t="n">
        <v>46262</v>
      </c>
      <c r="B7" s="29" t="inlineStr">
        <is>
          <t>Fri</t>
        </is>
      </c>
      <c r="C7" s="30" t="inlineStr">
        <is>
          <t>DTTL Mel Tech FT 1 [ONS]</t>
        </is>
      </c>
      <c r="D7" s="31" t="n">
        <v>8</v>
      </c>
      <c r="E7" s="31">
        <f>SUMIFS('07 Aug 2026'!$G$3:$G$6,'07 Aug 2026'!$M$3:$M$6,$A7,'07 Aug 2026'!$K$3:$K$6,$C7)+SUMIFS('21 Aug 2026'!$G$3:$G$7,'21 Aug 2026'!$M$3:$M$7,$A7,'21 Aug 2026'!$K$3:$K$7,$C7)+SUMIFS('20 Sept 2026 '!$G$3:$G$14,'20 Sept 2026 '!$M$3:$M$14,$A7,'20 Sept 2026 '!$K$3:$K$14,$C7)+SUMIFS('22 Sep 2026'!$G$3:$G$11,'22 Sep 2026'!$M$3:$M$11,$A7,'22 Sep 2026'!$K$3:$K$11,$C7)</f>
        <v/>
      </c>
      <c r="F7" s="31">
        <f>D7-E7</f>
        <v/>
      </c>
      <c r="G7" s="29">
        <f>IF(SUMIFS('07 Aug 2026'!$G$3:$G$6,'07 Aug 2026'!$M$3:$M$6,$A7,'07 Aug 2026'!$K$3:$K$6,$C7)&lt;&gt;0,"07 Aug 2026",IF(SUMIFS('21 Aug 2026'!$G$3:$G$7,'21 Aug 2026'!$M$3:$M$7,$A7,'21 Aug 2026'!$K$3:$K$7,$C7)&lt;&gt;0,"21 Aug 2026",IF(SUMIFS('20 Sept 2026 '!$G$3:$G$14,'20 Sept 2026 '!$M$3:$M$14,$A7,'20 Sept 2026 '!$K$3:$K$14,$C7)&lt;&gt;0,"20 Sep 2026",IF(SUMIFS('22 Sep 2026'!$G$3:$G$11,'22 Sep 2026'!$M$3:$M$11,$A7,'22 Sep 2026'!$K$3:$K$11,$C7)&lt;&gt;0,"22 Sep 2026","NOT PAID"))))</f>
        <v/>
      </c>
      <c r="H7" s="32" t="inlineStr">
        <is>
          <t>'20 Sept 2026 ' rows 5 and 6  (3.5 hrs 08:30-12:00  +  4.5 hrs 12:30-17:00)</t>
        </is>
      </c>
      <c r="I7" s="29">
        <f>IF(ROUND(F7,2)=0,"PAID IN FULL - nothing owing","SHORTFALL - investigate")</f>
        <v/>
      </c>
      <c r="J7" s="24" t="n"/>
      <c r="K7" s="24" t="n"/>
      <c r="L7" s="24" t="n"/>
      <c r="M7" s="24" t="n"/>
      <c r="N7" s="24" t="n"/>
      <c r="O7" s="24" t="n"/>
      <c r="P7" s="24" t="n"/>
      <c r="Q7" s="24" t="n"/>
      <c r="R7" s="24" t="n"/>
      <c r="S7" s="24" t="n"/>
      <c r="T7" s="24" t="n"/>
    </row>
    <row r="8">
      <c r="A8" s="33" t="inlineStr">
        <is>
          <t>TOTAL CLAIMED</t>
        </is>
      </c>
      <c r="B8" s="33" t="n"/>
      <c r="C8" s="33" t="n"/>
      <c r="D8" s="34">
        <f>SUM(D6:D7)</f>
        <v/>
      </c>
      <c r="E8" s="34">
        <f>SUM(E6:E7)</f>
        <v/>
      </c>
      <c r="F8" s="34">
        <f>SUM(F6:F7)</f>
        <v/>
      </c>
      <c r="G8" s="33" t="n"/>
      <c r="H8" s="33" t="n"/>
      <c r="I8" s="33">
        <f>IF(ROUND(F8,2)=0,"NIL OWING - all "&amp;TEXT(D8,"0")&amp;" hrs paid","HOURS OWING - investigate")</f>
        <v/>
      </c>
      <c r="J8" s="24" t="n"/>
      <c r="K8" s="24" t="n"/>
      <c r="L8" s="24" t="n"/>
      <c r="M8" s="24" t="n"/>
      <c r="N8" s="24" t="n"/>
      <c r="O8" s="24" t="n"/>
      <c r="P8" s="24" t="n"/>
      <c r="Q8" s="24" t="n"/>
      <c r="R8" s="24" t="n"/>
      <c r="S8" s="24" t="n"/>
      <c r="T8" s="24" t="n"/>
    </row>
    <row r="9" ht="46" customHeight="1" s="12">
      <c r="A9" s="35" t="inlineStr">
        <is>
          <t>WHY IT LOOKED MISSING:  (1) Each day is split across two pay lines, either side of the lunch break - 3.5 hrs + 4.5 hrs - so neither line ever shows as "8 hours" when you scan the payslip.  (2) Both days sit in the fortnight ending 04/09/2026, but that fortnight was paid across TWO pay runs: the 48 hrs of DTTL work went through the 20 Sep 2026 run, while the 23.5 hrs of PwC work went through the 22 Sep 2026 run. Looking at only one of those payslips shows only part of the fortnight.</t>
        </is>
      </c>
      <c r="M9" s="24" t="n"/>
      <c r="N9" s="24" t="n"/>
      <c r="O9" s="24" t="n"/>
      <c r="P9" s="24" t="n"/>
      <c r="Q9" s="24" t="n"/>
      <c r="R9" s="24" t="n"/>
      <c r="S9" s="24" t="n"/>
      <c r="T9" s="24" t="n"/>
    </row>
    <row r="10">
      <c r="A10" s="24" t="n"/>
      <c r="B10" s="24" t="n"/>
      <c r="C10" s="24" t="n"/>
      <c r="D10" s="24" t="n"/>
      <c r="E10" s="24" t="n"/>
      <c r="F10" s="24" t="n"/>
      <c r="G10" s="24" t="n"/>
      <c r="H10" s="24" t="n"/>
      <c r="I10" s="24" t="n"/>
      <c r="J10" s="24" t="n"/>
      <c r="K10" s="24" t="n"/>
      <c r="L10" s="24" t="n"/>
      <c r="M10" s="24" t="n"/>
      <c r="N10" s="24" t="n"/>
      <c r="O10" s="24" t="n"/>
      <c r="P10" s="24" t="n"/>
      <c r="Q10" s="24" t="n"/>
      <c r="R10" s="24" t="n"/>
      <c r="S10" s="24" t="n"/>
      <c r="T10" s="24" t="n"/>
    </row>
    <row r="11">
      <c r="A11" s="36" t="inlineStr">
        <is>
          <t>B.  FORTNIGHT SUMMARY  -  timesheet hours vs hours actually paid</t>
        </is>
      </c>
      <c r="B11" s="36" t="n"/>
      <c r="C11" s="36" t="n"/>
      <c r="D11" s="36" t="n"/>
      <c r="E11" s="36" t="n"/>
      <c r="F11" s="36" t="n"/>
      <c r="G11" s="36" t="n"/>
      <c r="H11" s="36" t="n"/>
      <c r="I11" s="36" t="n"/>
      <c r="J11" s="36" t="n"/>
      <c r="K11" s="36" t="n"/>
      <c r="L11" s="36" t="n"/>
      <c r="M11" s="24" t="n"/>
      <c r="N11" s="24" t="n"/>
      <c r="O11" s="24" t="n"/>
      <c r="P11" s="24" t="n"/>
      <c r="Q11" s="24" t="n"/>
      <c r="R11" s="24" t="n"/>
      <c r="S11" s="24" t="n"/>
      <c r="T11" s="24" t="n"/>
    </row>
    <row r="12" ht="30" customHeight="1" s="12">
      <c r="A12" s="27" t="inlineStr">
        <is>
          <t>Fortnight Ending</t>
        </is>
      </c>
      <c r="B12" s="27" t="inlineStr">
        <is>
          <t>Timesheets
(count)</t>
        </is>
      </c>
      <c r="C12" s="27" t="inlineStr">
        <is>
          <t>Timesheet
Hours</t>
        </is>
      </c>
      <c r="D12" s="27" t="inlineStr">
        <is>
          <t>Paid
Hours</t>
        </is>
      </c>
      <c r="E12" s="27" t="inlineStr">
        <is>
          <t>Variance
(Hrs)</t>
        </is>
      </c>
      <c r="F12" s="27" t="inlineStr">
        <is>
          <t>Status</t>
        </is>
      </c>
      <c r="G12" s="27" t="inlineStr">
        <is>
          <t>Paid in Pay Run(s)</t>
        </is>
      </c>
      <c r="H12" s="24" t="n"/>
      <c r="I12" s="24" t="n"/>
      <c r="J12" s="24" t="n"/>
      <c r="K12" s="24" t="n"/>
      <c r="L12" s="24" t="n"/>
      <c r="M12" s="24" t="n"/>
      <c r="N12" s="24" t="n"/>
      <c r="O12" s="24" t="n"/>
      <c r="P12" s="24" t="n"/>
      <c r="Q12" s="24" t="n"/>
      <c r="R12" s="24" t="n"/>
      <c r="S12" s="24" t="n"/>
      <c r="T12" s="24" t="n"/>
    </row>
    <row r="13">
      <c r="A13" s="37" t="n">
        <v>46241</v>
      </c>
      <c r="B13" s="38">
        <f>COUNTIFS($C$21:$C$36,$A13)</f>
        <v/>
      </c>
      <c r="C13" s="39">
        <f>SUMIFS($H$21:$H$36,$C$21:$C$36,$A13)</f>
        <v/>
      </c>
      <c r="D13" s="39">
        <f>SUMIFS($I$21:$I$36,$C$21:$C$36,$A13)</f>
        <v/>
      </c>
      <c r="E13" s="39">
        <f>C13-D13</f>
        <v/>
      </c>
      <c r="F13" s="40">
        <f>IF(ROUND(E13,2)=0,"Reconciled","VARIANCE - investigate")</f>
        <v/>
      </c>
      <c r="G13" s="40" t="inlineStr">
        <is>
          <t>07 Aug 2026</t>
        </is>
      </c>
      <c r="H13" s="24" t="n"/>
      <c r="I13" s="24" t="n"/>
      <c r="J13" s="24" t="n"/>
      <c r="K13" s="24" t="n"/>
      <c r="L13" s="24" t="n"/>
      <c r="M13" s="24" t="n"/>
      <c r="N13" s="24" t="n"/>
      <c r="O13" s="24" t="n"/>
      <c r="P13" s="24" t="n"/>
      <c r="Q13" s="24" t="n"/>
      <c r="R13" s="24" t="n"/>
      <c r="S13" s="24" t="n"/>
      <c r="T13" s="24" t="n"/>
    </row>
    <row r="14">
      <c r="A14" s="37" t="n">
        <v>46255</v>
      </c>
      <c r="B14" s="38">
        <f>COUNTIFS($C$21:$C$36,$A14)</f>
        <v/>
      </c>
      <c r="C14" s="39">
        <f>SUMIFS($H$21:$H$36,$C$21:$C$36,$A14)</f>
        <v/>
      </c>
      <c r="D14" s="39">
        <f>SUMIFS($I$21:$I$36,$C$21:$C$36,$A14)</f>
        <v/>
      </c>
      <c r="E14" s="39">
        <f>C14-D14</f>
        <v/>
      </c>
      <c r="F14" s="40">
        <f>IF(ROUND(E14,2)=0,"Reconciled","VARIANCE - investigate")</f>
        <v/>
      </c>
      <c r="G14" s="40" t="inlineStr">
        <is>
          <t>21 Aug 2026</t>
        </is>
      </c>
      <c r="H14" s="24" t="n"/>
      <c r="I14" s="24" t="n"/>
      <c r="J14" s="24" t="n"/>
      <c r="K14" s="24" t="n"/>
      <c r="L14" s="24" t="n"/>
      <c r="M14" s="24" t="n"/>
      <c r="N14" s="24" t="n"/>
      <c r="O14" s="24" t="n"/>
      <c r="P14" s="24" t="n"/>
      <c r="Q14" s="24" t="n"/>
      <c r="R14" s="24" t="n"/>
      <c r="S14" s="24" t="n"/>
      <c r="T14" s="24" t="n"/>
    </row>
    <row r="15">
      <c r="A15" s="37" t="n">
        <v>46269</v>
      </c>
      <c r="B15" s="38">
        <f>COUNTIFS($C$21:$C$36,$A15)</f>
        <v/>
      </c>
      <c r="C15" s="39">
        <f>SUMIFS($H$21:$H$36,$C$21:$C$36,$A15)</f>
        <v/>
      </c>
      <c r="D15" s="39">
        <f>SUMIFS($I$21:$I$36,$C$21:$C$36,$A15)</f>
        <v/>
      </c>
      <c r="E15" s="39">
        <f>C15-D15</f>
        <v/>
      </c>
      <c r="F15" s="40">
        <f>IF(ROUND(E15,2)=0,"Reconciled","VARIANCE - investigate")</f>
        <v/>
      </c>
      <c r="G15" s="40" t="inlineStr">
        <is>
          <t>20 Sep 2026 (DTTL 48 hrs) + 22 Sep 2026 (PwC 23.5 hrs)</t>
        </is>
      </c>
      <c r="H15" s="24" t="n"/>
      <c r="I15" s="24" t="n"/>
      <c r="J15" s="24" t="n"/>
      <c r="K15" s="24" t="n"/>
      <c r="L15" s="24" t="n"/>
      <c r="M15" s="24" t="n"/>
      <c r="N15" s="24" t="n"/>
      <c r="O15" s="24" t="n"/>
      <c r="P15" s="24" t="n"/>
      <c r="Q15" s="24" t="n"/>
      <c r="R15" s="24" t="n"/>
      <c r="S15" s="24" t="n"/>
      <c r="T15" s="24" t="n"/>
    </row>
    <row r="16">
      <c r="A16" s="37" t="n">
        <v>46283</v>
      </c>
      <c r="B16" s="38">
        <f>COUNTIFS($C$21:$C$36,$A16)</f>
        <v/>
      </c>
      <c r="C16" s="39">
        <f>SUMIFS($H$21:$H$36,$C$21:$C$36,$A16)</f>
        <v/>
      </c>
      <c r="D16" s="39">
        <f>SUMIFS($I$21:$I$36,$C$21:$C$36,$A16)</f>
        <v/>
      </c>
      <c r="E16" s="39">
        <f>C16-D16</f>
        <v/>
      </c>
      <c r="F16" s="40">
        <f>IF(ROUND(E16,2)=0,"Reconciled","VARIANCE - investigate")</f>
        <v/>
      </c>
      <c r="G16" s="40" t="inlineStr">
        <is>
          <t>22 Sep 2026</t>
        </is>
      </c>
      <c r="H16" s="24" t="n"/>
      <c r="I16" s="24" t="n"/>
      <c r="J16" s="24" t="n"/>
      <c r="K16" s="24" t="n"/>
      <c r="L16" s="24" t="n"/>
      <c r="M16" s="24" t="n"/>
      <c r="N16" s="24" t="n"/>
      <c r="O16" s="24" t="n"/>
      <c r="P16" s="24" t="n"/>
      <c r="Q16" s="24" t="n"/>
      <c r="R16" s="24" t="n"/>
      <c r="S16" s="24" t="n"/>
      <c r="T16" s="24" t="n"/>
    </row>
    <row r="17">
      <c r="A17" s="41" t="inlineStr">
        <is>
          <t>TOTAL</t>
        </is>
      </c>
      <c r="B17" s="42">
        <f>SUM(B13:B16)</f>
        <v/>
      </c>
      <c r="C17" s="43">
        <f>SUM(C13:C16)</f>
        <v/>
      </c>
      <c r="D17" s="43">
        <f>SUM(D13:D16)</f>
        <v/>
      </c>
      <c r="E17" s="43">
        <f>SUM(E13:E16)</f>
        <v/>
      </c>
      <c r="F17" s="41">
        <f>IF(ROUND(E17,2)=0,"FULLY RECONCILED","VARIANCE - investigate")</f>
        <v/>
      </c>
      <c r="G17" s="41" t="n"/>
      <c r="H17" s="24" t="n"/>
      <c r="I17" s="24" t="n"/>
      <c r="J17" s="24" t="n"/>
      <c r="K17" s="24" t="n"/>
      <c r="L17" s="24" t="n"/>
      <c r="M17" s="24" t="n"/>
      <c r="N17" s="24" t="n"/>
      <c r="O17" s="24" t="n"/>
      <c r="P17" s="24" t="n"/>
      <c r="Q17" s="24" t="n"/>
      <c r="R17" s="24" t="n"/>
      <c r="S17" s="24" t="n"/>
      <c r="T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row>
    <row r="19">
      <c r="A19" s="36" t="inlineStr">
        <is>
          <t>C.  DAY-BY-DAY RECONCILIATION  -  every timesheet line matched to the pay run that paid it</t>
        </is>
      </c>
      <c r="B19" s="36" t="n"/>
      <c r="C19" s="36" t="n"/>
      <c r="D19" s="36" t="n"/>
      <c r="E19" s="36" t="n"/>
      <c r="F19" s="36" t="n"/>
      <c r="G19" s="36" t="n"/>
      <c r="H19" s="36" t="n"/>
      <c r="I19" s="36" t="n"/>
      <c r="J19" s="36" t="n"/>
      <c r="K19" s="36" t="n"/>
      <c r="L19" s="36" t="n"/>
      <c r="M19" s="24" t="n"/>
      <c r="N19" s="24" t="n"/>
      <c r="O19" s="24" t="n"/>
      <c r="P19" s="24" t="n"/>
      <c r="Q19" s="24" t="n"/>
      <c r="R19" s="24" t="n"/>
      <c r="S19" s="24" t="n"/>
      <c r="T19" s="24" t="n"/>
    </row>
    <row r="20" ht="30" customHeight="1" s="12">
      <c r="A20" s="27" t="inlineStr">
        <is>
          <t>Date</t>
        </is>
      </c>
      <c r="B20" s="27" t="inlineStr">
        <is>
          <t>Day</t>
        </is>
      </c>
      <c r="C20" s="27" t="inlineStr">
        <is>
          <t>Fortnight
Ending</t>
        </is>
      </c>
      <c r="D20" s="27" t="inlineStr">
        <is>
          <t>Location / Client (per timesheet)</t>
        </is>
      </c>
      <c r="E20" s="27" t="inlineStr">
        <is>
          <t>Start</t>
        </is>
      </c>
      <c r="F20" s="27" t="inlineStr">
        <is>
          <t>End</t>
        </is>
      </c>
      <c r="G20" s="27" t="inlineStr">
        <is>
          <t>Break</t>
        </is>
      </c>
      <c r="H20" s="27" t="inlineStr">
        <is>
          <t>Timesheet
Hours</t>
        </is>
      </c>
      <c r="I20" s="27" t="inlineStr">
        <is>
          <t>Paid
Hours</t>
        </is>
      </c>
      <c r="J20" s="27" t="inlineStr">
        <is>
          <t>Variance
(Hrs)</t>
        </is>
      </c>
      <c r="K20" s="27" t="inlineStr">
        <is>
          <t>Paid in
Pay Run</t>
        </is>
      </c>
      <c r="L20" s="27" t="inlineStr">
        <is>
          <t>Notes</t>
        </is>
      </c>
      <c r="M20" s="24" t="n"/>
      <c r="N20" s="24" t="n"/>
      <c r="O20" s="24" t="n"/>
      <c r="P20" s="24" t="n"/>
      <c r="Q20" s="24" t="n"/>
      <c r="R20" s="24" t="n"/>
      <c r="S20" s="24" t="n"/>
      <c r="T20" s="24" t="n"/>
    </row>
    <row r="21">
      <c r="A21" s="37" t="n">
        <v>46232</v>
      </c>
      <c r="B21" s="38" t="inlineStr">
        <is>
          <t>Wed</t>
        </is>
      </c>
      <c r="C21" s="37" t="n">
        <v>46241</v>
      </c>
      <c r="D21" s="40" t="inlineStr">
        <is>
          <t>CBA FT Tech MEL - 12 months [ONS]</t>
        </is>
      </c>
      <c r="E21" s="38" t="inlineStr">
        <is>
          <t>7:00 AM</t>
        </is>
      </c>
      <c r="F21" s="38" t="inlineStr">
        <is>
          <t>4:00 PM</t>
        </is>
      </c>
      <c r="G21" s="38" t="inlineStr">
        <is>
          <t>12:30-1:30</t>
        </is>
      </c>
      <c r="H21" s="39" t="n">
        <v>8</v>
      </c>
      <c r="I21" s="39">
        <f>SUMIFS('07 Aug 2026'!$G$3:$G$6,'07 Aug 2026'!$M$3:$M$6,$A21,'07 Aug 2026'!$K$3:$K$6,$D21)+SUMIFS('21 Aug 2026'!$G$3:$G$7,'21 Aug 2026'!$M$3:$M$7,$A21,'21 Aug 2026'!$K$3:$K$7,$D21)+SUMIFS('20 Sept 2026 '!$G$3:$G$14,'20 Sept 2026 '!$M$3:$M$14,$A21,'20 Sept 2026 '!$K$3:$K$14,$D21)+SUMIFS('22 Sep 2026'!$G$3:$G$11,'22 Sep 2026'!$M$3:$M$11,$A21,'22 Sep 2026'!$K$3:$K$11,$D21)</f>
        <v/>
      </c>
      <c r="J21" s="39">
        <f>H21-I21</f>
        <v/>
      </c>
      <c r="K21" s="38">
        <f>IF(SUMIFS('07 Aug 2026'!$G$3:$G$6,'07 Aug 2026'!$M$3:$M$6,$A21,'07 Aug 2026'!$K$3:$K$6,$D21)&lt;&gt;0,"07 Aug 2026",IF(SUMIFS('21 Aug 2026'!$G$3:$G$7,'21 Aug 2026'!$M$3:$M$7,$A21,'21 Aug 2026'!$K$3:$K$7,$D21)&lt;&gt;0,"21 Aug 2026",IF(SUMIFS('20 Sept 2026 '!$G$3:$G$14,'20 Sept 2026 '!$M$3:$M$14,$A21,'20 Sept 2026 '!$K$3:$K$14,$D21)&lt;&gt;0,"20 Sep 2026",IF(SUMIFS('22 Sep 2026'!$G$3:$G$11,'22 Sep 2026'!$M$3:$M$11,$A21,'22 Sep 2026'!$K$3:$K$11,$D21)&lt;&gt;0,"22 Sep 2026","NOT PAID"))))</f>
        <v/>
      </c>
      <c r="L21" s="44" t="inlineStr">
        <is>
          <t>Paid as 5.5 + 2.5 hrs either side of break</t>
        </is>
      </c>
      <c r="M21" s="24" t="n"/>
      <c r="N21" s="24" t="n"/>
      <c r="O21" s="24" t="n"/>
      <c r="P21" s="24" t="n"/>
      <c r="Q21" s="24" t="n"/>
      <c r="R21" s="24" t="n"/>
      <c r="S21" s="24" t="n"/>
      <c r="T21" s="24" t="n"/>
    </row>
    <row r="22">
      <c r="A22" s="37" t="n">
        <v>46233</v>
      </c>
      <c r="B22" s="38" t="inlineStr">
        <is>
          <t>Thu</t>
        </is>
      </c>
      <c r="C22" s="37" t="n">
        <v>46241</v>
      </c>
      <c r="D22" s="40" t="inlineStr">
        <is>
          <t>PWC – MEL Technician [ONS]</t>
        </is>
      </c>
      <c r="E22" s="38" t="inlineStr">
        <is>
          <t>8:00 AM</t>
        </is>
      </c>
      <c r="F22" s="38" t="inlineStr">
        <is>
          <t>12:00 PM</t>
        </is>
      </c>
      <c r="G22" s="38" t="inlineStr">
        <is>
          <t>-</t>
        </is>
      </c>
      <c r="H22" s="39" t="n">
        <v>4</v>
      </c>
      <c r="I22" s="39">
        <f>SUMIFS('07 Aug 2026'!$G$3:$G$6,'07 Aug 2026'!$M$3:$M$6,$A22,'07 Aug 2026'!$K$3:$K$6,$D22)+SUMIFS('21 Aug 2026'!$G$3:$G$7,'21 Aug 2026'!$M$3:$M$7,$A22,'21 Aug 2026'!$K$3:$K$7,$D22)+SUMIFS('20 Sept 2026 '!$G$3:$G$14,'20 Sept 2026 '!$M$3:$M$14,$A22,'20 Sept 2026 '!$K$3:$K$14,$D22)+SUMIFS('22 Sep 2026'!$G$3:$G$11,'22 Sep 2026'!$M$3:$M$11,$A22,'22 Sep 2026'!$K$3:$K$11,$D22)</f>
        <v/>
      </c>
      <c r="J22" s="39">
        <f>H22-I22</f>
        <v/>
      </c>
      <c r="K22" s="38">
        <f>IF(SUMIFS('07 Aug 2026'!$G$3:$G$6,'07 Aug 2026'!$M$3:$M$6,$A22,'07 Aug 2026'!$K$3:$K$6,$D22)&lt;&gt;0,"07 Aug 2026",IF(SUMIFS('21 Aug 2026'!$G$3:$G$7,'21 Aug 2026'!$M$3:$M$7,$A22,'21 Aug 2026'!$K$3:$K$7,$D22)&lt;&gt;0,"21 Aug 2026",IF(SUMIFS('20 Sept 2026 '!$G$3:$G$14,'20 Sept 2026 '!$M$3:$M$14,$A22,'20 Sept 2026 '!$K$3:$K$14,$D22)&lt;&gt;0,"20 Sep 2026",IF(SUMIFS('22 Sep 2026'!$G$3:$G$11,'22 Sep 2026'!$M$3:$M$11,$A22,'22 Sep 2026'!$K$3:$K$11,$D22)&lt;&gt;0,"22 Sep 2026","NOT PAID"))))</f>
        <v/>
      </c>
      <c r="L22" s="44" t="inlineStr">
        <is>
          <t>Two separate timesheets this day - matched by location</t>
        </is>
      </c>
      <c r="M22" s="24" t="n"/>
      <c r="N22" s="24" t="n"/>
      <c r="O22" s="24" t="n"/>
      <c r="P22" s="24" t="n"/>
      <c r="Q22" s="24" t="n"/>
      <c r="R22" s="24" t="n"/>
      <c r="S22" s="24" t="n"/>
      <c r="T22" s="24" t="n"/>
    </row>
    <row r="23">
      <c r="A23" s="37" t="n">
        <v>46233</v>
      </c>
      <c r="B23" s="38" t="inlineStr">
        <is>
          <t>Thu</t>
        </is>
      </c>
      <c r="C23" s="37" t="n">
        <v>46241</v>
      </c>
      <c r="D23" s="40" t="inlineStr">
        <is>
          <t>Aware Super AV Maintenance [ONS]</t>
        </is>
      </c>
      <c r="E23" s="38" t="inlineStr">
        <is>
          <t>2:25 PM</t>
        </is>
      </c>
      <c r="F23" s="38" t="inlineStr">
        <is>
          <t>6:25 PM</t>
        </is>
      </c>
      <c r="G23" s="38" t="inlineStr">
        <is>
          <t>-</t>
        </is>
      </c>
      <c r="H23" s="39" t="n">
        <v>4</v>
      </c>
      <c r="I23" s="39">
        <f>SUMIFS('07 Aug 2026'!$G$3:$G$6,'07 Aug 2026'!$M$3:$M$6,$A23,'07 Aug 2026'!$K$3:$K$6,$D23)+SUMIFS('21 Aug 2026'!$G$3:$G$7,'21 Aug 2026'!$M$3:$M$7,$A23,'21 Aug 2026'!$K$3:$K$7,$D23)+SUMIFS('20 Sept 2026 '!$G$3:$G$14,'20 Sept 2026 '!$M$3:$M$14,$A23,'20 Sept 2026 '!$K$3:$K$14,$D23)+SUMIFS('22 Sep 2026'!$G$3:$G$11,'22 Sep 2026'!$M$3:$M$11,$A23,'22 Sep 2026'!$K$3:$K$11,$D23)</f>
        <v/>
      </c>
      <c r="J23" s="39">
        <f>H23-I23</f>
        <v/>
      </c>
      <c r="K23" s="38">
        <f>IF(SUMIFS('07 Aug 2026'!$G$3:$G$6,'07 Aug 2026'!$M$3:$M$6,$A23,'07 Aug 2026'!$K$3:$K$6,$D23)&lt;&gt;0,"07 Aug 2026",IF(SUMIFS('21 Aug 2026'!$G$3:$G$7,'21 Aug 2026'!$M$3:$M$7,$A23,'21 Aug 2026'!$K$3:$K$7,$D23)&lt;&gt;0,"21 Aug 2026",IF(SUMIFS('20 Sept 2026 '!$G$3:$G$14,'20 Sept 2026 '!$M$3:$M$14,$A23,'20 Sept 2026 '!$K$3:$K$14,$D23)&lt;&gt;0,"20 Sep 2026",IF(SUMIFS('22 Sep 2026'!$G$3:$G$11,'22 Sep 2026'!$M$3:$M$11,$A23,'22 Sep 2026'!$K$3:$K$11,$D23)&lt;&gt;0,"22 Sep 2026","NOT PAID"))))</f>
        <v/>
      </c>
      <c r="L23" s="44" t="inlineStr">
        <is>
          <t>Two separate timesheets this day - matched by location</t>
        </is>
      </c>
      <c r="M23" s="24" t="n"/>
      <c r="N23" s="24" t="n"/>
      <c r="O23" s="24" t="n"/>
      <c r="P23" s="24" t="n"/>
      <c r="Q23" s="24" t="n"/>
      <c r="R23" s="24" t="n"/>
      <c r="S23" s="24" t="n"/>
      <c r="T23" s="24" t="n"/>
    </row>
    <row r="24">
      <c r="A24" s="37" t="n">
        <v>46252</v>
      </c>
      <c r="B24" s="38" t="inlineStr">
        <is>
          <t>Tue</t>
        </is>
      </c>
      <c r="C24" s="37" t="n">
        <v>46255</v>
      </c>
      <c r="D24" s="40" t="inlineStr">
        <is>
          <t>CBA FT Tech MEL - 12 months [ONS]</t>
        </is>
      </c>
      <c r="E24" s="38" t="inlineStr">
        <is>
          <t>7:00 AM</t>
        </is>
      </c>
      <c r="F24" s="38" t="inlineStr">
        <is>
          <t>4:00 PM</t>
        </is>
      </c>
      <c r="G24" s="38" t="inlineStr">
        <is>
          <t>12:00-1:00</t>
        </is>
      </c>
      <c r="H24" s="39" t="n">
        <v>8</v>
      </c>
      <c r="I24" s="39">
        <f>SUMIFS('07 Aug 2026'!$G$3:$G$6,'07 Aug 2026'!$M$3:$M$6,$A24,'07 Aug 2026'!$K$3:$K$6,$D24)+SUMIFS('21 Aug 2026'!$G$3:$G$7,'21 Aug 2026'!$M$3:$M$7,$A24,'21 Aug 2026'!$K$3:$K$7,$D24)+SUMIFS('20 Sept 2026 '!$G$3:$G$14,'20 Sept 2026 '!$M$3:$M$14,$A24,'20 Sept 2026 '!$K$3:$K$14,$D24)+SUMIFS('22 Sep 2026'!$G$3:$G$11,'22 Sep 2026'!$M$3:$M$11,$A24,'22 Sep 2026'!$K$3:$K$11,$D24)</f>
        <v/>
      </c>
      <c r="J24" s="39">
        <f>H24-I24</f>
        <v/>
      </c>
      <c r="K24" s="38">
        <f>IF(SUMIFS('07 Aug 2026'!$G$3:$G$6,'07 Aug 2026'!$M$3:$M$6,$A24,'07 Aug 2026'!$K$3:$K$6,$D24)&lt;&gt;0,"07 Aug 2026",IF(SUMIFS('21 Aug 2026'!$G$3:$G$7,'21 Aug 2026'!$M$3:$M$7,$A24,'21 Aug 2026'!$K$3:$K$7,$D24)&lt;&gt;0,"21 Aug 2026",IF(SUMIFS('20 Sept 2026 '!$G$3:$G$14,'20 Sept 2026 '!$M$3:$M$14,$A24,'20 Sept 2026 '!$K$3:$K$14,$D24)&lt;&gt;0,"20 Sep 2026",IF(SUMIFS('22 Sep 2026'!$G$3:$G$11,'22 Sep 2026'!$M$3:$M$11,$A24,'22 Sep 2026'!$K$3:$K$11,$D24)&lt;&gt;0,"22 Sep 2026","NOT PAID"))))</f>
        <v/>
      </c>
      <c r="L24" s="44" t="inlineStr">
        <is>
          <t>Paid as 5 + 3 hrs either side of break</t>
        </is>
      </c>
      <c r="M24" s="24" t="n"/>
      <c r="N24" s="24" t="n"/>
      <c r="O24" s="24" t="n"/>
      <c r="P24" s="24" t="n"/>
      <c r="Q24" s="24" t="n"/>
      <c r="R24" s="24" t="n"/>
      <c r="S24" s="24" t="n"/>
      <c r="T24" s="24" t="n"/>
    </row>
    <row r="25">
      <c r="A25" s="37" t="n">
        <v>46254</v>
      </c>
      <c r="B25" s="38" t="inlineStr">
        <is>
          <t>Thu</t>
        </is>
      </c>
      <c r="C25" s="37" t="n">
        <v>46255</v>
      </c>
      <c r="D25" s="40" t="inlineStr">
        <is>
          <t>PWC National Pool of Hours [ONS]</t>
        </is>
      </c>
      <c r="E25" s="38" t="inlineStr">
        <is>
          <t>1:00 PM</t>
        </is>
      </c>
      <c r="F25" s="38" t="inlineStr">
        <is>
          <t>5:00 PM</t>
        </is>
      </c>
      <c r="G25" s="38" t="inlineStr">
        <is>
          <t>-</t>
        </is>
      </c>
      <c r="H25" s="39" t="n">
        <v>4</v>
      </c>
      <c r="I25" s="39">
        <f>SUMIFS('07 Aug 2026'!$G$3:$G$6,'07 Aug 2026'!$M$3:$M$6,$A25,'07 Aug 2026'!$K$3:$K$6,$D25)+SUMIFS('21 Aug 2026'!$G$3:$G$7,'21 Aug 2026'!$M$3:$M$7,$A25,'21 Aug 2026'!$K$3:$K$7,$D25)+SUMIFS('20 Sept 2026 '!$G$3:$G$14,'20 Sept 2026 '!$M$3:$M$14,$A25,'20 Sept 2026 '!$K$3:$K$14,$D25)+SUMIFS('22 Sep 2026'!$G$3:$G$11,'22 Sep 2026'!$M$3:$M$11,$A25,'22 Sep 2026'!$K$3:$K$11,$D25)</f>
        <v/>
      </c>
      <c r="J25" s="39">
        <f>H25-I25</f>
        <v/>
      </c>
      <c r="K25" s="38">
        <f>IF(SUMIFS('07 Aug 2026'!$G$3:$G$6,'07 Aug 2026'!$M$3:$M$6,$A25,'07 Aug 2026'!$K$3:$K$6,$D25)&lt;&gt;0,"07 Aug 2026",IF(SUMIFS('21 Aug 2026'!$G$3:$G$7,'21 Aug 2026'!$M$3:$M$7,$A25,'21 Aug 2026'!$K$3:$K$7,$D25)&lt;&gt;0,"21 Aug 2026",IF(SUMIFS('20 Sept 2026 '!$G$3:$G$14,'20 Sept 2026 '!$M$3:$M$14,$A25,'20 Sept 2026 '!$K$3:$K$14,$D25)&lt;&gt;0,"20 Sep 2026",IF(SUMIFS('22 Sep 2026'!$G$3:$G$11,'22 Sep 2026'!$M$3:$M$11,$A25,'22 Sep 2026'!$K$3:$K$11,$D25)&lt;&gt;0,"22 Sep 2026","NOT PAID"))))</f>
        <v/>
      </c>
      <c r="L25" s="44" t="inlineStr"/>
      <c r="M25" s="24" t="n"/>
      <c r="N25" s="24" t="n"/>
      <c r="O25" s="24" t="n"/>
      <c r="P25" s="24" t="n"/>
      <c r="Q25" s="24" t="n"/>
      <c r="R25" s="24" t="n"/>
      <c r="S25" s="24" t="n"/>
      <c r="T25" s="24" t="n"/>
    </row>
    <row r="26" ht="30" customHeight="1" s="12">
      <c r="A26" s="28" t="n">
        <v>46258</v>
      </c>
      <c r="B26" s="29" t="inlineStr">
        <is>
          <t>Mon</t>
        </is>
      </c>
      <c r="C26" s="28" t="n">
        <v>46269</v>
      </c>
      <c r="D26" s="30" t="inlineStr">
        <is>
          <t>DTTL Mel Tech FT 1 [ONS]</t>
        </is>
      </c>
      <c r="E26" s="29" t="inlineStr">
        <is>
          <t>8:30 AM</t>
        </is>
      </c>
      <c r="F26" s="29" t="inlineStr">
        <is>
          <t>5:00 PM</t>
        </is>
      </c>
      <c r="G26" s="29" t="inlineStr">
        <is>
          <t>12:00-12:30</t>
        </is>
      </c>
      <c r="H26" s="31" t="n">
        <v>8</v>
      </c>
      <c r="I26" s="31">
        <f>SUMIFS('07 Aug 2026'!$G$3:$G$6,'07 Aug 2026'!$M$3:$M$6,$A26,'07 Aug 2026'!$K$3:$K$6,$D26)+SUMIFS('21 Aug 2026'!$G$3:$G$7,'21 Aug 2026'!$M$3:$M$7,$A26,'21 Aug 2026'!$K$3:$K$7,$D26)+SUMIFS('20 Sept 2026 '!$G$3:$G$14,'20 Sept 2026 '!$M$3:$M$14,$A26,'20 Sept 2026 '!$K$3:$K$14,$D26)+SUMIFS('22 Sep 2026'!$G$3:$G$11,'22 Sep 2026'!$M$3:$M$11,$A26,'22 Sep 2026'!$K$3:$K$11,$D26)</f>
        <v/>
      </c>
      <c r="J26" s="31">
        <f>H26-I26</f>
        <v/>
      </c>
      <c r="K26" s="29">
        <f>IF(SUMIFS('07 Aug 2026'!$G$3:$G$6,'07 Aug 2026'!$M$3:$M$6,$A26,'07 Aug 2026'!$K$3:$K$6,$D26)&lt;&gt;0,"07 Aug 2026",IF(SUMIFS('21 Aug 2026'!$G$3:$G$7,'21 Aug 2026'!$M$3:$M$7,$A26,'21 Aug 2026'!$K$3:$K$7,$D26)&lt;&gt;0,"21 Aug 2026",IF(SUMIFS('20 Sept 2026 '!$G$3:$G$14,'20 Sept 2026 '!$M$3:$M$14,$A26,'20 Sept 2026 '!$K$3:$K$14,$D26)&lt;&gt;0,"20 Sep 2026",IF(SUMIFS('22 Sep 2026'!$G$3:$G$11,'22 Sep 2026'!$M$3:$M$11,$A26,'22 Sep 2026'!$K$3:$K$11,$D26)&lt;&gt;0,"22 Sep 2026","NOT PAID"))))</f>
        <v/>
      </c>
      <c r="L26" s="45" t="inlineStr">
        <is>
          <t>QUERY - claimed missing. PAID IN FULL in the 20 Sep 2026 run as 3.5 + 4.5 hrs. See Section A.</t>
        </is>
      </c>
      <c r="M26" s="24" t="n"/>
      <c r="N26" s="24" t="n"/>
      <c r="O26" s="24" t="n"/>
      <c r="P26" s="24" t="n"/>
      <c r="Q26" s="24" t="n"/>
      <c r="R26" s="24" t="n"/>
      <c r="S26" s="24" t="n"/>
      <c r="T26" s="24" t="n"/>
    </row>
    <row r="27">
      <c r="A27" s="37" t="n">
        <v>46259</v>
      </c>
      <c r="B27" s="38" t="inlineStr">
        <is>
          <t>Tue</t>
        </is>
      </c>
      <c r="C27" s="37" t="n">
        <v>46269</v>
      </c>
      <c r="D27" s="40" t="inlineStr">
        <is>
          <t>PWC National Pool of Hours [ONS]</t>
        </is>
      </c>
      <c r="E27" s="38" t="inlineStr">
        <is>
          <t>8:00 AM</t>
        </is>
      </c>
      <c r="F27" s="38" t="inlineStr">
        <is>
          <t>5:00 PM</t>
        </is>
      </c>
      <c r="G27" s="38" t="inlineStr">
        <is>
          <t>12:00-1:00</t>
        </is>
      </c>
      <c r="H27" s="39" t="n">
        <v>8</v>
      </c>
      <c r="I27" s="39">
        <f>SUMIFS('07 Aug 2026'!$G$3:$G$6,'07 Aug 2026'!$M$3:$M$6,$A27,'07 Aug 2026'!$K$3:$K$6,$D27)+SUMIFS('21 Aug 2026'!$G$3:$G$7,'21 Aug 2026'!$M$3:$M$7,$A27,'21 Aug 2026'!$K$3:$K$7,$D27)+SUMIFS('20 Sept 2026 '!$G$3:$G$14,'20 Sept 2026 '!$M$3:$M$14,$A27,'20 Sept 2026 '!$K$3:$K$14,$D27)+SUMIFS('22 Sep 2026'!$G$3:$G$11,'22 Sep 2026'!$M$3:$M$11,$A27,'22 Sep 2026'!$K$3:$K$11,$D27)</f>
        <v/>
      </c>
      <c r="J27" s="39">
        <f>H27-I27</f>
        <v/>
      </c>
      <c r="K27" s="38">
        <f>IF(SUMIFS('07 Aug 2026'!$G$3:$G$6,'07 Aug 2026'!$M$3:$M$6,$A27,'07 Aug 2026'!$K$3:$K$6,$D27)&lt;&gt;0,"07 Aug 2026",IF(SUMIFS('21 Aug 2026'!$G$3:$G$7,'21 Aug 2026'!$M$3:$M$7,$A27,'21 Aug 2026'!$K$3:$K$7,$D27)&lt;&gt;0,"21 Aug 2026",IF(SUMIFS('20 Sept 2026 '!$G$3:$G$14,'20 Sept 2026 '!$M$3:$M$14,$A27,'20 Sept 2026 '!$K$3:$K$14,$D27)&lt;&gt;0,"20 Sep 2026",IF(SUMIFS('22 Sep 2026'!$G$3:$G$11,'22 Sep 2026'!$M$3:$M$11,$A27,'22 Sep 2026'!$K$3:$K$11,$D27)&lt;&gt;0,"22 Sep 2026","NOT PAID"))))</f>
        <v/>
      </c>
      <c r="L27" s="44" t="inlineStr">
        <is>
          <t>Paid as 4 + 4 hrs</t>
        </is>
      </c>
      <c r="M27" s="24" t="n"/>
      <c r="N27" s="24" t="n"/>
      <c r="O27" s="24" t="n"/>
      <c r="P27" s="24" t="n"/>
      <c r="Q27" s="24" t="n"/>
      <c r="R27" s="24" t="n"/>
      <c r="S27" s="24" t="n"/>
      <c r="T27" s="24" t="n"/>
    </row>
    <row r="28">
      <c r="A28" s="37" t="n">
        <v>46260</v>
      </c>
      <c r="B28" s="38" t="inlineStr">
        <is>
          <t>Wed</t>
        </is>
      </c>
      <c r="C28" s="37" t="n">
        <v>46269</v>
      </c>
      <c r="D28" s="40" t="inlineStr">
        <is>
          <t>PWC National Pool of Hours [ONS]</t>
        </is>
      </c>
      <c r="E28" s="38" t="inlineStr">
        <is>
          <t>8:00 AM</t>
        </is>
      </c>
      <c r="F28" s="38" t="inlineStr">
        <is>
          <t>4:00 PM</t>
        </is>
      </c>
      <c r="G28" s="38" t="inlineStr">
        <is>
          <t>12:00-12:30</t>
        </is>
      </c>
      <c r="H28" s="39" t="n">
        <v>7.5</v>
      </c>
      <c r="I28" s="39">
        <f>SUMIFS('07 Aug 2026'!$G$3:$G$6,'07 Aug 2026'!$M$3:$M$6,$A28,'07 Aug 2026'!$K$3:$K$6,$D28)+SUMIFS('21 Aug 2026'!$G$3:$G$7,'21 Aug 2026'!$M$3:$M$7,$A28,'21 Aug 2026'!$K$3:$K$7,$D28)+SUMIFS('20 Sept 2026 '!$G$3:$G$14,'20 Sept 2026 '!$M$3:$M$14,$A28,'20 Sept 2026 '!$K$3:$K$14,$D28)+SUMIFS('22 Sep 2026'!$G$3:$G$11,'22 Sep 2026'!$M$3:$M$11,$A28,'22 Sep 2026'!$K$3:$K$11,$D28)</f>
        <v/>
      </c>
      <c r="J28" s="39">
        <f>H28-I28</f>
        <v/>
      </c>
      <c r="K28" s="38">
        <f>IF(SUMIFS('07 Aug 2026'!$G$3:$G$6,'07 Aug 2026'!$M$3:$M$6,$A28,'07 Aug 2026'!$K$3:$K$6,$D28)&lt;&gt;0,"07 Aug 2026",IF(SUMIFS('21 Aug 2026'!$G$3:$G$7,'21 Aug 2026'!$M$3:$M$7,$A28,'21 Aug 2026'!$K$3:$K$7,$D28)&lt;&gt;0,"21 Aug 2026",IF(SUMIFS('20 Sept 2026 '!$G$3:$G$14,'20 Sept 2026 '!$M$3:$M$14,$A28,'20 Sept 2026 '!$K$3:$K$14,$D28)&lt;&gt;0,"20 Sep 2026",IF(SUMIFS('22 Sep 2026'!$G$3:$G$11,'22 Sep 2026'!$M$3:$M$11,$A28,'22 Sep 2026'!$K$3:$K$11,$D28)&lt;&gt;0,"22 Sep 2026","NOT PAID"))))</f>
        <v/>
      </c>
      <c r="L28" s="44" t="inlineStr">
        <is>
          <t>Paid as 4 + 3.5 hrs</t>
        </is>
      </c>
      <c r="M28" s="24" t="n"/>
      <c r="N28" s="24" t="n"/>
      <c r="O28" s="24" t="n"/>
      <c r="P28" s="24" t="n"/>
      <c r="Q28" s="24" t="n"/>
      <c r="R28" s="24" t="n"/>
      <c r="S28" s="24" t="n"/>
      <c r="T28" s="24" t="n"/>
    </row>
    <row r="29">
      <c r="A29" s="37" t="n">
        <v>46261</v>
      </c>
      <c r="B29" s="38" t="inlineStr">
        <is>
          <t>Thu</t>
        </is>
      </c>
      <c r="C29" s="37" t="n">
        <v>46269</v>
      </c>
      <c r="D29" s="40" t="inlineStr">
        <is>
          <t>PWC National Pool of Hours [ONS]</t>
        </is>
      </c>
      <c r="E29" s="38" t="inlineStr">
        <is>
          <t>8:00 AM</t>
        </is>
      </c>
      <c r="F29" s="38" t="inlineStr">
        <is>
          <t>5:00 PM</t>
        </is>
      </c>
      <c r="G29" s="38" t="inlineStr">
        <is>
          <t>12:00-1:00</t>
        </is>
      </c>
      <c r="H29" s="39" t="n">
        <v>8</v>
      </c>
      <c r="I29" s="39">
        <f>SUMIFS('07 Aug 2026'!$G$3:$G$6,'07 Aug 2026'!$M$3:$M$6,$A29,'07 Aug 2026'!$K$3:$K$6,$D29)+SUMIFS('21 Aug 2026'!$G$3:$G$7,'21 Aug 2026'!$M$3:$M$7,$A29,'21 Aug 2026'!$K$3:$K$7,$D29)+SUMIFS('20 Sept 2026 '!$G$3:$G$14,'20 Sept 2026 '!$M$3:$M$14,$A29,'20 Sept 2026 '!$K$3:$K$14,$D29)+SUMIFS('22 Sep 2026'!$G$3:$G$11,'22 Sep 2026'!$M$3:$M$11,$A29,'22 Sep 2026'!$K$3:$K$11,$D29)</f>
        <v/>
      </c>
      <c r="J29" s="39">
        <f>H29-I29</f>
        <v/>
      </c>
      <c r="K29" s="38">
        <f>IF(SUMIFS('07 Aug 2026'!$G$3:$G$6,'07 Aug 2026'!$M$3:$M$6,$A29,'07 Aug 2026'!$K$3:$K$6,$D29)&lt;&gt;0,"07 Aug 2026",IF(SUMIFS('21 Aug 2026'!$G$3:$G$7,'21 Aug 2026'!$M$3:$M$7,$A29,'21 Aug 2026'!$K$3:$K$7,$D29)&lt;&gt;0,"21 Aug 2026",IF(SUMIFS('20 Sept 2026 '!$G$3:$G$14,'20 Sept 2026 '!$M$3:$M$14,$A29,'20 Sept 2026 '!$K$3:$K$14,$D29)&lt;&gt;0,"20 Sep 2026",IF(SUMIFS('22 Sep 2026'!$G$3:$G$11,'22 Sep 2026'!$M$3:$M$11,$A29,'22 Sep 2026'!$K$3:$K$11,$D29)&lt;&gt;0,"22 Sep 2026","NOT PAID"))))</f>
        <v/>
      </c>
      <c r="L29" s="44" t="inlineStr">
        <is>
          <t>Paid as 4 + 4 hrs</t>
        </is>
      </c>
      <c r="M29" s="24" t="n"/>
      <c r="N29" s="24" t="n"/>
      <c r="O29" s="24" t="n"/>
      <c r="P29" s="24" t="n"/>
      <c r="Q29" s="24" t="n"/>
      <c r="R29" s="24" t="n"/>
      <c r="S29" s="24" t="n"/>
      <c r="T29" s="24" t="n"/>
    </row>
    <row r="30" ht="30" customHeight="1" s="12">
      <c r="A30" s="28" t="n">
        <v>46262</v>
      </c>
      <c r="B30" s="29" t="inlineStr">
        <is>
          <t>Fri</t>
        </is>
      </c>
      <c r="C30" s="28" t="n">
        <v>46269</v>
      </c>
      <c r="D30" s="30" t="inlineStr">
        <is>
          <t>DTTL Mel Tech FT 1 [ONS]</t>
        </is>
      </c>
      <c r="E30" s="29" t="inlineStr">
        <is>
          <t>8:30 AM</t>
        </is>
      </c>
      <c r="F30" s="29" t="inlineStr">
        <is>
          <t>5:00 PM</t>
        </is>
      </c>
      <c r="G30" s="29" t="inlineStr">
        <is>
          <t>12:00-12:30</t>
        </is>
      </c>
      <c r="H30" s="31" t="n">
        <v>8</v>
      </c>
      <c r="I30" s="31">
        <f>SUMIFS('07 Aug 2026'!$G$3:$G$6,'07 Aug 2026'!$M$3:$M$6,$A30,'07 Aug 2026'!$K$3:$K$6,$D30)+SUMIFS('21 Aug 2026'!$G$3:$G$7,'21 Aug 2026'!$M$3:$M$7,$A30,'21 Aug 2026'!$K$3:$K$7,$D30)+SUMIFS('20 Sept 2026 '!$G$3:$G$14,'20 Sept 2026 '!$M$3:$M$14,$A30,'20 Sept 2026 '!$K$3:$K$14,$D30)+SUMIFS('22 Sep 2026'!$G$3:$G$11,'22 Sep 2026'!$M$3:$M$11,$A30,'22 Sep 2026'!$K$3:$K$11,$D30)</f>
        <v/>
      </c>
      <c r="J30" s="31">
        <f>H30-I30</f>
        <v/>
      </c>
      <c r="K30" s="29">
        <f>IF(SUMIFS('07 Aug 2026'!$G$3:$G$6,'07 Aug 2026'!$M$3:$M$6,$A30,'07 Aug 2026'!$K$3:$K$6,$D30)&lt;&gt;0,"07 Aug 2026",IF(SUMIFS('21 Aug 2026'!$G$3:$G$7,'21 Aug 2026'!$M$3:$M$7,$A30,'21 Aug 2026'!$K$3:$K$7,$D30)&lt;&gt;0,"21 Aug 2026",IF(SUMIFS('20 Sept 2026 '!$G$3:$G$14,'20 Sept 2026 '!$M$3:$M$14,$A30,'20 Sept 2026 '!$K$3:$K$14,$D30)&lt;&gt;0,"20 Sep 2026",IF(SUMIFS('22 Sep 2026'!$G$3:$G$11,'22 Sep 2026'!$M$3:$M$11,$A30,'22 Sep 2026'!$K$3:$K$11,$D30)&lt;&gt;0,"22 Sep 2026","NOT PAID"))))</f>
        <v/>
      </c>
      <c r="L30" s="45" t="inlineStr">
        <is>
          <t>QUERY - claimed missing. PAID IN FULL in the 20 Sep 2026 run as 3.5 + 4.5 hrs. See Section A.</t>
        </is>
      </c>
      <c r="M30" s="24" t="n"/>
      <c r="N30" s="24" t="n"/>
      <c r="O30" s="24" t="n"/>
      <c r="P30" s="24" t="n"/>
      <c r="Q30" s="24" t="n"/>
      <c r="R30" s="24" t="n"/>
      <c r="S30" s="24" t="n"/>
      <c r="T30" s="24" t="n"/>
    </row>
    <row r="31">
      <c r="A31" s="37" t="n">
        <v>46265</v>
      </c>
      <c r="B31" s="38" t="inlineStr">
        <is>
          <t>Mon</t>
        </is>
      </c>
      <c r="C31" s="37" t="n">
        <v>46269</v>
      </c>
      <c r="D31" s="40" t="inlineStr">
        <is>
          <t>DTTL Mel Tech FT 1 [ONS]</t>
        </is>
      </c>
      <c r="E31" s="38" t="inlineStr">
        <is>
          <t>8:30 AM</t>
        </is>
      </c>
      <c r="F31" s="38" t="inlineStr">
        <is>
          <t>5:00 PM</t>
        </is>
      </c>
      <c r="G31" s="38" t="inlineStr">
        <is>
          <t>12:00-12:30</t>
        </is>
      </c>
      <c r="H31" s="39" t="n">
        <v>8</v>
      </c>
      <c r="I31" s="39">
        <f>SUMIFS('07 Aug 2026'!$G$3:$G$6,'07 Aug 2026'!$M$3:$M$6,$A31,'07 Aug 2026'!$K$3:$K$6,$D31)+SUMIFS('21 Aug 2026'!$G$3:$G$7,'21 Aug 2026'!$M$3:$M$7,$A31,'21 Aug 2026'!$K$3:$K$7,$D31)+SUMIFS('20 Sept 2026 '!$G$3:$G$14,'20 Sept 2026 '!$M$3:$M$14,$A31,'20 Sept 2026 '!$K$3:$K$14,$D31)+SUMIFS('22 Sep 2026'!$G$3:$G$11,'22 Sep 2026'!$M$3:$M$11,$A31,'22 Sep 2026'!$K$3:$K$11,$D31)</f>
        <v/>
      </c>
      <c r="J31" s="39">
        <f>H31-I31</f>
        <v/>
      </c>
      <c r="K31" s="38">
        <f>IF(SUMIFS('07 Aug 2026'!$G$3:$G$6,'07 Aug 2026'!$M$3:$M$6,$A31,'07 Aug 2026'!$K$3:$K$6,$D31)&lt;&gt;0,"07 Aug 2026",IF(SUMIFS('21 Aug 2026'!$G$3:$G$7,'21 Aug 2026'!$M$3:$M$7,$A31,'21 Aug 2026'!$K$3:$K$7,$D31)&lt;&gt;0,"21 Aug 2026",IF(SUMIFS('20 Sept 2026 '!$G$3:$G$14,'20 Sept 2026 '!$M$3:$M$14,$A31,'20 Sept 2026 '!$K$3:$K$14,$D31)&lt;&gt;0,"20 Sep 2026",IF(SUMIFS('22 Sep 2026'!$G$3:$G$11,'22 Sep 2026'!$M$3:$M$11,$A31,'22 Sep 2026'!$K$3:$K$11,$D31)&lt;&gt;0,"22 Sep 2026","NOT PAID"))))</f>
        <v/>
      </c>
      <c r="L31" s="44" t="inlineStr">
        <is>
          <t>Paid as 3.5 + 4.5 hrs</t>
        </is>
      </c>
      <c r="M31" s="24" t="n"/>
      <c r="N31" s="24" t="n"/>
      <c r="O31" s="24" t="n"/>
      <c r="P31" s="24" t="n"/>
      <c r="Q31" s="24" t="n"/>
      <c r="R31" s="24" t="n"/>
      <c r="S31" s="24" t="n"/>
      <c r="T31" s="24" t="n"/>
    </row>
    <row r="32">
      <c r="A32" s="37" t="n">
        <v>46266</v>
      </c>
      <c r="B32" s="38" t="inlineStr">
        <is>
          <t>Tue</t>
        </is>
      </c>
      <c r="C32" s="37" t="n">
        <v>46269</v>
      </c>
      <c r="D32" s="40" t="inlineStr">
        <is>
          <t>DTTL Mel Tech FT 1 [ONS]</t>
        </is>
      </c>
      <c r="E32" s="38" t="inlineStr">
        <is>
          <t>9:00 AM</t>
        </is>
      </c>
      <c r="F32" s="38" t="inlineStr">
        <is>
          <t>5:30 PM</t>
        </is>
      </c>
      <c r="G32" s="38" t="inlineStr">
        <is>
          <t>12:00-12:30</t>
        </is>
      </c>
      <c r="H32" s="39" t="n">
        <v>8</v>
      </c>
      <c r="I32" s="39">
        <f>SUMIFS('07 Aug 2026'!$G$3:$G$6,'07 Aug 2026'!$M$3:$M$6,$A32,'07 Aug 2026'!$K$3:$K$6,$D32)+SUMIFS('21 Aug 2026'!$G$3:$G$7,'21 Aug 2026'!$M$3:$M$7,$A32,'21 Aug 2026'!$K$3:$K$7,$D32)+SUMIFS('20 Sept 2026 '!$G$3:$G$14,'20 Sept 2026 '!$M$3:$M$14,$A32,'20 Sept 2026 '!$K$3:$K$14,$D32)+SUMIFS('22 Sep 2026'!$G$3:$G$11,'22 Sep 2026'!$M$3:$M$11,$A32,'22 Sep 2026'!$K$3:$K$11,$D32)</f>
        <v/>
      </c>
      <c r="J32" s="39">
        <f>H32-I32</f>
        <v/>
      </c>
      <c r="K32" s="38">
        <f>IF(SUMIFS('07 Aug 2026'!$G$3:$G$6,'07 Aug 2026'!$M$3:$M$6,$A32,'07 Aug 2026'!$K$3:$K$6,$D32)&lt;&gt;0,"07 Aug 2026",IF(SUMIFS('21 Aug 2026'!$G$3:$G$7,'21 Aug 2026'!$M$3:$M$7,$A32,'21 Aug 2026'!$K$3:$K$7,$D32)&lt;&gt;0,"21 Aug 2026",IF(SUMIFS('20 Sept 2026 '!$G$3:$G$14,'20 Sept 2026 '!$M$3:$M$14,$A32,'20 Sept 2026 '!$K$3:$K$14,$D32)&lt;&gt;0,"20 Sep 2026",IF(SUMIFS('22 Sep 2026'!$G$3:$G$11,'22 Sep 2026'!$M$3:$M$11,$A32,'22 Sep 2026'!$K$3:$K$11,$D32)&lt;&gt;0,"22 Sep 2026","NOT PAID"))))</f>
        <v/>
      </c>
      <c r="L32" s="44" t="inlineStr">
        <is>
          <t>Paid as 3 + 5 hrs</t>
        </is>
      </c>
      <c r="M32" s="24" t="n"/>
      <c r="N32" s="24" t="n"/>
      <c r="O32" s="24" t="n"/>
      <c r="P32" s="24" t="n"/>
      <c r="Q32" s="24" t="n"/>
      <c r="R32" s="24" t="n"/>
      <c r="S32" s="24" t="n"/>
      <c r="T32" s="24" t="n"/>
    </row>
    <row r="33">
      <c r="A33" s="37" t="n">
        <v>46267</v>
      </c>
      <c r="B33" s="38" t="inlineStr">
        <is>
          <t>Wed</t>
        </is>
      </c>
      <c r="C33" s="37" t="n">
        <v>46269</v>
      </c>
      <c r="D33" s="40" t="inlineStr">
        <is>
          <t>DTTL Mel Tech FT 1 [ONS]</t>
        </is>
      </c>
      <c r="E33" s="38" t="inlineStr">
        <is>
          <t>9:00 AM</t>
        </is>
      </c>
      <c r="F33" s="38" t="inlineStr">
        <is>
          <t>5:30 PM</t>
        </is>
      </c>
      <c r="G33" s="38" t="inlineStr">
        <is>
          <t>12:00-12:30</t>
        </is>
      </c>
      <c r="H33" s="39" t="n">
        <v>8</v>
      </c>
      <c r="I33" s="39">
        <f>SUMIFS('07 Aug 2026'!$G$3:$G$6,'07 Aug 2026'!$M$3:$M$6,$A33,'07 Aug 2026'!$K$3:$K$6,$D33)+SUMIFS('21 Aug 2026'!$G$3:$G$7,'21 Aug 2026'!$M$3:$M$7,$A33,'21 Aug 2026'!$K$3:$K$7,$D33)+SUMIFS('20 Sept 2026 '!$G$3:$G$14,'20 Sept 2026 '!$M$3:$M$14,$A33,'20 Sept 2026 '!$K$3:$K$14,$D33)+SUMIFS('22 Sep 2026'!$G$3:$G$11,'22 Sep 2026'!$M$3:$M$11,$A33,'22 Sep 2026'!$K$3:$K$11,$D33)</f>
        <v/>
      </c>
      <c r="J33" s="39">
        <f>H33-I33</f>
        <v/>
      </c>
      <c r="K33" s="38">
        <f>IF(SUMIFS('07 Aug 2026'!$G$3:$G$6,'07 Aug 2026'!$M$3:$M$6,$A33,'07 Aug 2026'!$K$3:$K$6,$D33)&lt;&gt;0,"07 Aug 2026",IF(SUMIFS('21 Aug 2026'!$G$3:$G$7,'21 Aug 2026'!$M$3:$M$7,$A33,'21 Aug 2026'!$K$3:$K$7,$D33)&lt;&gt;0,"21 Aug 2026",IF(SUMIFS('20 Sept 2026 '!$G$3:$G$14,'20 Sept 2026 '!$M$3:$M$14,$A33,'20 Sept 2026 '!$K$3:$K$14,$D33)&lt;&gt;0,"20 Sep 2026",IF(SUMIFS('22 Sep 2026'!$G$3:$G$11,'22 Sep 2026'!$M$3:$M$11,$A33,'22 Sep 2026'!$K$3:$K$11,$D33)&lt;&gt;0,"22 Sep 2026","NOT PAID"))))</f>
        <v/>
      </c>
      <c r="L33" s="44" t="inlineStr">
        <is>
          <t>Paid as 3 + 5 hrs</t>
        </is>
      </c>
      <c r="M33" s="24" t="n"/>
      <c r="N33" s="24" t="n"/>
      <c r="O33" s="24" t="n"/>
      <c r="P33" s="24" t="n"/>
      <c r="Q33" s="24" t="n"/>
      <c r="R33" s="24" t="n"/>
      <c r="S33" s="24" t="n"/>
      <c r="T33" s="24" t="n"/>
    </row>
    <row r="34">
      <c r="A34" s="37" t="n">
        <v>46269</v>
      </c>
      <c r="B34" s="38" t="inlineStr">
        <is>
          <t>Fri</t>
        </is>
      </c>
      <c r="C34" s="37" t="n">
        <v>46269</v>
      </c>
      <c r="D34" s="40" t="inlineStr">
        <is>
          <t>DTTL Mel Tech FT 1 [ONS]</t>
        </is>
      </c>
      <c r="E34" s="38" t="inlineStr">
        <is>
          <t>8:30 AM</t>
        </is>
      </c>
      <c r="F34" s="38" t="inlineStr">
        <is>
          <t>5:00 PM</t>
        </is>
      </c>
      <c r="G34" s="38" t="inlineStr">
        <is>
          <t>12:00-12:30</t>
        </is>
      </c>
      <c r="H34" s="39" t="n">
        <v>8</v>
      </c>
      <c r="I34" s="39">
        <f>SUMIFS('07 Aug 2026'!$G$3:$G$6,'07 Aug 2026'!$M$3:$M$6,$A34,'07 Aug 2026'!$K$3:$K$6,$D34)+SUMIFS('21 Aug 2026'!$G$3:$G$7,'21 Aug 2026'!$M$3:$M$7,$A34,'21 Aug 2026'!$K$3:$K$7,$D34)+SUMIFS('20 Sept 2026 '!$G$3:$G$14,'20 Sept 2026 '!$M$3:$M$14,$A34,'20 Sept 2026 '!$K$3:$K$14,$D34)+SUMIFS('22 Sep 2026'!$G$3:$G$11,'22 Sep 2026'!$M$3:$M$11,$A34,'22 Sep 2026'!$K$3:$K$11,$D34)</f>
        <v/>
      </c>
      <c r="J34" s="39">
        <f>H34-I34</f>
        <v/>
      </c>
      <c r="K34" s="38">
        <f>IF(SUMIFS('07 Aug 2026'!$G$3:$G$6,'07 Aug 2026'!$M$3:$M$6,$A34,'07 Aug 2026'!$K$3:$K$6,$D34)&lt;&gt;0,"07 Aug 2026",IF(SUMIFS('21 Aug 2026'!$G$3:$G$7,'21 Aug 2026'!$M$3:$M$7,$A34,'21 Aug 2026'!$K$3:$K$7,$D34)&lt;&gt;0,"21 Aug 2026",IF(SUMIFS('20 Sept 2026 '!$G$3:$G$14,'20 Sept 2026 '!$M$3:$M$14,$A34,'20 Sept 2026 '!$K$3:$K$14,$D34)&lt;&gt;0,"20 Sep 2026",IF(SUMIFS('22 Sep 2026'!$G$3:$G$11,'22 Sep 2026'!$M$3:$M$11,$A34,'22 Sep 2026'!$K$3:$K$11,$D34)&lt;&gt;0,"22 Sep 2026","NOT PAID"))))</f>
        <v/>
      </c>
      <c r="L34" s="44" t="inlineStr">
        <is>
          <t>Paid as 3.5 + 4.5 hrs</t>
        </is>
      </c>
      <c r="M34" s="24" t="n"/>
      <c r="N34" s="24" t="n"/>
      <c r="O34" s="24" t="n"/>
      <c r="P34" s="24" t="n"/>
      <c r="Q34" s="24" t="n"/>
      <c r="R34" s="24" t="n"/>
      <c r="S34" s="24" t="n"/>
      <c r="T34" s="24" t="n"/>
    </row>
    <row r="35">
      <c r="A35" s="37" t="n">
        <v>46275</v>
      </c>
      <c r="B35" s="38" t="inlineStr">
        <is>
          <t>Thu</t>
        </is>
      </c>
      <c r="C35" s="37" t="n">
        <v>46283</v>
      </c>
      <c r="D35" s="40" t="inlineStr">
        <is>
          <t>PWC National Pool of Hours [ONS]</t>
        </is>
      </c>
      <c r="E35" s="38" t="inlineStr">
        <is>
          <t>8:00 AM</t>
        </is>
      </c>
      <c r="F35" s="38" t="inlineStr">
        <is>
          <t>5:00 PM</t>
        </is>
      </c>
      <c r="G35" s="38" t="inlineStr">
        <is>
          <t>12:00-1:00</t>
        </is>
      </c>
      <c r="H35" s="39" t="n">
        <v>8</v>
      </c>
      <c r="I35" s="39">
        <f>SUMIFS('07 Aug 2026'!$G$3:$G$6,'07 Aug 2026'!$M$3:$M$6,$A35,'07 Aug 2026'!$K$3:$K$6,$D35)+SUMIFS('21 Aug 2026'!$G$3:$G$7,'21 Aug 2026'!$M$3:$M$7,$A35,'21 Aug 2026'!$K$3:$K$7,$D35)+SUMIFS('20 Sept 2026 '!$G$3:$G$14,'20 Sept 2026 '!$M$3:$M$14,$A35,'20 Sept 2026 '!$K$3:$K$14,$D35)+SUMIFS('22 Sep 2026'!$G$3:$G$11,'22 Sep 2026'!$M$3:$M$11,$A35,'22 Sep 2026'!$K$3:$K$11,$D35)</f>
        <v/>
      </c>
      <c r="J35" s="39">
        <f>H35-I35</f>
        <v/>
      </c>
      <c r="K35" s="38">
        <f>IF(SUMIFS('07 Aug 2026'!$G$3:$G$6,'07 Aug 2026'!$M$3:$M$6,$A35,'07 Aug 2026'!$K$3:$K$6,$D35)&lt;&gt;0,"07 Aug 2026",IF(SUMIFS('21 Aug 2026'!$G$3:$G$7,'21 Aug 2026'!$M$3:$M$7,$A35,'21 Aug 2026'!$K$3:$K$7,$D35)&lt;&gt;0,"21 Aug 2026",IF(SUMIFS('20 Sept 2026 '!$G$3:$G$14,'20 Sept 2026 '!$M$3:$M$14,$A35,'20 Sept 2026 '!$K$3:$K$14,$D35)&lt;&gt;0,"20 Sep 2026",IF(SUMIFS('22 Sep 2026'!$G$3:$G$11,'22 Sep 2026'!$M$3:$M$11,$A35,'22 Sep 2026'!$K$3:$K$11,$D35)&lt;&gt;0,"22 Sep 2026","NOT PAID"))))</f>
        <v/>
      </c>
      <c r="L35" s="44" t="inlineStr">
        <is>
          <t>Paid as 4 + 4 hrs</t>
        </is>
      </c>
      <c r="M35" s="24" t="n"/>
      <c r="N35" s="24" t="n"/>
      <c r="O35" s="24" t="n"/>
      <c r="P35" s="24" t="n"/>
      <c r="Q35" s="24" t="n"/>
      <c r="R35" s="24" t="n"/>
      <c r="S35" s="24" t="n"/>
      <c r="T35" s="24" t="n"/>
    </row>
    <row r="36">
      <c r="A36" s="37" t="n">
        <v>46282</v>
      </c>
      <c r="B36" s="38" t="inlineStr">
        <is>
          <t>Thu</t>
        </is>
      </c>
      <c r="C36" s="37" t="n">
        <v>46283</v>
      </c>
      <c r="D36" s="40" t="inlineStr">
        <is>
          <t>Aware Super AV Maintenance [ONS]</t>
        </is>
      </c>
      <c r="E36" s="38" t="inlineStr">
        <is>
          <t>11:30 AM</t>
        </is>
      </c>
      <c r="F36" s="38" t="inlineStr">
        <is>
          <t>3:30 PM</t>
        </is>
      </c>
      <c r="G36" s="38" t="inlineStr">
        <is>
          <t>-</t>
        </is>
      </c>
      <c r="H36" s="39" t="n">
        <v>4</v>
      </c>
      <c r="I36" s="39">
        <f>SUMIFS('07 Aug 2026'!$G$3:$G$6,'07 Aug 2026'!$M$3:$M$6,$A36,'07 Aug 2026'!$K$3:$K$6,$D36)+SUMIFS('21 Aug 2026'!$G$3:$G$7,'21 Aug 2026'!$M$3:$M$7,$A36,'21 Aug 2026'!$K$3:$K$7,$D36)+SUMIFS('20 Sept 2026 '!$G$3:$G$14,'20 Sept 2026 '!$M$3:$M$14,$A36,'20 Sept 2026 '!$K$3:$K$14,$D36)+SUMIFS('22 Sep 2026'!$G$3:$G$11,'22 Sep 2026'!$M$3:$M$11,$A36,'22 Sep 2026'!$K$3:$K$11,$D36)</f>
        <v/>
      </c>
      <c r="J36" s="39">
        <f>H36-I36</f>
        <v/>
      </c>
      <c r="K36" s="38">
        <f>IF(SUMIFS('07 Aug 2026'!$G$3:$G$6,'07 Aug 2026'!$M$3:$M$6,$A36,'07 Aug 2026'!$K$3:$K$6,$D36)&lt;&gt;0,"07 Aug 2026",IF(SUMIFS('21 Aug 2026'!$G$3:$G$7,'21 Aug 2026'!$M$3:$M$7,$A36,'21 Aug 2026'!$K$3:$K$7,$D36)&lt;&gt;0,"21 Aug 2026",IF(SUMIFS('20 Sept 2026 '!$G$3:$G$14,'20 Sept 2026 '!$M$3:$M$14,$A36,'20 Sept 2026 '!$K$3:$K$14,$D36)&lt;&gt;0,"20 Sep 2026",IF(SUMIFS('22 Sep 2026'!$G$3:$G$11,'22 Sep 2026'!$M$3:$M$11,$A36,'22 Sep 2026'!$K$3:$K$11,$D36)&lt;&gt;0,"22 Sep 2026","NOT PAID"))))</f>
        <v/>
      </c>
      <c r="L36" s="44" t="inlineStr"/>
      <c r="M36" s="24" t="n"/>
      <c r="N36" s="24" t="n"/>
      <c r="O36" s="24" t="n"/>
      <c r="P36" s="24" t="n"/>
      <c r="Q36" s="24" t="n"/>
      <c r="R36" s="24" t="n"/>
      <c r="S36" s="24" t="n"/>
      <c r="T36" s="24" t="n"/>
    </row>
    <row r="37">
      <c r="A37" s="41" t="inlineStr">
        <is>
          <t>TOTAL</t>
        </is>
      </c>
      <c r="B37" s="41" t="n"/>
      <c r="C37" s="41" t="n"/>
      <c r="D37" s="41" t="n"/>
      <c r="E37" s="41" t="n"/>
      <c r="F37" s="41" t="n"/>
      <c r="G37" s="41" t="n"/>
      <c r="H37" s="43">
        <f>SUM(H21:H36)</f>
        <v/>
      </c>
      <c r="I37" s="43">
        <f>SUM(I21:I36)</f>
        <v/>
      </c>
      <c r="J37" s="43">
        <f>SUM(J21:J36)</f>
        <v/>
      </c>
      <c r="K37" s="41">
        <f>IF(ROUND(J37,2)=0,"HOURS AGREE","VARIANCE")</f>
        <v/>
      </c>
      <c r="L37" s="41" t="n"/>
      <c r="M37" s="24" t="n"/>
      <c r="N37" s="24" t="n"/>
      <c r="O37" s="24" t="n"/>
      <c r="P37" s="24" t="n"/>
      <c r="Q37" s="24" t="n"/>
      <c r="R37" s="24" t="n"/>
      <c r="S37" s="24" t="n"/>
      <c r="T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row>
    <row r="39">
      <c r="A39" s="36" t="inlineStr">
        <is>
          <t>D.  ADJUSTMENT LINES ON THE PAY RUNS  -  why two lines on the 21 Aug 2026 run carry no work date</t>
        </is>
      </c>
      <c r="B39" s="36" t="n"/>
      <c r="C39" s="36" t="n"/>
      <c r="D39" s="36" t="n"/>
      <c r="E39" s="36" t="n"/>
      <c r="F39" s="36" t="n"/>
      <c r="G39" s="36" t="n"/>
      <c r="H39" s="36" t="n"/>
      <c r="I39" s="36" t="n"/>
      <c r="J39" s="36" t="n"/>
      <c r="K39" s="36" t="n"/>
      <c r="L39" s="36" t="n"/>
      <c r="M39" s="24" t="n"/>
      <c r="N39" s="24" t="n"/>
      <c r="O39" s="24" t="n"/>
      <c r="P39" s="24" t="n"/>
      <c r="Q39" s="24" t="n"/>
      <c r="R39" s="24" t="n"/>
      <c r="S39" s="24" t="n"/>
      <c r="T39" s="24" t="n"/>
    </row>
    <row r="40" ht="30" customHeight="1" s="12">
      <c r="A40" s="27" t="inlineStr">
        <is>
          <t>Item</t>
        </is>
      </c>
      <c r="B40" s="27" t="inlineStr">
        <is>
          <t>Pay Run</t>
        </is>
      </c>
      <c r="C40" s="27" t="inlineStr">
        <is>
          <t>Hours</t>
        </is>
      </c>
      <c r="D40" s="27" t="inlineStr">
        <is>
          <t>Comment</t>
        </is>
      </c>
      <c r="E40" s="24" t="n"/>
      <c r="F40" s="24" t="n"/>
      <c r="G40" s="24" t="n"/>
      <c r="H40" s="24" t="n"/>
      <c r="I40" s="24" t="n"/>
      <c r="J40" s="24" t="n"/>
      <c r="K40" s="24" t="n"/>
      <c r="L40" s="24" t="n"/>
      <c r="M40" s="24" t="n"/>
      <c r="N40" s="24" t="n"/>
      <c r="O40" s="24" t="n"/>
      <c r="P40" s="24" t="n"/>
      <c r="Q40" s="24" t="n"/>
      <c r="R40" s="24" t="n"/>
      <c r="S40" s="24" t="n"/>
      <c r="T40" s="24" t="n"/>
    </row>
    <row r="41">
      <c r="A41" s="40" t="inlineStr">
        <is>
          <t>Reversal line</t>
        </is>
      </c>
      <c r="B41" s="40" t="inlineStr">
        <is>
          <t>21 Aug 2026</t>
        </is>
      </c>
      <c r="C41" s="39">
        <f>'21 Aug 2026'!G3</f>
        <v/>
      </c>
      <c r="D41" s="44" t="inlineStr">
        <is>
          <t>Reverses the 16 hrs originally paid for the fortnight ending 07/08/2026</t>
        </is>
      </c>
      <c r="E41" s="24" t="n"/>
      <c r="F41" s="24" t="n"/>
      <c r="G41" s="24" t="n"/>
      <c r="H41" s="24" t="n"/>
      <c r="I41" s="24" t="n"/>
      <c r="J41" s="24" t="n"/>
      <c r="K41" s="24" t="n"/>
      <c r="L41" s="24" t="n"/>
      <c r="M41" s="24" t="n"/>
      <c r="N41" s="24" t="n"/>
      <c r="O41" s="24" t="n"/>
      <c r="P41" s="24" t="n"/>
      <c r="Q41" s="24" t="n"/>
      <c r="R41" s="24" t="n"/>
      <c r="S41" s="24" t="n"/>
      <c r="T41" s="24" t="n"/>
    </row>
    <row r="42">
      <c r="A42" s="40" t="inlineStr">
        <is>
          <t>Re-payment line</t>
        </is>
      </c>
      <c r="B42" s="40" t="inlineStr">
        <is>
          <t>21 Aug 2026</t>
        </is>
      </c>
      <c r="C42" s="39">
        <f>'21 Aug 2026'!G4</f>
        <v/>
      </c>
      <c r="D42" s="44" t="inlineStr">
        <is>
          <t>Re-pays those same 16 hrs. These two lines exist to correct the pay rate used, not the hours</t>
        </is>
      </c>
      <c r="E42" s="24" t="n"/>
      <c r="F42" s="24" t="n"/>
      <c r="G42" s="24" t="n"/>
      <c r="H42" s="24" t="n"/>
      <c r="I42" s="24" t="n"/>
      <c r="J42" s="24" t="n"/>
      <c r="K42" s="24" t="n"/>
      <c r="L42" s="24" t="n"/>
      <c r="M42" s="24" t="n"/>
      <c r="N42" s="24" t="n"/>
      <c r="O42" s="24" t="n"/>
      <c r="P42" s="24" t="n"/>
      <c r="Q42" s="24" t="n"/>
      <c r="R42" s="24" t="n"/>
      <c r="S42" s="24" t="n"/>
      <c r="T42" s="24" t="n"/>
    </row>
    <row r="43">
      <c r="A43" s="41" t="inlineStr">
        <is>
          <t>NET EFFECT ON HOURS</t>
        </is>
      </c>
      <c r="B43" s="41" t="inlineStr">
        <is>
          <t>21 Aug 2026</t>
        </is>
      </c>
      <c r="C43" s="43">
        <f>C41+C42</f>
        <v/>
      </c>
      <c r="D43" s="46" t="inlineStr">
        <is>
          <t>Nil. No hours were added or removed - the 16 hrs remain counted once, in the 07 Aug 2026 run</t>
        </is>
      </c>
      <c r="E43" s="24" t="n"/>
      <c r="F43" s="24" t="n"/>
      <c r="G43" s="24" t="n"/>
      <c r="H43" s="24" t="n"/>
      <c r="I43" s="24" t="n"/>
      <c r="J43" s="24" t="n"/>
      <c r="K43" s="24" t="n"/>
      <c r="L43" s="24" t="n"/>
      <c r="M43" s="24" t="n"/>
      <c r="N43" s="24" t="n"/>
      <c r="O43" s="24" t="n"/>
      <c r="P43" s="24" t="n"/>
      <c r="Q43" s="24" t="n"/>
      <c r="R43" s="24" t="n"/>
      <c r="S43" s="24" t="n"/>
      <c r="T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row>
    <row r="45">
      <c r="A45" s="36" t="inlineStr">
        <is>
          <t>E.  COMPLETENESS CHECK  -  proves no paid hours sit outside this reconciliation</t>
        </is>
      </c>
      <c r="B45" s="36" t="n"/>
      <c r="C45" s="36" t="n"/>
      <c r="D45" s="36" t="n"/>
      <c r="E45" s="36" t="n"/>
      <c r="F45" s="36" t="n"/>
      <c r="G45" s="36" t="n"/>
      <c r="H45" s="36" t="n"/>
      <c r="I45" s="36" t="n"/>
      <c r="J45" s="36" t="n"/>
      <c r="K45" s="36" t="n"/>
      <c r="L45" s="36" t="n"/>
      <c r="M45" s="24" t="n"/>
      <c r="N45" s="24" t="n"/>
      <c r="O45" s="24" t="n"/>
      <c r="P45" s="24" t="n"/>
      <c r="Q45" s="24" t="n"/>
      <c r="R45" s="24" t="n"/>
      <c r="S45" s="24" t="n"/>
      <c r="T45" s="24" t="n"/>
    </row>
    <row r="46" ht="30" customHeight="1" s="12">
      <c r="A46" s="27" t="inlineStr">
        <is>
          <t>Check</t>
        </is>
      </c>
      <c r="B46" s="27" t="inlineStr">
        <is>
          <t>Hours</t>
        </is>
      </c>
      <c r="C46" s="27" t="inlineStr">
        <is>
          <t>Result</t>
        </is>
      </c>
      <c r="D46" s="24" t="n"/>
      <c r="E46" s="24" t="n"/>
      <c r="F46" s="24" t="n"/>
      <c r="G46" s="24" t="n"/>
      <c r="H46" s="24" t="n"/>
      <c r="I46" s="24" t="n"/>
      <c r="J46" s="24" t="n"/>
      <c r="K46" s="24" t="n"/>
      <c r="L46" s="24" t="n"/>
      <c r="M46" s="24" t="n"/>
      <c r="N46" s="24" t="n"/>
      <c r="O46" s="24" t="n"/>
      <c r="P46" s="24" t="n"/>
      <c r="Q46" s="24" t="n"/>
      <c r="R46" s="24" t="n"/>
      <c r="S46" s="24" t="n"/>
      <c r="T46" s="24" t="n"/>
    </row>
    <row r="47">
      <c r="A47" s="40" t="inlineStr">
        <is>
          <t>Total hours on all four pay-run tabs (including the two adjustment lines)</t>
        </is>
      </c>
      <c r="B47" s="39">
        <f>SUM('07 Aug 2026'!$G$3:$G$6)+SUM('21 Aug 2026'!$G$3:$G$7)+SUM('20 Sept 2026 '!$G$3:$G$14)+SUM('22 Sep 2026'!$G$3:$G$11)</f>
        <v/>
      </c>
      <c r="C47" s="44" t="inlineStr"/>
      <c r="D47" s="24" t="n"/>
      <c r="E47" s="24" t="n"/>
      <c r="F47" s="24" t="n"/>
      <c r="G47" s="24" t="n"/>
      <c r="H47" s="24" t="n"/>
      <c r="I47" s="24" t="n"/>
      <c r="J47" s="24" t="n"/>
      <c r="K47" s="24" t="n"/>
      <c r="L47" s="24" t="n"/>
      <c r="M47" s="24" t="n"/>
      <c r="N47" s="24" t="n"/>
      <c r="O47" s="24" t="n"/>
      <c r="P47" s="24" t="n"/>
      <c r="Q47" s="24" t="n"/>
      <c r="R47" s="24" t="n"/>
      <c r="S47" s="24" t="n"/>
      <c r="T47" s="24" t="n"/>
    </row>
    <row r="48">
      <c r="A48" s="40" t="inlineStr">
        <is>
          <t>Total paid hours matched to a timesheet line in Section C</t>
        </is>
      </c>
      <c r="B48" s="39">
        <f>I37</f>
        <v/>
      </c>
      <c r="C48" s="44" t="inlineStr"/>
      <c r="D48" s="24" t="n"/>
      <c r="E48" s="24" t="n"/>
      <c r="F48" s="24" t="n"/>
      <c r="G48" s="24" t="n"/>
      <c r="H48" s="24" t="n"/>
      <c r="I48" s="24" t="n"/>
      <c r="J48" s="24" t="n"/>
      <c r="K48" s="24" t="n"/>
      <c r="L48" s="24" t="n"/>
      <c r="M48" s="24" t="n"/>
      <c r="N48" s="24" t="n"/>
      <c r="O48" s="24" t="n"/>
      <c r="P48" s="24" t="n"/>
      <c r="Q48" s="24" t="n"/>
      <c r="R48" s="24" t="n"/>
      <c r="S48" s="24" t="n"/>
      <c r="T48" s="24" t="n"/>
    </row>
    <row r="49">
      <c r="A49" s="40" t="inlineStr">
        <is>
          <t>Unmatched paid hours</t>
        </is>
      </c>
      <c r="B49" s="39">
        <f>B47-B48</f>
        <v/>
      </c>
      <c r="C49" s="44">
        <f>IF(ROUND(B49,2)=0,"OK - every paid hour ties to a timesheet line","INVESTIGATE - unmatched paid hours")</f>
        <v/>
      </c>
      <c r="D49" s="24" t="n"/>
      <c r="E49" s="24" t="n"/>
      <c r="F49" s="24" t="n"/>
      <c r="G49" s="24" t="n"/>
      <c r="H49" s="24" t="n"/>
      <c r="I49" s="24" t="n"/>
      <c r="J49" s="24" t="n"/>
      <c r="K49" s="24" t="n"/>
      <c r="L49" s="24" t="n"/>
      <c r="M49" s="24" t="n"/>
      <c r="N49" s="24" t="n"/>
      <c r="O49" s="24" t="n"/>
      <c r="P49" s="24" t="n"/>
      <c r="Q49" s="24" t="n"/>
      <c r="R49" s="24" t="n"/>
      <c r="S49" s="24" t="n"/>
      <c r="T49" s="24" t="n"/>
    </row>
    <row r="50">
      <c r="A50" s="40" t="inlineStr">
        <is>
          <t>Total timesheet hours per the screenshots</t>
        </is>
      </c>
      <c r="B50" s="39">
        <f>H37</f>
        <v/>
      </c>
      <c r="C50" s="44" t="inlineStr"/>
      <c r="D50" s="24" t="n"/>
      <c r="E50" s="24" t="n"/>
      <c r="F50" s="24" t="n"/>
      <c r="G50" s="24" t="n"/>
      <c r="H50" s="24" t="n"/>
      <c r="I50" s="24" t="n"/>
      <c r="J50" s="24" t="n"/>
      <c r="K50" s="24" t="n"/>
      <c r="L50" s="24" t="n"/>
      <c r="M50" s="24" t="n"/>
      <c r="N50" s="24" t="n"/>
      <c r="O50" s="24" t="n"/>
      <c r="P50" s="24" t="n"/>
      <c r="Q50" s="24" t="n"/>
      <c r="R50" s="24" t="n"/>
      <c r="S50" s="24" t="n"/>
      <c r="T50" s="24" t="n"/>
    </row>
    <row r="51">
      <c r="A51" s="41" t="inlineStr">
        <is>
          <t>HOURS VARIANCE (timesheet less paid)</t>
        </is>
      </c>
      <c r="B51" s="43">
        <f>B50-B48</f>
        <v/>
      </c>
      <c r="C51" s="46">
        <f>IF(ROUND(B51,2)=0,"FULLY RECONCILED - nil hours variance","VARIANCE - investigate")</f>
        <v/>
      </c>
      <c r="D51" s="24" t="n"/>
      <c r="E51" s="24" t="n"/>
      <c r="F51" s="24" t="n"/>
      <c r="G51" s="24" t="n"/>
      <c r="H51" s="24" t="n"/>
      <c r="I51" s="24" t="n"/>
      <c r="J51" s="24" t="n"/>
      <c r="K51" s="24" t="n"/>
      <c r="L51" s="24" t="n"/>
      <c r="M51" s="24" t="n"/>
      <c r="N51" s="24" t="n"/>
      <c r="O51" s="24" t="n"/>
      <c r="P51" s="24" t="n"/>
      <c r="Q51" s="24" t="n"/>
      <c r="R51" s="24" t="n"/>
      <c r="S51" s="24" t="n"/>
      <c r="T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row>
    <row r="53">
      <c r="A53" s="36" t="inlineStr">
        <is>
          <t>F.  FINDINGS</t>
        </is>
      </c>
      <c r="B53" s="36" t="n"/>
      <c r="C53" s="36" t="n"/>
      <c r="D53" s="36" t="n"/>
      <c r="E53" s="36" t="n"/>
      <c r="F53" s="36" t="n"/>
      <c r="G53" s="36" t="n"/>
      <c r="H53" s="36" t="n"/>
      <c r="I53" s="36" t="n"/>
      <c r="J53" s="36" t="n"/>
      <c r="K53" s="36" t="n"/>
      <c r="L53" s="36" t="n"/>
      <c r="M53" s="24" t="n"/>
      <c r="N53" s="24" t="n"/>
      <c r="O53" s="24" t="n"/>
      <c r="P53" s="24" t="n"/>
      <c r="Q53" s="24" t="n"/>
      <c r="R53" s="24" t="n"/>
      <c r="S53" s="24" t="n"/>
      <c r="T53" s="24" t="n"/>
    </row>
    <row r="54">
      <c r="A54" s="47" t="inlineStr">
        <is>
          <t>1.</t>
        </is>
      </c>
      <c r="B54" s="48" t="inlineStr">
        <is>
          <t>The 16 hours queried (24 Aug and 28 Aug, DTTL) are NOT missing - they were paid in full.</t>
        </is>
      </c>
      <c r="I54" s="24" t="n"/>
      <c r="J54" s="24" t="n"/>
      <c r="K54" s="24" t="n"/>
      <c r="L54" s="24" t="n"/>
      <c r="M54" s="24" t="n"/>
      <c r="N54" s="24" t="n"/>
      <c r="O54" s="24" t="n"/>
      <c r="P54" s="24" t="n"/>
      <c r="Q54" s="24" t="n"/>
      <c r="R54" s="24" t="n"/>
      <c r="S54" s="24" t="n"/>
      <c r="T54" s="24" t="n"/>
    </row>
    <row r="55" ht="34" customHeight="1" s="12">
      <c r="A55" s="24" t="n"/>
      <c r="B55" s="49" t="inlineStr">
        <is>
          <t>Both days were paid in the 20 Sep 2026 pay run: 24/08 as 3.5 hrs + 4.5 hrs, and 28/08 as 3.5 hrs + 4.5 hrs. 16 hours in total, nil shortfall. See Section A for the exact pay-run lines, and the two highlighted rows in Section C.</t>
        </is>
      </c>
      <c r="M55" s="24" t="n"/>
      <c r="N55" s="24" t="n"/>
      <c r="O55" s="24" t="n"/>
      <c r="P55" s="24" t="n"/>
      <c r="Q55" s="24" t="n"/>
      <c r="R55" s="24" t="n"/>
      <c r="S55" s="24" t="n"/>
      <c r="T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row>
    <row r="57">
      <c r="A57" s="47" t="inlineStr">
        <is>
          <t>2.</t>
        </is>
      </c>
      <c r="B57" s="48" t="inlineStr">
        <is>
          <t>Hours reconcile in full across all four fortnights.</t>
        </is>
      </c>
      <c r="I57" s="24" t="n"/>
      <c r="J57" s="24" t="n"/>
      <c r="K57" s="24" t="n"/>
      <c r="L57" s="24" t="n"/>
      <c r="M57" s="24" t="n"/>
      <c r="N57" s="24" t="n"/>
      <c r="O57" s="24" t="n"/>
      <c r="P57" s="24" t="n"/>
      <c r="Q57" s="24" t="n"/>
      <c r="R57" s="24" t="n"/>
      <c r="S57" s="24" t="n"/>
      <c r="T57" s="24" t="n"/>
    </row>
    <row r="58" ht="34" customHeight="1" s="12">
      <c r="A58" s="24" t="n"/>
      <c r="B58" s="49" t="inlineStr">
        <is>
          <t>All 111.50 timesheet hours have been paid. Nil variance at day level, at fortnight level and in total, and every paid line ties back to a timesheet entry.</t>
        </is>
      </c>
      <c r="M58" s="24" t="n"/>
      <c r="N58" s="24" t="n"/>
      <c r="O58" s="24" t="n"/>
      <c r="P58" s="24" t="n"/>
      <c r="Q58" s="24" t="n"/>
      <c r="R58" s="24" t="n"/>
      <c r="S58" s="24" t="n"/>
      <c r="T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row>
    <row r="60">
      <c r="A60" s="47" t="inlineStr">
        <is>
          <t>3.</t>
        </is>
      </c>
      <c r="B60" s="48" t="inlineStr">
        <is>
          <t>Fortnight ending 04/09/2026 was paid across two pay runs - the likely cause of the query.</t>
        </is>
      </c>
      <c r="I60" s="24" t="n"/>
      <c r="J60" s="24" t="n"/>
      <c r="K60" s="24" t="n"/>
      <c r="L60" s="24" t="n"/>
      <c r="M60" s="24" t="n"/>
      <c r="N60" s="24" t="n"/>
      <c r="O60" s="24" t="n"/>
      <c r="P60" s="24" t="n"/>
      <c r="Q60" s="24" t="n"/>
      <c r="R60" s="24" t="n"/>
      <c r="S60" s="24" t="n"/>
      <c r="T60" s="24" t="n"/>
    </row>
    <row r="61" ht="34" customHeight="1" s="12">
      <c r="A61" s="24" t="n"/>
      <c r="B61" s="49" t="inlineStr">
        <is>
          <t>48 hrs of DTTL work (including the two days queried) went through the 20 Sep 2026 run, and 23.50 hrs of PwC National Pool work went through the 22 Sep 2026 run. Total 71.50 hrs, which agrees to the timesheet. Anyone checking a single payslip for that fortnight would only see part of it.</t>
        </is>
      </c>
      <c r="M61" s="24" t="n"/>
      <c r="N61" s="24" t="n"/>
      <c r="O61" s="24" t="n"/>
      <c r="P61" s="24" t="n"/>
      <c r="Q61" s="24" t="n"/>
      <c r="R61" s="24" t="n"/>
      <c r="S61" s="24" t="n"/>
      <c r="T61" s="24" t="n"/>
    </row>
    <row r="62">
      <c r="A62" s="24" t="n"/>
      <c r="B62" s="24" t="n"/>
      <c r="C62" s="24" t="n"/>
      <c r="D62" s="24" t="n"/>
      <c r="E62" s="24" t="n"/>
      <c r="F62" s="24" t="n"/>
      <c r="G62" s="24" t="n"/>
      <c r="H62" s="24" t="n"/>
      <c r="I62" s="24" t="n"/>
      <c r="J62" s="24" t="n"/>
      <c r="K62" s="24" t="n"/>
      <c r="L62" s="24" t="n"/>
      <c r="M62" s="24" t="n"/>
      <c r="N62" s="24" t="n"/>
      <c r="O62" s="24" t="n"/>
      <c r="P62" s="24" t="n"/>
      <c r="Q62" s="24" t="n"/>
      <c r="R62" s="24" t="n"/>
      <c r="S62" s="24" t="n"/>
      <c r="T62" s="24" t="n"/>
    </row>
    <row r="63">
      <c r="A63" s="47" t="inlineStr">
        <is>
          <t>4.</t>
        </is>
      </c>
      <c r="B63" s="48" t="inlineStr">
        <is>
          <t>Two adjustment lines on the 21 Aug 2026 run net to nil hours.</t>
        </is>
      </c>
      <c r="I63" s="24" t="n"/>
      <c r="J63" s="24" t="n"/>
      <c r="K63" s="24" t="n"/>
      <c r="L63" s="24" t="n"/>
      <c r="M63" s="24" t="n"/>
      <c r="N63" s="24" t="n"/>
      <c r="O63" s="24" t="n"/>
      <c r="P63" s="24" t="n"/>
      <c r="Q63" s="24" t="n"/>
      <c r="R63" s="24" t="n"/>
      <c r="S63" s="24" t="n"/>
      <c r="T63" s="24" t="n"/>
    </row>
    <row r="64" ht="34" customHeight="1" s="12">
      <c r="A64" s="24" t="n"/>
      <c r="B64" s="49" t="inlineStr">
        <is>
          <t>A reversal of 16 hrs and a re-payment of 16 hrs appear on that run. They were raised to correct the pay rate used for the fortnight ending 07/08/2026, not to change hours. No hours were added or removed, so they do not affect this reconciliation. See Section D.</t>
        </is>
      </c>
      <c r="M64" s="24" t="n"/>
      <c r="N64" s="24" t="n"/>
      <c r="O64" s="24" t="n"/>
      <c r="P64" s="24" t="n"/>
      <c r="Q64" s="24" t="n"/>
      <c r="R64" s="24" t="n"/>
      <c r="S64" s="24" t="n"/>
      <c r="T64" s="24" t="n"/>
    </row>
    <row r="65">
      <c r="A65" s="24" t="n"/>
      <c r="B65" s="24" t="n"/>
      <c r="C65" s="24" t="n"/>
      <c r="D65" s="24" t="n"/>
      <c r="E65" s="24" t="n"/>
      <c r="F65" s="24" t="n"/>
      <c r="G65" s="24" t="n"/>
      <c r="H65" s="24" t="n"/>
      <c r="I65" s="24" t="n"/>
      <c r="J65" s="24" t="n"/>
      <c r="K65" s="24" t="n"/>
      <c r="L65" s="24" t="n"/>
      <c r="M65" s="24" t="n"/>
      <c r="N65" s="24" t="n"/>
      <c r="O65" s="24" t="n"/>
      <c r="P65" s="24" t="n"/>
      <c r="Q65" s="24" t="n"/>
      <c r="R65" s="24" t="n"/>
      <c r="S65" s="24" t="n"/>
      <c r="T65" s="24" t="n"/>
    </row>
    <row r="66">
      <c r="A66" s="47" t="inlineStr">
        <is>
          <t>5.</t>
        </is>
      </c>
      <c r="B66" s="48" t="inlineStr">
        <is>
          <t>Those adjustment lines were booked to the wrong location.</t>
        </is>
      </c>
      <c r="I66" s="24" t="n"/>
      <c r="J66" s="24" t="n"/>
      <c r="K66" s="24" t="n"/>
      <c r="L66" s="24" t="n"/>
      <c r="M66" s="24" t="n"/>
      <c r="N66" s="24" t="n"/>
      <c r="O66" s="24" t="n"/>
      <c r="P66" s="24" t="n"/>
      <c r="Q66" s="24" t="n"/>
      <c r="R66" s="24" t="n"/>
      <c r="S66" s="24" t="n"/>
      <c r="T66" s="24" t="n"/>
    </row>
    <row r="67" ht="34" customHeight="1" s="12">
      <c r="A67" s="24" t="n"/>
      <c r="B67" s="49" t="inlineStr">
        <is>
          <t>The original 16 hrs were split CBA 8 hrs, PwC - MEL Technician 4 hrs and Aware Super 4 hrs. The reversal and re-payment put all 16 hrs against CBA FT Tech MEL. Hours paid are correct, but job costing for PwC and Aware Super is understated by 4 hrs each and CBA is overstated by 8 hrs. Worth raising with payroll if client recharges run off this data.</t>
        </is>
      </c>
      <c r="M67" s="24" t="n"/>
      <c r="N67" s="24" t="n"/>
      <c r="O67" s="24" t="n"/>
      <c r="P67" s="24" t="n"/>
      <c r="Q67" s="24" t="n"/>
      <c r="R67" s="24" t="n"/>
      <c r="S67" s="24" t="n"/>
      <c r="T67" s="24" t="n"/>
    </row>
    <row r="68">
      <c r="A68" s="24" t="n"/>
      <c r="B68" s="24" t="n"/>
      <c r="C68" s="24" t="n"/>
      <c r="D68" s="24" t="n"/>
      <c r="E68" s="24" t="n"/>
      <c r="F68" s="24" t="n"/>
      <c r="G68" s="24" t="n"/>
      <c r="H68" s="24" t="n"/>
      <c r="I68" s="24" t="n"/>
      <c r="J68" s="24" t="n"/>
      <c r="K68" s="24" t="n"/>
      <c r="L68" s="24" t="n"/>
      <c r="M68" s="24" t="n"/>
      <c r="N68" s="24" t="n"/>
      <c r="O68" s="24" t="n"/>
      <c r="P68" s="24" t="n"/>
      <c r="Q68" s="24" t="n"/>
      <c r="R68" s="24" t="n"/>
      <c r="S68" s="24" t="n"/>
      <c r="T68" s="24" t="n"/>
    </row>
    <row r="69">
      <c r="A69" s="47" t="inlineStr">
        <is>
          <t>6.</t>
        </is>
      </c>
      <c r="B69" s="48" t="inlineStr">
        <is>
          <t>Payment lag worth checking.</t>
        </is>
      </c>
      <c r="I69" s="24" t="n"/>
      <c r="J69" s="24" t="n"/>
      <c r="K69" s="24" t="n"/>
      <c r="L69" s="24" t="n"/>
      <c r="M69" s="24" t="n"/>
      <c r="N69" s="24" t="n"/>
      <c r="O69" s="24" t="n"/>
      <c r="P69" s="24" t="n"/>
      <c r="Q69" s="24" t="n"/>
      <c r="R69" s="24" t="n"/>
      <c r="S69" s="24" t="n"/>
      <c r="T69" s="24" t="n"/>
    </row>
    <row r="70" ht="34" customHeight="1" s="12">
      <c r="A70" s="24" t="n"/>
      <c r="B70" s="49" t="inlineStr">
        <is>
          <t>Work from 25-27 Aug was not paid until the 22 Sep 2026 run, roughly four weeks after it was worked. Check this against the payroll calendar if it was not expected.</t>
        </is>
      </c>
      <c r="M70" s="24" t="n"/>
      <c r="N70" s="24" t="n"/>
      <c r="O70" s="24" t="n"/>
      <c r="P70" s="24" t="n"/>
      <c r="Q70" s="24" t="n"/>
      <c r="R70" s="24" t="n"/>
      <c r="S70" s="24" t="n"/>
      <c r="T70" s="24" t="n"/>
    </row>
    <row r="71">
      <c r="A71" s="24" t="n"/>
      <c r="B71" s="24" t="n"/>
      <c r="C71" s="24" t="n"/>
      <c r="D71" s="24" t="n"/>
      <c r="E71" s="24" t="n"/>
      <c r="F71" s="24" t="n"/>
      <c r="G71" s="24" t="n"/>
      <c r="H71" s="24" t="n"/>
      <c r="I71" s="24" t="n"/>
      <c r="J71" s="24" t="n"/>
      <c r="K71" s="24" t="n"/>
      <c r="L71" s="24" t="n"/>
      <c r="M71" s="24" t="n"/>
      <c r="N71" s="24" t="n"/>
      <c r="O71" s="24" t="n"/>
      <c r="P71" s="24" t="n"/>
      <c r="Q71" s="24" t="n"/>
      <c r="R71" s="24" t="n"/>
      <c r="S71" s="24" t="n"/>
      <c r="T71" s="24" t="n"/>
    </row>
    <row r="72">
      <c r="A72" s="24" t="n"/>
      <c r="B72" s="24" t="n"/>
      <c r="C72" s="24" t="n"/>
      <c r="D72" s="24" t="n"/>
      <c r="E72" s="24" t="n"/>
      <c r="F72" s="24" t="n"/>
      <c r="G72" s="24" t="n"/>
      <c r="H72" s="24" t="n"/>
      <c r="I72" s="24" t="n"/>
      <c r="J72" s="24" t="n"/>
      <c r="K72" s="24" t="n"/>
      <c r="L72" s="24" t="n"/>
      <c r="M72" s="24" t="n"/>
      <c r="N72" s="24" t="n"/>
      <c r="O72" s="24" t="n"/>
      <c r="P72" s="24" t="n"/>
      <c r="Q72" s="24" t="n"/>
      <c r="R72" s="24" t="n"/>
      <c r="S72" s="24" t="n"/>
      <c r="T72" s="24" t="n"/>
    </row>
    <row r="73" ht="44" customHeight="1" s="12">
      <c r="A73" s="25" t="inlineStr">
        <is>
          <t>Source of timesheet data: the timesheet screenshots for the fortnights ending 07/08/2026, 21/08/2026, 04/09/2026 and 18/09/2026, all showing status PROCESSED. Source of paid data: the Earnings Details tabs in this workbook, with the rate, gross earnings, taxable earnings and superannuation columns removed. Paid figures are live formulas - if a pay-run tab is updated, this reconciliation updates with it. Columns M and N were added to each pay-run tab: M pulls the work date out of the Notes text, N confirms the line was matched here.</t>
        </is>
      </c>
      <c r="M73" s="24" t="n"/>
      <c r="N73" s="24" t="n"/>
      <c r="O73" s="24" t="n"/>
      <c r="P73" s="24" t="n"/>
      <c r="Q73" s="24" t="n"/>
      <c r="R73" s="24" t="n"/>
      <c r="S73" s="24" t="n"/>
      <c r="T73" s="24" t="n"/>
    </row>
    <row r="74">
      <c r="A74" s="24" t="n"/>
      <c r="B74" s="24" t="n"/>
      <c r="C74" s="24" t="n"/>
      <c r="D74" s="24" t="n"/>
      <c r="E74" s="24" t="n"/>
      <c r="F74" s="24" t="n"/>
      <c r="G74" s="24" t="n"/>
      <c r="H74" s="24" t="n"/>
      <c r="I74" s="24" t="n"/>
      <c r="J74" s="24" t="n"/>
      <c r="K74" s="24" t="n"/>
      <c r="L74" s="24" t="n"/>
      <c r="M74" s="24" t="n"/>
      <c r="N74" s="24" t="n"/>
      <c r="O74" s="24" t="n"/>
      <c r="P74" s="24" t="n"/>
      <c r="Q74" s="24" t="n"/>
      <c r="R74" s="24" t="n"/>
      <c r="S74" s="24" t="n"/>
      <c r="T74" s="24" t="n"/>
    </row>
    <row r="75">
      <c r="A75" s="24" t="n"/>
      <c r="B75" s="24" t="n"/>
      <c r="C75" s="24" t="n"/>
      <c r="D75" s="24" t="n"/>
      <c r="E75" s="24" t="n"/>
      <c r="F75" s="24" t="n"/>
      <c r="G75" s="24" t="n"/>
      <c r="H75" s="24" t="n"/>
      <c r="I75" s="24" t="n"/>
      <c r="J75" s="24" t="n"/>
      <c r="K75" s="24" t="n"/>
      <c r="L75" s="24" t="n"/>
      <c r="M75" s="24" t="n"/>
      <c r="N75" s="24" t="n"/>
      <c r="O75" s="24" t="n"/>
      <c r="P75" s="24" t="n"/>
      <c r="Q75" s="24" t="n"/>
      <c r="R75" s="24" t="n"/>
      <c r="S75" s="24" t="n"/>
      <c r="T75" s="24" t="n"/>
    </row>
    <row r="76">
      <c r="A76" s="24" t="n"/>
      <c r="B76" s="24" t="n"/>
      <c r="C76" s="24" t="n"/>
      <c r="D76" s="24" t="n"/>
      <c r="E76" s="24" t="n"/>
      <c r="F76" s="24" t="n"/>
      <c r="G76" s="24" t="n"/>
      <c r="H76" s="24" t="n"/>
      <c r="I76" s="24" t="n"/>
      <c r="J76" s="24" t="n"/>
      <c r="K76" s="24" t="n"/>
      <c r="L76" s="24" t="n"/>
      <c r="M76" s="24" t="n"/>
      <c r="N76" s="24" t="n"/>
      <c r="O76" s="24" t="n"/>
      <c r="P76" s="24" t="n"/>
      <c r="Q76" s="24" t="n"/>
      <c r="R76" s="24" t="n"/>
      <c r="S76" s="24" t="n"/>
      <c r="T76" s="24" t="n"/>
    </row>
    <row r="77">
      <c r="A77" s="24" t="n"/>
      <c r="B77" s="24" t="n"/>
      <c r="C77" s="24" t="n"/>
      <c r="D77" s="24" t="n"/>
      <c r="E77" s="24" t="n"/>
      <c r="F77" s="24" t="n"/>
      <c r="G77" s="24" t="n"/>
      <c r="H77" s="24" t="n"/>
      <c r="I77" s="24" t="n"/>
      <c r="J77" s="24" t="n"/>
      <c r="K77" s="24" t="n"/>
      <c r="L77" s="24" t="n"/>
      <c r="M77" s="24" t="n"/>
      <c r="N77" s="24" t="n"/>
      <c r="O77" s="24" t="n"/>
      <c r="P77" s="24" t="n"/>
      <c r="Q77" s="24" t="n"/>
      <c r="R77" s="24" t="n"/>
      <c r="S77" s="24" t="n"/>
      <c r="T77" s="24" t="n"/>
    </row>
    <row r="78">
      <c r="A78" s="24" t="n"/>
      <c r="B78" s="24" t="n"/>
      <c r="C78" s="24" t="n"/>
      <c r="D78" s="24" t="n"/>
      <c r="E78" s="24" t="n"/>
      <c r="F78" s="24" t="n"/>
      <c r="G78" s="24" t="n"/>
      <c r="H78" s="24" t="n"/>
      <c r="I78" s="24" t="n"/>
      <c r="J78" s="24" t="n"/>
      <c r="K78" s="24" t="n"/>
      <c r="L78" s="24" t="n"/>
      <c r="M78" s="24" t="n"/>
      <c r="N78" s="24" t="n"/>
      <c r="O78" s="24" t="n"/>
      <c r="P78" s="24" t="n"/>
      <c r="Q78" s="24" t="n"/>
      <c r="R78" s="24" t="n"/>
      <c r="S78" s="24" t="n"/>
      <c r="T78" s="24" t="n"/>
    </row>
    <row r="79">
      <c r="A79" s="24" t="n"/>
      <c r="B79" s="24" t="n"/>
      <c r="C79" s="24" t="n"/>
      <c r="D79" s="24" t="n"/>
      <c r="E79" s="24" t="n"/>
      <c r="F79" s="24" t="n"/>
      <c r="G79" s="24" t="n"/>
      <c r="H79" s="24" t="n"/>
      <c r="I79" s="24" t="n"/>
      <c r="J79" s="24" t="n"/>
      <c r="K79" s="24" t="n"/>
      <c r="L79" s="24" t="n"/>
      <c r="M79" s="24" t="n"/>
      <c r="N79" s="24" t="n"/>
      <c r="O79" s="24" t="n"/>
      <c r="P79" s="24" t="n"/>
      <c r="Q79" s="24" t="n"/>
      <c r="R79" s="24" t="n"/>
      <c r="S79" s="24" t="n"/>
      <c r="T79" s="24" t="n"/>
    </row>
    <row r="80">
      <c r="A80" s="24" t="n"/>
      <c r="B80" s="24" t="n"/>
      <c r="C80" s="24" t="n"/>
      <c r="D80" s="24" t="n"/>
      <c r="E80" s="24" t="n"/>
      <c r="F80" s="24" t="n"/>
      <c r="G80" s="24" t="n"/>
      <c r="H80" s="24" t="n"/>
      <c r="I80" s="24" t="n"/>
      <c r="J80" s="24" t="n"/>
      <c r="K80" s="24" t="n"/>
      <c r="L80" s="24" t="n"/>
      <c r="M80" s="24" t="n"/>
      <c r="N80" s="24" t="n"/>
      <c r="O80" s="24" t="n"/>
      <c r="P80" s="24" t="n"/>
      <c r="Q80" s="24" t="n"/>
      <c r="R80" s="24" t="n"/>
      <c r="S80" s="24" t="n"/>
      <c r="T80" s="24" t="n"/>
    </row>
    <row r="81">
      <c r="A81" s="24" t="n"/>
      <c r="B81" s="24" t="n"/>
      <c r="C81" s="24" t="n"/>
      <c r="D81" s="24" t="n"/>
      <c r="E81" s="24" t="n"/>
      <c r="F81" s="24" t="n"/>
      <c r="G81" s="24" t="n"/>
      <c r="H81" s="24" t="n"/>
      <c r="I81" s="24" t="n"/>
      <c r="J81" s="24" t="n"/>
      <c r="K81" s="24" t="n"/>
      <c r="L81" s="24" t="n"/>
      <c r="M81" s="24" t="n"/>
      <c r="N81" s="24" t="n"/>
      <c r="O81" s="24" t="n"/>
      <c r="P81" s="24" t="n"/>
      <c r="Q81" s="24" t="n"/>
      <c r="R81" s="24" t="n"/>
      <c r="S81" s="24" t="n"/>
      <c r="T81" s="24" t="n"/>
    </row>
    <row r="82">
      <c r="A82" s="24" t="n"/>
      <c r="B82" s="24" t="n"/>
      <c r="C82" s="24" t="n"/>
      <c r="D82" s="24" t="n"/>
      <c r="E82" s="24" t="n"/>
      <c r="F82" s="24" t="n"/>
      <c r="G82" s="24" t="n"/>
      <c r="H82" s="24" t="n"/>
      <c r="I82" s="24" t="n"/>
      <c r="J82" s="24" t="n"/>
      <c r="K82" s="24" t="n"/>
      <c r="L82" s="24" t="n"/>
      <c r="M82" s="24" t="n"/>
      <c r="N82" s="24" t="n"/>
      <c r="O82" s="24" t="n"/>
      <c r="P82" s="24" t="n"/>
      <c r="Q82" s="24" t="n"/>
      <c r="R82" s="24" t="n"/>
      <c r="S82" s="24" t="n"/>
      <c r="T82" s="24" t="n"/>
    </row>
    <row r="83">
      <c r="A83" s="24" t="n"/>
      <c r="B83" s="24" t="n"/>
      <c r="C83" s="24" t="n"/>
      <c r="D83" s="24" t="n"/>
      <c r="E83" s="24" t="n"/>
      <c r="F83" s="24" t="n"/>
      <c r="G83" s="24" t="n"/>
      <c r="H83" s="24" t="n"/>
      <c r="I83" s="24" t="n"/>
      <c r="J83" s="24" t="n"/>
      <c r="K83" s="24" t="n"/>
      <c r="L83" s="24" t="n"/>
      <c r="M83" s="24" t="n"/>
      <c r="N83" s="24" t="n"/>
      <c r="O83" s="24" t="n"/>
      <c r="P83" s="24" t="n"/>
      <c r="Q83" s="24" t="n"/>
      <c r="R83" s="24" t="n"/>
      <c r="S83" s="24" t="n"/>
      <c r="T83" s="24" t="n"/>
    </row>
    <row r="84">
      <c r="A84" s="24" t="n"/>
      <c r="B84" s="24" t="n"/>
      <c r="C84" s="24" t="n"/>
      <c r="D84" s="24" t="n"/>
      <c r="E84" s="24" t="n"/>
      <c r="F84" s="24" t="n"/>
      <c r="G84" s="24" t="n"/>
      <c r="H84" s="24" t="n"/>
      <c r="I84" s="24" t="n"/>
      <c r="J84" s="24" t="n"/>
      <c r="K84" s="24" t="n"/>
      <c r="L84" s="24" t="n"/>
      <c r="M84" s="24" t="n"/>
      <c r="N84" s="24" t="n"/>
      <c r="O84" s="24" t="n"/>
      <c r="P84" s="24" t="n"/>
      <c r="Q84" s="24" t="n"/>
      <c r="R84" s="24" t="n"/>
      <c r="S84" s="24" t="n"/>
      <c r="T84" s="24" t="n"/>
    </row>
    <row r="85">
      <c r="A85" s="24" t="n"/>
      <c r="B85" s="24" t="n"/>
      <c r="C85" s="24" t="n"/>
      <c r="D85" s="24" t="n"/>
      <c r="E85" s="24" t="n"/>
      <c r="F85" s="24" t="n"/>
      <c r="G85" s="24" t="n"/>
      <c r="H85" s="24" t="n"/>
      <c r="I85" s="24" t="n"/>
      <c r="J85" s="24" t="n"/>
      <c r="K85" s="24" t="n"/>
      <c r="L85" s="24" t="n"/>
      <c r="M85" s="24" t="n"/>
      <c r="N85" s="24" t="n"/>
      <c r="O85" s="24" t="n"/>
      <c r="P85" s="24" t="n"/>
      <c r="Q85" s="24" t="n"/>
      <c r="R85" s="24" t="n"/>
      <c r="S85" s="24" t="n"/>
      <c r="T85" s="24" t="n"/>
    </row>
    <row r="86">
      <c r="A86" s="24" t="n"/>
      <c r="B86" s="24" t="n"/>
      <c r="C86" s="24" t="n"/>
      <c r="D86" s="24" t="n"/>
      <c r="E86" s="24" t="n"/>
      <c r="F86" s="24" t="n"/>
      <c r="G86" s="24" t="n"/>
      <c r="H86" s="24" t="n"/>
      <c r="I86" s="24" t="n"/>
      <c r="J86" s="24" t="n"/>
      <c r="K86" s="24" t="n"/>
      <c r="L86" s="24" t="n"/>
      <c r="M86" s="24" t="n"/>
      <c r="N86" s="24" t="n"/>
      <c r="O86" s="24" t="n"/>
      <c r="P86" s="24" t="n"/>
      <c r="Q86" s="24" t="n"/>
      <c r="R86" s="24" t="n"/>
      <c r="S86" s="24" t="n"/>
      <c r="T86" s="24" t="n"/>
    </row>
    <row r="87">
      <c r="A87" s="24" t="n"/>
      <c r="B87" s="24" t="n"/>
      <c r="C87" s="24" t="n"/>
      <c r="D87" s="24" t="n"/>
      <c r="E87" s="24" t="n"/>
      <c r="F87" s="24" t="n"/>
      <c r="G87" s="24" t="n"/>
      <c r="H87" s="24" t="n"/>
      <c r="I87" s="24" t="n"/>
      <c r="J87" s="24" t="n"/>
      <c r="K87" s="24" t="n"/>
      <c r="L87" s="24" t="n"/>
      <c r="M87" s="24" t="n"/>
      <c r="N87" s="24" t="n"/>
      <c r="O87" s="24" t="n"/>
      <c r="P87" s="24" t="n"/>
      <c r="Q87" s="24" t="n"/>
      <c r="R87" s="24" t="n"/>
      <c r="S87" s="24" t="n"/>
      <c r="T87" s="24" t="n"/>
    </row>
    <row r="88">
      <c r="A88" s="24" t="n"/>
      <c r="B88" s="24" t="n"/>
      <c r="C88" s="24" t="n"/>
      <c r="D88" s="24" t="n"/>
      <c r="E88" s="24" t="n"/>
      <c r="F88" s="24" t="n"/>
      <c r="G88" s="24" t="n"/>
      <c r="H88" s="24" t="n"/>
      <c r="I88" s="24" t="n"/>
      <c r="J88" s="24" t="n"/>
      <c r="K88" s="24" t="n"/>
      <c r="L88" s="24" t="n"/>
      <c r="M88" s="24" t="n"/>
      <c r="N88" s="24" t="n"/>
      <c r="O88" s="24" t="n"/>
      <c r="P88" s="24" t="n"/>
      <c r="Q88" s="24" t="n"/>
      <c r="R88" s="24" t="n"/>
      <c r="S88" s="24" t="n"/>
      <c r="T88" s="24" t="n"/>
    </row>
    <row r="89">
      <c r="A89" s="24" t="n"/>
      <c r="B89" s="24" t="n"/>
      <c r="C89" s="24" t="n"/>
      <c r="D89" s="24" t="n"/>
      <c r="E89" s="24" t="n"/>
      <c r="F89" s="24" t="n"/>
      <c r="G89" s="24" t="n"/>
      <c r="H89" s="24" t="n"/>
      <c r="I89" s="24" t="n"/>
      <c r="J89" s="24" t="n"/>
      <c r="K89" s="24" t="n"/>
      <c r="L89" s="24" t="n"/>
      <c r="M89" s="24" t="n"/>
      <c r="N89" s="24" t="n"/>
      <c r="O89" s="24" t="n"/>
      <c r="P89" s="24" t="n"/>
      <c r="Q89" s="24" t="n"/>
      <c r="R89" s="24" t="n"/>
      <c r="S89" s="24" t="n"/>
      <c r="T89" s="24" t="n"/>
    </row>
    <row r="90">
      <c r="A90" s="24" t="n"/>
      <c r="B90" s="24" t="n"/>
      <c r="C90" s="24" t="n"/>
      <c r="D90" s="24" t="n"/>
      <c r="E90" s="24" t="n"/>
      <c r="F90" s="24" t="n"/>
      <c r="G90" s="24" t="n"/>
      <c r="H90" s="24" t="n"/>
      <c r="I90" s="24" t="n"/>
      <c r="J90" s="24" t="n"/>
      <c r="K90" s="24" t="n"/>
      <c r="L90" s="24" t="n"/>
      <c r="M90" s="24" t="n"/>
      <c r="N90" s="24" t="n"/>
      <c r="O90" s="24" t="n"/>
      <c r="P90" s="24" t="n"/>
      <c r="Q90" s="24" t="n"/>
      <c r="R90" s="24" t="n"/>
      <c r="S90" s="24" t="n"/>
      <c r="T90" s="24" t="n"/>
    </row>
  </sheetData>
  <mergeCells count="15">
    <mergeCell ref="A73:L73"/>
    <mergeCell ref="A2:L2"/>
    <mergeCell ref="B66:H66"/>
    <mergeCell ref="B58:L58"/>
    <mergeCell ref="B70:L70"/>
    <mergeCell ref="B57:H57"/>
    <mergeCell ref="B64:L64"/>
    <mergeCell ref="B55:L55"/>
    <mergeCell ref="B69:H69"/>
    <mergeCell ref="B54:H54"/>
    <mergeCell ref="A9:L9"/>
    <mergeCell ref="B67:L67"/>
    <mergeCell ref="B60:H60"/>
    <mergeCell ref="B61:L61"/>
    <mergeCell ref="B63:H63"/>
  </mergeCells>
  <conditionalFormatting sqref="E13:E17">
    <cfRule type="cellIs" priority="1" operator="notEqual" dxfId="0">
      <formula>0</formula>
    </cfRule>
  </conditionalFormatting>
  <conditionalFormatting sqref="J21:J37">
    <cfRule type="cellIs" priority="2" operator="notEqual" dxfId="0">
      <formula>0</formula>
    </cfRule>
  </conditionalFormatting>
  <conditionalFormatting sqref="F6:F8">
    <cfRule type="cellIs" priority="3" operator="notEqual" dxfId="0">
      <formula>0</formula>
    </cfRule>
  </conditionalFormatting>
  <conditionalFormatting sqref="F13:F17">
    <cfRule type="expression" priority="4" dxfId="1">
      <formula>ISNUMBER(SEARCH("Reconciled",F13))&gt;0</formula>
    </cfRule>
    <cfRule type="expression" priority="5" dxfId="0">
      <formula>ISNUMBER(SEARCH("VARIANCE",F13))&gt;0</formula>
    </cfRule>
  </conditionalFormatting>
  <conditionalFormatting sqref="K37">
    <cfRule type="expression" priority="6" dxfId="1">
      <formula>ISNUMBER(SEARCH("AGREE",K37))&gt;0</formula>
    </cfRule>
  </conditionalFormatting>
  <conditionalFormatting sqref="C47:C51">
    <cfRule type="expression" priority="7" dxfId="1">
      <formula>ISNUMBER(SEARCH("OK",C47))+ISNUMBER(SEARCH("FULLY",C47))&gt;0</formula>
    </cfRule>
    <cfRule type="expression" priority="8" dxfId="0">
      <formula>ISNUMBER(SEARCH("INVESTIGATE",C47))+ISNUMBER(SEARCH("VARIANCE",C47))&gt;0</formula>
    </cfRule>
  </conditionalFormatting>
  <conditionalFormatting sqref="I6:I8">
    <cfRule type="expression" priority="9" dxfId="1">
      <formula>ISNUMBER(SEARCH("PAID IN FULL",I6))+ISNUMBER(SEARCH("NIL OWING",I6))&gt;0</formula>
    </cfRule>
    <cfRule type="expression" priority="10" dxfId="0">
      <formula>ISNUMBER(SEARCH("SHORTFALL",I6))+ISNUMBER(SEARCH("OWING - ",I6))&gt;0</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1"/>
  <sheetViews>
    <sheetView workbookViewId="0">
      <selection activeCell="F2" sqref="F2"/>
    </sheetView>
  </sheetViews>
  <sheetFormatPr baseColWidth="8" defaultRowHeight="15"/>
  <cols>
    <col width="15" customWidth="1" style="12" min="1" max="1"/>
    <col width="19.7109375" customWidth="1" style="12" min="2" max="2"/>
    <col width="19.85546875" customWidth="1" style="12" min="3" max="3"/>
    <col width="15" customWidth="1" style="12" min="4" max="4"/>
    <col width="22.85546875" customWidth="1" style="12" min="5" max="5"/>
    <col width="27.140625" customWidth="1" style="12" min="6" max="6"/>
    <col width="8" bestFit="1" customWidth="1" style="13" min="7" max="7"/>
    <col width="9.42578125" customWidth="1" style="12" min="8" max="8"/>
    <col width="10.7109375" customWidth="1" style="12" min="9" max="9"/>
    <col width="18.5703125" customWidth="1" style="12" min="10" max="10"/>
    <col width="56.5703125" customWidth="1" style="12" min="11" max="11"/>
    <col width="229" customWidth="1" style="12" min="12" max="12"/>
    <col width="18" customWidth="1" style="14" min="13" max="13"/>
    <col width="32" customWidth="1" style="12" min="14" max="14"/>
    <col width="14.140625" customWidth="1" style="15" min="15" max="15"/>
    <col width="15.7109375" customWidth="1" style="15" min="16" max="16"/>
    <col width="9" customWidth="1" style="15" min="17" max="17"/>
    <col width="9.140625" customWidth="1" style="12" min="18" max="16384"/>
  </cols>
  <sheetData>
    <row r="1" customFormat="1" s="8">
      <c r="A1" s="8" t="inlineStr">
        <is>
          <t>Earnings Details</t>
        </is>
      </c>
      <c r="G1" s="9"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50" t="inlineStr">
        <is>
          <t>Work Date (helper)</t>
        </is>
      </c>
      <c r="N2" s="50" t="inlineStr">
        <is>
          <t>Matched to Timesheet?</t>
        </is>
      </c>
    </row>
    <row r="3">
      <c r="A3" t="n">
        <v>12414219</v>
      </c>
      <c r="C3" t="inlineStr">
        <is>
          <t>Jonathan Hendratno</t>
        </is>
      </c>
      <c r="D3" t="n">
        <v>2856297</v>
      </c>
      <c r="E3" t="inlineStr">
        <is>
          <t>2286634</t>
        </is>
      </c>
      <c r="F3" t="inlineStr">
        <is>
          <t>Casual Ordinary Hours</t>
        </is>
      </c>
      <c r="G3" s="13" t="n">
        <v>4</v>
      </c>
      <c r="H3" t="inlineStr">
        <is>
          <t>Hours</t>
        </is>
      </c>
      <c r="I3" t="n">
        <v>731888</v>
      </c>
      <c r="J3" t="inlineStr">
        <is>
          <t>20250731</t>
        </is>
      </c>
      <c r="K3" t="inlineStr">
        <is>
          <t>PWC National Pool of Hours [ONS]</t>
        </is>
      </c>
      <c r="L3" t="inlineStr">
        <is>
          <t>25/08/2026 - 08:00 to 12:00</t>
        </is>
      </c>
      <c r="M3" s="51">
        <f>IFERROR(DATE(VALUE(MID(L3,FIND("/",L3,FIND("/",L3)+1)+1,4)),VALUE(MID(L3,FIND("/",L3)+1,FIND("/",L3,FIND("/",L3)+1)-FIND("/",L3)-1)),VALUE(LEFT(L3,FIND("/",L3)-1))),IF(ISNUMBER(L3),L3,""))</f>
        <v/>
      </c>
      <c r="N3">
        <f>IF(M3="","No - adjustment line (no work date)",IF(COUNTIFS('Summary '!$A$21:$A$36,M3,'Summary '!$D$21:$D$36,K3)&gt;0,"Yes","NO MATCH - INVESTIGATE"))</f>
        <v/>
      </c>
    </row>
    <row r="4">
      <c r="A4" t="n">
        <v>12414219</v>
      </c>
      <c r="C4" t="inlineStr">
        <is>
          <t>Jonathan Hendratno</t>
        </is>
      </c>
      <c r="D4" t="n">
        <v>2856297</v>
      </c>
      <c r="E4" t="inlineStr">
        <is>
          <t>2286634</t>
        </is>
      </c>
      <c r="F4" t="inlineStr">
        <is>
          <t>Casual Ordinary Hours</t>
        </is>
      </c>
      <c r="G4" s="13" t="n">
        <v>4</v>
      </c>
      <c r="H4" t="inlineStr">
        <is>
          <t>Hours</t>
        </is>
      </c>
      <c r="I4" t="n">
        <v>731888</v>
      </c>
      <c r="J4" t="inlineStr">
        <is>
          <t>20250731</t>
        </is>
      </c>
      <c r="K4" t="inlineStr">
        <is>
          <t>PWC National Pool of Hours [ONS]</t>
        </is>
      </c>
      <c r="L4" t="inlineStr">
        <is>
          <t>25/08/2026 - 13:00 to 17:00</t>
        </is>
      </c>
      <c r="M4" s="51">
        <f>IFERROR(DATE(VALUE(MID(L4,FIND("/",L4,FIND("/",L4)+1)+1,4)),VALUE(MID(L4,FIND("/",L4)+1,FIND("/",L4,FIND("/",L4)+1)-FIND("/",L4)-1)),VALUE(LEFT(L4,FIND("/",L4)-1))),IF(ISNUMBER(L4),L4,""))</f>
        <v/>
      </c>
      <c r="N4">
        <f>IF(M4="","No - adjustment line (no work date)",IF(COUNTIFS('Summary '!$A$21:$A$36,M4,'Summary '!$D$21:$D$36,K4)&gt;0,"Yes","NO MATCH - INVESTIGATE"))</f>
        <v/>
      </c>
    </row>
    <row r="5">
      <c r="A5" t="n">
        <v>12414219</v>
      </c>
      <c r="C5" t="inlineStr">
        <is>
          <t>Jonathan Hendratno</t>
        </is>
      </c>
      <c r="D5" t="n">
        <v>2856297</v>
      </c>
      <c r="E5" t="inlineStr">
        <is>
          <t>2286634</t>
        </is>
      </c>
      <c r="F5" t="inlineStr">
        <is>
          <t>Casual Ordinary Hours</t>
        </is>
      </c>
      <c r="G5" s="13" t="n">
        <v>4</v>
      </c>
      <c r="H5" t="inlineStr">
        <is>
          <t>Hours</t>
        </is>
      </c>
      <c r="I5" t="n">
        <v>731888</v>
      </c>
      <c r="J5" t="inlineStr">
        <is>
          <t>20250731</t>
        </is>
      </c>
      <c r="K5" t="inlineStr">
        <is>
          <t>PWC National Pool of Hours [ONS]</t>
        </is>
      </c>
      <c r="L5" t="inlineStr">
        <is>
          <t>26/08/2026 - 08:00 to 12:00</t>
        </is>
      </c>
      <c r="M5" s="51">
        <f>IFERROR(DATE(VALUE(MID(L5,FIND("/",L5,FIND("/",L5)+1)+1,4)),VALUE(MID(L5,FIND("/",L5)+1,FIND("/",L5,FIND("/",L5)+1)-FIND("/",L5)-1)),VALUE(LEFT(L5,FIND("/",L5)-1))),IF(ISNUMBER(L5),L5,""))</f>
        <v/>
      </c>
      <c r="N5">
        <f>IF(M5="","No - adjustment line (no work date)",IF(COUNTIFS('Summary '!$A$21:$A$36,M5,'Summary '!$D$21:$D$36,K5)&gt;0,"Yes","NO MATCH - INVESTIGATE"))</f>
        <v/>
      </c>
    </row>
    <row r="6">
      <c r="A6" t="n">
        <v>12414219</v>
      </c>
      <c r="C6" t="inlineStr">
        <is>
          <t>Jonathan Hendratno</t>
        </is>
      </c>
      <c r="D6" t="n">
        <v>2856297</v>
      </c>
      <c r="E6" t="inlineStr">
        <is>
          <t>2286634</t>
        </is>
      </c>
      <c r="F6" t="inlineStr">
        <is>
          <t>Casual Ordinary Hours</t>
        </is>
      </c>
      <c r="G6" s="13" t="n">
        <v>3.5</v>
      </c>
      <c r="H6" t="inlineStr">
        <is>
          <t>Hours</t>
        </is>
      </c>
      <c r="I6" t="n">
        <v>731888</v>
      </c>
      <c r="J6" t="inlineStr">
        <is>
          <t>20250731</t>
        </is>
      </c>
      <c r="K6" t="inlineStr">
        <is>
          <t>PWC National Pool of Hours [ONS]</t>
        </is>
      </c>
      <c r="L6" t="inlineStr">
        <is>
          <t>26/08/2026 - 12:30 to 16:00</t>
        </is>
      </c>
      <c r="M6" s="51">
        <f>IFERROR(DATE(VALUE(MID(L6,FIND("/",L6,FIND("/",L6)+1)+1,4)),VALUE(MID(L6,FIND("/",L6)+1,FIND("/",L6,FIND("/",L6)+1)-FIND("/",L6)-1)),VALUE(LEFT(L6,FIND("/",L6)-1))),IF(ISNUMBER(L6),L6,""))</f>
        <v/>
      </c>
      <c r="N6">
        <f>IF(M6="","No - adjustment line (no work date)",IF(COUNTIFS('Summary '!$A$21:$A$36,M6,'Summary '!$D$21:$D$36,K6)&gt;0,"Yes","NO MATCH - INVESTIGATE"))</f>
        <v/>
      </c>
    </row>
    <row r="7">
      <c r="A7" t="n">
        <v>12414219</v>
      </c>
      <c r="C7" t="inlineStr">
        <is>
          <t>Jonathan Hendratno</t>
        </is>
      </c>
      <c r="D7" t="n">
        <v>2856297</v>
      </c>
      <c r="E7" t="inlineStr">
        <is>
          <t>2286634</t>
        </is>
      </c>
      <c r="F7" t="inlineStr">
        <is>
          <t>Casual Ordinary Hours</t>
        </is>
      </c>
      <c r="G7" s="13" t="n">
        <v>4</v>
      </c>
      <c r="H7" t="inlineStr">
        <is>
          <t>Hours</t>
        </is>
      </c>
      <c r="I7" t="n">
        <v>731888</v>
      </c>
      <c r="J7" t="inlineStr">
        <is>
          <t>20250731</t>
        </is>
      </c>
      <c r="K7" t="inlineStr">
        <is>
          <t>PWC National Pool of Hours [ONS]</t>
        </is>
      </c>
      <c r="L7" t="inlineStr">
        <is>
          <t>27/08/2026 - 08:00 to 12:00</t>
        </is>
      </c>
      <c r="M7" s="51">
        <f>IFERROR(DATE(VALUE(MID(L7,FIND("/",L7,FIND("/",L7)+1)+1,4)),VALUE(MID(L7,FIND("/",L7)+1,FIND("/",L7,FIND("/",L7)+1)-FIND("/",L7)-1)),VALUE(LEFT(L7,FIND("/",L7)-1))),IF(ISNUMBER(L7),L7,""))</f>
        <v/>
      </c>
      <c r="N7">
        <f>IF(M7="","No - adjustment line (no work date)",IF(COUNTIFS('Summary '!$A$21:$A$36,M7,'Summary '!$D$21:$D$36,K7)&gt;0,"Yes","NO MATCH - INVESTIGATE"))</f>
        <v/>
      </c>
    </row>
    <row r="8">
      <c r="A8" t="n">
        <v>12414219</v>
      </c>
      <c r="C8" t="inlineStr">
        <is>
          <t>Jonathan Hendratno</t>
        </is>
      </c>
      <c r="D8" t="n">
        <v>2856297</v>
      </c>
      <c r="E8" t="inlineStr">
        <is>
          <t>2286634</t>
        </is>
      </c>
      <c r="F8" t="inlineStr">
        <is>
          <t>Casual Ordinary Hours</t>
        </is>
      </c>
      <c r="G8" s="13" t="n">
        <v>4</v>
      </c>
      <c r="H8" t="inlineStr">
        <is>
          <t>Hours</t>
        </is>
      </c>
      <c r="I8" t="n">
        <v>731888</v>
      </c>
      <c r="J8" t="inlineStr">
        <is>
          <t>20250731</t>
        </is>
      </c>
      <c r="K8" t="inlineStr">
        <is>
          <t>PWC National Pool of Hours [ONS]</t>
        </is>
      </c>
      <c r="L8" t="inlineStr">
        <is>
          <t>27/08/2026 - 13:00 to 17:00</t>
        </is>
      </c>
      <c r="M8" s="51">
        <f>IFERROR(DATE(VALUE(MID(L8,FIND("/",L8,FIND("/",L8)+1)+1,4)),VALUE(MID(L8,FIND("/",L8)+1,FIND("/",L8,FIND("/",L8)+1)-FIND("/",L8)-1)),VALUE(LEFT(L8,FIND("/",L8)-1))),IF(ISNUMBER(L8),L8,""))</f>
        <v/>
      </c>
      <c r="N8">
        <f>IF(M8="","No - adjustment line (no work date)",IF(COUNTIFS('Summary '!$A$21:$A$36,M8,'Summary '!$D$21:$D$36,K8)&gt;0,"Yes","NO MATCH - INVESTIGATE"))</f>
        <v/>
      </c>
    </row>
    <row r="9">
      <c r="A9" t="n">
        <v>12414219</v>
      </c>
      <c r="C9" t="inlineStr">
        <is>
          <t>Jonathan Hendratno</t>
        </is>
      </c>
      <c r="D9" t="n">
        <v>2856297</v>
      </c>
      <c r="E9" t="inlineStr">
        <is>
          <t>2286634</t>
        </is>
      </c>
      <c r="F9" t="inlineStr">
        <is>
          <t>Casual Ordinary Hours</t>
        </is>
      </c>
      <c r="G9" s="13" t="n">
        <v>4</v>
      </c>
      <c r="H9" t="inlineStr">
        <is>
          <t>Hours</t>
        </is>
      </c>
      <c r="I9" t="n">
        <v>731888</v>
      </c>
      <c r="J9" t="inlineStr">
        <is>
          <t>20250731</t>
        </is>
      </c>
      <c r="K9" t="inlineStr">
        <is>
          <t>PWC National Pool of Hours [ONS]</t>
        </is>
      </c>
      <c r="L9" t="inlineStr">
        <is>
          <t>10/09/2026 - 08:00 to 12:00</t>
        </is>
      </c>
      <c r="M9" s="51">
        <f>IFERROR(DATE(VALUE(MID(L9,FIND("/",L9,FIND("/",L9)+1)+1,4)),VALUE(MID(L9,FIND("/",L9)+1,FIND("/",L9,FIND("/",L9)+1)-FIND("/",L9)-1)),VALUE(LEFT(L9,FIND("/",L9)-1))),IF(ISNUMBER(L9),L9,""))</f>
        <v/>
      </c>
      <c r="N9">
        <f>IF(M9="","No - adjustment line (no work date)",IF(COUNTIFS('Summary '!$A$21:$A$36,M9,'Summary '!$D$21:$D$36,K9)&gt;0,"Yes","NO MATCH - INVESTIGATE"))</f>
        <v/>
      </c>
    </row>
    <row r="10">
      <c r="A10" t="n">
        <v>12414219</v>
      </c>
      <c r="C10" t="inlineStr">
        <is>
          <t>Jonathan Hendratno</t>
        </is>
      </c>
      <c r="D10" t="n">
        <v>2856297</v>
      </c>
      <c r="E10" t="inlineStr">
        <is>
          <t>2286634</t>
        </is>
      </c>
      <c r="F10" t="inlineStr">
        <is>
          <t>Casual Ordinary Hours</t>
        </is>
      </c>
      <c r="G10" s="13" t="n">
        <v>4</v>
      </c>
      <c r="H10" t="inlineStr">
        <is>
          <t>Hours</t>
        </is>
      </c>
      <c r="I10" t="n">
        <v>731888</v>
      </c>
      <c r="J10" t="inlineStr">
        <is>
          <t>20250731</t>
        </is>
      </c>
      <c r="K10" t="inlineStr">
        <is>
          <t>PWC National Pool of Hours [ONS]</t>
        </is>
      </c>
      <c r="L10" t="inlineStr">
        <is>
          <t>10/09/2026 - 13:00 to 17:00</t>
        </is>
      </c>
      <c r="M10" s="51">
        <f>IFERROR(DATE(VALUE(MID(L10,FIND("/",L10,FIND("/",L10)+1)+1,4)),VALUE(MID(L10,FIND("/",L10)+1,FIND("/",L10,FIND("/",L10)+1)-FIND("/",L10)-1)),VALUE(LEFT(L10,FIND("/",L10)-1))),IF(ISNUMBER(L10),L10,""))</f>
        <v/>
      </c>
      <c r="N10">
        <f>IF(M10="","No - adjustment line (no work date)",IF(COUNTIFS('Summary '!$A$21:$A$36,M10,'Summary '!$D$21:$D$36,K10)&gt;0,"Yes","NO MATCH - INVESTIGATE"))</f>
        <v/>
      </c>
    </row>
    <row r="11">
      <c r="A11" t="n">
        <v>12414219</v>
      </c>
      <c r="C11" t="inlineStr">
        <is>
          <t>Jonathan Hendratno</t>
        </is>
      </c>
      <c r="D11" t="n">
        <v>2856297</v>
      </c>
      <c r="E11" t="inlineStr">
        <is>
          <t>2286634</t>
        </is>
      </c>
      <c r="F11" t="inlineStr">
        <is>
          <t>Casual Ordinary Hours</t>
        </is>
      </c>
      <c r="G11" s="13" t="n">
        <v>4</v>
      </c>
      <c r="H11" t="inlineStr">
        <is>
          <t>Hours</t>
        </is>
      </c>
      <c r="I11" t="n">
        <v>777409</v>
      </c>
      <c r="J11" t="inlineStr">
        <is>
          <t>26022301</t>
        </is>
      </c>
      <c r="K11" t="inlineStr">
        <is>
          <t>Aware Super AV Maintenance [ONS]</t>
        </is>
      </c>
      <c r="L11" t="inlineStr">
        <is>
          <t>17/09/2026 - 11:30 to 15:30</t>
        </is>
      </c>
      <c r="M11" s="51">
        <f>IFERROR(DATE(VALUE(MID(L11,FIND("/",L11,FIND("/",L11)+1)+1,4)),VALUE(MID(L11,FIND("/",L11)+1,FIND("/",L11,FIND("/",L11)+1)-FIND("/",L11)-1)),VALUE(LEFT(L11,FIND("/",L11)-1))),IF(ISNUMBER(L11),L11,""))</f>
        <v/>
      </c>
      <c r="N11">
        <f>IF(M11="","No - adjustment line (no work date)",IF(COUNTIFS('Summary '!$A$21:$A$36,M11,'Summary '!$D$21:$D$36,K11)&gt;0,"Yes","NO MATCH - INVESTIGATE"))</f>
        <v/>
      </c>
    </row>
  </sheetData>
  <autoFilter ref="A2:Q1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4"/>
  <sheetViews>
    <sheetView workbookViewId="0">
      <selection activeCell="F32" sqref="F32"/>
    </sheetView>
  </sheetViews>
  <sheetFormatPr baseColWidth="8" defaultRowHeight="15"/>
  <cols>
    <col width="15" customWidth="1" style="12" min="1" max="1"/>
    <col width="19.7109375" customWidth="1" style="12" min="2" max="2"/>
    <col width="20" customWidth="1" style="12" min="3" max="3"/>
    <col width="15" customWidth="1" style="12" min="4" max="4"/>
    <col width="22.85546875" customWidth="1" style="12" min="5" max="5"/>
    <col width="27.140625" customWidth="1" style="12" min="6" max="6"/>
    <col width="5.5703125" customWidth="1" style="13" min="7" max="7"/>
    <col width="9.42578125" customWidth="1" style="12" min="8" max="8"/>
    <col width="10.7109375" customWidth="1" style="12" min="9" max="9"/>
    <col width="18.5703125" customWidth="1" style="12" min="10" max="10"/>
    <col width="69.7109375" customWidth="1" style="12" min="11" max="11"/>
    <col width="161.7109375" customWidth="1" style="12" min="12" max="12"/>
    <col width="18" customWidth="1" style="14" min="13" max="13"/>
    <col width="32" customWidth="1" style="12" min="14" max="14"/>
    <col width="14.140625" customWidth="1" style="15" min="15" max="15"/>
    <col width="15.7109375" customWidth="1" style="15" min="16" max="16"/>
    <col width="9" customWidth="1" style="15" min="17" max="17"/>
    <col width="9.140625" customWidth="1" style="12" min="18" max="16384"/>
  </cols>
  <sheetData>
    <row r="1" customFormat="1" s="8">
      <c r="A1" s="8" t="inlineStr">
        <is>
          <t>Earnings Details</t>
        </is>
      </c>
      <c r="G1" s="9"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50" t="inlineStr">
        <is>
          <t>Work Date (helper)</t>
        </is>
      </c>
      <c r="N2" s="50" t="inlineStr">
        <is>
          <t>Matched to Timesheet?</t>
        </is>
      </c>
    </row>
    <row r="3">
      <c r="A3" t="n">
        <v>12414219</v>
      </c>
      <c r="C3" t="inlineStr">
        <is>
          <t>Jonathan Hendratno</t>
        </is>
      </c>
      <c r="D3" t="n">
        <v>2856297</v>
      </c>
      <c r="E3" t="inlineStr">
        <is>
          <t>2286634</t>
        </is>
      </c>
      <c r="F3" t="inlineStr">
        <is>
          <t>Casual Ordinary Hours</t>
        </is>
      </c>
      <c r="G3" s="13" t="n">
        <v>3.5</v>
      </c>
      <c r="H3" t="inlineStr">
        <is>
          <t>Hours</t>
        </is>
      </c>
      <c r="I3" t="n">
        <v>441224</v>
      </c>
      <c r="J3" t="inlineStr">
        <is>
          <t>725</t>
        </is>
      </c>
      <c r="K3" t="inlineStr">
        <is>
          <t>DTTL Mel Tech FT 1 [ONS]</t>
        </is>
      </c>
      <c r="L3" t="inlineStr">
        <is>
          <t>24/08/2026 - 08:30 to 12:00</t>
        </is>
      </c>
      <c r="M3" s="51">
        <f>IFERROR(DATE(VALUE(MID(L3,FIND("/",L3,FIND("/",L3)+1)+1,4)),VALUE(MID(L3,FIND("/",L3)+1,FIND("/",L3,FIND("/",L3)+1)-FIND("/",L3)-1)),VALUE(LEFT(L3,FIND("/",L3)-1))),IF(ISNUMBER(L3),L3,""))</f>
        <v/>
      </c>
      <c r="N3">
        <f>IF(M3="","No - adjustment line (no work date)",IF(COUNTIFS('Summary '!$A$21:$A$36,M3,'Summary '!$D$21:$D$36,K3)&gt;0,"Yes","NO MATCH - INVESTIGATE"))</f>
        <v/>
      </c>
    </row>
    <row r="4">
      <c r="A4" t="n">
        <v>12414219</v>
      </c>
      <c r="C4" t="inlineStr">
        <is>
          <t>Jonathan Hendratno</t>
        </is>
      </c>
      <c r="D4" t="n">
        <v>2856297</v>
      </c>
      <c r="E4" t="inlineStr">
        <is>
          <t>2286634</t>
        </is>
      </c>
      <c r="F4" t="inlineStr">
        <is>
          <t>Casual Ordinary Hours</t>
        </is>
      </c>
      <c r="G4" s="13" t="n">
        <v>4.5</v>
      </c>
      <c r="H4" t="inlineStr">
        <is>
          <t>Hours</t>
        </is>
      </c>
      <c r="I4" t="n">
        <v>441224</v>
      </c>
      <c r="J4" t="inlineStr">
        <is>
          <t>725</t>
        </is>
      </c>
      <c r="K4" t="inlineStr">
        <is>
          <t>DTTL Mel Tech FT 1 [ONS]</t>
        </is>
      </c>
      <c r="L4" t="inlineStr">
        <is>
          <t>24/08/2026 - 12:30 to 17:00</t>
        </is>
      </c>
      <c r="M4" s="51">
        <f>IFERROR(DATE(VALUE(MID(L4,FIND("/",L4,FIND("/",L4)+1)+1,4)),VALUE(MID(L4,FIND("/",L4)+1,FIND("/",L4,FIND("/",L4)+1)-FIND("/",L4)-1)),VALUE(LEFT(L4,FIND("/",L4)-1))),IF(ISNUMBER(L4),L4,""))</f>
        <v/>
      </c>
      <c r="N4">
        <f>IF(M4="","No - adjustment line (no work date)",IF(COUNTIFS('Summary '!$A$21:$A$36,M4,'Summary '!$D$21:$D$36,K4)&gt;0,"Yes","NO MATCH - INVESTIGATE"))</f>
        <v/>
      </c>
    </row>
    <row r="5">
      <c r="A5" t="n">
        <v>12414219</v>
      </c>
      <c r="C5" t="inlineStr">
        <is>
          <t>Jonathan Hendratno</t>
        </is>
      </c>
      <c r="D5" t="n">
        <v>2856297</v>
      </c>
      <c r="E5" t="inlineStr">
        <is>
          <t>2286634</t>
        </is>
      </c>
      <c r="F5" t="inlineStr">
        <is>
          <t>Casual Ordinary Hours</t>
        </is>
      </c>
      <c r="G5" s="13" t="n">
        <v>3.5</v>
      </c>
      <c r="H5" t="inlineStr">
        <is>
          <t>Hours</t>
        </is>
      </c>
      <c r="I5" t="n">
        <v>441224</v>
      </c>
      <c r="J5" t="inlineStr">
        <is>
          <t>725</t>
        </is>
      </c>
      <c r="K5" t="inlineStr">
        <is>
          <t>DTTL Mel Tech FT 1 [ONS]</t>
        </is>
      </c>
      <c r="L5" t="inlineStr">
        <is>
          <t>28/08/2026 - 08:30 to 12:00</t>
        </is>
      </c>
      <c r="M5" s="51">
        <f>IFERROR(DATE(VALUE(MID(L5,FIND("/",L5,FIND("/",L5)+1)+1,4)),VALUE(MID(L5,FIND("/",L5)+1,FIND("/",L5,FIND("/",L5)+1)-FIND("/",L5)-1)),VALUE(LEFT(L5,FIND("/",L5)-1))),IF(ISNUMBER(L5),L5,""))</f>
        <v/>
      </c>
      <c r="N5">
        <f>IF(M5="","No - adjustment line (no work date)",IF(COUNTIFS('Summary '!$A$21:$A$36,M5,'Summary '!$D$21:$D$36,K5)&gt;0,"Yes","NO MATCH - INVESTIGATE"))</f>
        <v/>
      </c>
    </row>
    <row r="6">
      <c r="A6" t="n">
        <v>12414219</v>
      </c>
      <c r="C6" t="inlineStr">
        <is>
          <t>Jonathan Hendratno</t>
        </is>
      </c>
      <c r="D6" t="n">
        <v>2856297</v>
      </c>
      <c r="E6" t="inlineStr">
        <is>
          <t>2286634</t>
        </is>
      </c>
      <c r="F6" t="inlineStr">
        <is>
          <t>Casual Ordinary Hours</t>
        </is>
      </c>
      <c r="G6" s="13" t="n">
        <v>4.5</v>
      </c>
      <c r="H6" t="inlineStr">
        <is>
          <t>Hours</t>
        </is>
      </c>
      <c r="I6" t="n">
        <v>441224</v>
      </c>
      <c r="J6" t="inlineStr">
        <is>
          <t>725</t>
        </is>
      </c>
      <c r="K6" t="inlineStr">
        <is>
          <t>DTTL Mel Tech FT 1 [ONS]</t>
        </is>
      </c>
      <c r="L6" t="inlineStr">
        <is>
          <t>28/08/2026 - 12:30 to 17:00</t>
        </is>
      </c>
      <c r="M6" s="51">
        <f>IFERROR(DATE(VALUE(MID(L6,FIND("/",L6,FIND("/",L6)+1)+1,4)),VALUE(MID(L6,FIND("/",L6)+1,FIND("/",L6,FIND("/",L6)+1)-FIND("/",L6)-1)),VALUE(LEFT(L6,FIND("/",L6)-1))),IF(ISNUMBER(L6),L6,""))</f>
        <v/>
      </c>
      <c r="N6">
        <f>IF(M6="","No - adjustment line (no work date)",IF(COUNTIFS('Summary '!$A$21:$A$36,M6,'Summary '!$D$21:$D$36,K6)&gt;0,"Yes","NO MATCH - INVESTIGATE"))</f>
        <v/>
      </c>
    </row>
    <row r="7">
      <c r="A7" t="n">
        <v>12414219</v>
      </c>
      <c r="C7" t="inlineStr">
        <is>
          <t>Jonathan Hendratno</t>
        </is>
      </c>
      <c r="D7" t="n">
        <v>2856297</v>
      </c>
      <c r="E7" t="inlineStr">
        <is>
          <t>2286634</t>
        </is>
      </c>
      <c r="F7" t="inlineStr">
        <is>
          <t>Casual Ordinary Hours</t>
        </is>
      </c>
      <c r="G7" s="13" t="n">
        <v>3.5</v>
      </c>
      <c r="H7" t="inlineStr">
        <is>
          <t>Hours</t>
        </is>
      </c>
      <c r="I7" t="n">
        <v>441224</v>
      </c>
      <c r="J7" t="inlineStr">
        <is>
          <t>725</t>
        </is>
      </c>
      <c r="K7" t="inlineStr">
        <is>
          <t>DTTL Mel Tech FT 1 [ONS]</t>
        </is>
      </c>
      <c r="L7" t="inlineStr">
        <is>
          <t>31/08/2026 - 08:30 to 12:00</t>
        </is>
      </c>
      <c r="M7" s="51">
        <f>IFERROR(DATE(VALUE(MID(L7,FIND("/",L7,FIND("/",L7)+1)+1,4)),VALUE(MID(L7,FIND("/",L7)+1,FIND("/",L7,FIND("/",L7)+1)-FIND("/",L7)-1)),VALUE(LEFT(L7,FIND("/",L7)-1))),IF(ISNUMBER(L7),L7,""))</f>
        <v/>
      </c>
      <c r="N7">
        <f>IF(M7="","No - adjustment line (no work date)",IF(COUNTIFS('Summary '!$A$21:$A$36,M7,'Summary '!$D$21:$D$36,K7)&gt;0,"Yes","NO MATCH - INVESTIGATE"))</f>
        <v/>
      </c>
    </row>
    <row r="8">
      <c r="A8" t="n">
        <v>12414219</v>
      </c>
      <c r="C8" t="inlineStr">
        <is>
          <t>Jonathan Hendratno</t>
        </is>
      </c>
      <c r="D8" t="n">
        <v>2856297</v>
      </c>
      <c r="E8" t="inlineStr">
        <is>
          <t>2286634</t>
        </is>
      </c>
      <c r="F8" t="inlineStr">
        <is>
          <t>Casual Ordinary Hours</t>
        </is>
      </c>
      <c r="G8" s="13" t="n">
        <v>4.5</v>
      </c>
      <c r="H8" t="inlineStr">
        <is>
          <t>Hours</t>
        </is>
      </c>
      <c r="I8" t="n">
        <v>441224</v>
      </c>
      <c r="J8" t="inlineStr">
        <is>
          <t>725</t>
        </is>
      </c>
      <c r="K8" t="inlineStr">
        <is>
          <t>DTTL Mel Tech FT 1 [ONS]</t>
        </is>
      </c>
      <c r="L8" t="inlineStr">
        <is>
          <t>31/08/2026 - 12:30 to 17:00</t>
        </is>
      </c>
      <c r="M8" s="51">
        <f>IFERROR(DATE(VALUE(MID(L8,FIND("/",L8,FIND("/",L8)+1)+1,4)),VALUE(MID(L8,FIND("/",L8)+1,FIND("/",L8,FIND("/",L8)+1)-FIND("/",L8)-1)),VALUE(LEFT(L8,FIND("/",L8)-1))),IF(ISNUMBER(L8),L8,""))</f>
        <v/>
      </c>
      <c r="N8">
        <f>IF(M8="","No - adjustment line (no work date)",IF(COUNTIFS('Summary '!$A$21:$A$36,M8,'Summary '!$D$21:$D$36,K8)&gt;0,"Yes","NO MATCH - INVESTIGATE"))</f>
        <v/>
      </c>
    </row>
    <row r="9">
      <c r="A9" t="n">
        <v>12414219</v>
      </c>
      <c r="C9" t="inlineStr">
        <is>
          <t>Jonathan Hendratno</t>
        </is>
      </c>
      <c r="D9" t="n">
        <v>2856297</v>
      </c>
      <c r="E9" t="inlineStr">
        <is>
          <t>2286634</t>
        </is>
      </c>
      <c r="F9" t="inlineStr">
        <is>
          <t>Casual Ordinary Hours</t>
        </is>
      </c>
      <c r="G9" s="13" t="n">
        <v>3</v>
      </c>
      <c r="H9" t="inlineStr">
        <is>
          <t>Hours</t>
        </is>
      </c>
      <c r="I9" t="n">
        <v>441224</v>
      </c>
      <c r="J9" t="inlineStr">
        <is>
          <t>725</t>
        </is>
      </c>
      <c r="K9" t="inlineStr">
        <is>
          <t>DTTL Mel Tech FT 1 [ONS]</t>
        </is>
      </c>
      <c r="L9" t="inlineStr">
        <is>
          <t>1/09/2026 - 09:00 to 12:00</t>
        </is>
      </c>
      <c r="M9" s="51">
        <f>IFERROR(DATE(VALUE(MID(L9,FIND("/",L9,FIND("/",L9)+1)+1,4)),VALUE(MID(L9,FIND("/",L9)+1,FIND("/",L9,FIND("/",L9)+1)-FIND("/",L9)-1)),VALUE(LEFT(L9,FIND("/",L9)-1))),IF(ISNUMBER(L9),L9,""))</f>
        <v/>
      </c>
      <c r="N9">
        <f>IF(M9="","No - adjustment line (no work date)",IF(COUNTIFS('Summary '!$A$21:$A$36,M9,'Summary '!$D$21:$D$36,K9)&gt;0,"Yes","NO MATCH - INVESTIGATE"))</f>
        <v/>
      </c>
    </row>
    <row r="10">
      <c r="A10" t="n">
        <v>12414219</v>
      </c>
      <c r="C10" t="inlineStr">
        <is>
          <t>Jonathan Hendratno</t>
        </is>
      </c>
      <c r="D10" t="n">
        <v>2856297</v>
      </c>
      <c r="E10" t="inlineStr">
        <is>
          <t>2286634</t>
        </is>
      </c>
      <c r="F10" t="inlineStr">
        <is>
          <t>Casual Ordinary Hours</t>
        </is>
      </c>
      <c r="G10" s="13" t="n">
        <v>5</v>
      </c>
      <c r="H10" t="inlineStr">
        <is>
          <t>Hours</t>
        </is>
      </c>
      <c r="I10" t="n">
        <v>441224</v>
      </c>
      <c r="J10" t="inlineStr">
        <is>
          <t>725</t>
        </is>
      </c>
      <c r="K10" t="inlineStr">
        <is>
          <t>DTTL Mel Tech FT 1 [ONS]</t>
        </is>
      </c>
      <c r="L10" t="inlineStr">
        <is>
          <t>1/09/2026 - 12:30 to 17:30</t>
        </is>
      </c>
      <c r="M10" s="51">
        <f>IFERROR(DATE(VALUE(MID(L10,FIND("/",L10,FIND("/",L10)+1)+1,4)),VALUE(MID(L10,FIND("/",L10)+1,FIND("/",L10,FIND("/",L10)+1)-FIND("/",L10)-1)),VALUE(LEFT(L10,FIND("/",L10)-1))),IF(ISNUMBER(L10),L10,""))</f>
        <v/>
      </c>
      <c r="N10">
        <f>IF(M10="","No - adjustment line (no work date)",IF(COUNTIFS('Summary '!$A$21:$A$36,M10,'Summary '!$D$21:$D$36,K10)&gt;0,"Yes","NO MATCH - INVESTIGATE"))</f>
        <v/>
      </c>
    </row>
    <row r="11">
      <c r="A11" t="n">
        <v>12414219</v>
      </c>
      <c r="C11" t="inlineStr">
        <is>
          <t>Jonathan Hendratno</t>
        </is>
      </c>
      <c r="D11" t="n">
        <v>2856297</v>
      </c>
      <c r="E11" t="inlineStr">
        <is>
          <t>2286634</t>
        </is>
      </c>
      <c r="F11" t="inlineStr">
        <is>
          <t>Casual Ordinary Hours</t>
        </is>
      </c>
      <c r="G11" s="13" t="n">
        <v>3</v>
      </c>
      <c r="H11" t="inlineStr">
        <is>
          <t>Hours</t>
        </is>
      </c>
      <c r="I11" t="n">
        <v>441224</v>
      </c>
      <c r="J11" t="inlineStr">
        <is>
          <t>725</t>
        </is>
      </c>
      <c r="K11" t="inlineStr">
        <is>
          <t>DTTL Mel Tech FT 1 [ONS]</t>
        </is>
      </c>
      <c r="L11" t="inlineStr">
        <is>
          <t>2/09/2026 - 09:00 to 12:00</t>
        </is>
      </c>
      <c r="M11" s="51">
        <f>IFERROR(DATE(VALUE(MID(L11,FIND("/",L11,FIND("/",L11)+1)+1,4)),VALUE(MID(L11,FIND("/",L11)+1,FIND("/",L11,FIND("/",L11)+1)-FIND("/",L11)-1)),VALUE(LEFT(L11,FIND("/",L11)-1))),IF(ISNUMBER(L11),L11,""))</f>
        <v/>
      </c>
      <c r="N11">
        <f>IF(M11="","No - adjustment line (no work date)",IF(COUNTIFS('Summary '!$A$21:$A$36,M11,'Summary '!$D$21:$D$36,K11)&gt;0,"Yes","NO MATCH - INVESTIGATE"))</f>
        <v/>
      </c>
    </row>
    <row r="12">
      <c r="A12" t="n">
        <v>12414219</v>
      </c>
      <c r="C12" t="inlineStr">
        <is>
          <t>Jonathan Hendratno</t>
        </is>
      </c>
      <c r="D12" t="n">
        <v>2856297</v>
      </c>
      <c r="E12" t="inlineStr">
        <is>
          <t>2286634</t>
        </is>
      </c>
      <c r="F12" t="inlineStr">
        <is>
          <t>Casual Ordinary Hours</t>
        </is>
      </c>
      <c r="G12" s="13" t="n">
        <v>5</v>
      </c>
      <c r="H12" t="inlineStr">
        <is>
          <t>Hours</t>
        </is>
      </c>
      <c r="I12" t="n">
        <v>441224</v>
      </c>
      <c r="J12" t="inlineStr">
        <is>
          <t>725</t>
        </is>
      </c>
      <c r="K12" t="inlineStr">
        <is>
          <t>DTTL Mel Tech FT 1 [ONS]</t>
        </is>
      </c>
      <c r="L12" t="inlineStr">
        <is>
          <t>2/09/2026 - 12:30 to 17:30</t>
        </is>
      </c>
      <c r="M12" s="51">
        <f>IFERROR(DATE(VALUE(MID(L12,FIND("/",L12,FIND("/",L12)+1)+1,4)),VALUE(MID(L12,FIND("/",L12)+1,FIND("/",L12,FIND("/",L12)+1)-FIND("/",L12)-1)),VALUE(LEFT(L12,FIND("/",L12)-1))),IF(ISNUMBER(L12),L12,""))</f>
        <v/>
      </c>
      <c r="N12">
        <f>IF(M12="","No - adjustment line (no work date)",IF(COUNTIFS('Summary '!$A$21:$A$36,M12,'Summary '!$D$21:$D$36,K12)&gt;0,"Yes","NO MATCH - INVESTIGATE"))</f>
        <v/>
      </c>
    </row>
    <row r="13">
      <c r="A13" t="n">
        <v>12414219</v>
      </c>
      <c r="C13" t="inlineStr">
        <is>
          <t>Jonathan Hendratno</t>
        </is>
      </c>
      <c r="D13" t="n">
        <v>2856297</v>
      </c>
      <c r="E13" t="inlineStr">
        <is>
          <t>2286634</t>
        </is>
      </c>
      <c r="F13" t="inlineStr">
        <is>
          <t>Casual Ordinary Hours</t>
        </is>
      </c>
      <c r="G13" s="13" t="n">
        <v>3.5</v>
      </c>
      <c r="H13" t="inlineStr">
        <is>
          <t>Hours</t>
        </is>
      </c>
      <c r="I13" t="n">
        <v>441224</v>
      </c>
      <c r="J13" t="inlineStr">
        <is>
          <t>725</t>
        </is>
      </c>
      <c r="K13" t="inlineStr">
        <is>
          <t>DTTL Mel Tech FT 1 [ONS]</t>
        </is>
      </c>
      <c r="L13" t="inlineStr">
        <is>
          <t>4/09/2026 - 08:30 to 12:00</t>
        </is>
      </c>
      <c r="M13" s="51">
        <f>IFERROR(DATE(VALUE(MID(L13,FIND("/",L13,FIND("/",L13)+1)+1,4)),VALUE(MID(L13,FIND("/",L13)+1,FIND("/",L13,FIND("/",L13)+1)-FIND("/",L13)-1)),VALUE(LEFT(L13,FIND("/",L13)-1))),IF(ISNUMBER(L13),L13,""))</f>
        <v/>
      </c>
      <c r="N13">
        <f>IF(M13="","No - adjustment line (no work date)",IF(COUNTIFS('Summary '!$A$21:$A$36,M13,'Summary '!$D$21:$D$36,K13)&gt;0,"Yes","NO MATCH - INVESTIGATE"))</f>
        <v/>
      </c>
    </row>
    <row r="14">
      <c r="A14" t="n">
        <v>12414219</v>
      </c>
      <c r="C14" t="inlineStr">
        <is>
          <t>Jonathan Hendratno</t>
        </is>
      </c>
      <c r="D14" t="n">
        <v>2856297</v>
      </c>
      <c r="E14" t="inlineStr">
        <is>
          <t>2286634</t>
        </is>
      </c>
      <c r="F14" t="inlineStr">
        <is>
          <t>Casual Ordinary Hours</t>
        </is>
      </c>
      <c r="G14" s="13" t="n">
        <v>4.5</v>
      </c>
      <c r="H14" t="inlineStr">
        <is>
          <t>Hours</t>
        </is>
      </c>
      <c r="I14" t="n">
        <v>441224</v>
      </c>
      <c r="J14" t="inlineStr">
        <is>
          <t>725</t>
        </is>
      </c>
      <c r="K14" t="inlineStr">
        <is>
          <t>DTTL Mel Tech FT 1 [ONS]</t>
        </is>
      </c>
      <c r="L14" t="inlineStr">
        <is>
          <t>4/09/2026 - 12:30 to 17:00</t>
        </is>
      </c>
      <c r="M14" s="51">
        <f>IFERROR(DATE(VALUE(MID(L14,FIND("/",L14,FIND("/",L14)+1)+1,4)),VALUE(MID(L14,FIND("/",L14)+1,FIND("/",L14,FIND("/",L14)+1)-FIND("/",L14)-1)),VALUE(LEFT(L14,FIND("/",L14)-1))),IF(ISNUMBER(L14),L14,""))</f>
        <v/>
      </c>
      <c r="N14">
        <f>IF(M14="","No - adjustment line (no work date)",IF(COUNTIFS('Summary '!$A$21:$A$36,M14,'Summary '!$D$21:$D$36,K14)&gt;0,"Yes","NO MATCH - INVESTIGATE"))</f>
        <v/>
      </c>
    </row>
  </sheetData>
  <autoFilter ref="A2:Q1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7"/>
  <sheetViews>
    <sheetView workbookViewId="0">
      <selection activeCell="E30" sqref="E30"/>
    </sheetView>
  </sheetViews>
  <sheetFormatPr baseColWidth="8" defaultRowHeight="15"/>
  <cols>
    <col width="15" customWidth="1" style="12" min="1" max="1"/>
    <col width="19.7109375" customWidth="1" style="12" min="2" max="2"/>
    <col width="30.28515625" customWidth="1" style="12" min="3" max="3"/>
    <col width="15" customWidth="1" style="12" min="4" max="4"/>
    <col width="22.85546875" customWidth="1" style="12" min="5" max="5"/>
    <col width="36" customWidth="1" style="12" min="6" max="6"/>
    <col width="6.140625" customWidth="1" style="13" min="7" max="7"/>
    <col width="9.42578125" customWidth="1" style="12" min="8" max="8"/>
    <col width="10.7109375" customWidth="1" style="12" min="9" max="9"/>
    <col width="18.5703125" customWidth="1" style="12" min="10" max="10"/>
    <col width="55.140625" customWidth="1" style="12" min="11" max="11"/>
    <col width="185.140625" customWidth="1" style="12" min="12" max="12"/>
    <col width="18" customWidth="1" style="14" min="13" max="13"/>
    <col width="32" customWidth="1" style="12" min="14" max="14"/>
    <col width="14.140625" customWidth="1" style="15" min="15" max="15"/>
    <col width="15.7109375" customWidth="1" style="15" min="16" max="16"/>
    <col width="9" customWidth="1" style="15" min="17" max="17"/>
    <col width="9.140625" customWidth="1" style="12" min="18" max="16384"/>
  </cols>
  <sheetData>
    <row r="1" customFormat="1" s="8">
      <c r="A1" s="8" t="inlineStr">
        <is>
          <t>Earnings Details</t>
        </is>
      </c>
      <c r="G1" s="9"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50" t="inlineStr">
        <is>
          <t>Work Date (helper)</t>
        </is>
      </c>
      <c r="N2" s="50" t="inlineStr">
        <is>
          <t>Matched to Timesheet?</t>
        </is>
      </c>
    </row>
    <row r="3">
      <c r="A3" t="n">
        <v>12414219</v>
      </c>
      <c r="C3" t="inlineStr">
        <is>
          <t>Jonathan Hendratno</t>
        </is>
      </c>
      <c r="D3" t="n">
        <v>2856297</v>
      </c>
      <c r="E3" t="inlineStr">
        <is>
          <t>2286634</t>
        </is>
      </c>
      <c r="F3" t="inlineStr">
        <is>
          <t>Casual Ordinary Hours</t>
        </is>
      </c>
      <c r="G3" s="13" t="n">
        <v>-16</v>
      </c>
      <c r="H3" t="inlineStr">
        <is>
          <t>Hours</t>
        </is>
      </c>
      <c r="I3" t="n">
        <v>770681</v>
      </c>
      <c r="J3" t="inlineStr">
        <is>
          <t>26043001</t>
        </is>
      </c>
      <c r="K3" t="inlineStr">
        <is>
          <t>CBA FT Tech MEL - 12 months [ONS]</t>
        </is>
      </c>
      <c r="L3" t="inlineStr">
        <is>
          <t>Reversal of incorrect rate for fortnight ending 07/08/2026</t>
        </is>
      </c>
      <c r="M3" s="51">
        <f>IFERROR(DATE(VALUE(MID(L3,FIND("/",L3,FIND("/",L3)+1)+1,4)),VALUE(MID(L3,FIND("/",L3)+1,FIND("/",L3,FIND("/",L3)+1)-FIND("/",L3)-1)),VALUE(LEFT(L3,FIND("/",L3)-1))),IF(ISNUMBER(L3),L3,""))</f>
        <v/>
      </c>
      <c r="N3">
        <f>IF(M3="","No - adjustment line (no work date)",IF(COUNTIFS('Summary '!$A$21:$A$36,M3,'Summary '!$D$21:$D$36,K3)&gt;0,"Yes","NO MATCH - INVESTIGATE"))</f>
        <v/>
      </c>
    </row>
    <row r="4">
      <c r="A4" t="n">
        <v>12414219</v>
      </c>
      <c r="C4" t="inlineStr">
        <is>
          <t>Jonathan Hendratno</t>
        </is>
      </c>
      <c r="D4" t="n">
        <v>2856297</v>
      </c>
      <c r="E4" t="inlineStr">
        <is>
          <t>2286634</t>
        </is>
      </c>
      <c r="F4" t="inlineStr">
        <is>
          <t>Casual Ordinary Hours</t>
        </is>
      </c>
      <c r="G4" s="13" t="n">
        <v>16</v>
      </c>
      <c r="H4" t="inlineStr">
        <is>
          <t>Hours</t>
        </is>
      </c>
      <c r="I4" t="n">
        <v>770681</v>
      </c>
      <c r="J4" t="inlineStr">
        <is>
          <t>26043001</t>
        </is>
      </c>
      <c r="K4" t="inlineStr">
        <is>
          <t>CBA FT Tech MEL - 12 months [ONS]</t>
        </is>
      </c>
      <c r="L4" t="inlineStr">
        <is>
          <t>Reversal of incorrect rate for fortnight ending 07/08/2026</t>
        </is>
      </c>
      <c r="M4" s="51">
        <f>IFERROR(DATE(VALUE(MID(L4,FIND("/",L4,FIND("/",L4)+1)+1,4)),VALUE(MID(L4,FIND("/",L4)+1,FIND("/",L4,FIND("/",L4)+1)-FIND("/",L4)-1)),VALUE(LEFT(L4,FIND("/",L4)-1))),IF(ISNUMBER(L4),L4,""))</f>
        <v/>
      </c>
      <c r="N4">
        <f>IF(M4="","No - adjustment line (no work date)",IF(COUNTIFS('Summary '!$A$21:$A$36,M4,'Summary '!$D$21:$D$36,K4)&gt;0,"Yes","NO MATCH - INVESTIGATE"))</f>
        <v/>
      </c>
    </row>
    <row r="5">
      <c r="A5" t="n">
        <v>12414219</v>
      </c>
      <c r="C5" t="inlineStr">
        <is>
          <t>Jonathan Hendratno</t>
        </is>
      </c>
      <c r="D5" t="n">
        <v>2856297</v>
      </c>
      <c r="E5" t="inlineStr">
        <is>
          <t>2286634</t>
        </is>
      </c>
      <c r="F5" t="inlineStr">
        <is>
          <t>Casual Ordinary Hours</t>
        </is>
      </c>
      <c r="G5" s="13" t="n">
        <v>5</v>
      </c>
      <c r="H5" t="inlineStr">
        <is>
          <t>Hours</t>
        </is>
      </c>
      <c r="I5" t="n">
        <v>770681</v>
      </c>
      <c r="J5" t="inlineStr">
        <is>
          <t>26043001</t>
        </is>
      </c>
      <c r="K5" t="inlineStr">
        <is>
          <t>CBA FT Tech MEL - 12 months [ONS]</t>
        </is>
      </c>
      <c r="L5" t="inlineStr">
        <is>
          <t xml:space="preserve">18/08/2026 - 07:00 to 12:00. 435 Bourke St - CBA </t>
        </is>
      </c>
      <c r="M5" s="51">
        <f>IFERROR(DATE(VALUE(MID(L5,FIND("/",L5,FIND("/",L5)+1)+1,4)),VALUE(MID(L5,FIND("/",L5)+1,FIND("/",L5,FIND("/",L5)+1)-FIND("/",L5)-1)),VALUE(LEFT(L5,FIND("/",L5)-1))),IF(ISNUMBER(L5),L5,""))</f>
        <v/>
      </c>
      <c r="N5">
        <f>IF(M5="","No - adjustment line (no work date)",IF(COUNTIFS('Summary '!$A$21:$A$36,M5,'Summary '!$D$21:$D$36,K5)&gt;0,"Yes","NO MATCH - INVESTIGATE"))</f>
        <v/>
      </c>
    </row>
    <row r="6">
      <c r="A6" t="n">
        <v>12414219</v>
      </c>
      <c r="C6" t="inlineStr">
        <is>
          <t>Jonathan Hendratno</t>
        </is>
      </c>
      <c r="D6" t="n">
        <v>2856297</v>
      </c>
      <c r="E6" t="inlineStr">
        <is>
          <t>2286634</t>
        </is>
      </c>
      <c r="F6" t="inlineStr">
        <is>
          <t>Casual Ordinary Hours</t>
        </is>
      </c>
      <c r="G6" s="13" t="n">
        <v>3</v>
      </c>
      <c r="H6" t="inlineStr">
        <is>
          <t>Hours</t>
        </is>
      </c>
      <c r="I6" t="n">
        <v>770681</v>
      </c>
      <c r="J6" t="inlineStr">
        <is>
          <t>26043001</t>
        </is>
      </c>
      <c r="K6" t="inlineStr">
        <is>
          <t>CBA FT Tech MEL - 12 months [ONS]</t>
        </is>
      </c>
      <c r="L6" t="inlineStr">
        <is>
          <t xml:space="preserve">18/08/2026 - 13:00 to 16:00. 435 Bourke St - CBA </t>
        </is>
      </c>
      <c r="M6" s="51">
        <f>IFERROR(DATE(VALUE(MID(L6,FIND("/",L6,FIND("/",L6)+1)+1,4)),VALUE(MID(L6,FIND("/",L6)+1,FIND("/",L6,FIND("/",L6)+1)-FIND("/",L6)-1)),VALUE(LEFT(L6,FIND("/",L6)-1))),IF(ISNUMBER(L6),L6,""))</f>
        <v/>
      </c>
      <c r="N6">
        <f>IF(M6="","No - adjustment line (no work date)",IF(COUNTIFS('Summary '!$A$21:$A$36,M6,'Summary '!$D$21:$D$36,K6)&gt;0,"Yes","NO MATCH - INVESTIGATE"))</f>
        <v/>
      </c>
    </row>
    <row r="7">
      <c r="A7" t="n">
        <v>12414219</v>
      </c>
      <c r="C7" t="inlineStr">
        <is>
          <t>Jonathan Hendratno</t>
        </is>
      </c>
      <c r="D7" t="n">
        <v>2856297</v>
      </c>
      <c r="E7" t="inlineStr">
        <is>
          <t>2286634</t>
        </is>
      </c>
      <c r="F7" t="inlineStr">
        <is>
          <t>Casual Ordinary Hours</t>
        </is>
      </c>
      <c r="G7" s="13" t="n">
        <v>4</v>
      </c>
      <c r="H7" t="inlineStr">
        <is>
          <t>Hours</t>
        </is>
      </c>
      <c r="I7" t="n">
        <v>731888</v>
      </c>
      <c r="J7" t="inlineStr">
        <is>
          <t>20250731</t>
        </is>
      </c>
      <c r="K7" t="inlineStr">
        <is>
          <t>PWC National Pool of Hours [ONS]</t>
        </is>
      </c>
      <c r="L7" t="inlineStr">
        <is>
          <t>20/08/2026 - 13:00 to 17:00</t>
        </is>
      </c>
      <c r="M7" s="51">
        <f>IFERROR(DATE(VALUE(MID(L7,FIND("/",L7,FIND("/",L7)+1)+1,4)),VALUE(MID(L7,FIND("/",L7)+1,FIND("/",L7,FIND("/",L7)+1)-FIND("/",L7)-1)),VALUE(LEFT(L7,FIND("/",L7)-1))),IF(ISNUMBER(L7),L7,""))</f>
        <v/>
      </c>
      <c r="N7">
        <f>IF(M7="","No - adjustment line (no work date)",IF(COUNTIFS('Summary '!$A$21:$A$36,M7,'Summary '!$D$21:$D$36,K7)&gt;0,"Yes","NO MATCH - INVESTIGATE"))</f>
        <v/>
      </c>
    </row>
  </sheetData>
  <autoFilter ref="A2:Q7"/>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6"/>
  <sheetViews>
    <sheetView workbookViewId="0">
      <selection activeCell="C25" sqref="C25"/>
    </sheetView>
  </sheetViews>
  <sheetFormatPr baseColWidth="8" defaultRowHeight="15"/>
  <cols>
    <col width="15" customWidth="1" style="12" min="1" max="1"/>
    <col width="19.7109375" customWidth="1" style="12" min="2" max="2"/>
    <col width="23.7109375" customWidth="1" style="12" min="3" max="3"/>
    <col width="15" customWidth="1" style="12" min="4" max="4"/>
    <col width="22.85546875" customWidth="1" style="12" min="5" max="5"/>
    <col width="27.140625" customWidth="1" style="12" min="6" max="6"/>
    <col width="5.5703125" customWidth="1" style="13" min="7" max="7"/>
    <col width="9.42578125" customWidth="1" style="12" min="8" max="8"/>
    <col width="10.7109375" customWidth="1" style="12" min="9" max="9"/>
    <col width="18.5703125" customWidth="1" style="12" min="10" max="10"/>
    <col width="55.42578125" customWidth="1" style="12" min="11" max="11"/>
    <col width="70.28515625" customWidth="1" style="12" min="12" max="12"/>
    <col width="18" customWidth="1" style="14" min="13" max="13"/>
    <col width="32" customWidth="1" style="12" min="14" max="14"/>
    <col width="14.140625" customWidth="1" style="15" min="15" max="15"/>
    <col width="15.7109375" customWidth="1" style="15" min="16" max="16"/>
    <col width="9" customWidth="1" style="15" min="17" max="17"/>
  </cols>
  <sheetData>
    <row r="1" customFormat="1" s="8">
      <c r="A1" s="8" t="inlineStr">
        <is>
          <t>Earnings Details</t>
        </is>
      </c>
      <c r="G1" s="9" t="n"/>
    </row>
    <row r="2" customFormat="1" s="8">
      <c r="A2" s="8" t="inlineStr">
        <is>
          <t>Employee Id</t>
        </is>
      </c>
      <c r="B2" s="8" t="inlineStr">
        <is>
          <t>Employee External Id</t>
        </is>
      </c>
      <c r="C2" s="8" t="inlineStr">
        <is>
          <t>Employee Name</t>
        </is>
      </c>
      <c r="D2" s="8" t="inlineStr">
        <is>
          <t>Pay Category Id</t>
        </is>
      </c>
      <c r="E2" s="8" t="inlineStr">
        <is>
          <t>Pay Category External Id</t>
        </is>
      </c>
      <c r="F2" s="8" t="inlineStr">
        <is>
          <t>Pay Category Name</t>
        </is>
      </c>
      <c r="G2" s="9" t="inlineStr">
        <is>
          <t>Units</t>
        </is>
      </c>
      <c r="H2" s="8" t="inlineStr">
        <is>
          <t>Unit Type</t>
        </is>
      </c>
      <c r="I2" s="8" t="inlineStr">
        <is>
          <t>Location Id</t>
        </is>
      </c>
      <c r="J2" s="8" t="inlineStr">
        <is>
          <t>Location External Id</t>
        </is>
      </c>
      <c r="K2" s="8" t="inlineStr">
        <is>
          <t>Location Name</t>
        </is>
      </c>
      <c r="L2" s="8" t="inlineStr">
        <is>
          <t>Notes</t>
        </is>
      </c>
      <c r="M2" s="50" t="inlineStr">
        <is>
          <t>Work Date (helper)</t>
        </is>
      </c>
      <c r="N2" s="50" t="inlineStr">
        <is>
          <t>Matched to Timesheet?</t>
        </is>
      </c>
    </row>
    <row r="3">
      <c r="A3" t="n">
        <v>12414219</v>
      </c>
      <c r="C3" t="inlineStr">
        <is>
          <t>Jonathan Hendratno</t>
        </is>
      </c>
      <c r="D3" t="n">
        <v>2856297</v>
      </c>
      <c r="E3" t="inlineStr">
        <is>
          <t>2286634</t>
        </is>
      </c>
      <c r="F3" t="inlineStr">
        <is>
          <t>Casual Ordinary Hours</t>
        </is>
      </c>
      <c r="G3" s="13" t="n">
        <v>5.5</v>
      </c>
      <c r="H3" t="inlineStr">
        <is>
          <t>Hours</t>
        </is>
      </c>
      <c r="I3" t="n">
        <v>770681</v>
      </c>
      <c r="J3" t="inlineStr">
        <is>
          <t>26043001</t>
        </is>
      </c>
      <c r="K3" t="inlineStr">
        <is>
          <t>CBA FT Tech MEL - 12 months [ONS]</t>
        </is>
      </c>
      <c r="L3" s="16" t="n">
        <v>46232</v>
      </c>
      <c r="M3" s="51">
        <f>IFERROR(DATE(VALUE(MID(L3,FIND("/",L3,FIND("/",L3)+1)+1,4)),VALUE(MID(L3,FIND("/",L3)+1,FIND("/",L3,FIND("/",L3)+1)-FIND("/",L3)-1)),VALUE(LEFT(L3,FIND("/",L3)-1))),IF(ISNUMBER(L3),L3,""))</f>
        <v/>
      </c>
      <c r="N3">
        <f>IF(M3="","No - adjustment line (no work date)",IF(COUNTIFS('Summary '!$A$21:$A$36,M3,'Summary '!$D$21:$D$36,K3)&gt;0,"Yes","NO MATCH - INVESTIGATE"))</f>
        <v/>
      </c>
    </row>
    <row r="4">
      <c r="A4" t="n">
        <v>12414219</v>
      </c>
      <c r="C4" t="inlineStr">
        <is>
          <t>Jonathan Hendratno</t>
        </is>
      </c>
      <c r="D4" t="n">
        <v>2856297</v>
      </c>
      <c r="E4" t="inlineStr">
        <is>
          <t>2286634</t>
        </is>
      </c>
      <c r="F4" t="inlineStr">
        <is>
          <t>Casual Ordinary Hours</t>
        </is>
      </c>
      <c r="G4" s="13" t="n">
        <v>2.5</v>
      </c>
      <c r="H4" t="inlineStr">
        <is>
          <t>Hours</t>
        </is>
      </c>
      <c r="I4" t="n">
        <v>770681</v>
      </c>
      <c r="J4" t="inlineStr">
        <is>
          <t>26043001</t>
        </is>
      </c>
      <c r="K4" t="inlineStr">
        <is>
          <t>CBA FT Tech MEL - 12 months [ONS]</t>
        </is>
      </c>
      <c r="L4" s="16" t="n">
        <v>46232</v>
      </c>
      <c r="M4" s="51">
        <f>IFERROR(DATE(VALUE(MID(L4,FIND("/",L4,FIND("/",L4)+1)+1,4)),VALUE(MID(L4,FIND("/",L4)+1,FIND("/",L4,FIND("/",L4)+1)-FIND("/",L4)-1)),VALUE(LEFT(L4,FIND("/",L4)-1))),IF(ISNUMBER(L4),L4,""))</f>
        <v/>
      </c>
      <c r="N4">
        <f>IF(M4="","No - adjustment line (no work date)",IF(COUNTIFS('Summary '!$A$21:$A$36,M4,'Summary '!$D$21:$D$36,K4)&gt;0,"Yes","NO MATCH - INVESTIGATE"))</f>
        <v/>
      </c>
    </row>
    <row r="5">
      <c r="A5" t="n">
        <v>12414219</v>
      </c>
      <c r="C5" t="inlineStr">
        <is>
          <t>Jonathan Hendratno</t>
        </is>
      </c>
      <c r="D5" t="n">
        <v>2856297</v>
      </c>
      <c r="E5" t="inlineStr">
        <is>
          <t>2286634</t>
        </is>
      </c>
      <c r="F5" t="inlineStr">
        <is>
          <t>Casual Ordinary Hours</t>
        </is>
      </c>
      <c r="G5" s="13" t="n">
        <v>4</v>
      </c>
      <c r="H5" t="inlineStr">
        <is>
          <t>Hours</t>
        </is>
      </c>
      <c r="I5" t="n">
        <v>441184</v>
      </c>
      <c r="J5" t="inlineStr">
        <is>
          <t>2392</t>
        </is>
      </c>
      <c r="K5" t="inlineStr">
        <is>
          <t>PWC – MEL Technician [ONS]</t>
        </is>
      </c>
      <c r="L5" s="16" t="n">
        <v>46233</v>
      </c>
      <c r="M5" s="51">
        <f>IFERROR(DATE(VALUE(MID(L5,FIND("/",L5,FIND("/",L5)+1)+1,4)),VALUE(MID(L5,FIND("/",L5)+1,FIND("/",L5,FIND("/",L5)+1)-FIND("/",L5)-1)),VALUE(LEFT(L5,FIND("/",L5)-1))),IF(ISNUMBER(L5),L5,""))</f>
        <v/>
      </c>
      <c r="N5">
        <f>IF(M5="","No - adjustment line (no work date)",IF(COUNTIFS('Summary '!$A$21:$A$36,M5,'Summary '!$D$21:$D$36,K5)&gt;0,"Yes","NO MATCH - INVESTIGATE"))</f>
        <v/>
      </c>
    </row>
    <row r="6">
      <c r="A6" t="n">
        <v>12414219</v>
      </c>
      <c r="C6" t="inlineStr">
        <is>
          <t>Jonathan Hendratno</t>
        </is>
      </c>
      <c r="D6" t="n">
        <v>2856297</v>
      </c>
      <c r="E6" t="inlineStr">
        <is>
          <t>2286634</t>
        </is>
      </c>
      <c r="F6" t="inlineStr">
        <is>
          <t>Casual Ordinary Hours</t>
        </is>
      </c>
      <c r="G6" s="13" t="n">
        <v>4</v>
      </c>
      <c r="H6" t="inlineStr">
        <is>
          <t>Hours</t>
        </is>
      </c>
      <c r="I6" t="n">
        <v>777409</v>
      </c>
      <c r="J6" t="inlineStr">
        <is>
          <t>26022301</t>
        </is>
      </c>
      <c r="K6" t="inlineStr">
        <is>
          <t>Aware Super AV Maintenance [ONS]</t>
        </is>
      </c>
      <c r="L6" s="16" t="n">
        <v>46233</v>
      </c>
      <c r="M6" s="51">
        <f>IFERROR(DATE(VALUE(MID(L6,FIND("/",L6,FIND("/",L6)+1)+1,4)),VALUE(MID(L6,FIND("/",L6)+1,FIND("/",L6,FIND("/",L6)+1)-FIND("/",L6)-1)),VALUE(LEFT(L6,FIND("/",L6)-1))),IF(ISNUMBER(L6),L6,""))</f>
        <v/>
      </c>
      <c r="N6">
        <f>IF(M6="","No - adjustment line (no work date)",IF(COUNTIFS('Summary '!$A$21:$A$36,M6,'Summary '!$D$21:$D$36,K6)&gt;0,"Yes","NO MATCH - INVESTIGATE"))</f>
        <v/>
      </c>
    </row>
  </sheetData>
  <autoFilter ref="A2:T6"/>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Danica Nelson</dc:creator>
  <dcterms:created xsi:type="dcterms:W3CDTF">2026-09-22T05:04:15Z</dcterms:created>
  <dcterms:modified xsi:type="dcterms:W3CDTF">2026-09-22T05:54:22Z</dcterms:modified>
  <cp:lastModifiedBy>Danica Nelson</cp:lastModifiedBy>
</cp:coreProperties>
</file>