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<sst xmlns="http://schemas.openxmlformats.org/spreadsheetml/2006/main" count="170" uniqueCount="156">
  <si>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</si>
  <si>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</si>
  <si>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</si>
  <si>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</si>
  <si>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</si>
  <si>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</si>
  <si>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</si>
  <si>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</si>
  <si>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</si>
  <si>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</si>
  <si>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</si>
  <si>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</si>
  <si>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</si>
  <si>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</si>
  <si>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</si>
  <si>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</si>
  <si>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</si>
  <si>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</si>
  <si>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</si>
  <si>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</si>
  <si>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</si>
  <si>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</si>
  <si>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</si>
  <si>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</si>
  <si>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</si>
  <si>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</si>
  <si>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</si>
  <si>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</si>
  <si>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</si>
  <si>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</si>
  <si>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</si>
  <si>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</si>
  <si>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</si>
  <si>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</si>
  <si>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</si>
  <si>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</si>
  <si>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</si>
  <si>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</si>
  <si>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</si>
  <si>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</si>
  <si>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</si>
  <si>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</si>
  <si>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</si>
  <si>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</si>
  <si>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</si>
  <si>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</si>
  <si>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</si>
  <si>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</si>
  <si>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</si>
  <si>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</si>
  <si>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</si>
  <si>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</si>
  <si>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</si>
  <si>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</si>
  <si>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</si>
  <si>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</si>
  <si>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</si>
  <si>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</si>
  <si>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</si>
  <si>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</si>
  <si>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</si>
  <si>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</si>
  <si>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</si>
  <si>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</si>
  <si>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</si>
  <si>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</si>
  <si>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</si>
  <si>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</si>
  <si>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</si>
  <si>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</si>
  <si>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</si>
  <si>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</si>
  <si>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</si>
  <si>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</si>
  <si>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</si>
  <si>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</si>
  <si>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</si>
  <si>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</si>
  <si>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</si>
  <si>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</si>
  <si>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</si>
  <si>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</si>
  <si>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</si>
  <si>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</si>
  <si>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</si>
  <si>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</si>
  <si>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</si>
  <si>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</si>
  <si>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</si>
  <si>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</si>
  <si>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</si>
  <si>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Rows must be in date order within each employee (EH's default). The latest row's Closing Balance is used as the balance now.</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</si>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</sst>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IF(AE5=0,"",DATE(YEAR(AsOfDate)+IF(DATE(YEAR(AsOfDate),MONTH(AF5),DAY(AF5))&lt;=AsOfDate,1,0),MONTH(AF5),DAY(AF5)))</f>
        <v/>
      </c>
      <c r="L5" s="11" t="str">
        <f aca="false">IF(AE5=0,"",ROUND((AsOfDate-AF5)/365.25,1))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IF(AE5=0,"",IF(NOT(LH_Ready),"",IF(LH_ColPeriod=0,W5-U5+V5,SUMIFS(INDEX(LH_Data,0,LH_ColAcc),INDEX(LH_Data,0,LH_ColFirst),$A5,INDEX(LH_Data,0,LH_ColSur),$B5,INDEX(LH_Data,0,LH_ColCat),BonusCat,INDEX(LH_Data,0,LH_ColPeriod),LH_OpenLabel)*UnitFactor)))</f>
        <v/>
      </c>
      <c r="U5" s="13" t="str">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
      </c>
      <c r="V5" s="13" t="str">
        <f aca="false">IF(AE5=0,"",IF(NOT(LH_Ready),"",SUMIFS(INDEX(LH_Data,0,LH_ColTaken),INDEX(LH_Data,0,LH_ColFirst),$A5,INDEX(LH_Data,0,LH_ColSur),$B5,INDEX(LH_Data,0,LH_ColCat),BonusCat)*UnitFactor))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IF(AE5=0,"",IF($J5&lt;&gt;"",$J5,IF(OR(CasualCounts="Yes",COUNT($G5:$I5)=0,COUNT($G5:$H5)=0),$F5,MIN($G5:$H5))))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IF(AE6=0,"",DATE(YEAR(AsOfDate)+IF(DATE(YEAR(AsOfDate),MONTH(AF6),DAY(AF6))&lt;=AsOfDate,1,0),MONTH(AF6),DAY(AF6)))</f>
        <v/>
      </c>
      <c r="L6" s="11" t="str">
        <f aca="false">IF(AE6=0,"",ROUND((AsOfDate-AF6)/365.25,1))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IF(AE6=0,"",IF(NOT(LH_Ready),"",IF(LH_ColPeriod=0,W6-U6+V6,SUMIFS(INDEX(LH_Data,0,LH_ColAcc),INDEX(LH_Data,0,LH_ColFirst),$A6,INDEX(LH_Data,0,LH_ColSur),$B6,INDEX(LH_Data,0,LH_ColCat),BonusCat,INDEX(LH_Data,0,LH_ColPeriod),LH_OpenLabel)*UnitFactor)))</f>
        <v/>
      </c>
      <c r="U6" s="13" t="str">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
      </c>
      <c r="V6" s="13" t="str">
        <f aca="false">IF(AE6=0,"",IF(NOT(LH_Ready),"",SUMIFS(INDEX(LH_Data,0,LH_ColTaken),INDEX(LH_Data,0,LH_ColFirst),$A6,INDEX(LH_Data,0,LH_ColSur),$B6,INDEX(LH_Data,0,LH_ColCat),BonusCat)*UnitFactor))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IF(AE6=0,"",IF($J6&lt;&gt;"",$J6,IF(OR(CasualCounts="Yes",COUNT($G6:$I6)=0,COUNT($G6:$H6)=0),$F6,MIN($G6:$H6))))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IF(AE7=0,"",DATE(YEAR(AsOfDate)+IF(DATE(YEAR(AsOfDate),MONTH(AF7),DAY(AF7))&lt;=AsOfDate,1,0),MONTH(AF7),DAY(AF7)))</f>
        <v/>
      </c>
      <c r="L7" s="11" t="str">
        <f aca="false">IF(AE7=0,"",ROUND((AsOfDate-AF7)/365.25,1))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IF(AE7=0,"",IF(NOT(LH_Ready),"",IF(LH_ColPeriod=0,W7-U7+V7,SUMIFS(INDEX(LH_Data,0,LH_ColAcc),INDEX(LH_Data,0,LH_ColFirst),$A7,INDEX(LH_Data,0,LH_ColSur),$B7,INDEX(LH_Data,0,LH_ColCat),BonusCat,INDEX(LH_Data,0,LH_ColPeriod),LH_OpenLabel)*UnitFactor)))</f>
        <v/>
      </c>
      <c r="U7" s="13" t="str">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
      </c>
      <c r="V7" s="13" t="str">
        <f aca="false">IF(AE7=0,"",IF(NOT(LH_Ready),"",SUMIFS(INDEX(LH_Data,0,LH_ColTaken),INDEX(LH_Data,0,LH_ColFirst),$A7,INDEX(LH_Data,0,LH_ColSur),$B7,INDEX(LH_Data,0,LH_ColCat),BonusCat)*UnitFactor))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IF(AE7=0,"",IF($J7&lt;&gt;"",$J7,IF(OR(CasualCounts="Yes",COUNT($G7:$I7)=0,COUNT($G7:$H7)=0),$F7,MIN($G7:$H7))))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IF(AE8=0,"",DATE(YEAR(AsOfDate)+IF(DATE(YEAR(AsOfDate),MONTH(AF8),DAY(AF8))&lt;=AsOfDate,1,0),MONTH(AF8),DAY(AF8)))</f>
        <v/>
      </c>
      <c r="L8" s="11" t="str">
        <f aca="false">IF(AE8=0,"",ROUND((AsOfDate-AF8)/365.25,1))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IF(AE8=0,"",IF(NOT(LH_Ready),"",IF(LH_ColPeriod=0,W8-U8+V8,SUMIFS(INDEX(LH_Data,0,LH_ColAcc),INDEX(LH_Data,0,LH_ColFirst),$A8,INDEX(LH_Data,0,LH_ColSur),$B8,INDEX(LH_Data,0,LH_ColCat),BonusCat,INDEX(LH_Data,0,LH_ColPeriod),LH_OpenLabel)*UnitFactor)))</f>
        <v/>
      </c>
      <c r="U8" s="13" t="str">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
      </c>
      <c r="V8" s="13" t="str">
        <f aca="false">IF(AE8=0,"",IF(NOT(LH_Ready),"",SUMIFS(INDEX(LH_Data,0,LH_ColTaken),INDEX(LH_Data,0,LH_ColFirst),$A8,INDEX(LH_Data,0,LH_ColSur),$B8,INDEX(LH_Data,0,LH_ColCat),BonusCat)*UnitFactor))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IF(AE8=0,"",IF($J8&lt;&gt;"",$J8,IF(OR(CasualCounts="Yes",COUNT($G8:$I8)=0,COUNT($G8:$H8)=0),$F8,MIN($G8:$H8))))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IF(AE9=0,"",DATE(YEAR(AsOfDate)+IF(DATE(YEAR(AsOfDate),MONTH(AF9),DAY(AF9))&lt;=AsOfDate,1,0),MONTH(AF9),DAY(AF9)))</f>
        <v/>
      </c>
      <c r="L9" s="11" t="str">
        <f aca="false">IF(AE9=0,"",ROUND((AsOfDate-AF9)/365.25,1))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IF(AE9=0,"",IF(NOT(LH_Ready),"",IF(LH_ColPeriod=0,W9-U9+V9,SUMIFS(INDEX(LH_Data,0,LH_ColAcc),INDEX(LH_Data,0,LH_ColFirst),$A9,INDEX(LH_Data,0,LH_ColSur),$B9,INDEX(LH_Data,0,LH_ColCat),BonusCat,INDEX(LH_Data,0,LH_ColPeriod),LH_OpenLabel)*UnitFactor)))</f>
        <v/>
      </c>
      <c r="U9" s="13" t="str">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
      </c>
      <c r="V9" s="13" t="str">
        <f aca="false">IF(AE9=0,"",IF(NOT(LH_Ready),"",SUMIFS(INDEX(LH_Data,0,LH_ColTaken),INDEX(LH_Data,0,LH_ColFirst),$A9,INDEX(LH_Data,0,LH_ColSur),$B9,INDEX(LH_Data,0,LH_ColCat),BonusCat)*UnitFactor))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IF(AE9=0,"",IF($J9&lt;&gt;"",$J9,IF(OR(CasualCounts="Yes",COUNT($G9:$I9)=0,COUNT($G9:$H9)=0),$F9,MIN($G9:$H9))))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IF(AE10=0,"",DATE(YEAR(AsOfDate)+IF(DATE(YEAR(AsOfDate),MONTH(AF10),DAY(AF10))&lt;=AsOfDate,1,0),MONTH(AF10),DAY(AF10)))</f>
        <v/>
      </c>
      <c r="L10" s="11" t="str">
        <f aca="false">IF(AE10=0,"",ROUND((AsOfDate-AF10)/365.25,1))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IF(AE10=0,"",IF(NOT(LH_Ready),"",IF(LH_ColPeriod=0,W10-U10+V10,SUMIFS(INDEX(LH_Data,0,LH_ColAcc),INDEX(LH_Data,0,LH_ColFirst),$A10,INDEX(LH_Data,0,LH_ColSur),$B10,INDEX(LH_Data,0,LH_ColCat),BonusCat,INDEX(LH_Data,0,LH_ColPeriod),LH_OpenLabel)*UnitFactor)))</f>
        <v/>
      </c>
      <c r="U10" s="13" t="str">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
      </c>
      <c r="V10" s="13" t="str">
        <f aca="false">IF(AE10=0,"",IF(NOT(LH_Ready),"",SUMIFS(INDEX(LH_Data,0,LH_ColTaken),INDEX(LH_Data,0,LH_ColFirst),$A10,INDEX(LH_Data,0,LH_ColSur),$B10,INDEX(LH_Data,0,LH_ColCat),BonusCat)*UnitFactor))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IF(AE10=0,"",IF($J10&lt;&gt;"",$J10,IF(OR(CasualCounts="Yes",COUNT($G10:$I10)=0,COUNT($G10:$H10)=0),$F10,MIN($G10:$H10))))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IF(AE11=0,"",DATE(YEAR(AsOfDate)+IF(DATE(YEAR(AsOfDate),MONTH(AF11),DAY(AF11))&lt;=AsOfDate,1,0),MONTH(AF11),DAY(AF11)))</f>
        <v/>
      </c>
      <c r="L11" s="11" t="str">
        <f aca="false">IF(AE11=0,"",ROUND((AsOfDate-AF11)/365.25,1))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IF(AE11=0,"",IF(NOT(LH_Ready),"",IF(LH_ColPeriod=0,W11-U11+V11,SUMIFS(INDEX(LH_Data,0,LH_ColAcc),INDEX(LH_Data,0,LH_ColFirst),$A11,INDEX(LH_Data,0,LH_ColSur),$B11,INDEX(LH_Data,0,LH_ColCat),BonusCat,INDEX(LH_Data,0,LH_ColPeriod),LH_OpenLabel)*UnitFactor)))</f>
        <v/>
      </c>
      <c r="U11" s="13" t="str">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
      </c>
      <c r="V11" s="13" t="str">
        <f aca="false">IF(AE11=0,"",IF(NOT(LH_Ready),"",SUMIFS(INDEX(LH_Data,0,LH_ColTaken),INDEX(LH_Data,0,LH_ColFirst),$A11,INDEX(LH_Data,0,LH_ColSur),$B11,INDEX(LH_Data,0,LH_ColCat),BonusCat)*UnitFactor))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IF(AE11=0,"",IF($J11&lt;&gt;"",$J11,IF(OR(CasualCounts="Yes",COUNT($G11:$I11)=0,COUNT($G11:$H11)=0),$F11,MIN($G11:$H11))))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IF(AE12=0,"",DATE(YEAR(AsOfDate)+IF(DATE(YEAR(AsOfDate),MONTH(AF12),DAY(AF12))&lt;=AsOfDate,1,0),MONTH(AF12),DAY(AF12)))</f>
        <v/>
      </c>
      <c r="L12" s="11" t="str">
        <f aca="false">IF(AE12=0,"",ROUND((AsOfDate-AF12)/365.25,1))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IF(AE12=0,"",IF(NOT(LH_Ready),"",IF(LH_ColPeriod=0,W12-U12+V12,SUMIFS(INDEX(LH_Data,0,LH_ColAcc),INDEX(LH_Data,0,LH_ColFirst),$A12,INDEX(LH_Data,0,LH_ColSur),$B12,INDEX(LH_Data,0,LH_ColCat),BonusCat,INDEX(LH_Data,0,LH_ColPeriod),LH_OpenLabel)*UnitFactor)))</f>
        <v/>
      </c>
      <c r="U12" s="13" t="str">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
      </c>
      <c r="V12" s="13" t="str">
        <f aca="false">IF(AE12=0,"",IF(NOT(LH_Ready),"",SUMIFS(INDEX(LH_Data,0,LH_ColTaken),INDEX(LH_Data,0,LH_ColFirst),$A12,INDEX(LH_Data,0,LH_ColSur),$B12,INDEX(LH_Data,0,LH_ColCat),BonusCat)*UnitFactor))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IF(AE12=0,"",IF($J12&lt;&gt;"",$J12,IF(OR(CasualCounts="Yes",COUNT($G12:$I12)=0,COUNT($G12:$H12)=0),$F12,MIN($G12:$H12))))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IF(AE13=0,"",DATE(YEAR(AsOfDate)+IF(DATE(YEAR(AsOfDate),MONTH(AF13),DAY(AF13))&lt;=AsOfDate,1,0),MONTH(AF13),DAY(AF13)))</f>
        <v/>
      </c>
      <c r="L13" s="11" t="str">
        <f aca="false">IF(AE13=0,"",ROUND((AsOfDate-AF13)/365.25,1))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IF(AE13=0,"",IF(NOT(LH_Ready),"",IF(LH_ColPeriod=0,W13-U13+V13,SUMIFS(INDEX(LH_Data,0,LH_ColAcc),INDEX(LH_Data,0,LH_ColFirst),$A13,INDEX(LH_Data,0,LH_ColSur),$B13,INDEX(LH_Data,0,LH_ColCat),BonusCat,INDEX(LH_Data,0,LH_ColPeriod),LH_OpenLabel)*UnitFactor)))</f>
        <v/>
      </c>
      <c r="U13" s="13" t="str">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IF(AE13=0,"",IF($J13&lt;&gt;"",$J13,IF(OR(CasualCounts="Yes",COUNT($G13:$I13)=0,COUNT($G13:$H13)=0),$F13,MIN($G13:$H13))))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IF(AE14=0,"",DATE(YEAR(AsOfDate)+IF(DATE(YEAR(AsOfDate),MONTH(AF14),DAY(AF14))&lt;=AsOfDate,1,0),MONTH(AF14),DAY(AF14)))</f>
        <v/>
      </c>
      <c r="L14" s="11" t="str">
        <f aca="false">IF(AE14=0,"",ROUND((AsOfDate-AF14)/365.25,1))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IF(AE14=0,"",IF(NOT(LH_Ready),"",IF(LH_ColPeriod=0,W14-U14+V14,SUMIFS(INDEX(LH_Data,0,LH_ColAcc),INDEX(LH_Data,0,LH_ColFirst),$A14,INDEX(LH_Data,0,LH_ColSur),$B14,INDEX(LH_Data,0,LH_ColCat),BonusCat,INDEX(LH_Data,0,LH_ColPeriod),LH_OpenLabel)*UnitFactor)))</f>
        <v/>
      </c>
      <c r="U14" s="13" t="str">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IF(AE14=0,"",IF($J14&lt;&gt;"",$J14,IF(OR(CasualCounts="Yes",COUNT($G14:$I14)=0,COUNT($G14:$H14)=0),$F14,MIN($G14:$H14))))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IF(AE15=0,"",DATE(YEAR(AsOfDate)+IF(DATE(YEAR(AsOfDate),MONTH(AF15),DAY(AF15))&lt;=AsOfDate,1,0),MONTH(AF15),DAY(AF15)))</f>
        <v/>
      </c>
      <c r="L15" s="11" t="str">
        <f aca="false">IF(AE15=0,"",ROUND((AsOfDate-AF15)/365.25,1))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IF(AE15=0,"",IF(NOT(LH_Ready),"",IF(LH_ColPeriod=0,W15-U15+V15,SUMIFS(INDEX(LH_Data,0,LH_ColAcc),INDEX(LH_Data,0,LH_ColFirst),$A15,INDEX(LH_Data,0,LH_ColSur),$B15,INDEX(LH_Data,0,LH_ColCat),BonusCat,INDEX(LH_Data,0,LH_ColPeriod),LH_OpenLabel)*UnitFactor)))</f>
        <v/>
      </c>
      <c r="U15" s="13" t="str">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IF(AE15=0,"",IF($J15&lt;&gt;"",$J15,IF(OR(CasualCounts="Yes",COUNT($G15:$I15)=0,COUNT($G15:$H15)=0),$F15,MIN($G15:$H15))))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IF(AE16=0,"",DATE(YEAR(AsOfDate)+IF(DATE(YEAR(AsOfDate),MONTH(AF16),DAY(AF16))&lt;=AsOfDate,1,0),MONTH(AF16),DAY(AF16)))</f>
        <v/>
      </c>
      <c r="L16" s="11" t="str">
        <f aca="false">IF(AE16=0,"",ROUND((AsOfDate-AF16)/365.25,1))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IF(AE16=0,"",IF(NOT(LH_Ready),"",IF(LH_ColPeriod=0,W16-U16+V16,SUMIFS(INDEX(LH_Data,0,LH_ColAcc),INDEX(LH_Data,0,LH_ColFirst),$A16,INDEX(LH_Data,0,LH_ColSur),$B16,INDEX(LH_Data,0,LH_ColCat),BonusCat,INDEX(LH_Data,0,LH_ColPeriod),LH_OpenLabel)*UnitFactor)))</f>
        <v/>
      </c>
      <c r="U16" s="13" t="str">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IF(AE16=0,"",IF($J16&lt;&gt;"",$J16,IF(OR(CasualCounts="Yes",COUNT($G16:$I16)=0,COUNT($G16:$H16)=0),$F16,MIN($G16:$H16))))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IF(AE17=0,"",DATE(YEAR(AsOfDate)+IF(DATE(YEAR(AsOfDate),MONTH(AF17),DAY(AF17))&lt;=AsOfDate,1,0),MONTH(AF17),DAY(AF17)))</f>
        <v/>
      </c>
      <c r="L17" s="11" t="str">
        <f aca="false">IF(AE17=0,"",ROUND((AsOfDate-AF17)/365.25,1))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IF(AE17=0,"",IF(NOT(LH_Ready),"",IF(LH_ColPeriod=0,W17-U17+V17,SUMIFS(INDEX(LH_Data,0,LH_ColAcc),INDEX(LH_Data,0,LH_ColFirst),$A17,INDEX(LH_Data,0,LH_ColSur),$B17,INDEX(LH_Data,0,LH_ColCat),BonusCat,INDEX(LH_Data,0,LH_ColPeriod),LH_OpenLabel)*UnitFactor)))</f>
        <v/>
      </c>
      <c r="U17" s="13" t="str">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IF(AE17=0,"",IF($J17&lt;&gt;"",$J17,IF(OR(CasualCounts="Yes",COUNT($G17:$I17)=0,COUNT($G17:$H17)=0),$F17,MIN($G17:$H17))))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IF(AE18=0,"",DATE(YEAR(AsOfDate)+IF(DATE(YEAR(AsOfDate),MONTH(AF18),DAY(AF18))&lt;=AsOfDate,1,0),MONTH(AF18),DAY(AF18)))</f>
        <v/>
      </c>
      <c r="L18" s="11" t="str">
        <f aca="false">IF(AE18=0,"",ROUND((AsOfDate-AF18)/365.25,1))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IF(AE18=0,"",IF(NOT(LH_Ready),"",IF(LH_ColPeriod=0,W18-U18+V18,SUMIFS(INDEX(LH_Data,0,LH_ColAcc),INDEX(LH_Data,0,LH_ColFirst),$A18,INDEX(LH_Data,0,LH_ColSur),$B18,INDEX(LH_Data,0,LH_ColCat),BonusCat,INDEX(LH_Data,0,LH_ColPeriod),LH_OpenLabel)*UnitFactor)))</f>
        <v/>
      </c>
      <c r="U18" s="13" t="str">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IF(AE18=0,"",IF($J18&lt;&gt;"",$J18,IF(OR(CasualCounts="Yes",COUNT($G18:$I18)=0,COUNT($G18:$H18)=0),$F18,MIN($G18:$H18))))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IF(AE19=0,"",DATE(YEAR(AsOfDate)+IF(DATE(YEAR(AsOfDate),MONTH(AF19),DAY(AF19))&lt;=AsOfDate,1,0),MONTH(AF19),DAY(AF19)))</f>
        <v/>
      </c>
      <c r="L19" s="11" t="str">
        <f aca="false">IF(AE19=0,"",ROUND((AsOfDate-AF19)/365.25,1))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IF(AE19=0,"",IF(NOT(LH_Ready),"",IF(LH_ColPeriod=0,W19-U19+V19,SUMIFS(INDEX(LH_Data,0,LH_ColAcc),INDEX(LH_Data,0,LH_ColFirst),$A19,INDEX(LH_Data,0,LH_ColSur),$B19,INDEX(LH_Data,0,LH_ColCat),BonusCat,INDEX(LH_Data,0,LH_ColPeriod),LH_OpenLabel)*UnitFactor)))</f>
        <v/>
      </c>
      <c r="U19" s="13" t="str">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IF(AE19=0,"",IF($J19&lt;&gt;"",$J19,IF(OR(CasualCounts="Yes",COUNT($G19:$I19)=0,COUNT($G19:$H19)=0),$F19,MIN($G19:$H19))))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IF(AE20=0,"",DATE(YEAR(AsOfDate)+IF(DATE(YEAR(AsOfDate),MONTH(AF20),DAY(AF20))&lt;=AsOfDate,1,0),MONTH(AF20),DAY(AF20)))</f>
        <v/>
      </c>
      <c r="L20" s="11" t="str">
        <f aca="false">IF(AE20=0,"",ROUND((AsOfDate-AF20)/365.25,1))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IF(AE20=0,"",IF(NOT(LH_Ready),"",IF(LH_ColPeriod=0,W20-U20+V20,SUMIFS(INDEX(LH_Data,0,LH_ColAcc),INDEX(LH_Data,0,LH_ColFirst),$A20,INDEX(LH_Data,0,LH_ColSur),$B20,INDEX(LH_Data,0,LH_ColCat),BonusCat,INDEX(LH_Data,0,LH_ColPeriod),LH_OpenLabel)*UnitFactor)))</f>
        <v/>
      </c>
      <c r="U20" s="13" t="str">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IF(AE20=0,"",IF($J20&lt;&gt;"",$J20,IF(OR(CasualCounts="Yes",COUNT($G20:$I20)=0,COUNT($G20:$H20)=0),$F20,MIN($G20:$H20))))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IF(AE21=0,"",DATE(YEAR(AsOfDate)+IF(DATE(YEAR(AsOfDate),MONTH(AF21),DAY(AF21))&lt;=AsOfDate,1,0),MONTH(AF21),DAY(AF21)))</f>
        <v/>
      </c>
      <c r="L21" s="11" t="str">
        <f aca="false">IF(AE21=0,"",ROUND((AsOfDate-AF21)/365.25,1))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IF(AE21=0,"",IF(NOT(LH_Ready),"",IF(LH_ColPeriod=0,W21-U21+V21,SUMIFS(INDEX(LH_Data,0,LH_ColAcc),INDEX(LH_Data,0,LH_ColFirst),$A21,INDEX(LH_Data,0,LH_ColSur),$B21,INDEX(LH_Data,0,LH_ColCat),BonusCat,INDEX(LH_Data,0,LH_ColPeriod),LH_OpenLabel)*UnitFactor)))</f>
        <v/>
      </c>
      <c r="U21" s="13" t="str">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IF(AE21=0,"",IF($J21&lt;&gt;"",$J21,IF(OR(CasualCounts="Yes",COUNT($G21:$I21)=0,COUNT($G21:$H21)=0),$F21,MIN($G21:$H21))))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IF(AE22=0,"",DATE(YEAR(AsOfDate)+IF(DATE(YEAR(AsOfDate),MONTH(AF22),DAY(AF22))&lt;=AsOfDate,1,0),MONTH(AF22),DAY(AF22)))</f>
        <v/>
      </c>
      <c r="L22" s="11" t="str">
        <f aca="false">IF(AE22=0,"",ROUND((AsOfDate-AF22)/365.25,1))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IF(AE22=0,"",IF(NOT(LH_Ready),"",IF(LH_ColPeriod=0,W22-U22+V22,SUMIFS(INDEX(LH_Data,0,LH_ColAcc),INDEX(LH_Data,0,LH_ColFirst),$A22,INDEX(LH_Data,0,LH_ColSur),$B22,INDEX(LH_Data,0,LH_ColCat),BonusCat,INDEX(LH_Data,0,LH_ColPeriod),LH_OpenLabel)*UnitFactor)))</f>
        <v/>
      </c>
      <c r="U22" s="13" t="str">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IF(AE22=0,"",IF($J22&lt;&gt;"",$J22,IF(OR(CasualCounts="Yes",COUNT($G22:$I22)=0,COUNT($G22:$H22)=0),$F22,MIN($G22:$H22))))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IF(AE23=0,"",DATE(YEAR(AsOfDate)+IF(DATE(YEAR(AsOfDate),MONTH(AF23),DAY(AF23))&lt;=AsOfDate,1,0),MONTH(AF23),DAY(AF23)))</f>
        <v/>
      </c>
      <c r="L23" s="11" t="str">
        <f aca="false">IF(AE23=0,"",ROUND((AsOfDate-AF23)/365.25,1))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IF(AE23=0,"",IF(NOT(LH_Ready),"",IF(LH_ColPeriod=0,W23-U23+V23,SUMIFS(INDEX(LH_Data,0,LH_ColAcc),INDEX(LH_Data,0,LH_ColFirst),$A23,INDEX(LH_Data,0,LH_ColSur),$B23,INDEX(LH_Data,0,LH_ColCat),BonusCat,INDEX(LH_Data,0,LH_ColPeriod),LH_OpenLabel)*UnitFactor)))</f>
        <v/>
      </c>
      <c r="U23" s="13" t="str">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IF(AE23=0,"",IF($J23&lt;&gt;"",$J23,IF(OR(CasualCounts="Yes",COUNT($G23:$I23)=0,COUNT($G23:$H23)=0),$F23,MIN($G23:$H23))))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IF(AE24=0,"",DATE(YEAR(AsOfDate)+IF(DATE(YEAR(AsOfDate),MONTH(AF24),DAY(AF24))&lt;=AsOfDate,1,0),MONTH(AF24),DAY(AF24)))</f>
        <v/>
      </c>
      <c r="L24" s="11" t="str">
        <f aca="false">IF(AE24=0,"",ROUND((AsOfDate-AF24)/365.25,1))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IF(AE24=0,"",IF(NOT(LH_Ready),"",IF(LH_ColPeriod=0,W24-U24+V24,SUMIFS(INDEX(LH_Data,0,LH_ColAcc),INDEX(LH_Data,0,LH_ColFirst),$A24,INDEX(LH_Data,0,LH_ColSur),$B24,INDEX(LH_Data,0,LH_ColCat),BonusCat,INDEX(LH_Data,0,LH_ColPeriod),LH_OpenLabel)*UnitFactor)))</f>
        <v/>
      </c>
      <c r="U24" s="13" t="str">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IF(AE24=0,"",IF($J24&lt;&gt;"",$J24,IF(OR(CasualCounts="Yes",COUNT($G24:$I24)=0,COUNT($G24:$H24)=0),$F24,MIN($G24:$H24))))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IF(AE25=0,"",DATE(YEAR(AsOfDate)+IF(DATE(YEAR(AsOfDate),MONTH(AF25),DAY(AF25))&lt;=AsOfDate,1,0),MONTH(AF25),DAY(AF25)))</f>
        <v/>
      </c>
      <c r="L25" s="11" t="str">
        <f aca="false">IF(AE25=0,"",ROUND((AsOfDate-AF25)/365.25,1))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IF(AE25=0,"",IF(NOT(LH_Ready),"",IF(LH_ColPeriod=0,W25-U25+V25,SUMIFS(INDEX(LH_Data,0,LH_ColAcc),INDEX(LH_Data,0,LH_ColFirst),$A25,INDEX(LH_Data,0,LH_ColSur),$B25,INDEX(LH_Data,0,LH_ColCat),BonusCat,INDEX(LH_Data,0,LH_ColPeriod),LH_OpenLabel)*UnitFactor)))</f>
        <v/>
      </c>
      <c r="U25" s="13" t="str">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IF(AE25=0,"",IF($J25&lt;&gt;"",$J25,IF(OR(CasualCounts="Yes",COUNT($G25:$I25)=0,COUNT($G25:$H25)=0),$F25,MIN($G25:$H25))))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IF(AE26=0,"",DATE(YEAR(AsOfDate)+IF(DATE(YEAR(AsOfDate),MONTH(AF26),DAY(AF26))&lt;=AsOfDate,1,0),MONTH(AF26),DAY(AF26)))</f>
        <v/>
      </c>
      <c r="L26" s="11" t="str">
        <f aca="false">IF(AE26=0,"",ROUND((AsOfDate-AF26)/365.25,1))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IF(AE26=0,"",IF(NOT(LH_Ready),"",IF(LH_ColPeriod=0,W26-U26+V26,SUMIFS(INDEX(LH_Data,0,LH_ColAcc),INDEX(LH_Data,0,LH_ColFirst),$A26,INDEX(LH_Data,0,LH_ColSur),$B26,INDEX(LH_Data,0,LH_ColCat),BonusCat,INDEX(LH_Data,0,LH_ColPeriod),LH_OpenLabel)*UnitFactor)))</f>
        <v/>
      </c>
      <c r="U26" s="13" t="str">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IF(AE26=0,"",IF($J26&lt;&gt;"",$J26,IF(OR(CasualCounts="Yes",COUNT($G26:$I26)=0,COUNT($G26:$H26)=0),$F26,MIN($G26:$H26))))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IF(AE27=0,"",DATE(YEAR(AsOfDate)+IF(DATE(YEAR(AsOfDate),MONTH(AF27),DAY(AF27))&lt;=AsOfDate,1,0),MONTH(AF27),DAY(AF27)))</f>
        <v/>
      </c>
      <c r="L27" s="11" t="str">
        <f aca="false">IF(AE27=0,"",ROUND((AsOfDate-AF27)/365.25,1))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IF(AE27=0,"",IF(NOT(LH_Ready),"",IF(LH_ColPeriod=0,W27-U27+V27,SUMIFS(INDEX(LH_Data,0,LH_ColAcc),INDEX(LH_Data,0,LH_ColFirst),$A27,INDEX(LH_Data,0,LH_ColSur),$B27,INDEX(LH_Data,0,LH_ColCat),BonusCat,INDEX(LH_Data,0,LH_ColPeriod),LH_OpenLabel)*UnitFactor)))</f>
        <v/>
      </c>
      <c r="U27" s="13" t="str">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IF(AE27=0,"",IF($J27&lt;&gt;"",$J27,IF(OR(CasualCounts="Yes",COUNT($G27:$I27)=0,COUNT($G27:$H27)=0),$F27,MIN($G27:$H27))))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IF(AE28=0,"",DATE(YEAR(AsOfDate)+IF(DATE(YEAR(AsOfDate),MONTH(AF28),DAY(AF28))&lt;=AsOfDate,1,0),MONTH(AF28),DAY(AF28)))</f>
        <v/>
      </c>
      <c r="L28" s="11" t="str">
        <f aca="false">IF(AE28=0,"",ROUND((AsOfDate-AF28)/365.25,1))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IF(AE28=0,"",IF(NOT(LH_Ready),"",IF(LH_ColPeriod=0,W28-U28+V28,SUMIFS(INDEX(LH_Data,0,LH_ColAcc),INDEX(LH_Data,0,LH_ColFirst),$A28,INDEX(LH_Data,0,LH_ColSur),$B28,INDEX(LH_Data,0,LH_ColCat),BonusCat,INDEX(LH_Data,0,LH_ColPeriod),LH_OpenLabel)*UnitFactor)))</f>
        <v/>
      </c>
      <c r="U28" s="13" t="str">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IF(AE28=0,"",IF($J28&lt;&gt;"",$J28,IF(OR(CasualCounts="Yes",COUNT($G28:$I28)=0,COUNT($G28:$H28)=0),$F28,MIN($G28:$H28))))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IF(AE29=0,"",DATE(YEAR(AsOfDate)+IF(DATE(YEAR(AsOfDate),MONTH(AF29),DAY(AF29))&lt;=AsOfDate,1,0),MONTH(AF29),DAY(AF29)))</f>
        <v/>
      </c>
      <c r="L29" s="11" t="str">
        <f aca="false">IF(AE29=0,"",ROUND((AsOfDate-AF29)/365.25,1))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IF(AE29=0,"",IF(NOT(LH_Ready),"",IF(LH_ColPeriod=0,W29-U29+V29,SUMIFS(INDEX(LH_Data,0,LH_ColAcc),INDEX(LH_Data,0,LH_ColFirst),$A29,INDEX(LH_Data,0,LH_ColSur),$B29,INDEX(LH_Data,0,LH_ColCat),BonusCat,INDEX(LH_Data,0,LH_ColPeriod),LH_OpenLabel)*UnitFactor)))</f>
        <v/>
      </c>
      <c r="U29" s="13" t="str">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IF(AE29=0,"",IF($J29&lt;&gt;"",$J29,IF(OR(CasualCounts="Yes",COUNT($G29:$I29)=0,COUNT($G29:$H29)=0),$F29,MIN($G29:$H29))))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IF(AE30=0,"",DATE(YEAR(AsOfDate)+IF(DATE(YEAR(AsOfDate),MONTH(AF30),DAY(AF30))&lt;=AsOfDate,1,0),MONTH(AF30),DAY(AF30)))</f>
        <v/>
      </c>
      <c r="L30" s="11" t="str">
        <f aca="false">IF(AE30=0,"",ROUND((AsOfDate-AF30)/365.25,1))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IF(AE30=0,"",IF(NOT(LH_Ready),"",IF(LH_ColPeriod=0,W30-U30+V30,SUMIFS(INDEX(LH_Data,0,LH_ColAcc),INDEX(LH_Data,0,LH_ColFirst),$A30,INDEX(LH_Data,0,LH_ColSur),$B30,INDEX(LH_Data,0,LH_ColCat),BonusCat,INDEX(LH_Data,0,LH_ColPeriod),LH_OpenLabel)*UnitFactor)))</f>
        <v/>
      </c>
      <c r="U30" s="13" t="str">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IF(AE30=0,"",IF($J30&lt;&gt;"",$J30,IF(OR(CasualCounts="Yes",COUNT($G30:$I30)=0,COUNT($G30:$H30)=0),$F30,MIN($G30:$H30))))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IF(AE31=0,"",DATE(YEAR(AsOfDate)+IF(DATE(YEAR(AsOfDate),MONTH(AF31),DAY(AF31))&lt;=AsOfDate,1,0),MONTH(AF31),DAY(AF31)))</f>
        <v/>
      </c>
      <c r="L31" s="11" t="str">
        <f aca="false">IF(AE31=0,"",ROUND((AsOfDate-AF31)/365.25,1))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IF(AE31=0,"",IF(NOT(LH_Ready),"",IF(LH_ColPeriod=0,W31-U31+V31,SUMIFS(INDEX(LH_Data,0,LH_ColAcc),INDEX(LH_Data,0,LH_ColFirst),$A31,INDEX(LH_Data,0,LH_ColSur),$B31,INDEX(LH_Data,0,LH_ColCat),BonusCat,INDEX(LH_Data,0,LH_ColPeriod),LH_OpenLabel)*UnitFactor)))</f>
        <v/>
      </c>
      <c r="U31" s="13" t="str">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IF(AE31=0,"",IF($J31&lt;&gt;"",$J31,IF(OR(CasualCounts="Yes",COUNT($G31:$I31)=0,COUNT($G31:$H31)=0),$F31,MIN($G31:$H31))))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IF(AE32=0,"",DATE(YEAR(AsOfDate)+IF(DATE(YEAR(AsOfDate),MONTH(AF32),DAY(AF32))&lt;=AsOfDate,1,0),MONTH(AF32),DAY(AF32)))</f>
        <v/>
      </c>
      <c r="L32" s="11" t="str">
        <f aca="false">IF(AE32=0,"",ROUND((AsOfDate-AF32)/365.25,1))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IF(AE32=0,"",IF(NOT(LH_Ready),"",IF(LH_ColPeriod=0,W32-U32+V32,SUMIFS(INDEX(LH_Data,0,LH_ColAcc),INDEX(LH_Data,0,LH_ColFirst),$A32,INDEX(LH_Data,0,LH_ColSur),$B32,INDEX(LH_Data,0,LH_ColCat),BonusCat,INDEX(LH_Data,0,LH_ColPeriod),LH_OpenLabel)*UnitFactor)))</f>
        <v/>
      </c>
      <c r="U32" s="13" t="str">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IF(AE32=0,"",IF($J32&lt;&gt;"",$J32,IF(OR(CasualCounts="Yes",COUNT($G32:$I32)=0,COUNT($G32:$H32)=0),$F32,MIN($G32:$H32))))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IF(AE33=0,"",DATE(YEAR(AsOfDate)+IF(DATE(YEAR(AsOfDate),MONTH(AF33),DAY(AF33))&lt;=AsOfDate,1,0),MONTH(AF33),DAY(AF33)))</f>
        <v/>
      </c>
      <c r="L33" s="11" t="str">
        <f aca="false">IF(AE33=0,"",ROUND((AsOfDate-AF33)/365.25,1))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IF(AE33=0,"",IF(NOT(LH_Ready),"",IF(LH_ColPeriod=0,W33-U33+V33,SUMIFS(INDEX(LH_Data,0,LH_ColAcc),INDEX(LH_Data,0,LH_ColFirst),$A33,INDEX(LH_Data,0,LH_ColSur),$B33,INDEX(LH_Data,0,LH_ColCat),BonusCat,INDEX(LH_Data,0,LH_ColPeriod),LH_OpenLabel)*UnitFactor)))</f>
        <v/>
      </c>
      <c r="U33" s="13" t="str">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IF(AE33=0,"",IF($J33&lt;&gt;"",$J33,IF(OR(CasualCounts="Yes",COUNT($G33:$I33)=0,COUNT($G33:$H33)=0),$F33,MIN($G33:$H33))))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IF(AE34=0,"",DATE(YEAR(AsOfDate)+IF(DATE(YEAR(AsOfDate),MONTH(AF34),DAY(AF34))&lt;=AsOfDate,1,0),MONTH(AF34),DAY(AF34)))</f>
        <v/>
      </c>
      <c r="L34" s="11" t="str">
        <f aca="false">IF(AE34=0,"",ROUND((AsOfDate-AF34)/365.25,1))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IF(AE34=0,"",IF(NOT(LH_Ready),"",IF(LH_ColPeriod=0,W34-U34+V34,SUMIFS(INDEX(LH_Data,0,LH_ColAcc),INDEX(LH_Data,0,LH_ColFirst),$A34,INDEX(LH_Data,0,LH_ColSur),$B34,INDEX(LH_Data,0,LH_ColCat),BonusCat,INDEX(LH_Data,0,LH_ColPeriod),LH_OpenLabel)*UnitFactor)))</f>
        <v/>
      </c>
      <c r="U34" s="13" t="str">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IF(AE34=0,"",IF($J34&lt;&gt;"",$J34,IF(OR(CasualCounts="Yes",COUNT($G34:$I34)=0,COUNT($G34:$H34)=0),$F34,MIN($G34:$H34))))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IF(AE35=0,"",DATE(YEAR(AsOfDate)+IF(DATE(YEAR(AsOfDate),MONTH(AF35),DAY(AF35))&lt;=AsOfDate,1,0),MONTH(AF35),DAY(AF35)))</f>
        <v/>
      </c>
      <c r="L35" s="11" t="str">
        <f aca="false">IF(AE35=0,"",ROUND((AsOfDate-AF35)/365.25,1))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IF(AE35=0,"",IF(NOT(LH_Ready),"",IF(LH_ColPeriod=0,W35-U35+V35,SUMIFS(INDEX(LH_Data,0,LH_ColAcc),INDEX(LH_Data,0,LH_ColFirst),$A35,INDEX(LH_Data,0,LH_ColSur),$B35,INDEX(LH_Data,0,LH_ColCat),BonusCat,INDEX(LH_Data,0,LH_ColPeriod),LH_OpenLabel)*UnitFactor)))</f>
        <v/>
      </c>
      <c r="U35" s="13" t="str">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IF(AE35=0,"",IF($J35&lt;&gt;"",$J35,IF(OR(CasualCounts="Yes",COUNT($G35:$I35)=0,COUNT($G35:$H35)=0),$F35,MIN($G35:$H35))))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IF(AE36=0,"",DATE(YEAR(AsOfDate)+IF(DATE(YEAR(AsOfDate),MONTH(AF36),DAY(AF36))&lt;=AsOfDate,1,0),MONTH(AF36),DAY(AF36)))</f>
        <v/>
      </c>
      <c r="L36" s="11" t="str">
        <f aca="false">IF(AE36=0,"",ROUND((AsOfDate-AF36)/365.25,1))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IF(AE36=0,"",IF(NOT(LH_Ready),"",IF(LH_ColPeriod=0,W36-U36+V36,SUMIFS(INDEX(LH_Data,0,LH_ColAcc),INDEX(LH_Data,0,LH_ColFirst),$A36,INDEX(LH_Data,0,LH_ColSur),$B36,INDEX(LH_Data,0,LH_ColCat),BonusCat,INDEX(LH_Data,0,LH_ColPeriod),LH_OpenLabel)*UnitFactor)))</f>
        <v/>
      </c>
      <c r="U36" s="13" t="str">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IF(AE36=0,"",IF($J36&lt;&gt;"",$J36,IF(OR(CasualCounts="Yes",COUNT($G36:$I36)=0,COUNT($G36:$H36)=0),$F36,MIN($G36:$H36))))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IF(AE37=0,"",DATE(YEAR(AsOfDate)+IF(DATE(YEAR(AsOfDate),MONTH(AF37),DAY(AF37))&lt;=AsOfDate,1,0),MONTH(AF37),DAY(AF37)))</f>
        <v/>
      </c>
      <c r="L37" s="11" t="str">
        <f aca="false">IF(AE37=0,"",ROUND((AsOfDate-AF37)/365.25,1))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IF(AE37=0,"",IF(NOT(LH_Ready),"",IF(LH_ColPeriod=0,W37-U37+V37,SUMIFS(INDEX(LH_Data,0,LH_ColAcc),INDEX(LH_Data,0,LH_ColFirst),$A37,INDEX(LH_Data,0,LH_ColSur),$B37,INDEX(LH_Data,0,LH_ColCat),BonusCat,INDEX(LH_Data,0,LH_ColPeriod),LH_OpenLabel)*UnitFactor)))</f>
        <v/>
      </c>
      <c r="U37" s="13" t="str">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IF(AE37=0,"",IF($J37&lt;&gt;"",$J37,IF(OR(CasualCounts="Yes",COUNT($G37:$I37)=0,COUNT($G37:$H37)=0),$F37,MIN($G37:$H37))))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IF(AE38=0,"",DATE(YEAR(AsOfDate)+IF(DATE(YEAR(AsOfDate),MONTH(AF38),DAY(AF38))&lt;=AsOfDate,1,0),MONTH(AF38),DAY(AF38)))</f>
        <v/>
      </c>
      <c r="L38" s="11" t="str">
        <f aca="false">IF(AE38=0,"",ROUND((AsOfDate-AF38)/365.25,1))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IF(AE38=0,"",IF(NOT(LH_Ready),"",IF(LH_ColPeriod=0,W38-U38+V38,SUMIFS(INDEX(LH_Data,0,LH_ColAcc),INDEX(LH_Data,0,LH_ColFirst),$A38,INDEX(LH_Data,0,LH_ColSur),$B38,INDEX(LH_Data,0,LH_ColCat),BonusCat,INDEX(LH_Data,0,LH_ColPeriod),LH_OpenLabel)*UnitFactor)))</f>
        <v/>
      </c>
      <c r="U38" s="13" t="str">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IF(AE38=0,"",IF($J38&lt;&gt;"",$J38,IF(OR(CasualCounts="Yes",COUNT($G38:$I38)=0,COUNT($G38:$H38)=0),$F38,MIN($G38:$H38))))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IF(AE39=0,"",DATE(YEAR(AsOfDate)+IF(DATE(YEAR(AsOfDate),MONTH(AF39),DAY(AF39))&lt;=AsOfDate,1,0),MONTH(AF39),DAY(AF39)))</f>
        <v/>
      </c>
      <c r="L39" s="11" t="str">
        <f aca="false">IF(AE39=0,"",ROUND((AsOfDate-AF39)/365.25,1))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IF(AE39=0,"",IF(NOT(LH_Ready),"",IF(LH_ColPeriod=0,W39-U39+V39,SUMIFS(INDEX(LH_Data,0,LH_ColAcc),INDEX(LH_Data,0,LH_ColFirst),$A39,INDEX(LH_Data,0,LH_ColSur),$B39,INDEX(LH_Data,0,LH_ColCat),BonusCat,INDEX(LH_Data,0,LH_ColPeriod),LH_OpenLabel)*UnitFactor)))</f>
        <v/>
      </c>
      <c r="U39" s="13" t="str">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IF(AE39=0,"",IF($J39&lt;&gt;"",$J39,IF(OR(CasualCounts="Yes",COUNT($G39:$I39)=0,COUNT($G39:$H39)=0),$F39,MIN($G39:$H39))))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IF(AE40=0,"",DATE(YEAR(AsOfDate)+IF(DATE(YEAR(AsOfDate),MONTH(AF40),DAY(AF40))&lt;=AsOfDate,1,0),MONTH(AF40),DAY(AF40)))</f>
        <v/>
      </c>
      <c r="L40" s="11" t="str">
        <f aca="false">IF(AE40=0,"",ROUND((AsOfDate-AF40)/365.25,1))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IF(AE40=0,"",IF(NOT(LH_Ready),"",IF(LH_ColPeriod=0,W40-U40+V40,SUMIFS(INDEX(LH_Data,0,LH_ColAcc),INDEX(LH_Data,0,LH_ColFirst),$A40,INDEX(LH_Data,0,LH_ColSur),$B40,INDEX(LH_Data,0,LH_ColCat),BonusCat,INDEX(LH_Data,0,LH_ColPeriod),LH_OpenLabel)*UnitFactor)))</f>
        <v/>
      </c>
      <c r="U40" s="13" t="str">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IF(AE40=0,"",IF($J40&lt;&gt;"",$J40,IF(OR(CasualCounts="Yes",COUNT($G40:$I40)=0,COUNT($G40:$H40)=0),$F40,MIN($G40:$H40))))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IF(AE41=0,"",DATE(YEAR(AsOfDate)+IF(DATE(YEAR(AsOfDate),MONTH(AF41),DAY(AF41))&lt;=AsOfDate,1,0),MONTH(AF41),DAY(AF41)))</f>
        <v/>
      </c>
      <c r="L41" s="11" t="str">
        <f aca="false">IF(AE41=0,"",ROUND((AsOfDate-AF41)/365.25,1))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IF(AE41=0,"",IF(NOT(LH_Ready),"",IF(LH_ColPeriod=0,W41-U41+V41,SUMIFS(INDEX(LH_Data,0,LH_ColAcc),INDEX(LH_Data,0,LH_ColFirst),$A41,INDEX(LH_Data,0,LH_ColSur),$B41,INDEX(LH_Data,0,LH_ColCat),BonusCat,INDEX(LH_Data,0,LH_ColPeriod),LH_OpenLabel)*UnitFactor)))</f>
        <v/>
      </c>
      <c r="U41" s="13" t="str">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IF(AE41=0,"",IF($J41&lt;&gt;"",$J41,IF(OR(CasualCounts="Yes",COUNT($G41:$I41)=0,COUNT($G41:$H41)=0),$F41,MIN($G41:$H41))))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IF(AE42=0,"",DATE(YEAR(AsOfDate)+IF(DATE(YEAR(AsOfDate),MONTH(AF42),DAY(AF42))&lt;=AsOfDate,1,0),MONTH(AF42),DAY(AF42)))</f>
        <v/>
      </c>
      <c r="L42" s="11" t="str">
        <f aca="false">IF(AE42=0,"",ROUND((AsOfDate-AF42)/365.25,1))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IF(AE42=0,"",IF(NOT(LH_Ready),"",IF(LH_ColPeriod=0,W42-U42+V42,SUMIFS(INDEX(LH_Data,0,LH_ColAcc),INDEX(LH_Data,0,LH_ColFirst),$A42,INDEX(LH_Data,0,LH_ColSur),$B42,INDEX(LH_Data,0,LH_ColCat),BonusCat,INDEX(LH_Data,0,LH_ColPeriod),LH_OpenLabel)*UnitFactor)))</f>
        <v/>
      </c>
      <c r="U42" s="13" t="str">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IF(AE42=0,"",IF($J42&lt;&gt;"",$J42,IF(OR(CasualCounts="Yes",COUNT($G42:$I42)=0,COUNT($G42:$H42)=0),$F42,MIN($G42:$H42))))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IF(AE43=0,"",DATE(YEAR(AsOfDate)+IF(DATE(YEAR(AsOfDate),MONTH(AF43),DAY(AF43))&lt;=AsOfDate,1,0),MONTH(AF43),DAY(AF43)))</f>
        <v/>
      </c>
      <c r="L43" s="11" t="str">
        <f aca="false">IF(AE43=0,"",ROUND((AsOfDate-AF43)/365.25,1))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IF(AE43=0,"",IF(NOT(LH_Ready),"",IF(LH_ColPeriod=0,W43-U43+V43,SUMIFS(INDEX(LH_Data,0,LH_ColAcc),INDEX(LH_Data,0,LH_ColFirst),$A43,INDEX(LH_Data,0,LH_ColSur),$B43,INDEX(LH_Data,0,LH_ColCat),BonusCat,INDEX(LH_Data,0,LH_ColPeriod),LH_OpenLabel)*UnitFactor)))</f>
        <v/>
      </c>
      <c r="U43" s="13" t="str">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IF(AE43=0,"",IF($J43&lt;&gt;"",$J43,IF(OR(CasualCounts="Yes",COUNT($G43:$I43)=0,COUNT($G43:$H43)=0),$F43,MIN($G43:$H43))))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IF(AE44=0,"",DATE(YEAR(AsOfDate)+IF(DATE(YEAR(AsOfDate),MONTH(AF44),DAY(AF44))&lt;=AsOfDate,1,0),MONTH(AF44),DAY(AF44)))</f>
        <v/>
      </c>
      <c r="L44" s="11" t="str">
        <f aca="false">IF(AE44=0,"",ROUND((AsOfDate-AF44)/365.25,1))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IF(AE44=0,"",IF(NOT(LH_Ready),"",IF(LH_ColPeriod=0,W44-U44+V44,SUMIFS(INDEX(LH_Data,0,LH_ColAcc),INDEX(LH_Data,0,LH_ColFirst),$A44,INDEX(LH_Data,0,LH_ColSur),$B44,INDEX(LH_Data,0,LH_ColCat),BonusCat,INDEX(LH_Data,0,LH_ColPeriod),LH_OpenLabel)*UnitFactor)))</f>
        <v/>
      </c>
      <c r="U44" s="13" t="str">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IF(AE44=0,"",IF($J44&lt;&gt;"",$J44,IF(OR(CasualCounts="Yes",COUNT($G44:$I44)=0,COUNT($G44:$H44)=0),$F44,MIN($G44:$H44))))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IF(AE45=0,"",DATE(YEAR(AsOfDate)+IF(DATE(YEAR(AsOfDate),MONTH(AF45),DAY(AF45))&lt;=AsOfDate,1,0),MONTH(AF45),DAY(AF45)))</f>
        <v/>
      </c>
      <c r="L45" s="11" t="str">
        <f aca="false">IF(AE45=0,"",ROUND((AsOfDate-AF45)/365.25,1))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IF(AE45=0,"",IF(NOT(LH_Ready),"",IF(LH_ColPeriod=0,W45-U45+V45,SUMIFS(INDEX(LH_Data,0,LH_ColAcc),INDEX(LH_Data,0,LH_ColFirst),$A45,INDEX(LH_Data,0,LH_ColSur),$B45,INDEX(LH_Data,0,LH_ColCat),BonusCat,INDEX(LH_Data,0,LH_ColPeriod),LH_OpenLabel)*UnitFactor)))</f>
        <v/>
      </c>
      <c r="U45" s="13" t="str">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IF(AE45=0,"",IF($J45&lt;&gt;"",$J45,IF(OR(CasualCounts="Yes",COUNT($G45:$I45)=0,COUNT($G45:$H45)=0),$F45,MIN($G45:$H45))))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IF(AE46=0,"",DATE(YEAR(AsOfDate)+IF(DATE(YEAR(AsOfDate),MONTH(AF46),DAY(AF46))&lt;=AsOfDate,1,0),MONTH(AF46),DAY(AF46)))</f>
        <v/>
      </c>
      <c r="L46" s="11" t="str">
        <f aca="false">IF(AE46=0,"",ROUND((AsOfDate-AF46)/365.25,1))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IF(AE46=0,"",IF(NOT(LH_Ready),"",IF(LH_ColPeriod=0,W46-U46+V46,SUMIFS(INDEX(LH_Data,0,LH_ColAcc),INDEX(LH_Data,0,LH_ColFirst),$A46,INDEX(LH_Data,0,LH_ColSur),$B46,INDEX(LH_Data,0,LH_ColCat),BonusCat,INDEX(LH_Data,0,LH_ColPeriod),LH_OpenLabel)*UnitFactor)))</f>
        <v/>
      </c>
      <c r="U46" s="13" t="str">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IF(AE46=0,"",IF($J46&lt;&gt;"",$J46,IF(OR(CasualCounts="Yes",COUNT($G46:$I46)=0,COUNT($G46:$H46)=0),$F46,MIN($G46:$H46))))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IF(AE47=0,"",DATE(YEAR(AsOfDate)+IF(DATE(YEAR(AsOfDate),MONTH(AF47),DAY(AF47))&lt;=AsOfDate,1,0),MONTH(AF47),DAY(AF47)))</f>
        <v/>
      </c>
      <c r="L47" s="11" t="str">
        <f aca="false">IF(AE47=0,"",ROUND((AsOfDate-AF47)/365.25,1))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IF(AE47=0,"",IF(NOT(LH_Ready),"",IF(LH_ColPeriod=0,W47-U47+V47,SUMIFS(INDEX(LH_Data,0,LH_ColAcc),INDEX(LH_Data,0,LH_ColFirst),$A47,INDEX(LH_Data,0,LH_ColSur),$B47,INDEX(LH_Data,0,LH_ColCat),BonusCat,INDEX(LH_Data,0,LH_ColPeriod),LH_OpenLabel)*UnitFactor)))</f>
        <v/>
      </c>
      <c r="U47" s="13" t="str">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IF(AE47=0,"",IF($J47&lt;&gt;"",$J47,IF(OR(CasualCounts="Yes",COUNT($G47:$I47)=0,COUNT($G47:$H47)=0),$F47,MIN($G47:$H47))))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IF(AE48=0,"",DATE(YEAR(AsOfDate)+IF(DATE(YEAR(AsOfDate),MONTH(AF48),DAY(AF48))&lt;=AsOfDate,1,0),MONTH(AF48),DAY(AF48)))</f>
        <v/>
      </c>
      <c r="L48" s="11" t="str">
        <f aca="false">IF(AE48=0,"",ROUND((AsOfDate-AF48)/365.25,1))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IF(AE48=0,"",IF(NOT(LH_Ready),"",IF(LH_ColPeriod=0,W48-U48+V48,SUMIFS(INDEX(LH_Data,0,LH_ColAcc),INDEX(LH_Data,0,LH_ColFirst),$A48,INDEX(LH_Data,0,LH_ColSur),$B48,INDEX(LH_Data,0,LH_ColCat),BonusCat,INDEX(LH_Data,0,LH_ColPeriod),LH_OpenLabel)*UnitFactor)))</f>
        <v/>
      </c>
      <c r="U48" s="13" t="str">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IF(AE48=0,"",IF($J48&lt;&gt;"",$J48,IF(OR(CasualCounts="Yes",COUNT($G48:$I48)=0,COUNT($G48:$H48)=0),$F48,MIN($G48:$H48))))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IF(AE49=0,"",DATE(YEAR(AsOfDate)+IF(DATE(YEAR(AsOfDate),MONTH(AF49),DAY(AF49))&lt;=AsOfDate,1,0),MONTH(AF49),DAY(AF49)))</f>
        <v/>
      </c>
      <c r="L49" s="11" t="str">
        <f aca="false">IF(AE49=0,"",ROUND((AsOfDate-AF49)/365.25,1))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IF(AE49=0,"",IF(NOT(LH_Ready),"",IF(LH_ColPeriod=0,W49-U49+V49,SUMIFS(INDEX(LH_Data,0,LH_ColAcc),INDEX(LH_Data,0,LH_ColFirst),$A49,INDEX(LH_Data,0,LH_ColSur),$B49,INDEX(LH_Data,0,LH_ColCat),BonusCat,INDEX(LH_Data,0,LH_ColPeriod),LH_OpenLabel)*UnitFactor)))</f>
        <v/>
      </c>
      <c r="U49" s="13" t="str">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IF(AE49=0,"",IF($J49&lt;&gt;"",$J49,IF(OR(CasualCounts="Yes",COUNT($G49:$I49)=0,COUNT($G49:$H49)=0),$F49,MIN($G49:$H49))))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IF(AE50=0,"",DATE(YEAR(AsOfDate)+IF(DATE(YEAR(AsOfDate),MONTH(AF50),DAY(AF50))&lt;=AsOfDate,1,0),MONTH(AF50),DAY(AF50)))</f>
        <v/>
      </c>
      <c r="L50" s="11" t="str">
        <f aca="false">IF(AE50=0,"",ROUND((AsOfDate-AF50)/365.25,1))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IF(AE50=0,"",IF(NOT(LH_Ready),"",IF(LH_ColPeriod=0,W50-U50+V50,SUMIFS(INDEX(LH_Data,0,LH_ColAcc),INDEX(LH_Data,0,LH_ColFirst),$A50,INDEX(LH_Data,0,LH_ColSur),$B50,INDEX(LH_Data,0,LH_ColCat),BonusCat,INDEX(LH_Data,0,LH_ColPeriod),LH_OpenLabel)*UnitFactor)))</f>
        <v/>
      </c>
      <c r="U50" s="13" t="str">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IF(AE50=0,"",IF($J50&lt;&gt;"",$J50,IF(OR(CasualCounts="Yes",COUNT($G50:$I50)=0,COUNT($G50:$H50)=0),$F50,MIN($G50:$H50))))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IF(AE51=0,"",DATE(YEAR(AsOfDate)+IF(DATE(YEAR(AsOfDate),MONTH(AF51),DAY(AF51))&lt;=AsOfDate,1,0),MONTH(AF51),DAY(AF51)))</f>
        <v/>
      </c>
      <c r="L51" s="11" t="str">
        <f aca="false">IF(AE51=0,"",ROUND((AsOfDate-AF51)/365.25,1))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IF(AE51=0,"",IF(NOT(LH_Ready),"",IF(LH_ColPeriod=0,W51-U51+V51,SUMIFS(INDEX(LH_Data,0,LH_ColAcc),INDEX(LH_Data,0,LH_ColFirst),$A51,INDEX(LH_Data,0,LH_ColSur),$B51,INDEX(LH_Data,0,LH_ColCat),BonusCat,INDEX(LH_Data,0,LH_ColPeriod),LH_OpenLabel)*UnitFactor)))</f>
        <v/>
      </c>
      <c r="U51" s="13" t="str">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IF(AE51=0,"",IF($J51&lt;&gt;"",$J51,IF(OR(CasualCounts="Yes",COUNT($G51:$I51)=0,COUNT($G51:$H51)=0),$F51,MIN($G51:$H51))))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IF(AE52=0,"",DATE(YEAR(AsOfDate)+IF(DATE(YEAR(AsOfDate),MONTH(AF52),DAY(AF52))&lt;=AsOfDate,1,0),MONTH(AF52),DAY(AF52)))</f>
        <v/>
      </c>
      <c r="L52" s="11" t="str">
        <f aca="false">IF(AE52=0,"",ROUND((AsOfDate-AF52)/365.25,1))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IF(AE52=0,"",IF(NOT(LH_Ready),"",IF(LH_ColPeriod=0,W52-U52+V52,SUMIFS(INDEX(LH_Data,0,LH_ColAcc),INDEX(LH_Data,0,LH_ColFirst),$A52,INDEX(LH_Data,0,LH_ColSur),$B52,INDEX(LH_Data,0,LH_ColCat),BonusCat,INDEX(LH_Data,0,LH_ColPeriod),LH_OpenLabel)*UnitFactor)))</f>
        <v/>
      </c>
      <c r="U52" s="13" t="str">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IF(AE52=0,"",IF($J52&lt;&gt;"",$J52,IF(OR(CasualCounts="Yes",COUNT($G52:$I52)=0,COUNT($G52:$H52)=0),$F52,MIN($G52:$H52))))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IF(AE53=0,"",DATE(YEAR(AsOfDate)+IF(DATE(YEAR(AsOfDate),MONTH(AF53),DAY(AF53))&lt;=AsOfDate,1,0),MONTH(AF53),DAY(AF53)))</f>
        <v/>
      </c>
      <c r="L53" s="11" t="str">
        <f aca="false">IF(AE53=0,"",ROUND((AsOfDate-AF53)/365.25,1))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IF(AE53=0,"",IF(NOT(LH_Ready),"",IF(LH_ColPeriod=0,W53-U53+V53,SUMIFS(INDEX(LH_Data,0,LH_ColAcc),INDEX(LH_Data,0,LH_ColFirst),$A53,INDEX(LH_Data,0,LH_ColSur),$B53,INDEX(LH_Data,0,LH_ColCat),BonusCat,INDEX(LH_Data,0,LH_ColPeriod),LH_OpenLabel)*UnitFactor)))</f>
        <v/>
      </c>
      <c r="U53" s="13" t="str">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IF(AE53=0,"",IF($J53&lt;&gt;"",$J53,IF(OR(CasualCounts="Yes",COUNT($G53:$I53)=0,COUNT($G53:$H53)=0),$F53,MIN($G53:$H53))))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IF(AE54=0,"",DATE(YEAR(AsOfDate)+IF(DATE(YEAR(AsOfDate),MONTH(AF54),DAY(AF54))&lt;=AsOfDate,1,0),MONTH(AF54),DAY(AF54)))</f>
        <v/>
      </c>
      <c r="L54" s="11" t="str">
        <f aca="false">IF(AE54=0,"",ROUND((AsOfDate-AF54)/365.25,1))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IF(AE54=0,"",IF(NOT(LH_Ready),"",IF(LH_ColPeriod=0,W54-U54+V54,SUMIFS(INDEX(LH_Data,0,LH_ColAcc),INDEX(LH_Data,0,LH_ColFirst),$A54,INDEX(LH_Data,0,LH_ColSur),$B54,INDEX(LH_Data,0,LH_ColCat),BonusCat,INDEX(LH_Data,0,LH_ColPeriod),LH_OpenLabel)*UnitFactor)))</f>
        <v/>
      </c>
      <c r="U54" s="13" t="str">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IF(AE54=0,"",IF($J54&lt;&gt;"",$J54,IF(OR(CasualCounts="Yes",COUNT($G54:$I54)=0,COUNT($G54:$H54)=0),$F54,MIN($G54:$H54))))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IF(AE55=0,"",DATE(YEAR(AsOfDate)+IF(DATE(YEAR(AsOfDate),MONTH(AF55),DAY(AF55))&lt;=AsOfDate,1,0),MONTH(AF55),DAY(AF55)))</f>
        <v/>
      </c>
      <c r="L55" s="11" t="str">
        <f aca="false">IF(AE55=0,"",ROUND((AsOfDate-AF55)/365.25,1))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IF(AE55=0,"",IF(NOT(LH_Ready),"",IF(LH_ColPeriod=0,W55-U55+V55,SUMIFS(INDEX(LH_Data,0,LH_ColAcc),INDEX(LH_Data,0,LH_ColFirst),$A55,INDEX(LH_Data,0,LH_ColSur),$B55,INDEX(LH_Data,0,LH_ColCat),BonusCat,INDEX(LH_Data,0,LH_ColPeriod),LH_OpenLabel)*UnitFactor)))</f>
        <v/>
      </c>
      <c r="U55" s="13" t="str">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IF(AE55=0,"",IF($J55&lt;&gt;"",$J55,IF(OR(CasualCounts="Yes",COUNT($G55:$I55)=0,COUNT($G55:$H55)=0),$F55,MIN($G55:$H55))))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IF(AE56=0,"",DATE(YEAR(AsOfDate)+IF(DATE(YEAR(AsOfDate),MONTH(AF56),DAY(AF56))&lt;=AsOfDate,1,0),MONTH(AF56),DAY(AF56)))</f>
        <v/>
      </c>
      <c r="L56" s="11" t="str">
        <f aca="false">IF(AE56=0,"",ROUND((AsOfDate-AF56)/365.25,1))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IF(AE56=0,"",IF(NOT(LH_Ready),"",IF(LH_ColPeriod=0,W56-U56+V56,SUMIFS(INDEX(LH_Data,0,LH_ColAcc),INDEX(LH_Data,0,LH_ColFirst),$A56,INDEX(LH_Data,0,LH_ColSur),$B56,INDEX(LH_Data,0,LH_ColCat),BonusCat,INDEX(LH_Data,0,LH_ColPeriod),LH_OpenLabel)*UnitFactor)))</f>
        <v/>
      </c>
      <c r="U56" s="13" t="str">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IF(AE56=0,"",IF($J56&lt;&gt;"",$J56,IF(OR(CasualCounts="Yes",COUNT($G56:$I56)=0,COUNT($G56:$H56)=0),$F56,MIN($G56:$H56))))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IF(AE57=0,"",DATE(YEAR(AsOfDate)+IF(DATE(YEAR(AsOfDate),MONTH(AF57),DAY(AF57))&lt;=AsOfDate,1,0),MONTH(AF57),DAY(AF57)))</f>
        <v/>
      </c>
      <c r="L57" s="11" t="str">
        <f aca="false">IF(AE57=0,"",ROUND((AsOfDate-AF57)/365.25,1))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IF(AE57=0,"",IF(NOT(LH_Ready),"",IF(LH_ColPeriod=0,W57-U57+V57,SUMIFS(INDEX(LH_Data,0,LH_ColAcc),INDEX(LH_Data,0,LH_ColFirst),$A57,INDEX(LH_Data,0,LH_ColSur),$B57,INDEX(LH_Data,0,LH_ColCat),BonusCat,INDEX(LH_Data,0,LH_ColPeriod),LH_OpenLabel)*UnitFactor)))</f>
        <v/>
      </c>
      <c r="U57" s="13" t="str">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IF(AE57=0,"",IF($J57&lt;&gt;"",$J57,IF(OR(CasualCounts="Yes",COUNT($G57:$I57)=0,COUNT($G57:$H57)=0),$F57,MIN($G57:$H57))))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IF(AE58=0,"",DATE(YEAR(AsOfDate)+IF(DATE(YEAR(AsOfDate),MONTH(AF58),DAY(AF58))&lt;=AsOfDate,1,0),MONTH(AF58),DAY(AF58)))</f>
        <v/>
      </c>
      <c r="L58" s="11" t="str">
        <f aca="false">IF(AE58=0,"",ROUND((AsOfDate-AF58)/365.25,1))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IF(AE58=0,"",IF(NOT(LH_Ready),"",IF(LH_ColPeriod=0,W58-U58+V58,SUMIFS(INDEX(LH_Data,0,LH_ColAcc),INDEX(LH_Data,0,LH_ColFirst),$A58,INDEX(LH_Data,0,LH_ColSur),$B58,INDEX(LH_Data,0,LH_ColCat),BonusCat,INDEX(LH_Data,0,LH_ColPeriod),LH_OpenLabel)*UnitFactor)))</f>
        <v/>
      </c>
      <c r="U58" s="13" t="str">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IF(AE58=0,"",IF($J58&lt;&gt;"",$J58,IF(OR(CasualCounts="Yes",COUNT($G58:$I58)=0,COUNT($G58:$H58)=0),$F58,MIN($G58:$H58))))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IF(AE59=0,"",DATE(YEAR(AsOfDate)+IF(DATE(YEAR(AsOfDate),MONTH(AF59),DAY(AF59))&lt;=AsOfDate,1,0),MONTH(AF59),DAY(AF59)))</f>
        <v/>
      </c>
      <c r="L59" s="11" t="str">
        <f aca="false">IF(AE59=0,"",ROUND((AsOfDate-AF59)/365.25,1))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IF(AE59=0,"",IF(NOT(LH_Ready),"",IF(LH_ColPeriod=0,W59-U59+V59,SUMIFS(INDEX(LH_Data,0,LH_ColAcc),INDEX(LH_Data,0,LH_ColFirst),$A59,INDEX(LH_Data,0,LH_ColSur),$B59,INDEX(LH_Data,0,LH_ColCat),BonusCat,INDEX(LH_Data,0,LH_ColPeriod),LH_OpenLabel)*UnitFactor)))</f>
        <v/>
      </c>
      <c r="U59" s="13" t="str">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IF(AE59=0,"",IF($J59&lt;&gt;"",$J59,IF(OR(CasualCounts="Yes",COUNT($G59:$I59)=0,COUNT($G59:$H59)=0),$F59,MIN($G59:$H59))))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IF(AE60=0,"",DATE(YEAR(AsOfDate)+IF(DATE(YEAR(AsOfDate),MONTH(AF60),DAY(AF60))&lt;=AsOfDate,1,0),MONTH(AF60),DAY(AF60)))</f>
        <v/>
      </c>
      <c r="L60" s="11" t="str">
        <f aca="false">IF(AE60=0,"",ROUND((AsOfDate-AF60)/365.25,1))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IF(AE60=0,"",IF(NOT(LH_Ready),"",IF(LH_ColPeriod=0,W60-U60+V60,SUMIFS(INDEX(LH_Data,0,LH_ColAcc),INDEX(LH_Data,0,LH_ColFirst),$A60,INDEX(LH_Data,0,LH_ColSur),$B60,INDEX(LH_Data,0,LH_ColCat),BonusCat,INDEX(LH_Data,0,LH_ColPeriod),LH_OpenLabel)*UnitFactor)))</f>
        <v/>
      </c>
      <c r="U60" s="13" t="str">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IF(AE60=0,"",IF($J60&lt;&gt;"",$J60,IF(OR(CasualCounts="Yes",COUNT($G60:$I60)=0,COUNT($G60:$H60)=0),$F60,MIN($G60:$H60))))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IF(AE61=0,"",DATE(YEAR(AsOfDate)+IF(DATE(YEAR(AsOfDate),MONTH(AF61),DAY(AF61))&lt;=AsOfDate,1,0),MONTH(AF61),DAY(AF61)))</f>
        <v/>
      </c>
      <c r="L61" s="11" t="str">
        <f aca="false">IF(AE61=0,"",ROUND((AsOfDate-AF61)/365.25,1))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IF(AE61=0,"",IF(NOT(LH_Ready),"",IF(LH_ColPeriod=0,W61-U61+V61,SUMIFS(INDEX(LH_Data,0,LH_ColAcc),INDEX(LH_Data,0,LH_ColFirst),$A61,INDEX(LH_Data,0,LH_ColSur),$B61,INDEX(LH_Data,0,LH_ColCat),BonusCat,INDEX(LH_Data,0,LH_ColPeriod),LH_OpenLabel)*UnitFactor)))</f>
        <v/>
      </c>
      <c r="U61" s="13" t="str">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IF(AE61=0,"",IF($J61&lt;&gt;"",$J61,IF(OR(CasualCounts="Yes",COUNT($G61:$I61)=0,COUNT($G61:$H61)=0),$F61,MIN($G61:$H61))))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IF(AE62=0,"",DATE(YEAR(AsOfDate)+IF(DATE(YEAR(AsOfDate),MONTH(AF62),DAY(AF62))&lt;=AsOfDate,1,0),MONTH(AF62),DAY(AF62)))</f>
        <v/>
      </c>
      <c r="L62" s="11" t="str">
        <f aca="false">IF(AE62=0,"",ROUND((AsOfDate-AF62)/365.25,1))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IF(AE62=0,"",IF(NOT(LH_Ready),"",IF(LH_ColPeriod=0,W62-U62+V62,SUMIFS(INDEX(LH_Data,0,LH_ColAcc),INDEX(LH_Data,0,LH_ColFirst),$A62,INDEX(LH_Data,0,LH_ColSur),$B62,INDEX(LH_Data,0,LH_ColCat),BonusCat,INDEX(LH_Data,0,LH_ColPeriod),LH_OpenLabel)*UnitFactor)))</f>
        <v/>
      </c>
      <c r="U62" s="13" t="str">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IF(AE62=0,"",IF($J62&lt;&gt;"",$J62,IF(OR(CasualCounts="Yes",COUNT($G62:$I62)=0,COUNT($G62:$H62)=0),$F62,MIN($G62:$H62))))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IF(AE63=0,"",DATE(YEAR(AsOfDate)+IF(DATE(YEAR(AsOfDate),MONTH(AF63),DAY(AF63))&lt;=AsOfDate,1,0),MONTH(AF63),DAY(AF63)))</f>
        <v/>
      </c>
      <c r="L63" s="11" t="str">
        <f aca="false">IF(AE63=0,"",ROUND((AsOfDate-AF63)/365.25,1))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IF(AE63=0,"",IF(NOT(LH_Ready),"",IF(LH_ColPeriod=0,W63-U63+V63,SUMIFS(INDEX(LH_Data,0,LH_ColAcc),INDEX(LH_Data,0,LH_ColFirst),$A63,INDEX(LH_Data,0,LH_ColSur),$B63,INDEX(LH_Data,0,LH_ColCat),BonusCat,INDEX(LH_Data,0,LH_ColPeriod),LH_OpenLabel)*UnitFactor)))</f>
        <v/>
      </c>
      <c r="U63" s="13" t="str">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IF(AE63=0,"",IF($J63&lt;&gt;"",$J63,IF(OR(CasualCounts="Yes",COUNT($G63:$I63)=0,COUNT($G63:$H63)=0),$F63,MIN($G63:$H63))))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IF(AE64=0,"",DATE(YEAR(AsOfDate)+IF(DATE(YEAR(AsOfDate),MONTH(AF64),DAY(AF64))&lt;=AsOfDate,1,0),MONTH(AF64),DAY(AF64)))</f>
        <v/>
      </c>
      <c r="L64" s="11" t="str">
        <f aca="false">IF(AE64=0,"",ROUND((AsOfDate-AF64)/365.25,1))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IF(AE64=0,"",IF(NOT(LH_Ready),"",IF(LH_ColPeriod=0,W64-U64+V64,SUMIFS(INDEX(LH_Data,0,LH_ColAcc),INDEX(LH_Data,0,LH_ColFirst),$A64,INDEX(LH_Data,0,LH_ColSur),$B64,INDEX(LH_Data,0,LH_ColCat),BonusCat,INDEX(LH_Data,0,LH_ColPeriod),LH_OpenLabel)*UnitFactor)))</f>
        <v/>
      </c>
      <c r="U64" s="13" t="str">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IF(AE64=0,"",IF($J64&lt;&gt;"",$J64,IF(OR(CasualCounts="Yes",COUNT($G64:$I64)=0,COUNT($G64:$H64)=0),$F64,MIN($G64:$H64))))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IF(AE65=0,"",DATE(YEAR(AsOfDate)+IF(DATE(YEAR(AsOfDate),MONTH(AF65),DAY(AF65))&lt;=AsOfDate,1,0),MONTH(AF65),DAY(AF65)))</f>
        <v/>
      </c>
      <c r="L65" s="11" t="str">
        <f aca="false">IF(AE65=0,"",ROUND((AsOfDate-AF65)/365.25,1))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IF(AE65=0,"",IF(NOT(LH_Ready),"",IF(LH_ColPeriod=0,W65-U65+V65,SUMIFS(INDEX(LH_Data,0,LH_ColAcc),INDEX(LH_Data,0,LH_ColFirst),$A65,INDEX(LH_Data,0,LH_ColSur),$B65,INDEX(LH_Data,0,LH_ColCat),BonusCat,INDEX(LH_Data,0,LH_ColPeriod),LH_OpenLabel)*UnitFactor)))</f>
        <v/>
      </c>
      <c r="U65" s="13" t="str">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IF(AE65=0,"",IF($J65&lt;&gt;"",$J65,IF(OR(CasualCounts="Yes",COUNT($G65:$I65)=0,COUNT($G65:$H65)=0),$F65,MIN($G65:$H65))))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IF(AE66=0,"",DATE(YEAR(AsOfDate)+IF(DATE(YEAR(AsOfDate),MONTH(AF66),DAY(AF66))&lt;=AsOfDate,1,0),MONTH(AF66),DAY(AF66)))</f>
        <v/>
      </c>
      <c r="L66" s="11" t="str">
        <f aca="false">IF(AE66=0,"",ROUND((AsOfDate-AF66)/365.25,1))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IF(AE66=0,"",IF(NOT(LH_Ready),"",IF(LH_ColPeriod=0,W66-U66+V66,SUMIFS(INDEX(LH_Data,0,LH_ColAcc),INDEX(LH_Data,0,LH_ColFirst),$A66,INDEX(LH_Data,0,LH_ColSur),$B66,INDEX(LH_Data,0,LH_ColCat),BonusCat,INDEX(LH_Data,0,LH_ColPeriod),LH_OpenLabel)*UnitFactor)))</f>
        <v/>
      </c>
      <c r="U66" s="13" t="str">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IF(AE66=0,"",IF($J66&lt;&gt;"",$J66,IF(OR(CasualCounts="Yes",COUNT($G66:$I66)=0,COUNT($G66:$H66)=0),$F66,MIN($G66:$H66))))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IF(AE67=0,"",DATE(YEAR(AsOfDate)+IF(DATE(YEAR(AsOfDate),MONTH(AF67),DAY(AF67))&lt;=AsOfDate,1,0),MONTH(AF67),DAY(AF67)))</f>
        <v/>
      </c>
      <c r="L67" s="11" t="str">
        <f aca="false">IF(AE67=0,"",ROUND((AsOfDate-AF67)/365.25,1))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IF(AE67=0,"",IF(NOT(LH_Ready),"",IF(LH_ColPeriod=0,W67-U67+V67,SUMIFS(INDEX(LH_Data,0,LH_ColAcc),INDEX(LH_Data,0,LH_ColFirst),$A67,INDEX(LH_Data,0,LH_ColSur),$B67,INDEX(LH_Data,0,LH_ColCat),BonusCat,INDEX(LH_Data,0,LH_ColPeriod),LH_OpenLabel)*UnitFactor)))</f>
        <v/>
      </c>
      <c r="U67" s="13" t="str">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IF(AE67=0,"",IF($J67&lt;&gt;"",$J67,IF(OR(CasualCounts="Yes",COUNT($G67:$I67)=0,COUNT($G67:$H67)=0),$F67,MIN($G67:$H67))))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IF(AE68=0,"",DATE(YEAR(AsOfDate)+IF(DATE(YEAR(AsOfDate),MONTH(AF68),DAY(AF68))&lt;=AsOfDate,1,0),MONTH(AF68),DAY(AF68)))</f>
        <v/>
      </c>
      <c r="L68" s="11" t="str">
        <f aca="false">IF(AE68=0,"",ROUND((AsOfDate-AF68)/365.25,1))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IF(AE68=0,"",IF(NOT(LH_Ready),"",IF(LH_ColPeriod=0,W68-U68+V68,SUMIFS(INDEX(LH_Data,0,LH_ColAcc),INDEX(LH_Data,0,LH_ColFirst),$A68,INDEX(LH_Data,0,LH_ColSur),$B68,INDEX(LH_Data,0,LH_ColCat),BonusCat,INDEX(LH_Data,0,LH_ColPeriod),LH_OpenLabel)*UnitFactor)))</f>
        <v/>
      </c>
      <c r="U68" s="13" t="str">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IF(AE68=0,"",IF($J68&lt;&gt;"",$J68,IF(OR(CasualCounts="Yes",COUNT($G68:$I68)=0,COUNT($G68:$H68)=0),$F68,MIN($G68:$H68))))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IF(AE69=0,"",DATE(YEAR(AsOfDate)+IF(DATE(YEAR(AsOfDate),MONTH(AF69),DAY(AF69))&lt;=AsOfDate,1,0),MONTH(AF69),DAY(AF69)))</f>
        <v/>
      </c>
      <c r="L69" s="11" t="str">
        <f aca="false">IF(AE69=0,"",ROUND((AsOfDate-AF69)/365.25,1))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IF(AE69=0,"",IF(NOT(LH_Ready),"",IF(LH_ColPeriod=0,W69-U69+V69,SUMIFS(INDEX(LH_Data,0,LH_ColAcc),INDEX(LH_Data,0,LH_ColFirst),$A69,INDEX(LH_Data,0,LH_ColSur),$B69,INDEX(LH_Data,0,LH_ColCat),BonusCat,INDEX(LH_Data,0,LH_ColPeriod),LH_OpenLabel)*UnitFactor)))</f>
        <v/>
      </c>
      <c r="U69" s="13" t="str">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IF(AE69=0,"",IF($J69&lt;&gt;"",$J69,IF(OR(CasualCounts="Yes",COUNT($G69:$I69)=0,COUNT($G69:$H69)=0),$F69,MIN($G69:$H69))))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IF(AE70=0,"",DATE(YEAR(AsOfDate)+IF(DATE(YEAR(AsOfDate),MONTH(AF70),DAY(AF70))&lt;=AsOfDate,1,0),MONTH(AF70),DAY(AF70)))</f>
        <v/>
      </c>
      <c r="L70" s="11" t="str">
        <f aca="false">IF(AE70=0,"",ROUND((AsOfDate-AF70)/365.25,1))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IF(AE70=0,"",IF(NOT(LH_Ready),"",IF(LH_ColPeriod=0,W70-U70+V70,SUMIFS(INDEX(LH_Data,0,LH_ColAcc),INDEX(LH_Data,0,LH_ColFirst),$A70,INDEX(LH_Data,0,LH_ColSur),$B70,INDEX(LH_Data,0,LH_ColCat),BonusCat,INDEX(LH_Data,0,LH_ColPeriod),LH_OpenLabel)*UnitFactor)))</f>
        <v/>
      </c>
      <c r="U70" s="13" t="str">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IF(AE70=0,"",IF($J70&lt;&gt;"",$J70,IF(OR(CasualCounts="Yes",COUNT($G70:$I70)=0,COUNT($G70:$H70)=0),$F70,MIN($G70:$H70))))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IF(AE71=0,"",DATE(YEAR(AsOfDate)+IF(DATE(YEAR(AsOfDate),MONTH(AF71),DAY(AF71))&lt;=AsOfDate,1,0),MONTH(AF71),DAY(AF71)))</f>
        <v/>
      </c>
      <c r="L71" s="11" t="str">
        <f aca="false">IF(AE71=0,"",ROUND((AsOfDate-AF71)/365.25,1))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IF(AE71=0,"",IF(NOT(LH_Ready),"",IF(LH_ColPeriod=0,W71-U71+V71,SUMIFS(INDEX(LH_Data,0,LH_ColAcc),INDEX(LH_Data,0,LH_ColFirst),$A71,INDEX(LH_Data,0,LH_ColSur),$B71,INDEX(LH_Data,0,LH_ColCat),BonusCat,INDEX(LH_Data,0,LH_ColPeriod),LH_OpenLabel)*UnitFactor)))</f>
        <v/>
      </c>
      <c r="U71" s="13" t="str">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IF(AE71=0,"",IF($J71&lt;&gt;"",$J71,IF(OR(CasualCounts="Yes",COUNT($G71:$I71)=0,COUNT($G71:$H71)=0),$F71,MIN($G71:$H71))))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IF(AE72=0,"",DATE(YEAR(AsOfDate)+IF(DATE(YEAR(AsOfDate),MONTH(AF72),DAY(AF72))&lt;=AsOfDate,1,0),MONTH(AF72),DAY(AF72)))</f>
        <v/>
      </c>
      <c r="L72" s="11" t="str">
        <f aca="false">IF(AE72=0,"",ROUND((AsOfDate-AF72)/365.25,1))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IF(AE72=0,"",IF(NOT(LH_Ready),"",IF(LH_ColPeriod=0,W72-U72+V72,SUMIFS(INDEX(LH_Data,0,LH_ColAcc),INDEX(LH_Data,0,LH_ColFirst),$A72,INDEX(LH_Data,0,LH_ColSur),$B72,INDEX(LH_Data,0,LH_ColCat),BonusCat,INDEX(LH_Data,0,LH_ColPeriod),LH_OpenLabel)*UnitFactor)))</f>
        <v/>
      </c>
      <c r="U72" s="13" t="str">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IF(AE72=0,"",IF($J72&lt;&gt;"",$J72,IF(OR(CasualCounts="Yes",COUNT($G72:$I72)=0,COUNT($G72:$H72)=0),$F72,MIN($G72:$H72))))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IF(AE73=0,"",DATE(YEAR(AsOfDate)+IF(DATE(YEAR(AsOfDate),MONTH(AF73),DAY(AF73))&lt;=AsOfDate,1,0),MONTH(AF73),DAY(AF73)))</f>
        <v/>
      </c>
      <c r="L73" s="11" t="str">
        <f aca="false">IF(AE73=0,"",ROUND((AsOfDate-AF73)/365.25,1))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IF(AE73=0,"",IF(NOT(LH_Ready),"",IF(LH_ColPeriod=0,W73-U73+V73,SUMIFS(INDEX(LH_Data,0,LH_ColAcc),INDEX(LH_Data,0,LH_ColFirst),$A73,INDEX(LH_Data,0,LH_ColSur),$B73,INDEX(LH_Data,0,LH_ColCat),BonusCat,INDEX(LH_Data,0,LH_ColPeriod),LH_OpenLabel)*UnitFactor)))</f>
        <v/>
      </c>
      <c r="U73" s="13" t="str">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IF(AE73=0,"",IF($J73&lt;&gt;"",$J73,IF(OR(CasualCounts="Yes",COUNT($G73:$I73)=0,COUNT($G73:$H73)=0),$F73,MIN($G73:$H73))))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IF(AE74=0,"",DATE(YEAR(AsOfDate)+IF(DATE(YEAR(AsOfDate),MONTH(AF74),DAY(AF74))&lt;=AsOfDate,1,0),MONTH(AF74),DAY(AF74)))</f>
        <v/>
      </c>
      <c r="L74" s="11" t="str">
        <f aca="false">IF(AE74=0,"",ROUND((AsOfDate-AF74)/365.25,1))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IF(AE74=0,"",IF(NOT(LH_Ready),"",IF(LH_ColPeriod=0,W74-U74+V74,SUMIFS(INDEX(LH_Data,0,LH_ColAcc),INDEX(LH_Data,0,LH_ColFirst),$A74,INDEX(LH_Data,0,LH_ColSur),$B74,INDEX(LH_Data,0,LH_ColCat),BonusCat,INDEX(LH_Data,0,LH_ColPeriod),LH_OpenLabel)*UnitFactor)))</f>
        <v/>
      </c>
      <c r="U74" s="13" t="str">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IF(AE74=0,"",IF($J74&lt;&gt;"",$J74,IF(OR(CasualCounts="Yes",COUNT($G74:$I74)=0,COUNT($G74:$H74)=0),$F74,MIN($G74:$H74))))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IF(AE75=0,"",DATE(YEAR(AsOfDate)+IF(DATE(YEAR(AsOfDate),MONTH(AF75),DAY(AF75))&lt;=AsOfDate,1,0),MONTH(AF75),DAY(AF75)))</f>
        <v/>
      </c>
      <c r="L75" s="11" t="str">
        <f aca="false">IF(AE75=0,"",ROUND((AsOfDate-AF75)/365.25,1))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IF(AE75=0,"",IF(NOT(LH_Ready),"",IF(LH_ColPeriod=0,W75-U75+V75,SUMIFS(INDEX(LH_Data,0,LH_ColAcc),INDEX(LH_Data,0,LH_ColFirst),$A75,INDEX(LH_Data,0,LH_ColSur),$B75,INDEX(LH_Data,0,LH_ColCat),BonusCat,INDEX(LH_Data,0,LH_ColPeriod),LH_OpenLabel)*UnitFactor)))</f>
        <v/>
      </c>
      <c r="U75" s="13"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IF(AE75=0,"",IF($J75&lt;&gt;"",$J75,IF(OR(CasualCounts="Yes",COUNT($G75:$I75)=0,COUNT($G75:$H75)=0),$F75,MIN($G75:$H75))))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IF(AE76=0,"",DATE(YEAR(AsOfDate)+IF(DATE(YEAR(AsOfDate),MONTH(AF76),DAY(AF76))&lt;=AsOfDate,1,0),MONTH(AF76),DAY(AF76)))</f>
        <v/>
      </c>
      <c r="L76" s="11" t="str">
        <f aca="false">IF(AE76=0,"",ROUND((AsOfDate-AF76)/365.25,1))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IF(AE76=0,"",IF(NOT(LH_Ready),"",IF(LH_ColPeriod=0,W76-U76+V76,SUMIFS(INDEX(LH_Data,0,LH_ColAcc),INDEX(LH_Data,0,LH_ColFirst),$A76,INDEX(LH_Data,0,LH_ColSur),$B76,INDEX(LH_Data,0,LH_ColCat),BonusCat,INDEX(LH_Data,0,LH_ColPeriod),LH_OpenLabel)*UnitFactor)))</f>
        <v/>
      </c>
      <c r="U76" s="13"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IF(AE76=0,"",IF($J76&lt;&gt;"",$J76,IF(OR(CasualCounts="Yes",COUNT($G76:$I76)=0,COUNT($G76:$H76)=0),$F76,MIN($G76:$H76))))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IF(AE77=0,"",DATE(YEAR(AsOfDate)+IF(DATE(YEAR(AsOfDate),MONTH(AF77),DAY(AF77))&lt;=AsOfDate,1,0),MONTH(AF77),DAY(AF77)))</f>
        <v/>
      </c>
      <c r="L77" s="11" t="str">
        <f aca="false">IF(AE77=0,"",ROUND((AsOfDate-AF77)/365.25,1))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IF(AE77=0,"",IF(NOT(LH_Ready),"",IF(LH_ColPeriod=0,W77-U77+V77,SUMIFS(INDEX(LH_Data,0,LH_ColAcc),INDEX(LH_Data,0,LH_ColFirst),$A77,INDEX(LH_Data,0,LH_ColSur),$B77,INDEX(LH_Data,0,LH_ColCat),BonusCat,INDEX(LH_Data,0,LH_ColPeriod),LH_OpenLabel)*UnitFactor)))</f>
        <v/>
      </c>
      <c r="U77" s="13"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IF(AE77=0,"",IF($J77&lt;&gt;"",$J77,IF(OR(CasualCounts="Yes",COUNT($G77:$I77)=0,COUNT($G77:$H77)=0),$F77,MIN($G77:$H77))))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IF(AE78=0,"",DATE(YEAR(AsOfDate)+IF(DATE(YEAR(AsOfDate),MONTH(AF78),DAY(AF78))&lt;=AsOfDate,1,0),MONTH(AF78),DAY(AF78)))</f>
        <v/>
      </c>
      <c r="L78" s="11" t="str">
        <f aca="false">IF(AE78=0,"",ROUND((AsOfDate-AF78)/365.25,1))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IF(AE78=0,"",IF(NOT(LH_Ready),"",IF(LH_ColPeriod=0,W78-U78+V78,SUMIFS(INDEX(LH_Data,0,LH_ColAcc),INDEX(LH_Data,0,LH_ColFirst),$A78,INDEX(LH_Data,0,LH_ColSur),$B78,INDEX(LH_Data,0,LH_ColCat),BonusCat,INDEX(LH_Data,0,LH_ColPeriod),LH_OpenLabel)*UnitFactor)))</f>
        <v/>
      </c>
      <c r="U78" s="13"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IF(AE78=0,"",IF($J78&lt;&gt;"",$J78,IF(OR(CasualCounts="Yes",COUNT($G78:$I78)=0,COUNT($G78:$H78)=0),$F78,MIN($G78:$H78))))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IF(AE79=0,"",DATE(YEAR(AsOfDate)+IF(DATE(YEAR(AsOfDate),MONTH(AF79),DAY(AF79))&lt;=AsOfDate,1,0),MONTH(AF79),DAY(AF79)))</f>
        <v/>
      </c>
      <c r="L79" s="11" t="str">
        <f aca="false">IF(AE79=0,"",ROUND((AsOfDate-AF79)/365.25,1))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IF(AE79=0,"",IF(NOT(LH_Ready),"",IF(LH_ColPeriod=0,W79-U79+V79,SUMIFS(INDEX(LH_Data,0,LH_ColAcc),INDEX(LH_Data,0,LH_ColFirst),$A79,INDEX(LH_Data,0,LH_ColSur),$B79,INDEX(LH_Data,0,LH_ColCat),BonusCat,INDEX(LH_Data,0,LH_ColPeriod),LH_OpenLabel)*UnitFactor)))</f>
        <v/>
      </c>
      <c r="U79" s="13"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IF(AE79=0,"",IF($J79&lt;&gt;"",$J79,IF(OR(CasualCounts="Yes",COUNT($G79:$I79)=0,COUNT($G79:$H79)=0),$F79,MIN($G79:$H79))))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IF(AE80=0,"",DATE(YEAR(AsOfDate)+IF(DATE(YEAR(AsOfDate),MONTH(AF80),DAY(AF80))&lt;=AsOfDate,1,0),MONTH(AF80),DAY(AF80)))</f>
        <v/>
      </c>
      <c r="L80" s="11" t="str">
        <f aca="false">IF(AE80=0,"",ROUND((AsOfDate-AF80)/365.25,1))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IF(AE80=0,"",IF(NOT(LH_Ready),"",IF(LH_ColPeriod=0,W80-U80+V80,SUMIFS(INDEX(LH_Data,0,LH_ColAcc),INDEX(LH_Data,0,LH_ColFirst),$A80,INDEX(LH_Data,0,LH_ColSur),$B80,INDEX(LH_Data,0,LH_ColCat),BonusCat,INDEX(LH_Data,0,LH_ColPeriod),LH_OpenLabel)*UnitFactor)))</f>
        <v/>
      </c>
      <c r="U80" s="13"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IF(AE80=0,"",IF($J80&lt;&gt;"",$J80,IF(OR(CasualCounts="Yes",COUNT($G80:$I80)=0,COUNT($G80:$H80)=0),$F80,MIN($G80:$H80))))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IF(AE81=0,"",DATE(YEAR(AsOfDate)+IF(DATE(YEAR(AsOfDate),MONTH(AF81),DAY(AF81))&lt;=AsOfDate,1,0),MONTH(AF81),DAY(AF81)))</f>
        <v/>
      </c>
      <c r="L81" s="11" t="str">
        <f aca="false">IF(AE81=0,"",ROUND((AsOfDate-AF81)/365.25,1))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IF(AE81=0,"",IF(NOT(LH_Ready),"",IF(LH_ColPeriod=0,W81-U81+V81,SUMIFS(INDEX(LH_Data,0,LH_ColAcc),INDEX(LH_Data,0,LH_ColFirst),$A81,INDEX(LH_Data,0,LH_ColSur),$B81,INDEX(LH_Data,0,LH_ColCat),BonusCat,INDEX(LH_Data,0,LH_ColPeriod),LH_OpenLabel)*UnitFactor)))</f>
        <v/>
      </c>
      <c r="U81" s="13"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IF(AE81=0,"",IF($J81&lt;&gt;"",$J81,IF(OR(CasualCounts="Yes",COUNT($G81:$I81)=0,COUNT($G81:$H81)=0),$F81,MIN($G81:$H81))))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IF(AE82=0,"",DATE(YEAR(AsOfDate)+IF(DATE(YEAR(AsOfDate),MONTH(AF82),DAY(AF82))&lt;=AsOfDate,1,0),MONTH(AF82),DAY(AF82)))</f>
        <v/>
      </c>
      <c r="L82" s="11" t="str">
        <f aca="false">IF(AE82=0,"",ROUND((AsOfDate-AF82)/365.25,1))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IF(AE82=0,"",IF(NOT(LH_Ready),"",IF(LH_ColPeriod=0,W82-U82+V82,SUMIFS(INDEX(LH_Data,0,LH_ColAcc),INDEX(LH_Data,0,LH_ColFirst),$A82,INDEX(LH_Data,0,LH_ColSur),$B82,INDEX(LH_Data,0,LH_ColCat),BonusCat,INDEX(LH_Data,0,LH_ColPeriod),LH_OpenLabel)*UnitFactor)))</f>
        <v/>
      </c>
      <c r="U82" s="13"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IF(AE82=0,"",IF($J82&lt;&gt;"",$J82,IF(OR(CasualCounts="Yes",COUNT($G82:$I82)=0,COUNT($G82:$H82)=0),$F82,MIN($G82:$H82))))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IF(AE83=0,"",DATE(YEAR(AsOfDate)+IF(DATE(YEAR(AsOfDate),MONTH(AF83),DAY(AF83))&lt;=AsOfDate,1,0),MONTH(AF83),DAY(AF83)))</f>
        <v/>
      </c>
      <c r="L83" s="11" t="str">
        <f aca="false">IF(AE83=0,"",ROUND((AsOfDate-AF83)/365.25,1))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IF(AE83=0,"",IF(NOT(LH_Ready),"",IF(LH_ColPeriod=0,W83-U83+V83,SUMIFS(INDEX(LH_Data,0,LH_ColAcc),INDEX(LH_Data,0,LH_ColFirst),$A83,INDEX(LH_Data,0,LH_ColSur),$B83,INDEX(LH_Data,0,LH_ColCat),BonusCat,INDEX(LH_Data,0,LH_ColPeriod),LH_OpenLabel)*UnitFactor)))</f>
        <v/>
      </c>
      <c r="U83" s="13"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IF(AE83=0,"",IF($J83&lt;&gt;"",$J83,IF(OR(CasualCounts="Yes",COUNT($G83:$I83)=0,COUNT($G83:$H83)=0),$F83,MIN($G83:$H83))))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IF(AE84=0,"",DATE(YEAR(AsOfDate)+IF(DATE(YEAR(AsOfDate),MONTH(AF84),DAY(AF84))&lt;=AsOfDate,1,0),MONTH(AF84),DAY(AF84)))</f>
        <v/>
      </c>
      <c r="L84" s="11" t="str">
        <f aca="false">IF(AE84=0,"",ROUND((AsOfDate-AF84)/365.25,1))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IF(AE84=0,"",IF(NOT(LH_Ready),"",IF(LH_ColPeriod=0,W84-U84+V84,SUMIFS(INDEX(LH_Data,0,LH_ColAcc),INDEX(LH_Data,0,LH_ColFirst),$A84,INDEX(LH_Data,0,LH_ColSur),$B84,INDEX(LH_Data,0,LH_ColCat),BonusCat,INDEX(LH_Data,0,LH_ColPeriod),LH_OpenLabel)*UnitFactor)))</f>
        <v/>
      </c>
      <c r="U84" s="13"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IF(AE84=0,"",IF($J84&lt;&gt;"",$J84,IF(OR(CasualCounts="Yes",COUNT($G84:$I84)=0,COUNT($G84:$H84)=0),$F84,MIN($G84:$H84))))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IF(AE85=0,"",DATE(YEAR(AsOfDate)+IF(DATE(YEAR(AsOfDate),MONTH(AF85),DAY(AF85))&lt;=AsOfDate,1,0),MONTH(AF85),DAY(AF85)))</f>
        <v/>
      </c>
      <c r="L85" s="11" t="str">
        <f aca="false">IF(AE85=0,"",ROUND((AsOfDate-AF85)/365.25,1))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IF(AE85=0,"",IF(NOT(LH_Ready),"",IF(LH_ColPeriod=0,W85-U85+V85,SUMIFS(INDEX(LH_Data,0,LH_ColAcc),INDEX(LH_Data,0,LH_ColFirst),$A85,INDEX(LH_Data,0,LH_ColSur),$B85,INDEX(LH_Data,0,LH_ColCat),BonusCat,INDEX(LH_Data,0,LH_ColPeriod),LH_OpenLabel)*UnitFactor)))</f>
        <v/>
      </c>
      <c r="U85" s="13"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IF(AE85=0,"",IF($J85&lt;&gt;"",$J85,IF(OR(CasualCounts="Yes",COUNT($G85:$I85)=0,COUNT($G85:$H85)=0),$F85,MIN($G85:$H85))))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IF(AE86=0,"",DATE(YEAR(AsOfDate)+IF(DATE(YEAR(AsOfDate),MONTH(AF86),DAY(AF86))&lt;=AsOfDate,1,0),MONTH(AF86),DAY(AF86)))</f>
        <v/>
      </c>
      <c r="L86" s="11" t="str">
        <f aca="false">IF(AE86=0,"",ROUND((AsOfDate-AF86)/365.25,1))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IF(AE86=0,"",IF(NOT(LH_Ready),"",IF(LH_ColPeriod=0,W86-U86+V86,SUMIFS(INDEX(LH_Data,0,LH_ColAcc),INDEX(LH_Data,0,LH_ColFirst),$A86,INDEX(LH_Data,0,LH_ColSur),$B86,INDEX(LH_Data,0,LH_ColCat),BonusCat,INDEX(LH_Data,0,LH_ColPeriod),LH_OpenLabel)*UnitFactor)))</f>
        <v/>
      </c>
      <c r="U86" s="13"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IF(AE86=0,"",IF($J86&lt;&gt;"",$J86,IF(OR(CasualCounts="Yes",COUNT($G86:$I86)=0,COUNT($G86:$H86)=0),$F86,MIN($G86:$H86))))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IF(AE87=0,"",DATE(YEAR(AsOfDate)+IF(DATE(YEAR(AsOfDate),MONTH(AF87),DAY(AF87))&lt;=AsOfDate,1,0),MONTH(AF87),DAY(AF87)))</f>
        <v/>
      </c>
      <c r="L87" s="11" t="str">
        <f aca="false">IF(AE87=0,"",ROUND((AsOfDate-AF87)/365.25,1))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IF(AE87=0,"",IF(NOT(LH_Ready),"",IF(LH_ColPeriod=0,W87-U87+V87,SUMIFS(INDEX(LH_Data,0,LH_ColAcc),INDEX(LH_Data,0,LH_ColFirst),$A87,INDEX(LH_Data,0,LH_ColSur),$B87,INDEX(LH_Data,0,LH_ColCat),BonusCat,INDEX(LH_Data,0,LH_ColPeriod),LH_OpenLabel)*UnitFactor)))</f>
        <v/>
      </c>
      <c r="U87" s="13"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IF(AE87=0,"",IF($J87&lt;&gt;"",$J87,IF(OR(CasualCounts="Yes",COUNT($G87:$I87)=0,COUNT($G87:$H87)=0),$F87,MIN($G87:$H87))))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IF(AE88=0,"",DATE(YEAR(AsOfDate)+IF(DATE(YEAR(AsOfDate),MONTH(AF88),DAY(AF88))&lt;=AsOfDate,1,0),MONTH(AF88),DAY(AF88)))</f>
        <v/>
      </c>
      <c r="L88" s="11" t="str">
        <f aca="false">IF(AE88=0,"",ROUND((AsOfDate-AF88)/365.25,1))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IF(AE88=0,"",IF(NOT(LH_Ready),"",IF(LH_ColPeriod=0,W88-U88+V88,SUMIFS(INDEX(LH_Data,0,LH_ColAcc),INDEX(LH_Data,0,LH_ColFirst),$A88,INDEX(LH_Data,0,LH_ColSur),$B88,INDEX(LH_Data,0,LH_ColCat),BonusCat,INDEX(LH_Data,0,LH_ColPeriod),LH_OpenLabel)*UnitFactor)))</f>
        <v/>
      </c>
      <c r="U88" s="13"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IF(AE88=0,"",IF($J88&lt;&gt;"",$J88,IF(OR(CasualCounts="Yes",COUNT($G88:$I88)=0,COUNT($G88:$H88)=0),$F88,MIN($G88:$H88))))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IF(AE89=0,"",DATE(YEAR(AsOfDate)+IF(DATE(YEAR(AsOfDate),MONTH(AF89),DAY(AF89))&lt;=AsOfDate,1,0),MONTH(AF89),DAY(AF89)))</f>
        <v/>
      </c>
      <c r="L89" s="11" t="str">
        <f aca="false">IF(AE89=0,"",ROUND((AsOfDate-AF89)/365.25,1))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IF(AE89=0,"",IF(NOT(LH_Ready),"",IF(LH_ColPeriod=0,W89-U89+V89,SUMIFS(INDEX(LH_Data,0,LH_ColAcc),INDEX(LH_Data,0,LH_ColFirst),$A89,INDEX(LH_Data,0,LH_ColSur),$B89,INDEX(LH_Data,0,LH_ColCat),BonusCat,INDEX(LH_Data,0,LH_ColPeriod),LH_OpenLabel)*UnitFactor)))</f>
        <v/>
      </c>
      <c r="U89" s="13"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IF(AE89=0,"",IF($J89&lt;&gt;"",$J89,IF(OR(CasualCounts="Yes",COUNT($G89:$I89)=0,COUNT($G89:$H89)=0),$F89,MIN($G89:$H89))))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IF(AE90=0,"",DATE(YEAR(AsOfDate)+IF(DATE(YEAR(AsOfDate),MONTH(AF90),DAY(AF90))&lt;=AsOfDate,1,0),MONTH(AF90),DAY(AF90)))</f>
        <v/>
      </c>
      <c r="L90" s="11" t="str">
        <f aca="false">IF(AE90=0,"",ROUND((AsOfDate-AF90)/365.25,1))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IF(AE90=0,"",IF(NOT(LH_Ready),"",IF(LH_ColPeriod=0,W90-U90+V90,SUMIFS(INDEX(LH_Data,0,LH_ColAcc),INDEX(LH_Data,0,LH_ColFirst),$A90,INDEX(LH_Data,0,LH_ColSur),$B90,INDEX(LH_Data,0,LH_ColCat),BonusCat,INDEX(LH_Data,0,LH_ColPeriod),LH_OpenLabel)*UnitFactor)))</f>
        <v/>
      </c>
      <c r="U90" s="13"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IF(AE90=0,"",IF($J90&lt;&gt;"",$J90,IF(OR(CasualCounts="Yes",COUNT($G90:$I90)=0,COUNT($G90:$H90)=0),$F90,MIN($G90:$H90))))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IF(AE91=0,"",DATE(YEAR(AsOfDate)+IF(DATE(YEAR(AsOfDate),MONTH(AF91),DAY(AF91))&lt;=AsOfDate,1,0),MONTH(AF91),DAY(AF91)))</f>
        <v/>
      </c>
      <c r="L91" s="11" t="str">
        <f aca="false">IF(AE91=0,"",ROUND((AsOfDate-AF91)/365.25,1))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IF(AE91=0,"",IF(NOT(LH_Ready),"",IF(LH_ColPeriod=0,W91-U91+V91,SUMIFS(INDEX(LH_Data,0,LH_ColAcc),INDEX(LH_Data,0,LH_ColFirst),$A91,INDEX(LH_Data,0,LH_ColSur),$B91,INDEX(LH_Data,0,LH_ColCat),BonusCat,INDEX(LH_Data,0,LH_ColPeriod),LH_OpenLabel)*UnitFactor)))</f>
        <v/>
      </c>
      <c r="U91" s="13"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IF(AE91=0,"",IF($J91&lt;&gt;"",$J91,IF(OR(CasualCounts="Yes",COUNT($G91:$I91)=0,COUNT($G91:$H91)=0),$F91,MIN($G91:$H91))))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IF(AE92=0,"",DATE(YEAR(AsOfDate)+IF(DATE(YEAR(AsOfDate),MONTH(AF92),DAY(AF92))&lt;=AsOfDate,1,0),MONTH(AF92),DAY(AF92)))</f>
        <v/>
      </c>
      <c r="L92" s="11" t="str">
        <f aca="false">IF(AE92=0,"",ROUND((AsOfDate-AF92)/365.25,1))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IF(AE92=0,"",IF(NOT(LH_Ready),"",IF(LH_ColPeriod=0,W92-U92+V92,SUMIFS(INDEX(LH_Data,0,LH_ColAcc),INDEX(LH_Data,0,LH_ColFirst),$A92,INDEX(LH_Data,0,LH_ColSur),$B92,INDEX(LH_Data,0,LH_ColCat),BonusCat,INDEX(LH_Data,0,LH_ColPeriod),LH_OpenLabel)*UnitFactor)))</f>
        <v/>
      </c>
      <c r="U92" s="13"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IF(AE92=0,"",IF($J92&lt;&gt;"",$J92,IF(OR(CasualCounts="Yes",COUNT($G92:$I92)=0,COUNT($G92:$H92)=0),$F92,MIN($G92:$H92))))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IF(AE93=0,"",DATE(YEAR(AsOfDate)+IF(DATE(YEAR(AsOfDate),MONTH(AF93),DAY(AF93))&lt;=AsOfDate,1,0),MONTH(AF93),DAY(AF93)))</f>
        <v/>
      </c>
      <c r="L93" s="11" t="str">
        <f aca="false">IF(AE93=0,"",ROUND((AsOfDate-AF93)/365.25,1))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IF(AE93=0,"",IF(NOT(LH_Ready),"",IF(LH_ColPeriod=0,W93-U93+V93,SUMIFS(INDEX(LH_Data,0,LH_ColAcc),INDEX(LH_Data,0,LH_ColFirst),$A93,INDEX(LH_Data,0,LH_ColSur),$B93,INDEX(LH_Data,0,LH_ColCat),BonusCat,INDEX(LH_Data,0,LH_ColPeriod),LH_OpenLabel)*UnitFactor)))</f>
        <v/>
      </c>
      <c r="U93" s="13"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IF(AE93=0,"",IF($J93&lt;&gt;"",$J93,IF(OR(CasualCounts="Yes",COUNT($G93:$I93)=0,COUNT($G93:$H93)=0),$F93,MIN($G93:$H93))))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IF(AE94=0,"",DATE(YEAR(AsOfDate)+IF(DATE(YEAR(AsOfDate),MONTH(AF94),DAY(AF94))&lt;=AsOfDate,1,0),MONTH(AF94),DAY(AF94)))</f>
        <v/>
      </c>
      <c r="L94" s="11" t="str">
        <f aca="false">IF(AE94=0,"",ROUND((AsOfDate-AF94)/365.25,1))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IF(AE94=0,"",IF(NOT(LH_Ready),"",IF(LH_ColPeriod=0,W94-U94+V94,SUMIFS(INDEX(LH_Data,0,LH_ColAcc),INDEX(LH_Data,0,LH_ColFirst),$A94,INDEX(LH_Data,0,LH_ColSur),$B94,INDEX(LH_Data,0,LH_ColCat),BonusCat,INDEX(LH_Data,0,LH_ColPeriod),LH_OpenLabel)*UnitFactor)))</f>
        <v/>
      </c>
      <c r="U94" s="13"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IF(AE94=0,"",IF($J94&lt;&gt;"",$J94,IF(OR(CasualCounts="Yes",COUNT($G94:$I94)=0,COUNT($G94:$H94)=0),$F94,MIN($G94:$H94))))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IF(AE95=0,"",DATE(YEAR(AsOfDate)+IF(DATE(YEAR(AsOfDate),MONTH(AF95),DAY(AF95))&lt;=AsOfDate,1,0),MONTH(AF95),DAY(AF95)))</f>
        <v/>
      </c>
      <c r="L95" s="11" t="str">
        <f aca="false">IF(AE95=0,"",ROUND((AsOfDate-AF95)/365.25,1))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IF(AE95=0,"",IF(NOT(LH_Ready),"",IF(LH_ColPeriod=0,W95-U95+V95,SUMIFS(INDEX(LH_Data,0,LH_ColAcc),INDEX(LH_Data,0,LH_ColFirst),$A95,INDEX(LH_Data,0,LH_ColSur),$B95,INDEX(LH_Data,0,LH_ColCat),BonusCat,INDEX(LH_Data,0,LH_ColPeriod),LH_OpenLabel)*UnitFactor)))</f>
        <v/>
      </c>
      <c r="U95" s="13"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IF(AE95=0,"",IF($J95&lt;&gt;"",$J95,IF(OR(CasualCounts="Yes",COUNT($G95:$I95)=0,COUNT($G95:$H95)=0),$F95,MIN($G95:$H95))))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IF(AE96=0,"",DATE(YEAR(AsOfDate)+IF(DATE(YEAR(AsOfDate),MONTH(AF96),DAY(AF96))&lt;=AsOfDate,1,0),MONTH(AF96),DAY(AF96)))</f>
        <v/>
      </c>
      <c r="L96" s="11" t="str">
        <f aca="false">IF(AE96=0,"",ROUND((AsOfDate-AF96)/365.25,1))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IF(AE96=0,"",IF(NOT(LH_Ready),"",IF(LH_ColPeriod=0,W96-U96+V96,SUMIFS(INDEX(LH_Data,0,LH_ColAcc),INDEX(LH_Data,0,LH_ColFirst),$A96,INDEX(LH_Data,0,LH_ColSur),$B96,INDEX(LH_Data,0,LH_ColCat),BonusCat,INDEX(LH_Data,0,LH_ColPeriod),LH_OpenLabel)*UnitFactor)))</f>
        <v/>
      </c>
      <c r="U96" s="13"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IF(AE96=0,"",IF($J96&lt;&gt;"",$J96,IF(OR(CasualCounts="Yes",COUNT($G96:$I96)=0,COUNT($G96:$H96)=0),$F96,MIN($G96:$H96))))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IF(AE97=0,"",DATE(YEAR(AsOfDate)+IF(DATE(YEAR(AsOfDate),MONTH(AF97),DAY(AF97))&lt;=AsOfDate,1,0),MONTH(AF97),DAY(AF97)))</f>
        <v/>
      </c>
      <c r="L97" s="11" t="str">
        <f aca="false">IF(AE97=0,"",ROUND((AsOfDate-AF97)/365.25,1))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IF(AE97=0,"",IF(NOT(LH_Ready),"",IF(LH_ColPeriod=0,W97-U97+V97,SUMIFS(INDEX(LH_Data,0,LH_ColAcc),INDEX(LH_Data,0,LH_ColFirst),$A97,INDEX(LH_Data,0,LH_ColSur),$B97,INDEX(LH_Data,0,LH_ColCat),BonusCat,INDEX(LH_Data,0,LH_ColPeriod),LH_OpenLabel)*UnitFactor)))</f>
        <v/>
      </c>
      <c r="U97" s="13"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IF(AE97=0,"",IF($J97&lt;&gt;"",$J97,IF(OR(CasualCounts="Yes",COUNT($G97:$I97)=0,COUNT($G97:$H97)=0),$F97,MIN($G97:$H97))))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IF(AE98=0,"",DATE(YEAR(AsOfDate)+IF(DATE(YEAR(AsOfDate),MONTH(AF98),DAY(AF98))&lt;=AsOfDate,1,0),MONTH(AF98),DAY(AF98)))</f>
        <v/>
      </c>
      <c r="L98" s="11" t="str">
        <f aca="false">IF(AE98=0,"",ROUND((AsOfDate-AF98)/365.25,1))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IF(AE98=0,"",IF(NOT(LH_Ready),"",IF(LH_ColPeriod=0,W98-U98+V98,SUMIFS(INDEX(LH_Data,0,LH_ColAcc),INDEX(LH_Data,0,LH_ColFirst),$A98,INDEX(LH_Data,0,LH_ColSur),$B98,INDEX(LH_Data,0,LH_ColCat),BonusCat,INDEX(LH_Data,0,LH_ColPeriod),LH_OpenLabel)*UnitFactor)))</f>
        <v/>
      </c>
      <c r="U98" s="13"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IF(AE98=0,"",IF($J98&lt;&gt;"",$J98,IF(OR(CasualCounts="Yes",COUNT($G98:$I98)=0,COUNT($G98:$H98)=0),$F98,MIN($G98:$H98))))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IF(AE99=0,"",DATE(YEAR(AsOfDate)+IF(DATE(YEAR(AsOfDate),MONTH(AF99),DAY(AF99))&lt;=AsOfDate,1,0),MONTH(AF99),DAY(AF99)))</f>
        <v/>
      </c>
      <c r="L99" s="11" t="str">
        <f aca="false">IF(AE99=0,"",ROUND((AsOfDate-AF99)/365.25,1))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IF(AE99=0,"",IF(NOT(LH_Ready),"",IF(LH_ColPeriod=0,W99-U99+V99,SUMIFS(INDEX(LH_Data,0,LH_ColAcc),INDEX(LH_Data,0,LH_ColFirst),$A99,INDEX(LH_Data,0,LH_ColSur),$B99,INDEX(LH_Data,0,LH_ColCat),BonusCat,INDEX(LH_Data,0,LH_ColPeriod),LH_OpenLabel)*UnitFactor)))</f>
        <v/>
      </c>
      <c r="U99" s="13"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IF(AE99=0,"",IF($J99&lt;&gt;"",$J99,IF(OR(CasualCounts="Yes",COUNT($G99:$I99)=0,COUNT($G99:$H99)=0),$F99,MIN($G99:$H99))))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IF(AE100=0,"",DATE(YEAR(AsOfDate)+IF(DATE(YEAR(AsOfDate),MONTH(AF100),DAY(AF100))&lt;=AsOfDate,1,0),MONTH(AF100),DAY(AF100)))</f>
        <v/>
      </c>
      <c r="L100" s="11" t="str">
        <f aca="false">IF(AE100=0,"",ROUND((AsOfDate-AF100)/365.25,1))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IF(AE100=0,"",IF(NOT(LH_Ready),"",IF(LH_ColPeriod=0,W100-U100+V100,SUMIFS(INDEX(LH_Data,0,LH_ColAcc),INDEX(LH_Data,0,LH_ColFirst),$A100,INDEX(LH_Data,0,LH_ColSur),$B100,INDEX(LH_Data,0,LH_ColCat),BonusCat,INDEX(LH_Data,0,LH_ColPeriod),LH_OpenLabel)*UnitFactor)))</f>
        <v/>
      </c>
      <c r="U100" s="13"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IF(AE100=0,"",IF($J100&lt;&gt;"",$J100,IF(OR(CasualCounts="Yes",COUNT($G100:$I100)=0,COUNT($G100:$H100)=0),$F100,MIN($G100:$H100))))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IF(AE101=0,"",DATE(YEAR(AsOfDate)+IF(DATE(YEAR(AsOfDate),MONTH(AF101),DAY(AF101))&lt;=AsOfDate,1,0),MONTH(AF101),DAY(AF101)))</f>
        <v/>
      </c>
      <c r="L101" s="11" t="str">
        <f aca="false">IF(AE101=0,"",ROUND((AsOfDate-AF101)/365.25,1))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IF(AE101=0,"",IF(NOT(LH_Ready),"",IF(LH_ColPeriod=0,W101-U101+V101,SUMIFS(INDEX(LH_Data,0,LH_ColAcc),INDEX(LH_Data,0,LH_ColFirst),$A101,INDEX(LH_Data,0,LH_ColSur),$B101,INDEX(LH_Data,0,LH_ColCat),BonusCat,INDEX(LH_Data,0,LH_ColPeriod),LH_OpenLabel)*UnitFactor)))</f>
        <v/>
      </c>
      <c r="U101" s="13"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IF(AE101=0,"",IF($J101&lt;&gt;"",$J101,IF(OR(CasualCounts="Yes",COUNT($G101:$I101)=0,COUNT($G101:$H101)=0),$F101,MIN($G101:$H101))))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IF(AE102=0,"",DATE(YEAR(AsOfDate)+IF(DATE(YEAR(AsOfDate),MONTH(AF102),DAY(AF102))&lt;=AsOfDate,1,0),MONTH(AF102),DAY(AF102)))</f>
        <v/>
      </c>
      <c r="L102" s="11" t="str">
        <f aca="false">IF(AE102=0,"",ROUND((AsOfDate-AF102)/365.25,1))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IF(AE102=0,"",IF(NOT(LH_Ready),"",IF(LH_ColPeriod=0,W102-U102+V102,SUMIFS(INDEX(LH_Data,0,LH_ColAcc),INDEX(LH_Data,0,LH_ColFirst),$A102,INDEX(LH_Data,0,LH_ColSur),$B102,INDEX(LH_Data,0,LH_ColCat),BonusCat,INDEX(LH_Data,0,LH_ColPeriod),LH_OpenLabel)*UnitFactor)))</f>
        <v/>
      </c>
      <c r="U102" s="13"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IF(AE102=0,"",IF($J102&lt;&gt;"",$J102,IF(OR(CasualCounts="Yes",COUNT($G102:$I102)=0,COUNT($G102:$H102)=0),$F102,MIN($G102:$H102))))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IF(AE103=0,"",DATE(YEAR(AsOfDate)+IF(DATE(YEAR(AsOfDate),MONTH(AF103),DAY(AF103))&lt;=AsOfDate,1,0),MONTH(AF103),DAY(AF103)))</f>
        <v/>
      </c>
      <c r="L103" s="11" t="str">
        <f aca="false">IF(AE103=0,"",ROUND((AsOfDate-AF103)/365.25,1))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IF(AE103=0,"",IF(NOT(LH_Ready),"",IF(LH_ColPeriod=0,W103-U103+V103,SUMIFS(INDEX(LH_Data,0,LH_ColAcc),INDEX(LH_Data,0,LH_ColFirst),$A103,INDEX(LH_Data,0,LH_ColSur),$B103,INDEX(LH_Data,0,LH_ColCat),BonusCat,INDEX(LH_Data,0,LH_ColPeriod),LH_OpenLabel)*UnitFactor)))</f>
        <v/>
      </c>
      <c r="U103" s="13"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IF(AE103=0,"",IF($J103&lt;&gt;"",$J103,IF(OR(CasualCounts="Yes",COUNT($G103:$I103)=0,COUNT($G103:$H103)=0),$F103,MIN($G103:$H103))))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IF(AE104=0,"",DATE(YEAR(AsOfDate)+IF(DATE(YEAR(AsOfDate),MONTH(AF104),DAY(AF104))&lt;=AsOfDate,1,0),MONTH(AF104),DAY(AF104)))</f>
        <v/>
      </c>
      <c r="L104" s="11" t="str">
        <f aca="false">IF(AE104=0,"",ROUND((AsOfDate-AF104)/365.25,1))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IF(AE104=0,"",IF(NOT(LH_Ready),"",IF(LH_ColPeriod=0,W104-U104+V104,SUMIFS(INDEX(LH_Data,0,LH_ColAcc),INDEX(LH_Data,0,LH_ColFirst),$A104,INDEX(LH_Data,0,LH_ColSur),$B104,INDEX(LH_Data,0,LH_ColCat),BonusCat,INDEX(LH_Data,0,LH_ColPeriod),LH_OpenLabel)*UnitFactor)))</f>
        <v/>
      </c>
      <c r="U104" s="13"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IF(AE104=0,"",IF($J104&lt;&gt;"",$J104,IF(OR(CasualCounts="Yes",COUNT($G104:$I104)=0,COUNT($G104:$H104)=0),$F104,MIN($G104:$H104))))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IF(AE105=0,"",DATE(YEAR(AsOfDate)+IF(DATE(YEAR(AsOfDate),MONTH(AF105),DAY(AF105))&lt;=AsOfDate,1,0),MONTH(AF105),DAY(AF105)))</f>
        <v/>
      </c>
      <c r="L105" s="11" t="str">
        <f aca="false">IF(AE105=0,"",ROUND((AsOfDate-AF105)/365.25,1))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IF(AE105=0,"",IF(NOT(LH_Ready),"",IF(LH_ColPeriod=0,W105-U105+V105,SUMIFS(INDEX(LH_Data,0,LH_ColAcc),INDEX(LH_Data,0,LH_ColFirst),$A105,INDEX(LH_Data,0,LH_ColSur),$B105,INDEX(LH_Data,0,LH_ColCat),BonusCat,INDEX(LH_Data,0,LH_ColPeriod),LH_OpenLabel)*UnitFactor)))</f>
        <v/>
      </c>
      <c r="U105" s="13"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IF(AE105=0,"",IF($J105&lt;&gt;"",$J105,IF(OR(CasualCounts="Yes",COUNT($G105:$I105)=0,COUNT($G105:$H105)=0),$F105,MIN($G105:$H105))))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IF(AE106=0,"",DATE(YEAR(AsOfDate)+IF(DATE(YEAR(AsOfDate),MONTH(AF106),DAY(AF106))&lt;=AsOfDate,1,0),MONTH(AF106),DAY(AF106)))</f>
        <v/>
      </c>
      <c r="L106" s="11" t="str">
        <f aca="false">IF(AE106=0,"",ROUND((AsOfDate-AF106)/365.25,1))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IF(AE106=0,"",IF(NOT(LH_Ready),"",IF(LH_ColPeriod=0,W106-U106+V106,SUMIFS(INDEX(LH_Data,0,LH_ColAcc),INDEX(LH_Data,0,LH_ColFirst),$A106,INDEX(LH_Data,0,LH_ColSur),$B106,INDEX(LH_Data,0,LH_ColCat),BonusCat,INDEX(LH_Data,0,LH_ColPeriod),LH_OpenLabel)*UnitFactor)))</f>
        <v/>
      </c>
      <c r="U106" s="13"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IF(AE106=0,"",IF($J106&lt;&gt;"",$J106,IF(OR(CasualCounts="Yes",COUNT($G106:$I106)=0,COUNT($G106:$H106)=0),$F106,MIN($G106:$H106))))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IF(AE107=0,"",DATE(YEAR(AsOfDate)+IF(DATE(YEAR(AsOfDate),MONTH(AF107),DAY(AF107))&lt;=AsOfDate,1,0),MONTH(AF107),DAY(AF107)))</f>
        <v/>
      </c>
      <c r="L107" s="11" t="str">
        <f aca="false">IF(AE107=0,"",ROUND((AsOfDate-AF107)/365.25,1))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IF(AE107=0,"",IF(NOT(LH_Ready),"",IF(LH_ColPeriod=0,W107-U107+V107,SUMIFS(INDEX(LH_Data,0,LH_ColAcc),INDEX(LH_Data,0,LH_ColFirst),$A107,INDEX(LH_Data,0,LH_ColSur),$B107,INDEX(LH_Data,0,LH_ColCat),BonusCat,INDEX(LH_Data,0,LH_ColPeriod),LH_OpenLabel)*UnitFactor)))</f>
        <v/>
      </c>
      <c r="U107" s="13"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IF(AE107=0,"",IF($J107&lt;&gt;"",$J107,IF(OR(CasualCounts="Yes",COUNT($G107:$I107)=0,COUNT($G107:$H107)=0),$F107,MIN($G107:$H107))))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IF(AE108=0,"",DATE(YEAR(AsOfDate)+IF(DATE(YEAR(AsOfDate),MONTH(AF108),DAY(AF108))&lt;=AsOfDate,1,0),MONTH(AF108),DAY(AF108)))</f>
        <v/>
      </c>
      <c r="L108" s="11" t="str">
        <f aca="false">IF(AE108=0,"",ROUND((AsOfDate-AF108)/365.25,1))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IF(AE108=0,"",IF(NOT(LH_Ready),"",IF(LH_ColPeriod=0,W108-U108+V108,SUMIFS(INDEX(LH_Data,0,LH_ColAcc),INDEX(LH_Data,0,LH_ColFirst),$A108,INDEX(LH_Data,0,LH_ColSur),$B108,INDEX(LH_Data,0,LH_ColCat),BonusCat,INDEX(LH_Data,0,LH_ColPeriod),LH_OpenLabel)*UnitFactor)))</f>
        <v/>
      </c>
      <c r="U108" s="13"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IF(AE108=0,"",IF($J108&lt;&gt;"",$J108,IF(OR(CasualCounts="Yes",COUNT($G108:$I108)=0,COUNT($G108:$H108)=0),$F108,MIN($G108:$H108))))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IF(AE109=0,"",DATE(YEAR(AsOfDate)+IF(DATE(YEAR(AsOfDate),MONTH(AF109),DAY(AF109))&lt;=AsOfDate,1,0),MONTH(AF109),DAY(AF109)))</f>
        <v/>
      </c>
      <c r="L109" s="11" t="str">
        <f aca="false">IF(AE109=0,"",ROUND((AsOfDate-AF109)/365.25,1))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IF(AE109=0,"",IF(NOT(LH_Ready),"",IF(LH_ColPeriod=0,W109-U109+V109,SUMIFS(INDEX(LH_Data,0,LH_ColAcc),INDEX(LH_Data,0,LH_ColFirst),$A109,INDEX(LH_Data,0,LH_ColSur),$B109,INDEX(LH_Data,0,LH_ColCat),BonusCat,INDEX(LH_Data,0,LH_ColPeriod),LH_OpenLabel)*UnitFactor)))</f>
        <v/>
      </c>
      <c r="U109" s="13"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IF(AE109=0,"",IF($J109&lt;&gt;"",$J109,IF(OR(CasualCounts="Yes",COUNT($G109:$I109)=0,COUNT($G109:$H109)=0),$F109,MIN($G109:$H109))))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IF(AE110=0,"",DATE(YEAR(AsOfDate)+IF(DATE(YEAR(AsOfDate),MONTH(AF110),DAY(AF110))&lt;=AsOfDate,1,0),MONTH(AF110),DAY(AF110)))</f>
        <v/>
      </c>
      <c r="L110" s="11" t="str">
        <f aca="false">IF(AE110=0,"",ROUND((AsOfDate-AF110)/365.25,1))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IF(AE110=0,"",IF(NOT(LH_Ready),"",IF(LH_ColPeriod=0,W110-U110+V110,SUMIFS(INDEX(LH_Data,0,LH_ColAcc),INDEX(LH_Data,0,LH_ColFirst),$A110,INDEX(LH_Data,0,LH_ColSur),$B110,INDEX(LH_Data,0,LH_ColCat),BonusCat,INDEX(LH_Data,0,LH_ColPeriod),LH_OpenLabel)*UnitFactor)))</f>
        <v/>
      </c>
      <c r="U110" s="13"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IF(AE110=0,"",IF($J110&lt;&gt;"",$J110,IF(OR(CasualCounts="Yes",COUNT($G110:$I110)=0,COUNT($G110:$H110)=0),$F110,MIN($G110:$H110))))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IF(AE111=0,"",DATE(YEAR(AsOfDate)+IF(DATE(YEAR(AsOfDate),MONTH(AF111),DAY(AF111))&lt;=AsOfDate,1,0),MONTH(AF111),DAY(AF111)))</f>
        <v/>
      </c>
      <c r="L111" s="11" t="str">
        <f aca="false">IF(AE111=0,"",ROUND((AsOfDate-AF111)/365.25,1))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IF(AE111=0,"",IF(NOT(LH_Ready),"",IF(LH_ColPeriod=0,W111-U111+V111,SUMIFS(INDEX(LH_Data,0,LH_ColAcc),INDEX(LH_Data,0,LH_ColFirst),$A111,INDEX(LH_Data,0,LH_ColSur),$B111,INDEX(LH_Data,0,LH_ColCat),BonusCat,INDEX(LH_Data,0,LH_ColPeriod),LH_OpenLabel)*UnitFactor)))</f>
        <v/>
      </c>
      <c r="U111" s="13"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IF(AE111=0,"",IF($J111&lt;&gt;"",$J111,IF(OR(CasualCounts="Yes",COUNT($G111:$I111)=0,COUNT($G111:$H111)=0),$F111,MIN($G111:$H111))))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IF(AE112=0,"",DATE(YEAR(AsOfDate)+IF(DATE(YEAR(AsOfDate),MONTH(AF112),DAY(AF112))&lt;=AsOfDate,1,0),MONTH(AF112),DAY(AF112)))</f>
        <v/>
      </c>
      <c r="L112" s="11" t="str">
        <f aca="false">IF(AE112=0,"",ROUND((AsOfDate-AF112)/365.25,1))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IF(AE112=0,"",IF(NOT(LH_Ready),"",IF(LH_ColPeriod=0,W112-U112+V112,SUMIFS(INDEX(LH_Data,0,LH_ColAcc),INDEX(LH_Data,0,LH_ColFirst),$A112,INDEX(LH_Data,0,LH_ColSur),$B112,INDEX(LH_Data,0,LH_ColCat),BonusCat,INDEX(LH_Data,0,LH_ColPeriod),LH_OpenLabel)*UnitFactor)))</f>
        <v/>
      </c>
      <c r="U112" s="13"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IF(AE112=0,"",IF($J112&lt;&gt;"",$J112,IF(OR(CasualCounts="Yes",COUNT($G112:$I112)=0,COUNT($G112:$H112)=0),$F112,MIN($G112:$H112))))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IF(AE113=0,"",DATE(YEAR(AsOfDate)+IF(DATE(YEAR(AsOfDate),MONTH(AF113),DAY(AF113))&lt;=AsOfDate,1,0),MONTH(AF113),DAY(AF113)))</f>
        <v/>
      </c>
      <c r="L113" s="11" t="str">
        <f aca="false">IF(AE113=0,"",ROUND((AsOfDate-AF113)/365.25,1))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IF(AE113=0,"",IF(NOT(LH_Ready),"",IF(LH_ColPeriod=0,W113-U113+V113,SUMIFS(INDEX(LH_Data,0,LH_ColAcc),INDEX(LH_Data,0,LH_ColFirst),$A113,INDEX(LH_Data,0,LH_ColSur),$B113,INDEX(LH_Data,0,LH_ColCat),BonusCat,INDEX(LH_Data,0,LH_ColPeriod),LH_OpenLabel)*UnitFactor)))</f>
        <v/>
      </c>
      <c r="U113" s="13"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IF(AE113=0,"",IF($J113&lt;&gt;"",$J113,IF(OR(CasualCounts="Yes",COUNT($G113:$I113)=0,COUNT($G113:$H113)=0),$F113,MIN($G113:$H113))))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IF(AE114=0,"",DATE(YEAR(AsOfDate)+IF(DATE(YEAR(AsOfDate),MONTH(AF114),DAY(AF114))&lt;=AsOfDate,1,0),MONTH(AF114),DAY(AF114)))</f>
        <v/>
      </c>
      <c r="L114" s="11" t="str">
        <f aca="false">IF(AE114=0,"",ROUND((AsOfDate-AF114)/365.25,1))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IF(AE114=0,"",IF(NOT(LH_Ready),"",IF(LH_ColPeriod=0,W114-U114+V114,SUMIFS(INDEX(LH_Data,0,LH_ColAcc),INDEX(LH_Data,0,LH_ColFirst),$A114,INDEX(LH_Data,0,LH_ColSur),$B114,INDEX(LH_Data,0,LH_ColCat),BonusCat,INDEX(LH_Data,0,LH_ColPeriod),LH_OpenLabel)*UnitFactor)))</f>
        <v/>
      </c>
      <c r="U114" s="13"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IF(AE114=0,"",IF($J114&lt;&gt;"",$J114,IF(OR(CasualCounts="Yes",COUNT($G114:$I114)=0,COUNT($G114:$H114)=0),$F114,MIN($G114:$H114))))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IF(AE115=0,"",DATE(YEAR(AsOfDate)+IF(DATE(YEAR(AsOfDate),MONTH(AF115),DAY(AF115))&lt;=AsOfDate,1,0),MONTH(AF115),DAY(AF115)))</f>
        <v/>
      </c>
      <c r="L115" s="11" t="str">
        <f aca="false">IF(AE115=0,"",ROUND((AsOfDate-AF115)/365.25,1))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IF(AE115=0,"",IF(NOT(LH_Ready),"",IF(LH_ColPeriod=0,W115-U115+V115,SUMIFS(INDEX(LH_Data,0,LH_ColAcc),INDEX(LH_Data,0,LH_ColFirst),$A115,INDEX(LH_Data,0,LH_ColSur),$B115,INDEX(LH_Data,0,LH_ColCat),BonusCat,INDEX(LH_Data,0,LH_ColPeriod),LH_OpenLabel)*UnitFactor)))</f>
        <v/>
      </c>
      <c r="U115" s="13"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IF(AE115=0,"",IF($J115&lt;&gt;"",$J115,IF(OR(CasualCounts="Yes",COUNT($G115:$I115)=0,COUNT($G115:$H115)=0),$F115,MIN($G115:$H115))))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IF(AE116=0,"",DATE(YEAR(AsOfDate)+IF(DATE(YEAR(AsOfDate),MONTH(AF116),DAY(AF116))&lt;=AsOfDate,1,0),MONTH(AF116),DAY(AF116)))</f>
        <v/>
      </c>
      <c r="L116" s="11" t="str">
        <f aca="false">IF(AE116=0,"",ROUND((AsOfDate-AF116)/365.25,1))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IF(AE116=0,"",IF(NOT(LH_Ready),"",IF(LH_ColPeriod=0,W116-U116+V116,SUMIFS(INDEX(LH_Data,0,LH_ColAcc),INDEX(LH_Data,0,LH_ColFirst),$A116,INDEX(LH_Data,0,LH_ColSur),$B116,INDEX(LH_Data,0,LH_ColCat),BonusCat,INDEX(LH_Data,0,LH_ColPeriod),LH_OpenLabel)*UnitFactor)))</f>
        <v/>
      </c>
      <c r="U116" s="13"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IF(AE116=0,"",IF($J116&lt;&gt;"",$J116,IF(OR(CasualCounts="Yes",COUNT($G116:$I116)=0,COUNT($G116:$H116)=0),$F116,MIN($G116:$H116))))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IF(AE117=0,"",DATE(YEAR(AsOfDate)+IF(DATE(YEAR(AsOfDate),MONTH(AF117),DAY(AF117))&lt;=AsOfDate,1,0),MONTH(AF117),DAY(AF117)))</f>
        <v/>
      </c>
      <c r="L117" s="11" t="str">
        <f aca="false">IF(AE117=0,"",ROUND((AsOfDate-AF117)/365.25,1))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IF(AE117=0,"",IF(NOT(LH_Ready),"",IF(LH_ColPeriod=0,W117-U117+V117,SUMIFS(INDEX(LH_Data,0,LH_ColAcc),INDEX(LH_Data,0,LH_ColFirst),$A117,INDEX(LH_Data,0,LH_ColSur),$B117,INDEX(LH_Data,0,LH_ColCat),BonusCat,INDEX(LH_Data,0,LH_ColPeriod),LH_OpenLabel)*UnitFactor)))</f>
        <v/>
      </c>
      <c r="U117" s="13"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IF(AE117=0,"",IF($J117&lt;&gt;"",$J117,IF(OR(CasualCounts="Yes",COUNT($G117:$I117)=0,COUNT($G117:$H117)=0),$F117,MIN($G117:$H117))))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IF(AE118=0,"",DATE(YEAR(AsOfDate)+IF(DATE(YEAR(AsOfDate),MONTH(AF118),DAY(AF118))&lt;=AsOfDate,1,0),MONTH(AF118),DAY(AF118)))</f>
        <v/>
      </c>
      <c r="L118" s="11" t="str">
        <f aca="false">IF(AE118=0,"",ROUND((AsOfDate-AF118)/365.25,1))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IF(AE118=0,"",IF(NOT(LH_Ready),"",IF(LH_ColPeriod=0,W118-U118+V118,SUMIFS(INDEX(LH_Data,0,LH_ColAcc),INDEX(LH_Data,0,LH_ColFirst),$A118,INDEX(LH_Data,0,LH_ColSur),$B118,INDEX(LH_Data,0,LH_ColCat),BonusCat,INDEX(LH_Data,0,LH_ColPeriod),LH_OpenLabel)*UnitFactor)))</f>
        <v/>
      </c>
      <c r="U118" s="13"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IF(AE118=0,"",IF($J118&lt;&gt;"",$J118,IF(OR(CasualCounts="Yes",COUNT($G118:$I118)=0,COUNT($G118:$H118)=0),$F118,MIN($G118:$H118))))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IF(AE119=0,"",DATE(YEAR(AsOfDate)+IF(DATE(YEAR(AsOfDate),MONTH(AF119),DAY(AF119))&lt;=AsOfDate,1,0),MONTH(AF119),DAY(AF119)))</f>
        <v/>
      </c>
      <c r="L119" s="11" t="str">
        <f aca="false">IF(AE119=0,"",ROUND((AsOfDate-AF119)/365.25,1))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IF(AE119=0,"",IF(NOT(LH_Ready),"",IF(LH_ColPeriod=0,W119-U119+V119,SUMIFS(INDEX(LH_Data,0,LH_ColAcc),INDEX(LH_Data,0,LH_ColFirst),$A119,INDEX(LH_Data,0,LH_ColSur),$B119,INDEX(LH_Data,0,LH_ColCat),BonusCat,INDEX(LH_Data,0,LH_ColPeriod),LH_OpenLabel)*UnitFactor)))</f>
        <v/>
      </c>
      <c r="U119" s="13"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IF(AE119=0,"",IF($J119&lt;&gt;"",$J119,IF(OR(CasualCounts="Yes",COUNT($G119:$I119)=0,COUNT($G119:$H119)=0),$F119,MIN($G119:$H119))))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IF(AE120=0,"",DATE(YEAR(AsOfDate)+IF(DATE(YEAR(AsOfDate),MONTH(AF120),DAY(AF120))&lt;=AsOfDate,1,0),MONTH(AF120),DAY(AF120)))</f>
        <v/>
      </c>
      <c r="L120" s="11" t="str">
        <f aca="false">IF(AE120=0,"",ROUND((AsOfDate-AF120)/365.25,1))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IF(AE120=0,"",IF(NOT(LH_Ready),"",IF(LH_ColPeriod=0,W120-U120+V120,SUMIFS(INDEX(LH_Data,0,LH_ColAcc),INDEX(LH_Data,0,LH_ColFirst),$A120,INDEX(LH_Data,0,LH_ColSur),$B120,INDEX(LH_Data,0,LH_ColCat),BonusCat,INDEX(LH_Data,0,LH_ColPeriod),LH_OpenLabel)*UnitFactor)))</f>
        <v/>
      </c>
      <c r="U120" s="13"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IF(AE120=0,"",IF($J120&lt;&gt;"",$J120,IF(OR(CasualCounts="Yes",COUNT($G120:$I120)=0,COUNT($G120:$H120)=0),$F120,MIN($G120:$H120))))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IF(AE121=0,"",DATE(YEAR(AsOfDate)+IF(DATE(YEAR(AsOfDate),MONTH(AF121),DAY(AF121))&lt;=AsOfDate,1,0),MONTH(AF121),DAY(AF121)))</f>
        <v/>
      </c>
      <c r="L121" s="11" t="str">
        <f aca="false">IF(AE121=0,"",ROUND((AsOfDate-AF121)/365.25,1))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IF(AE121=0,"",IF(NOT(LH_Ready),"",IF(LH_ColPeriod=0,W121-U121+V121,SUMIFS(INDEX(LH_Data,0,LH_ColAcc),INDEX(LH_Data,0,LH_ColFirst),$A121,INDEX(LH_Data,0,LH_ColSur),$B121,INDEX(LH_Data,0,LH_ColCat),BonusCat,INDEX(LH_Data,0,LH_ColPeriod),LH_OpenLabel)*UnitFactor)))</f>
        <v/>
      </c>
      <c r="U121" s="13"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IF(AE121=0,"",IF($J121&lt;&gt;"",$J121,IF(OR(CasualCounts="Yes",COUNT($G121:$I121)=0,COUNT($G121:$H121)=0),$F121,MIN($G121:$H121))))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IF(AE122=0,"",DATE(YEAR(AsOfDate)+IF(DATE(YEAR(AsOfDate),MONTH(AF122),DAY(AF122))&lt;=AsOfDate,1,0),MONTH(AF122),DAY(AF122)))</f>
        <v/>
      </c>
      <c r="L122" s="11" t="str">
        <f aca="false">IF(AE122=0,"",ROUND((AsOfDate-AF122)/365.25,1))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IF(AE122=0,"",IF(NOT(LH_Ready),"",IF(LH_ColPeriod=0,W122-U122+V122,SUMIFS(INDEX(LH_Data,0,LH_ColAcc),INDEX(LH_Data,0,LH_ColFirst),$A122,INDEX(LH_Data,0,LH_ColSur),$B122,INDEX(LH_Data,0,LH_ColCat),BonusCat,INDEX(LH_Data,0,LH_ColPeriod),LH_OpenLabel)*UnitFactor)))</f>
        <v/>
      </c>
      <c r="U122" s="13"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IF(AE122=0,"",IF($J122&lt;&gt;"",$J122,IF(OR(CasualCounts="Yes",COUNT($G122:$I122)=0,COUNT($G122:$H122)=0),$F122,MIN($G122:$H122))))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IF(AE123=0,"",DATE(YEAR(AsOfDate)+IF(DATE(YEAR(AsOfDate),MONTH(AF123),DAY(AF123))&lt;=AsOfDate,1,0),MONTH(AF123),DAY(AF123)))</f>
        <v/>
      </c>
      <c r="L123" s="11" t="str">
        <f aca="false">IF(AE123=0,"",ROUND((AsOfDate-AF123)/365.25,1))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IF(AE123=0,"",IF(NOT(LH_Ready),"",IF(LH_ColPeriod=0,W123-U123+V123,SUMIFS(INDEX(LH_Data,0,LH_ColAcc),INDEX(LH_Data,0,LH_ColFirst),$A123,INDEX(LH_Data,0,LH_ColSur),$B123,INDEX(LH_Data,0,LH_ColCat),BonusCat,INDEX(LH_Data,0,LH_ColPeriod),LH_OpenLabel)*UnitFactor)))</f>
        <v/>
      </c>
      <c r="U123" s="13"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IF(AE123=0,"",IF($J123&lt;&gt;"",$J123,IF(OR(CasualCounts="Yes",COUNT($G123:$I123)=0,COUNT($G123:$H123)=0),$F123,MIN($G123:$H123))))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IF(AE124=0,"",DATE(YEAR(AsOfDate)+IF(DATE(YEAR(AsOfDate),MONTH(AF124),DAY(AF124))&lt;=AsOfDate,1,0),MONTH(AF124),DAY(AF124)))</f>
        <v/>
      </c>
      <c r="L124" s="11" t="str">
        <f aca="false">IF(AE124=0,"",ROUND((AsOfDate-AF124)/365.25,1))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IF(AE124=0,"",IF(NOT(LH_Ready),"",IF(LH_ColPeriod=0,W124-U124+V124,SUMIFS(INDEX(LH_Data,0,LH_ColAcc),INDEX(LH_Data,0,LH_ColFirst),$A124,INDEX(LH_Data,0,LH_ColSur),$B124,INDEX(LH_Data,0,LH_ColCat),BonusCat,INDEX(LH_Data,0,LH_ColPeriod),LH_OpenLabel)*UnitFactor)))</f>
        <v/>
      </c>
      <c r="U124" s="13"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IF(AE124=0,"",IF($J124&lt;&gt;"",$J124,IF(OR(CasualCounts="Yes",COUNT($G124:$I124)=0,COUNT($G124:$H124)=0),$F124,MIN($G124:$H124))))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IF(AE125=0,"",DATE(YEAR(AsOfDate)+IF(DATE(YEAR(AsOfDate),MONTH(AF125),DAY(AF125))&lt;=AsOfDate,1,0),MONTH(AF125),DAY(AF125)))</f>
        <v/>
      </c>
      <c r="L125" s="11" t="str">
        <f aca="false">IF(AE125=0,"",ROUND((AsOfDate-AF125)/365.25,1))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IF(AE125=0,"",IF(NOT(LH_Ready),"",IF(LH_ColPeriod=0,W125-U125+V125,SUMIFS(INDEX(LH_Data,0,LH_ColAcc),INDEX(LH_Data,0,LH_ColFirst),$A125,INDEX(LH_Data,0,LH_ColSur),$B125,INDEX(LH_Data,0,LH_ColCat),BonusCat,INDEX(LH_Data,0,LH_ColPeriod),LH_OpenLabel)*UnitFactor)))</f>
        <v/>
      </c>
      <c r="U125" s="13"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IF(AE125=0,"",IF($J125&lt;&gt;"",$J125,IF(OR(CasualCounts="Yes",COUNT($G125:$I125)=0,COUNT($G125:$H125)=0),$F125,MIN($G125:$H125))))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IF(AE126=0,"",DATE(YEAR(AsOfDate)+IF(DATE(YEAR(AsOfDate),MONTH(AF126),DAY(AF126))&lt;=AsOfDate,1,0),MONTH(AF126),DAY(AF126)))</f>
        <v/>
      </c>
      <c r="L126" s="11" t="str">
        <f aca="false">IF(AE126=0,"",ROUND((AsOfDate-AF126)/365.25,1))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IF(AE126=0,"",IF(NOT(LH_Ready),"",IF(LH_ColPeriod=0,W126-U126+V126,SUMIFS(INDEX(LH_Data,0,LH_ColAcc),INDEX(LH_Data,0,LH_ColFirst),$A126,INDEX(LH_Data,0,LH_ColSur),$B126,INDEX(LH_Data,0,LH_ColCat),BonusCat,INDEX(LH_Data,0,LH_ColPeriod),LH_OpenLabel)*UnitFactor)))</f>
        <v/>
      </c>
      <c r="U126" s="13"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IF(AE126=0,"",IF($J126&lt;&gt;"",$J126,IF(OR(CasualCounts="Yes",COUNT($G126:$I126)=0,COUNT($G126:$H126)=0),$F126,MIN($G126:$H126))))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IF(AE127=0,"",DATE(YEAR(AsOfDate)+IF(DATE(YEAR(AsOfDate),MONTH(AF127),DAY(AF127))&lt;=AsOfDate,1,0),MONTH(AF127),DAY(AF127)))</f>
        <v/>
      </c>
      <c r="L127" s="11" t="str">
        <f aca="false">IF(AE127=0,"",ROUND((AsOfDate-AF127)/365.25,1))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IF(AE127=0,"",IF(NOT(LH_Ready),"",IF(LH_ColPeriod=0,W127-U127+V127,SUMIFS(INDEX(LH_Data,0,LH_ColAcc),INDEX(LH_Data,0,LH_ColFirst),$A127,INDEX(LH_Data,0,LH_ColSur),$B127,INDEX(LH_Data,0,LH_ColCat),BonusCat,INDEX(LH_Data,0,LH_ColPeriod),LH_OpenLabel)*UnitFactor)))</f>
        <v/>
      </c>
      <c r="U127" s="13"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IF(AE127=0,"",IF($J127&lt;&gt;"",$J127,IF(OR(CasualCounts="Yes",COUNT($G127:$I127)=0,COUNT($G127:$H127)=0),$F127,MIN($G127:$H127))))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IF(AE128=0,"",DATE(YEAR(AsOfDate)+IF(DATE(YEAR(AsOfDate),MONTH(AF128),DAY(AF128))&lt;=AsOfDate,1,0),MONTH(AF128),DAY(AF128)))</f>
        <v/>
      </c>
      <c r="L128" s="11" t="str">
        <f aca="false">IF(AE128=0,"",ROUND((AsOfDate-AF128)/365.25,1))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IF(AE128=0,"",IF(NOT(LH_Ready),"",IF(LH_ColPeriod=0,W128-U128+V128,SUMIFS(INDEX(LH_Data,0,LH_ColAcc),INDEX(LH_Data,0,LH_ColFirst),$A128,INDEX(LH_Data,0,LH_ColSur),$B128,INDEX(LH_Data,0,LH_ColCat),BonusCat,INDEX(LH_Data,0,LH_ColPeriod),LH_OpenLabel)*UnitFactor)))</f>
        <v/>
      </c>
      <c r="U128" s="13"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IF(AE128=0,"",IF($J128&lt;&gt;"",$J128,IF(OR(CasualCounts="Yes",COUNT($G128:$I128)=0,COUNT($G128:$H128)=0),$F128,MIN($G128:$H128))))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IF(AE129=0,"",DATE(YEAR(AsOfDate)+IF(DATE(YEAR(AsOfDate),MONTH(AF129),DAY(AF129))&lt;=AsOfDate,1,0),MONTH(AF129),DAY(AF129)))</f>
        <v/>
      </c>
      <c r="L129" s="11" t="str">
        <f aca="false">IF(AE129=0,"",ROUND((AsOfDate-AF129)/365.25,1))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IF(AE129=0,"",IF(NOT(LH_Ready),"",IF(LH_ColPeriod=0,W129-U129+V129,SUMIFS(INDEX(LH_Data,0,LH_ColAcc),INDEX(LH_Data,0,LH_ColFirst),$A129,INDEX(LH_Data,0,LH_ColSur),$B129,INDEX(LH_Data,0,LH_ColCat),BonusCat,INDEX(LH_Data,0,LH_ColPeriod),LH_OpenLabel)*UnitFactor)))</f>
        <v/>
      </c>
      <c r="U129" s="13"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IF(AE129=0,"",IF($J129&lt;&gt;"",$J129,IF(OR(CasualCounts="Yes",COUNT($G129:$I129)=0,COUNT($G129:$H129)=0),$F129,MIN($G129:$H129))))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IF(AE130=0,"",DATE(YEAR(AsOfDate)+IF(DATE(YEAR(AsOfDate),MONTH(AF130),DAY(AF130))&lt;=AsOfDate,1,0),MONTH(AF130),DAY(AF130)))</f>
        <v/>
      </c>
      <c r="L130" s="11" t="str">
        <f aca="false">IF(AE130=0,"",ROUND((AsOfDate-AF130)/365.25,1))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IF(AE130=0,"",IF(NOT(LH_Ready),"",IF(LH_ColPeriod=0,W130-U130+V130,SUMIFS(INDEX(LH_Data,0,LH_ColAcc),INDEX(LH_Data,0,LH_ColFirst),$A130,INDEX(LH_Data,0,LH_ColSur),$B130,INDEX(LH_Data,0,LH_ColCat),BonusCat,INDEX(LH_Data,0,LH_ColPeriod),LH_OpenLabel)*UnitFactor)))</f>
        <v/>
      </c>
      <c r="U130" s="13"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IF(AE130=0,"",IF($J130&lt;&gt;"",$J130,IF(OR(CasualCounts="Yes",COUNT($G130:$I130)=0,COUNT($G130:$H130)=0),$F130,MIN($G130:$H130))))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IF(AE131=0,"",DATE(YEAR(AsOfDate)+IF(DATE(YEAR(AsOfDate),MONTH(AF131),DAY(AF131))&lt;=AsOfDate,1,0),MONTH(AF131),DAY(AF131)))</f>
        <v/>
      </c>
      <c r="L131" s="11" t="str">
        <f aca="false">IF(AE131=0,"",ROUND((AsOfDate-AF131)/365.25,1))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IF(AE131=0,"",IF(NOT(LH_Ready),"",IF(LH_ColPeriod=0,W131-U131+V131,SUMIFS(INDEX(LH_Data,0,LH_ColAcc),INDEX(LH_Data,0,LH_ColFirst),$A131,INDEX(LH_Data,0,LH_ColSur),$B131,INDEX(LH_Data,0,LH_ColCat),BonusCat,INDEX(LH_Data,0,LH_ColPeriod),LH_OpenLabel)*UnitFactor)))</f>
        <v/>
      </c>
      <c r="U131" s="13"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IF(AE131=0,"",IF($J131&lt;&gt;"",$J131,IF(OR(CasualCounts="Yes",COUNT($G131:$I131)=0,COUNT($G131:$H131)=0),$F131,MIN($G131:$H131))))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IF(AE132=0,"",DATE(YEAR(AsOfDate)+IF(DATE(YEAR(AsOfDate),MONTH(AF132),DAY(AF132))&lt;=AsOfDate,1,0),MONTH(AF132),DAY(AF132)))</f>
        <v/>
      </c>
      <c r="L132" s="11" t="str">
        <f aca="false">IF(AE132=0,"",ROUND((AsOfDate-AF132)/365.25,1))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IF(AE132=0,"",IF(NOT(LH_Ready),"",IF(LH_ColPeriod=0,W132-U132+V132,SUMIFS(INDEX(LH_Data,0,LH_ColAcc),INDEX(LH_Data,0,LH_ColFirst),$A132,INDEX(LH_Data,0,LH_ColSur),$B132,INDEX(LH_Data,0,LH_ColCat),BonusCat,INDEX(LH_Data,0,LH_ColPeriod),LH_OpenLabel)*UnitFactor)))</f>
        <v/>
      </c>
      <c r="U132" s="13"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IF(AE132=0,"",IF($J132&lt;&gt;"",$J132,IF(OR(CasualCounts="Yes",COUNT($G132:$I132)=0,COUNT($G132:$H132)=0),$F132,MIN($G132:$H132))))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IF(AE133=0,"",DATE(YEAR(AsOfDate)+IF(DATE(YEAR(AsOfDate),MONTH(AF133),DAY(AF133))&lt;=AsOfDate,1,0),MONTH(AF133),DAY(AF133)))</f>
        <v/>
      </c>
      <c r="L133" s="11" t="str">
        <f aca="false">IF(AE133=0,"",ROUND((AsOfDate-AF133)/365.25,1))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IF(AE133=0,"",IF(NOT(LH_Ready),"",IF(LH_ColPeriod=0,W133-U133+V133,SUMIFS(INDEX(LH_Data,0,LH_ColAcc),INDEX(LH_Data,0,LH_ColFirst),$A133,INDEX(LH_Data,0,LH_ColSur),$B133,INDEX(LH_Data,0,LH_ColCat),BonusCat,INDEX(LH_Data,0,LH_ColPeriod),LH_OpenLabel)*UnitFactor)))</f>
        <v/>
      </c>
      <c r="U133" s="13"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IF(AE133=0,"",IF($J133&lt;&gt;"",$J133,IF(OR(CasualCounts="Yes",COUNT($G133:$I133)=0,COUNT($G133:$H133)=0),$F133,MIN($G133:$H133))))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IF(AE134=0,"",DATE(YEAR(AsOfDate)+IF(DATE(YEAR(AsOfDate),MONTH(AF134),DAY(AF134))&lt;=AsOfDate,1,0),MONTH(AF134),DAY(AF134)))</f>
        <v/>
      </c>
      <c r="L134" s="11" t="str">
        <f aca="false">IF(AE134=0,"",ROUND((AsOfDate-AF134)/365.25,1))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IF(AE134=0,"",IF(NOT(LH_Ready),"",IF(LH_ColPeriod=0,W134-U134+V134,SUMIFS(INDEX(LH_Data,0,LH_ColAcc),INDEX(LH_Data,0,LH_ColFirst),$A134,INDEX(LH_Data,0,LH_ColSur),$B134,INDEX(LH_Data,0,LH_ColCat),BonusCat,INDEX(LH_Data,0,LH_ColPeriod),LH_OpenLabel)*UnitFactor)))</f>
        <v/>
      </c>
      <c r="U134" s="13"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IF(AE134=0,"",IF($J134&lt;&gt;"",$J134,IF(OR(CasualCounts="Yes",COUNT($G134:$I134)=0,COUNT($G134:$H134)=0),$F134,MIN($G134:$H134))))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IF(AE135=0,"",DATE(YEAR(AsOfDate)+IF(DATE(YEAR(AsOfDate),MONTH(AF135),DAY(AF135))&lt;=AsOfDate,1,0),MONTH(AF135),DAY(AF135)))</f>
        <v/>
      </c>
      <c r="L135" s="11" t="str">
        <f aca="false">IF(AE135=0,"",ROUND((AsOfDate-AF135)/365.25,1))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IF(AE135=0,"",IF(NOT(LH_Ready),"",IF(LH_ColPeriod=0,W135-U135+V135,SUMIFS(INDEX(LH_Data,0,LH_ColAcc),INDEX(LH_Data,0,LH_ColFirst),$A135,INDEX(LH_Data,0,LH_ColSur),$B135,INDEX(LH_Data,0,LH_ColCat),BonusCat,INDEX(LH_Data,0,LH_ColPeriod),LH_OpenLabel)*UnitFactor)))</f>
        <v/>
      </c>
      <c r="U135" s="13"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IF(AE135=0,"",IF($J135&lt;&gt;"",$J135,IF(OR(CasualCounts="Yes",COUNT($G135:$I135)=0,COUNT($G135:$H135)=0),$F135,MIN($G135:$H135))))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IF(AE136=0,"",DATE(YEAR(AsOfDate)+IF(DATE(YEAR(AsOfDate),MONTH(AF136),DAY(AF136))&lt;=AsOfDate,1,0),MONTH(AF136),DAY(AF136)))</f>
        <v/>
      </c>
      <c r="L136" s="11" t="str">
        <f aca="false">IF(AE136=0,"",ROUND((AsOfDate-AF136)/365.25,1))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IF(AE136=0,"",IF(NOT(LH_Ready),"",IF(LH_ColPeriod=0,W136-U136+V136,SUMIFS(INDEX(LH_Data,0,LH_ColAcc),INDEX(LH_Data,0,LH_ColFirst),$A136,INDEX(LH_Data,0,LH_ColSur),$B136,INDEX(LH_Data,0,LH_ColCat),BonusCat,INDEX(LH_Data,0,LH_ColPeriod),LH_OpenLabel)*UnitFactor)))</f>
        <v/>
      </c>
      <c r="U136" s="13"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IF(AE136=0,"",IF($J136&lt;&gt;"",$J136,IF(OR(CasualCounts="Yes",COUNT($G136:$I136)=0,COUNT($G136:$H136)=0),$F136,MIN($G136:$H136))))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IF(AE137=0,"",DATE(YEAR(AsOfDate)+IF(DATE(YEAR(AsOfDate),MONTH(AF137),DAY(AF137))&lt;=AsOfDate,1,0),MONTH(AF137),DAY(AF137)))</f>
        <v/>
      </c>
      <c r="L137" s="11" t="str">
        <f aca="false">IF(AE137=0,"",ROUND((AsOfDate-AF137)/365.25,1))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IF(AE137=0,"",IF(NOT(LH_Ready),"",IF(LH_ColPeriod=0,W137-U137+V137,SUMIFS(INDEX(LH_Data,0,LH_ColAcc),INDEX(LH_Data,0,LH_ColFirst),$A137,INDEX(LH_Data,0,LH_ColSur),$B137,INDEX(LH_Data,0,LH_ColCat),BonusCat,INDEX(LH_Data,0,LH_ColPeriod),LH_OpenLabel)*UnitFactor)))</f>
        <v/>
      </c>
      <c r="U137" s="13"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IF(AE137=0,"",IF($J137&lt;&gt;"",$J137,IF(OR(CasualCounts="Yes",COUNT($G137:$I137)=0,COUNT($G137:$H137)=0),$F137,MIN($G137:$H137))))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IF(AE138=0,"",DATE(YEAR(AsOfDate)+IF(DATE(YEAR(AsOfDate),MONTH(AF138),DAY(AF138))&lt;=AsOfDate,1,0),MONTH(AF138),DAY(AF138)))</f>
        <v/>
      </c>
      <c r="L138" s="11" t="str">
        <f aca="false">IF(AE138=0,"",ROUND((AsOfDate-AF138)/365.25,1))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IF(AE138=0,"",IF(NOT(LH_Ready),"",IF(LH_ColPeriod=0,W138-U138+V138,SUMIFS(INDEX(LH_Data,0,LH_ColAcc),INDEX(LH_Data,0,LH_ColFirst),$A138,INDEX(LH_Data,0,LH_ColSur),$B138,INDEX(LH_Data,0,LH_ColCat),BonusCat,INDEX(LH_Data,0,LH_ColPeriod),LH_OpenLabel)*UnitFactor)))</f>
        <v/>
      </c>
      <c r="U138" s="13"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IF(AE138=0,"",IF($J138&lt;&gt;"",$J138,IF(OR(CasualCounts="Yes",COUNT($G138:$I138)=0,COUNT($G138:$H138)=0),$F138,MIN($G138:$H138))))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IF(AE139=0,"",DATE(YEAR(AsOfDate)+IF(DATE(YEAR(AsOfDate),MONTH(AF139),DAY(AF139))&lt;=AsOfDate,1,0),MONTH(AF139),DAY(AF139)))</f>
        <v/>
      </c>
      <c r="L139" s="11" t="str">
        <f aca="false">IF(AE139=0,"",ROUND((AsOfDate-AF139)/365.25,1))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IF(AE139=0,"",IF(NOT(LH_Ready),"",IF(LH_ColPeriod=0,W139-U139+V139,SUMIFS(INDEX(LH_Data,0,LH_ColAcc),INDEX(LH_Data,0,LH_ColFirst),$A139,INDEX(LH_Data,0,LH_ColSur),$B139,INDEX(LH_Data,0,LH_ColCat),BonusCat,INDEX(LH_Data,0,LH_ColPeriod),LH_OpenLabel)*UnitFactor)))</f>
        <v/>
      </c>
      <c r="U139" s="13"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IF(AE139=0,"",IF($J139&lt;&gt;"",$J139,IF(OR(CasualCounts="Yes",COUNT($G139:$I139)=0,COUNT($G139:$H139)=0),$F139,MIN($G139:$H139))))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IF(AE140=0,"",DATE(YEAR(AsOfDate)+IF(DATE(YEAR(AsOfDate),MONTH(AF140),DAY(AF140))&lt;=AsOfDate,1,0),MONTH(AF140),DAY(AF140)))</f>
        <v/>
      </c>
      <c r="L140" s="11" t="str">
        <f aca="false">IF(AE140=0,"",ROUND((AsOfDate-AF140)/365.25,1))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IF(AE140=0,"",IF(NOT(LH_Ready),"",IF(LH_ColPeriod=0,W140-U140+V140,SUMIFS(INDEX(LH_Data,0,LH_ColAcc),INDEX(LH_Data,0,LH_ColFirst),$A140,INDEX(LH_Data,0,LH_ColSur),$B140,INDEX(LH_Data,0,LH_ColCat),BonusCat,INDEX(LH_Data,0,LH_ColPeriod),LH_OpenLabel)*UnitFactor)))</f>
        <v/>
      </c>
      <c r="U140" s="13"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IF(AE140=0,"",IF($J140&lt;&gt;"",$J140,IF(OR(CasualCounts="Yes",COUNT($G140:$I140)=0,COUNT($G140:$H140)=0),$F140,MIN($G140:$H140))))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IF(AE141=0,"",DATE(YEAR(AsOfDate)+IF(DATE(YEAR(AsOfDate),MONTH(AF141),DAY(AF141))&lt;=AsOfDate,1,0),MONTH(AF141),DAY(AF141)))</f>
        <v/>
      </c>
      <c r="L141" s="11" t="str">
        <f aca="false">IF(AE141=0,"",ROUND((AsOfDate-AF141)/365.25,1))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IF(AE141=0,"",IF(NOT(LH_Ready),"",IF(LH_ColPeriod=0,W141-U141+V141,SUMIFS(INDEX(LH_Data,0,LH_ColAcc),INDEX(LH_Data,0,LH_ColFirst),$A141,INDEX(LH_Data,0,LH_ColSur),$B141,INDEX(LH_Data,0,LH_ColCat),BonusCat,INDEX(LH_Data,0,LH_ColPeriod),LH_OpenLabel)*UnitFactor)))</f>
        <v/>
      </c>
      <c r="U141" s="13"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IF(AE141=0,"",IF($J141&lt;&gt;"",$J141,IF(OR(CasualCounts="Yes",COUNT($G141:$I141)=0,COUNT($G141:$H141)=0),$F141,MIN($G141:$H141))))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IF(AE142=0,"",DATE(YEAR(AsOfDate)+IF(DATE(YEAR(AsOfDate),MONTH(AF142),DAY(AF142))&lt;=AsOfDate,1,0),MONTH(AF142),DAY(AF142)))</f>
        <v/>
      </c>
      <c r="L142" s="11" t="str">
        <f aca="false">IF(AE142=0,"",ROUND((AsOfDate-AF142)/365.25,1))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IF(AE142=0,"",IF(NOT(LH_Ready),"",IF(LH_ColPeriod=0,W142-U142+V142,SUMIFS(INDEX(LH_Data,0,LH_ColAcc),INDEX(LH_Data,0,LH_ColFirst),$A142,INDEX(LH_Data,0,LH_ColSur),$B142,INDEX(LH_Data,0,LH_ColCat),BonusCat,INDEX(LH_Data,0,LH_ColPeriod),LH_OpenLabel)*UnitFactor)))</f>
        <v/>
      </c>
      <c r="U142" s="13"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IF(AE142=0,"",IF($J142&lt;&gt;"",$J142,IF(OR(CasualCounts="Yes",COUNT($G142:$I142)=0,COUNT($G142:$H142)=0),$F142,MIN($G142:$H142))))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IF(AE143=0,"",DATE(YEAR(AsOfDate)+IF(DATE(YEAR(AsOfDate),MONTH(AF143),DAY(AF143))&lt;=AsOfDate,1,0),MONTH(AF143),DAY(AF143)))</f>
        <v/>
      </c>
      <c r="L143" s="11" t="str">
        <f aca="false">IF(AE143=0,"",ROUND((AsOfDate-AF143)/365.25,1))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IF(AE143=0,"",IF(NOT(LH_Ready),"",IF(LH_ColPeriod=0,W143-U143+V143,SUMIFS(INDEX(LH_Data,0,LH_ColAcc),INDEX(LH_Data,0,LH_ColFirst),$A143,INDEX(LH_Data,0,LH_ColSur),$B143,INDEX(LH_Data,0,LH_ColCat),BonusCat,INDEX(LH_Data,0,LH_ColPeriod),LH_OpenLabel)*UnitFactor)))</f>
        <v/>
      </c>
      <c r="U143" s="13"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IF(AE143=0,"",IF($J143&lt;&gt;"",$J143,IF(OR(CasualCounts="Yes",COUNT($G143:$I143)=0,COUNT($G143:$H143)=0),$F143,MIN($G143:$H143))))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IF(AE144=0,"",DATE(YEAR(AsOfDate)+IF(DATE(YEAR(AsOfDate),MONTH(AF144),DAY(AF144))&lt;=AsOfDate,1,0),MONTH(AF144),DAY(AF144)))</f>
        <v/>
      </c>
      <c r="L144" s="11" t="str">
        <f aca="false">IF(AE144=0,"",ROUND((AsOfDate-AF144)/365.25,1))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IF(AE144=0,"",IF(NOT(LH_Ready),"",IF(LH_ColPeriod=0,W144-U144+V144,SUMIFS(INDEX(LH_Data,0,LH_ColAcc),INDEX(LH_Data,0,LH_ColFirst),$A144,INDEX(LH_Data,0,LH_ColSur),$B144,INDEX(LH_Data,0,LH_ColCat),BonusCat,INDEX(LH_Data,0,LH_ColPeriod),LH_OpenLabel)*UnitFactor)))</f>
        <v/>
      </c>
      <c r="U144" s="13"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IF(AE144=0,"",IF($J144&lt;&gt;"",$J144,IF(OR(CasualCounts="Yes",COUNT($G144:$I144)=0,COUNT($G144:$H144)=0),$F144,MIN($G144:$H144))))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IF(AE145=0,"",DATE(YEAR(AsOfDate)+IF(DATE(YEAR(AsOfDate),MONTH(AF145),DAY(AF145))&lt;=AsOfDate,1,0),MONTH(AF145),DAY(AF145)))</f>
        <v/>
      </c>
      <c r="L145" s="11" t="str">
        <f aca="false">IF(AE145=0,"",ROUND((AsOfDate-AF145)/365.25,1))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IF(AE145=0,"",IF(NOT(LH_Ready),"",IF(LH_ColPeriod=0,W145-U145+V145,SUMIFS(INDEX(LH_Data,0,LH_ColAcc),INDEX(LH_Data,0,LH_ColFirst),$A145,INDEX(LH_Data,0,LH_ColSur),$B145,INDEX(LH_Data,0,LH_ColCat),BonusCat,INDEX(LH_Data,0,LH_ColPeriod),LH_OpenLabel)*UnitFactor)))</f>
        <v/>
      </c>
      <c r="U145" s="13"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IF(AE145=0,"",IF($J145&lt;&gt;"",$J145,IF(OR(CasualCounts="Yes",COUNT($G145:$I145)=0,COUNT($G145:$H145)=0),$F145,MIN($G145:$H145))))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IF(AE146=0,"",DATE(YEAR(AsOfDate)+IF(DATE(YEAR(AsOfDate),MONTH(AF146),DAY(AF146))&lt;=AsOfDate,1,0),MONTH(AF146),DAY(AF146)))</f>
        <v/>
      </c>
      <c r="L146" s="11" t="str">
        <f aca="false">IF(AE146=0,"",ROUND((AsOfDate-AF146)/365.25,1))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IF(AE146=0,"",IF(NOT(LH_Ready),"",IF(LH_ColPeriod=0,W146-U146+V146,SUMIFS(INDEX(LH_Data,0,LH_ColAcc),INDEX(LH_Data,0,LH_ColFirst),$A146,INDEX(LH_Data,0,LH_ColSur),$B146,INDEX(LH_Data,0,LH_ColCat),BonusCat,INDEX(LH_Data,0,LH_ColPeriod),LH_OpenLabel)*UnitFactor)))</f>
        <v/>
      </c>
      <c r="U146" s="13"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IF(AE146=0,"",IF($J146&lt;&gt;"",$J146,IF(OR(CasualCounts="Yes",COUNT($G146:$I146)=0,COUNT($G146:$H146)=0),$F146,MIN($G146:$H146))))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IF(AE147=0,"",DATE(YEAR(AsOfDate)+IF(DATE(YEAR(AsOfDate),MONTH(AF147),DAY(AF147))&lt;=AsOfDate,1,0),MONTH(AF147),DAY(AF147)))</f>
        <v/>
      </c>
      <c r="L147" s="11" t="str">
        <f aca="false">IF(AE147=0,"",ROUND((AsOfDate-AF147)/365.25,1))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IF(AE147=0,"",IF(NOT(LH_Ready),"",IF(LH_ColPeriod=0,W147-U147+V147,SUMIFS(INDEX(LH_Data,0,LH_ColAcc),INDEX(LH_Data,0,LH_ColFirst),$A147,INDEX(LH_Data,0,LH_ColSur),$B147,INDEX(LH_Data,0,LH_ColCat),BonusCat,INDEX(LH_Data,0,LH_ColPeriod),LH_OpenLabel)*UnitFactor)))</f>
        <v/>
      </c>
      <c r="U147" s="13"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IF(AE147=0,"",IF($J147&lt;&gt;"",$J147,IF(OR(CasualCounts="Yes",COUNT($G147:$I147)=0,COUNT($G147:$H147)=0),$F147,MIN($G147:$H147))))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IF(AE148=0,"",DATE(YEAR(AsOfDate)+IF(DATE(YEAR(AsOfDate),MONTH(AF148),DAY(AF148))&lt;=AsOfDate,1,0),MONTH(AF148),DAY(AF148)))</f>
        <v/>
      </c>
      <c r="L148" s="11" t="str">
        <f aca="false">IF(AE148=0,"",ROUND((AsOfDate-AF148)/365.25,1))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IF(AE148=0,"",IF(NOT(LH_Ready),"",IF(LH_ColPeriod=0,W148-U148+V148,SUMIFS(INDEX(LH_Data,0,LH_ColAcc),INDEX(LH_Data,0,LH_ColFirst),$A148,INDEX(LH_Data,0,LH_ColSur),$B148,INDEX(LH_Data,0,LH_ColCat),BonusCat,INDEX(LH_Data,0,LH_ColPeriod),LH_OpenLabel)*UnitFactor)))</f>
        <v/>
      </c>
      <c r="U148" s="13"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IF(AE148=0,"",IF($J148&lt;&gt;"",$J148,IF(OR(CasualCounts="Yes",COUNT($G148:$I148)=0,COUNT($G148:$H148)=0),$F148,MIN($G148:$H148))))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IF(AE149=0,"",DATE(YEAR(AsOfDate)+IF(DATE(YEAR(AsOfDate),MONTH(AF149),DAY(AF149))&lt;=AsOfDate,1,0),MONTH(AF149),DAY(AF149)))</f>
        <v/>
      </c>
      <c r="L149" s="11" t="str">
        <f aca="false">IF(AE149=0,"",ROUND((AsOfDate-AF149)/365.25,1))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IF(AE149=0,"",IF(NOT(LH_Ready),"",IF(LH_ColPeriod=0,W149-U149+V149,SUMIFS(INDEX(LH_Data,0,LH_ColAcc),INDEX(LH_Data,0,LH_ColFirst),$A149,INDEX(LH_Data,0,LH_ColSur),$B149,INDEX(LH_Data,0,LH_ColCat),BonusCat,INDEX(LH_Data,0,LH_ColPeriod),LH_OpenLabel)*UnitFactor)))</f>
        <v/>
      </c>
      <c r="U149" s="13"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IF(AE149=0,"",IF($J149&lt;&gt;"",$J149,IF(OR(CasualCounts="Yes",COUNT($G149:$I149)=0,COUNT($G149:$H149)=0),$F149,MIN($G149:$H149))))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IF(AE150=0,"",DATE(YEAR(AsOfDate)+IF(DATE(YEAR(AsOfDate),MONTH(AF150),DAY(AF150))&lt;=AsOfDate,1,0),MONTH(AF150),DAY(AF150)))</f>
        <v/>
      </c>
      <c r="L150" s="11" t="str">
        <f aca="false">IF(AE150=0,"",ROUND((AsOfDate-AF150)/365.25,1))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IF(AE150=0,"",IF(NOT(LH_Ready),"",IF(LH_ColPeriod=0,W150-U150+V150,SUMIFS(INDEX(LH_Data,0,LH_ColAcc),INDEX(LH_Data,0,LH_ColFirst),$A150,INDEX(LH_Data,0,LH_ColSur),$B150,INDEX(LH_Data,0,LH_ColCat),BonusCat,INDEX(LH_Data,0,LH_ColPeriod),LH_OpenLabel)*UnitFactor)))</f>
        <v/>
      </c>
      <c r="U150" s="13"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IF(AE150=0,"",IF($J150&lt;&gt;"",$J150,IF(OR(CasualCounts="Yes",COUNT($G150:$I150)=0,COUNT($G150:$H150)=0),$F150,MIN($G150:$H150))))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IF(AE151=0,"",DATE(YEAR(AsOfDate)+IF(DATE(YEAR(AsOfDate),MONTH(AF151),DAY(AF151))&lt;=AsOfDate,1,0),MONTH(AF151),DAY(AF151)))</f>
        <v/>
      </c>
      <c r="L151" s="11" t="str">
        <f aca="false">IF(AE151=0,"",ROUND((AsOfDate-AF151)/365.25,1))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IF(AE151=0,"",IF(NOT(LH_Ready),"",IF(LH_ColPeriod=0,W151-U151+V151,SUMIFS(INDEX(LH_Data,0,LH_ColAcc),INDEX(LH_Data,0,LH_ColFirst),$A151,INDEX(LH_Data,0,LH_ColSur),$B151,INDEX(LH_Data,0,LH_ColCat),BonusCat,INDEX(LH_Data,0,LH_ColPeriod),LH_OpenLabel)*UnitFactor)))</f>
        <v/>
      </c>
      <c r="U151" s="13"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IF(AE151=0,"",IF($J151&lt;&gt;"",$J151,IF(OR(CasualCounts="Yes",COUNT($G151:$I151)=0,COUNT($G151:$H151)=0),$F151,MIN($G151:$H151))))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IF(AE152=0,"",DATE(YEAR(AsOfDate)+IF(DATE(YEAR(AsOfDate),MONTH(AF152),DAY(AF152))&lt;=AsOfDate,1,0),MONTH(AF152),DAY(AF152)))</f>
        <v/>
      </c>
      <c r="L152" s="11" t="str">
        <f aca="false">IF(AE152=0,"",ROUND((AsOfDate-AF152)/365.25,1))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IF(AE152=0,"",IF(NOT(LH_Ready),"",IF(LH_ColPeriod=0,W152-U152+V152,SUMIFS(INDEX(LH_Data,0,LH_ColAcc),INDEX(LH_Data,0,LH_ColFirst),$A152,INDEX(LH_Data,0,LH_ColSur),$B152,INDEX(LH_Data,0,LH_ColCat),BonusCat,INDEX(LH_Data,0,LH_ColPeriod),LH_OpenLabel)*UnitFactor)))</f>
        <v/>
      </c>
      <c r="U152" s="13"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IF(AE152=0,"",IF($J152&lt;&gt;"",$J152,IF(OR(CasualCounts="Yes",COUNT($G152:$I152)=0,COUNT($G152:$H152)=0),$F152,MIN($G152:$H152))))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IF(AE153=0,"",DATE(YEAR(AsOfDate)+IF(DATE(YEAR(AsOfDate),MONTH(AF153),DAY(AF153))&lt;=AsOfDate,1,0),MONTH(AF153),DAY(AF153)))</f>
        <v/>
      </c>
      <c r="L153" s="11" t="str">
        <f aca="false">IF(AE153=0,"",ROUND((AsOfDate-AF153)/365.25,1))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IF(AE153=0,"",IF(NOT(LH_Ready),"",IF(LH_ColPeriod=0,W153-U153+V153,SUMIFS(INDEX(LH_Data,0,LH_ColAcc),INDEX(LH_Data,0,LH_ColFirst),$A153,INDEX(LH_Data,0,LH_ColSur),$B153,INDEX(LH_Data,0,LH_ColCat),BonusCat,INDEX(LH_Data,0,LH_ColPeriod),LH_OpenLabel)*UnitFactor)))</f>
        <v/>
      </c>
      <c r="U153" s="13"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IF(AE153=0,"",IF($J153&lt;&gt;"",$J153,IF(OR(CasualCounts="Yes",COUNT($G153:$I153)=0,COUNT($G153:$H153)=0),$F153,MIN($G153:$H153))))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IF(AE154=0,"",DATE(YEAR(AsOfDate)+IF(DATE(YEAR(AsOfDate),MONTH(AF154),DAY(AF154))&lt;=AsOfDate,1,0),MONTH(AF154),DAY(AF154)))</f>
        <v/>
      </c>
      <c r="L154" s="11" t="str">
        <f aca="false">IF(AE154=0,"",ROUND((AsOfDate-AF154)/365.25,1))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IF(AE154=0,"",IF(NOT(LH_Ready),"",IF(LH_ColPeriod=0,W154-U154+V154,SUMIFS(INDEX(LH_Data,0,LH_ColAcc),INDEX(LH_Data,0,LH_ColFirst),$A154,INDEX(LH_Data,0,LH_ColSur),$B154,INDEX(LH_Data,0,LH_ColCat),BonusCat,INDEX(LH_Data,0,LH_ColPeriod),LH_OpenLabel)*UnitFactor)))</f>
        <v/>
      </c>
      <c r="U154" s="13"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IF(AE154=0,"",IF($J154&lt;&gt;"",$J154,IF(OR(CasualCounts="Yes",COUNT($G154:$I154)=0,COUNT($G154:$H154)=0),$F154,MIN($G154:$H154))))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row>
    <row r="2" customFormat="false" ht="15" hidden="false" customHeight="false" outlineLevel="0" collapsed="false">
      <c r="N2" s="1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92</v>
      </c>
    </row>
    <row r="4" customFormat="false" ht="15" hidden="false" customHeight="false" outlineLevel="0" collapsed="false">
      <c r="B4" s="5" t="s">
        <v>93</v>
      </c>
      <c r="C4" s="5" t="s">
        <v>94</v>
      </c>
    </row>
    <row r="5" customFormat="false" ht="15" hidden="false" customHeight="false" outlineLevel="0" collapsed="false">
      <c r="B5" s="17" t="s">
        <v>95</v>
      </c>
      <c r="C5" s="9" t="n">
        <f aca="true">TODAY()</f>
        <v>46300</v>
      </c>
      <c r="F5" s="16" t="s">
        <v>96</v>
      </c>
    </row>
    <row r="6" customFormat="false" ht="15" hidden="false" customHeight="false" outlineLevel="0" collapsed="false">
      <c r="B6" s="17" t="s">
        <v>97</v>
      </c>
      <c r="C6" s="9" t="n">
        <v>43646</v>
      </c>
      <c r="F6" s="16" t="s">
        <v>98</v>
      </c>
    </row>
    <row r="7" customFormat="false" ht="15" hidden="false" customHeight="false" outlineLevel="0" collapsed="false">
      <c r="B7" s="17" t="s">
        <v>99</v>
      </c>
      <c r="C7" s="8" t="n">
        <v>8</v>
      </c>
      <c r="F7" s="16" t="s">
        <v>100</v>
      </c>
    </row>
    <row r="8" customFormat="false" ht="15" hidden="false" customHeight="false" outlineLevel="0" collapsed="false">
      <c r="B8" s="17" t="s">
        <v>101</v>
      </c>
      <c r="C8" s="8" t="s">
        <v>102</v>
      </c>
      <c r="F8" s="16" t="s">
        <v>103</v>
      </c>
    </row>
    <row r="9" customFormat="false" ht="15" hidden="false" customHeight="false" outlineLevel="0" collapsed="false">
      <c r="B9" s="17" t="s">
        <v>104</v>
      </c>
      <c r="C9" s="8" t="s">
        <v>105</v>
      </c>
      <c r="F9" s="16" t="s">
        <v>106</v>
      </c>
      <c r="G9" s="16" t="n">
        <f aca="false">IF(LHUnit="Days",HoursPerDay,1)</f>
        <v>1</v>
      </c>
    </row>
    <row r="10" customFormat="false" ht="15" hidden="false" customHeight="false" outlineLevel="0" collapsed="false">
      <c r="B10" s="17" t="s">
        <v>107</v>
      </c>
      <c r="C10" s="8" t="s">
        <v>85</v>
      </c>
      <c r="D10" s="18" t="str">
        <f aca="false">IF(ISNUMBER(MATCH($C10,LH_Hdr,0)),"Yes","NO")</f>
        <v>Yes</v>
      </c>
      <c r="G10" s="16" t="n">
        <f aca="false">IFERROR(MATCH($C10,LH_Hdr,0),0)</f>
        <v>8</v>
      </c>
    </row>
    <row r="11" customFormat="false" ht="15" hidden="false" customHeight="false" outlineLevel="0" collapsed="false">
      <c r="B11" s="5" t="s">
        <v>108</v>
      </c>
      <c r="C11" s="5" t="s">
        <v>109</v>
      </c>
      <c r="D11" s="5" t="s">
        <v>110</v>
      </c>
    </row>
    <row r="12" customFormat="false" ht="15" hidden="false" customHeight="false" outlineLevel="0" collapsed="false">
      <c r="B12" s="17" t="s">
        <v>111</v>
      </c>
      <c r="C12" s="8" t="s">
        <v>81</v>
      </c>
      <c r="D12" s="18" t="str">
        <f aca="false">IF(ISNUMBER(MATCH($C12,LH_Hdr,0)),"Yes","NO")</f>
        <v>Yes</v>
      </c>
      <c r="F12" s="16" t="s">
        <v>112</v>
      </c>
      <c r="G12" s="16" t="n">
        <f aca="false">IFERROR(MATCH($C12,LH_Hdr,0),0)</f>
        <v>3</v>
      </c>
    </row>
    <row r="13" customFormat="false" ht="15" hidden="false" customHeight="false" outlineLevel="0" collapsed="false">
      <c r="B13" s="17" t="s">
        <v>26</v>
      </c>
      <c r="C13" s="8" t="s">
        <v>26</v>
      </c>
      <c r="D13" s="18" t="str">
        <f aca="false">IF(ISNUMBER(MATCH($C13,LH_Hdr,0)),"Yes","NO")</f>
        <v>Yes</v>
      </c>
      <c r="G13" s="16" t="n">
        <f aca="false">IFERROR(MATCH($C13,LH_Hdr,0),0)</f>
        <v>4</v>
      </c>
    </row>
    <row r="14" customFormat="false" ht="15" hidden="false" customHeight="false" outlineLevel="0" collapsed="false">
      <c r="B14" s="17" t="s">
        <v>113</v>
      </c>
      <c r="C14" s="8" t="s">
        <v>82</v>
      </c>
      <c r="D14" s="18" t="str">
        <f aca="false">IF(ISNUMBER(MATCH($C14,LH_Hdr,0)),"Yes","NO")</f>
        <v>Yes</v>
      </c>
      <c r="G14" s="16" t="n">
        <f aca="false">IFERROR(MATCH($C14,LH_Hdr,0),0)</f>
        <v>5</v>
      </c>
    </row>
    <row r="15" customFormat="false" ht="15" hidden="false" customHeight="false" outlineLevel="0" collapsed="false">
      <c r="B15" s="17" t="s">
        <v>114</v>
      </c>
      <c r="C15" s="8" t="s">
        <v>87</v>
      </c>
      <c r="D15" s="18" t="str">
        <f aca="false">IF(ISNUMBER(MATCH($C15,LH_Hdr,0)),"Yes","NO")</f>
        <v>Yes</v>
      </c>
      <c r="G15" s="16" t="n">
        <f aca="false">IFERROR(MATCH($C15,LH_Hdr,0),0)</f>
        <v>10</v>
      </c>
    </row>
    <row r="16" customFormat="false" ht="15" hidden="false" customHeight="false" outlineLevel="0" collapsed="false">
      <c r="B16" s="17" t="s">
        <v>115</v>
      </c>
      <c r="C16" s="8" t="s">
        <v>88</v>
      </c>
      <c r="D16" s="18" t="str">
        <f aca="false">IF(ISNUMBER(MATCH($C16,LH_Hdr,0)),"Yes","NO")</f>
        <v>Yes</v>
      </c>
      <c r="G16" s="16" t="n">
        <f aca="false">IFERROR(MATCH($C16,LH_Hdr,0),0)</f>
        <v>11</v>
      </c>
    </row>
    <row r="17" customFormat="false" ht="15" hidden="false" customHeight="false" outlineLevel="0" collapsed="false">
      <c r="B17" s="17" t="s">
        <v>116</v>
      </c>
      <c r="C17" s="8" t="s">
        <v>84</v>
      </c>
      <c r="D17" s="18" t="str">
        <f aca="false">IF(ISNUMBER(MATCH($C17,LH_Hdr,0)),"Yes","NO")</f>
        <v>Yes</v>
      </c>
      <c r="G17" s="16" t="n">
        <f aca="false">IFERROR(MATCH($C17,LH_Hdr,0),0)</f>
        <v>7</v>
      </c>
    </row>
    <row r="18" customFormat="false" ht="15" hidden="false" customHeight="false" outlineLevel="0" collapsed="false">
      <c r="B18" s="2" t="s">
        <v>117</v>
      </c>
      <c r="D18" s="18" t="str">
        <f aca="false">IF(LH_Ready,"YES","NO")</f>
        <v>YES</v>
      </c>
      <c r="G18" s="19" t="b">
        <f aca="false">AND(LH_ColFirst&gt;0,LH_ColSur&gt;0,LH_ColCat&gt;0,LH_ColAcc&gt;0,LH_ColTaken&gt;0,LH_ColClose&gt;0)</f>
        <v>1</v>
      </c>
    </row>
    <row r="19" customFormat="false" ht="15" hidden="false" customHeight="false" outlineLevel="0" collapsed="false">
      <c r="B19" s="17" t="s">
        <v>118</v>
      </c>
      <c r="C19" s="8" t="s">
        <v>119</v>
      </c>
      <c r="F19" s="16" t="s">
        <v>120</v>
      </c>
    </row>
    <row r="20" customFormat="false" ht="15" hidden="false" customHeight="false" outlineLevel="0" collapsed="false">
      <c r="B20" s="5" t="s">
        <v>121</v>
      </c>
      <c r="C20" s="5" t="s">
        <v>94</v>
      </c>
    </row>
    <row r="21" customFormat="false" ht="15" hidden="false" customHeight="false" outlineLevel="0" collapsed="false">
      <c r="B21" s="17" t="s">
        <v>122</v>
      </c>
      <c r="C21" s="8" t="n">
        <v>36</v>
      </c>
      <c r="F21" s="16" t="s">
        <v>123</v>
      </c>
    </row>
    <row r="22" customFormat="false" ht="15" hidden="false" customHeight="false" outlineLevel="0" collapsed="false">
      <c r="B22" s="17" t="s">
        <v>124</v>
      </c>
      <c r="C22" s="8" t="n">
        <v>4</v>
      </c>
      <c r="F22" s="16" t="s">
        <v>125</v>
      </c>
    </row>
    <row r="23" customFormat="false" ht="15" hidden="false" customHeight="false" outlineLevel="0" collapsed="false">
      <c r="B23" s="17" t="s">
        <v>126</v>
      </c>
      <c r="C23" s="8" t="n">
        <v>60</v>
      </c>
      <c r="F23" s="16" t="s">
        <v>127</v>
      </c>
    </row>
    <row r="24" customFormat="false" ht="15" hidden="false" customHeight="false" outlineLevel="0" collapsed="false">
      <c r="B24" s="17" t="s">
        <v>128</v>
      </c>
      <c r="C24" s="8" t="n">
        <v>2</v>
      </c>
      <c r="F24" s="16" t="s">
        <v>127</v>
      </c>
    </row>
    <row r="25" customFormat="false" ht="15" hidden="false" customHeight="false" outlineLevel="0" collapsed="false">
      <c r="B25" s="17" t="s">
        <v>129</v>
      </c>
      <c r="C25" s="8" t="n">
        <v>3</v>
      </c>
      <c r="F25" s="16" t="s">
        <v>130</v>
      </c>
    </row>
    <row r="26" customFormat="false" ht="15" hidden="false" customHeight="false" outlineLevel="0" collapsed="false">
      <c r="B26" s="17" t="s">
        <v>131</v>
      </c>
      <c r="C26" s="8" t="n">
        <v>60</v>
      </c>
      <c r="F26" s="16" t="s">
        <v>132</v>
      </c>
    </row>
    <row r="27" customFormat="false" ht="15" hidden="false" customHeight="false" outlineLevel="0" collapsed="false">
      <c r="B27" s="17" t="s">
        <v>133</v>
      </c>
      <c r="C27" s="8" t="n">
        <v>4</v>
      </c>
      <c r="F27" s="16" t="s">
        <v>134</v>
      </c>
    </row>
    <row r="28" customFormat="false" ht="15" hidden="false" customHeight="false" outlineLevel="0" collapsed="false">
      <c r="B28" s="17" t="s">
        <v>135</v>
      </c>
      <c r="C28" s="8" t="n">
        <v>24</v>
      </c>
      <c r="F28" s="16" t="s">
        <v>136</v>
      </c>
    </row>
    <row r="29" customFormat="false" ht="15" hidden="false" customHeight="false" outlineLevel="0" collapsed="false">
      <c r="B29" s="17" t="s">
        <v>137</v>
      </c>
      <c r="C29" s="12" t="n">
        <f aca="false">1+INT((FT_Y5-1-FT_First)/FT_Int1)</f>
        <v>6</v>
      </c>
    </row>
    <row r="30" customFormat="false" ht="15" hidden="false" customHeight="false" outlineLevel="0" collapsed="false">
      <c r="B30" s="17" t="s">
        <v>138</v>
      </c>
      <c r="C30" s="12" t="n">
        <f aca="false">FT_AnnivDays+INT(11/FT_Int2)</f>
        <v>5</v>
      </c>
    </row>
    <row r="31" customFormat="false" ht="15" hidden="false" customHeight="false" outlineLevel="0" collapsed="false">
      <c r="B31" s="17" t="s">
        <v>139</v>
      </c>
      <c r="C31" s="8" t="s">
        <v>140</v>
      </c>
      <c r="F31" s="16" t="s">
        <v>141</v>
      </c>
    </row>
    <row r="34" customFormat="false" ht="15" hidden="false" customHeight="true" outlineLevel="0" collapsed="false">
      <c r="B34" s="20" t="s">
        <v>142</v>
      </c>
      <c r="C34" s="20"/>
      <c r="D34" s="20"/>
      <c r="E34" s="20"/>
      <c r="F34" s="20"/>
    </row>
    <row r="35" customFormat="false" ht="15" hidden="false" customHeight="true" outlineLevel="0" collapsed="false">
      <c r="B35" s="21" t="s">
        <v>143</v>
      </c>
      <c r="C35" s="21"/>
      <c r="D35" s="21"/>
      <c r="E35" s="21"/>
      <c r="F35" s="21"/>
    </row>
    <row r="36" customFormat="false" ht="43.5" hidden="false" customHeight="true" outlineLevel="0" collapsed="false">
      <c r="B36" s="21" t="s">
        <v>144</v>
      </c>
      <c r="C36" s="21"/>
      <c r="D36" s="21"/>
      <c r="E36" s="21"/>
      <c r="F36" s="21"/>
    </row>
    <row r="37" customFormat="false" ht="30" hidden="false" customHeight="true" outlineLevel="0" collapsed="false">
      <c r="B37" s="21" t="s">
        <v>145</v>
      </c>
      <c r="C37" s="21"/>
      <c r="D37" s="21"/>
      <c r="E37" s="21"/>
      <c r="F37" s="21"/>
    </row>
    <row r="38" customFormat="false" ht="30" hidden="false" customHeight="true" outlineLevel="0" collapsed="false">
      <c r="B38" s="21" t="s">
        <v>146</v>
      </c>
      <c r="C38" s="21"/>
      <c r="D38" s="21"/>
      <c r="E38" s="21"/>
      <c r="F38" s="21"/>
    </row>
    <row r="39" customFormat="false" ht="43.5" hidden="false" customHeight="true" outlineLevel="0" collapsed="false">
      <c r="B39" s="21" t="s">
        <v>147</v>
      </c>
      <c r="C39" s="21"/>
      <c r="D39" s="21"/>
      <c r="E39" s="21"/>
      <c r="F39" s="21"/>
    </row>
    <row r="40" customFormat="false" ht="43.5" hidden="false" customHeight="true" outlineLevel="0" collapsed="false">
      <c r="B40" s="21" t="s">
        <v>148</v>
      </c>
      <c r="C40" s="21"/>
      <c r="D40" s="21"/>
      <c r="E40" s="21"/>
      <c r="F40" s="21"/>
    </row>
    <row r="41" customFormat="false" ht="43.5" hidden="false" customHeight="true" outlineLevel="0" collapsed="false">
      <c r="B41" s="21" t="s">
        <v>149</v>
      </c>
      <c r="C41" s="21"/>
      <c r="D41" s="21"/>
      <c r="E41" s="21"/>
      <c r="F41" s="21"/>
    </row>
    <row r="42" customFormat="false" ht="43.5" hidden="false" customHeight="true" outlineLevel="0" collapsed="false">
      <c r="B42" s="21" t="s">
        <v>150</v>
      </c>
      <c r="C42" s="21"/>
      <c r="D42" s="21"/>
      <c r="E42" s="21"/>
      <c r="F42" s="21"/>
    </row>
    <row r="43" customFormat="false" ht="15" hidden="false" customHeight="false" outlineLevel="0" collapsed="false">
      <c r="B43" s="21"/>
      <c r="C43" s="21"/>
      <c r="D43" s="21"/>
      <c r="E43" s="21"/>
      <c r="F43" s="21"/>
    </row>
    <row r="44" customFormat="false" ht="15" hidden="false" customHeight="true" outlineLevel="0" collapsed="false">
      <c r="B44" s="20" t="s">
        <v>151</v>
      </c>
      <c r="C44" s="20"/>
      <c r="D44" s="20"/>
      <c r="E44" s="20"/>
      <c r="F44" s="20"/>
    </row>
    <row r="45" customFormat="false" ht="30" hidden="false" customHeight="true" outlineLevel="0" collapsed="false">
      <c r="B45" s="21" t="s">
        <v>152</v>
      </c>
      <c r="C45" s="21"/>
      <c r="D45" s="21"/>
      <c r="E45" s="21"/>
      <c r="F45" s="21"/>
    </row>
    <row r="46" customFormat="false" ht="15" hidden="false" customHeight="true" outlineLevel="0" collapsed="false">
      <c r="B46" s="21" t="s">
        <v>153</v>
      </c>
      <c r="C46" s="21"/>
      <c r="D46" s="21"/>
      <c r="E46" s="21"/>
      <c r="F46" s="21"/>
    </row>
    <row r="47" customFormat="false" ht="43.5" hidden="false" customHeight="true" outlineLevel="0" collapsed="false">
      <c r="B47" s="21" t="s">
        <v>154</v>
      </c>
      <c r="C47" s="21"/>
      <c r="D47" s="21"/>
      <c r="E47" s="21"/>
      <c r="F47" s="21"/>
    </row>
    <row r="48" customFormat="false" ht="15" hidden="false" customHeight="false" outlineLevel="0" collapsed="false">
      <c r="B48" s="21"/>
      <c r="C48" s="21"/>
      <c r="D48" s="21"/>
      <c r="E48" s="21"/>
      <c r="F48" s="21"/>
    </row>
    <row r="49" customFormat="false" ht="43.5" hidden="false" customHeight="true" outlineLevel="0" collapsed="false">
      <c r="B49" s="20" t="s">
        <v>155</v>
      </c>
      <c r="C49" s="20"/>
      <c r="D49" s="20"/>
      <c r="E49" s="20"/>
      <c r="F49" s="20"/>
    </row>
  </sheetData>
  <mergeCells count="16">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2026-10-05T22:59:53Z</dcterms:created>
  <dc:creator>openpyxl</dc:creator>
  <dc:description/>
  <dc:language>en-US</dc:language>
  <cp:lastModifiedBy/>
  <dcterms:modified xsi:type="dcterms:W3CDTF">2026-10-05T22:59:53Z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