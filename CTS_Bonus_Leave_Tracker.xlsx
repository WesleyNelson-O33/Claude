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ff" sheetId="1" state="visible" r:id="rId3"/>
    <sheet name="PFY EH" sheetId="2" state="visible" r:id="rId4"/>
    <sheet name="CFY EH" sheetId="3" state="visible" r:id="rId5"/>
    <sheet name="Settings" sheetId="4" state="visible" r:id="rId6"/>
  </sheets>
  <definedNames>
    <definedName function="false" hidden="true" localSheetId="0" name="_xlnm._FilterDatabase" vbProcedure="false">Staff!$A$4:$AB$154</definedName>
    <definedName function="false" hidden="false" name="AsOfDate" vbProcedure="false">Settings!$C$5</definedName>
    <definedName function="false" hidden="false" name="BonusCat" vbProcedure="false">Settings!$C$8</definedName>
    <definedName function="false" hidden="false" name="CFY_ColAppr" vbProcedure="false">Settings!$H$15</definedName>
    <definedName function="false" hidden="false" name="CFY_ColBal" vbProcedure="false">Settings!$H$14</definedName>
    <definedName function="false" hidden="false" name="CFY_ColCat" vbProcedure="false">Settings!$H$13</definedName>
    <definedName function="false" hidden="false" name="CFY_ColFirst" vbProcedure="false">Settings!$H$11</definedName>
    <definedName function="false" hidden="false" name="CFY_ColSur" vbProcedure="false">Settings!$H$12</definedName>
    <definedName function="false" hidden="false" name="CFY_Data" vbProcedure="false">'CFY EH'!$A$2:$AZ$3000</definedName>
    <definedName function="false" hidden="false" name="CFY_Hdr" vbProcedure="false">'CFY EH'!$A$1:$AZ$1</definedName>
    <definedName function="false" hidden="false" name="CFY_Ready" vbProcedure="false">Settings!$H$16</definedName>
    <definedName function="false" hidden="false" name="FT_AnnivDays" vbProcedure="false">Settings!$C$22</definedName>
    <definedName function="false" hidden="false" name="FT_First" vbProcedure="false">Settings!$C$19</definedName>
    <definedName function="false" hidden="false" name="FT_Int1" vbProcedure="false">Settings!$C$20</definedName>
    <definedName function="false" hidden="false" name="FT_Int2" vbProcedure="false">Settings!$C$23</definedName>
    <definedName function="false" hidden="false" name="FT_PerYear" vbProcedure="false">Settings!$C$28</definedName>
    <definedName function="false" hidden="false" name="FT_PreY5" vbProcedure="false">Settings!$C$27</definedName>
    <definedName function="false" hidden="false" name="FT_Y5" vbProcedure="false">Settings!$C$21</definedName>
    <definedName function="false" hidden="false" name="HoursPerDay" vbProcedure="false">Settings!$C$7</definedName>
    <definedName function="false" hidden="false" name="PFYDate" vbProcedure="false">Settings!$C$6</definedName>
    <definedName function="false" hidden="false" name="PFY_ColAppr" vbProcedure="false">Settings!$G$15</definedName>
    <definedName function="false" hidden="false" name="PFY_ColBal" vbProcedure="false">Settings!$G$14</definedName>
    <definedName function="false" hidden="false" name="PFY_ColCat" vbProcedure="false">Settings!$G$13</definedName>
    <definedName function="false" hidden="false" name="PFY_ColFirst" vbProcedure="false">Settings!$G$11</definedName>
    <definedName function="false" hidden="false" name="PFY_ColSur" vbProcedure="false">Settings!$G$12</definedName>
    <definedName function="false" hidden="false" name="PFY_Data" vbProcedure="false">'PFY EH'!$A$2:$AZ$3000</definedName>
    <definedName function="false" hidden="false" name="PFY_Hdr" vbProcedure="false">'PFY EH'!$A$1:$AZ$1</definedName>
    <definedName function="false" hidden="false" name="PFY_Ready" vbProcedure="false">Settings!$G$16</definedName>
    <definedName function="false" hidden="false" name="PT_First" vbProcedure="false">Settings!$C$24</definedName>
    <definedName function="false" hidden="false" name="PT_Int" vbProcedure="false">Settings!$C$25</definedName>
    <definedName function="false" hidden="false" name="PT_MinHours" vbProcedure="false">Settings!$C$26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<sst xmlns="http://schemas.openxmlformats.org/spreadsheetml/2006/main" count="233" uniqueCount="153">
  <si>
    <t xml:space="preserve">CTS BONUS LEAVE TRACKER</t>
  </si>
  <si>
    <t xml:space="preserve">type here</t>
  </si>
  <si>
    <t xml:space="preserve">Full-Time / Part-Time / Casual (current)</t>
  </si>
  <si>
    <t xml:space="preserve">next birthday</t>
  </si>
  <si>
    <t xml:space="preserve">date part-time began (if ever)</t>
  </si>
  <si>
    <t xml:space="preserve">date full-time began (if ever)</t>
  </si>
  <si>
    <t xml:space="preserve">optional: HR-adjusted service start (unpaid leave)</t>
  </si>
  <si>
    <t xml:space="preserve">next service anniversary</t>
  </si>
  <si>
    <t xml:space="preserve">years</t>
  </si>
  <si>
    <t xml:space="preserve">service counted</t>
  </si>
  <si>
    <t xml:space="preserve">HOURS due per policy to date</t>
  </si>
  <si>
    <t xml:space="preserve">days due per policy to date</t>
  </si>
  <si>
    <t xml:space="preserve">part-timers only; blank = 24+</t>
  </si>
  <si>
    <t xml:space="preserve">from PTE / FTE Start</t>
  </si>
  <si>
    <t xml:space="preserve">date of next day</t>
  </si>
  <si>
    <t xml:space="preserve">from PFY EH tab</t>
  </si>
  <si>
    <t xml:space="preserve">accruals HR already added this FY</t>
  </si>
  <si>
    <t xml:space="preserve">from CFY EH tab</t>
  </si>
  <si>
    <t xml:space="preserve">CFY ApprovedRequestsInHours</t>
  </si>
  <si>
    <t xml:space="preserve">PFY + posted - CFY</t>
  </si>
  <si>
    <t xml:space="preserve">policy accrual between PFY date and as-of</t>
  </si>
  <si>
    <t xml:space="preserve">due - posted</t>
  </si>
  <si>
    <t xml:space="preserve">policy hrs at PFY date - PFY balance (could be leave taken before PFY)</t>
  </si>
  <si>
    <t xml:space="preserve">Name</t>
  </si>
  <si>
    <t xml:space="preserve">Surname</t>
  </si>
  <si>
    <t xml:space="preserve">EmploymentType</t>
  </si>
  <si>
    <t xml:space="preserve">DateOfBirth</t>
  </si>
  <si>
    <t xml:space="preserve">Birthday</t>
  </si>
  <si>
    <t xml:space="preserve">StartDate</t>
  </si>
  <si>
    <t xml:space="preserve">PTE Start</t>
  </si>
  <si>
    <t xml:space="preserve">FTE Start</t>
  </si>
  <si>
    <t xml:space="preserve">AnniversaryDate</t>
  </si>
  <si>
    <t xml:space="preserve">Anniversary</t>
  </si>
  <si>
    <t xml:space="preserve">Tenure</t>
  </si>
  <si>
    <t xml:space="preserve">Tenure (Y/M/D)</t>
  </si>
  <si>
    <t xml:space="preserve">Bonus leave Accrued</t>
  </si>
  <si>
    <t xml:space="preserve">Days</t>
  </si>
  <si>
    <t xml:space="preserve">PT Hrs/Week</t>
  </si>
  <si>
    <t xml:space="preserve">Status Change</t>
  </si>
  <si>
    <t xml:space="preserve">Eligible?</t>
  </si>
  <si>
    <t xml:space="preserve">Next Accrual</t>
  </si>
  <si>
    <t xml:space="preserve">PFY EH Balance (hrs)</t>
  </si>
  <si>
    <t xml:space="preserve">Posted in EH since PFY (hrs)</t>
  </si>
  <si>
    <t xml:space="preserve">CFY EH Balance (hrs)</t>
  </si>
  <si>
    <t xml:space="preserve">Approved not yet taken (hrs)</t>
  </si>
  <si>
    <t xml:space="preserve">Taken since PFY (hrs)</t>
  </si>
  <si>
    <t xml:space="preserve">Due since PFY (hrs)</t>
  </si>
  <si>
    <t xml:space="preserve">Hours to Accrue</t>
  </si>
  <si>
    <t xml:space="preserve">Accrue?</t>
  </si>
  <si>
    <t xml:space="preserve">Action</t>
  </si>
  <si>
    <t xml:space="preserve">PFY gap vs policy (hrs)</t>
  </si>
  <si>
    <t xml:space="preserve">h active</t>
  </si>
  <si>
    <t xml:space="preserve">h S</t>
  </si>
  <si>
    <t xml:space="preserve">h chg</t>
  </si>
  <si>
    <t xml:space="preserve">h P0</t>
  </si>
  <si>
    <t xml:space="preserve">h Pc</t>
  </si>
  <si>
    <t xml:space="preserve">h M0</t>
  </si>
  <si>
    <t xml:space="preserve">h B1</t>
  </si>
  <si>
    <t xml:space="preserve">h MP</t>
  </si>
  <si>
    <t xml:space="preserve">h B1P</t>
  </si>
  <si>
    <t xml:space="preserve">h daysNow</t>
  </si>
  <si>
    <t xml:space="preserve">h daysPFY</t>
  </si>
  <si>
    <t xml:space="preserve">h nextoff</t>
  </si>
  <si>
    <t xml:space="preserve">h inCFY</t>
  </si>
  <si>
    <t xml:space="preserve">Jane</t>
  </si>
  <si>
    <t xml:space="preserve">Citizen</t>
  </si>
  <si>
    <t xml:space="preserve">Full-Time</t>
  </si>
  <si>
    <t xml:space="preserve">Tom</t>
  </si>
  <si>
    <t xml:space="preserve">Nguyen</t>
  </si>
  <si>
    <t xml:space="preserve">Part-Time</t>
  </si>
  <si>
    <t xml:space="preserve">Sam</t>
  </si>
  <si>
    <t xml:space="preserve">Lee</t>
  </si>
  <si>
    <t xml:space="preserve">Casual</t>
  </si>
  <si>
    <t xml:space="preserve">Priya</t>
  </si>
  <si>
    <t xml:space="preserve">Patel</t>
  </si>
  <si>
    <t xml:space="preserve">Liam</t>
  </si>
  <si>
    <t xml:space="preserve">Brown</t>
  </si>
  <si>
    <t xml:space="preserve">Olivia</t>
  </si>
  <si>
    <t xml:space="preserve">Smith</t>
  </si>
  <si>
    <t xml:space="preserve">Ava</t>
  </si>
  <si>
    <t xml:space="preserve">Jones</t>
  </si>
  <si>
    <t xml:space="preserve">Employee Id</t>
  </si>
  <si>
    <t xml:space="preserve">FirstName</t>
  </si>
  <si>
    <t xml:space="preserve">ExternalId</t>
  </si>
  <si>
    <t xml:space="preserve">LastPayPeriodEnding</t>
  </si>
  <si>
    <t xml:space="preserve">CalculatedWeeks</t>
  </si>
  <si>
    <t xml:space="preserve">Location</t>
  </si>
  <si>
    <t xml:space="preserve">LeaveCategoryName</t>
  </si>
  <si>
    <t xml:space="preserve">LeaveBalance</t>
  </si>
  <si>
    <t xml:space="preserve">Unit Type</t>
  </si>
  <si>
    <t xml:space="preserve">Leave Hours</t>
  </si>
  <si>
    <t xml:space="preserve">LeaveValue</t>
  </si>
  <si>
    <t xml:space="preserve">LeaveLoadingDollarValue</t>
  </si>
  <si>
    <t xml:space="preserve">ApprovedRequests</t>
  </si>
  <si>
    <t xml:space="preserve">ApprovedRequestsInHours</t>
  </si>
  <si>
    <t xml:space="preserve">SAMPLE - clear this sheet, then paste the EH Leave Liability Report for the PRIOR financial year (as at 30 June) at A1 (headers in row 1, paste as values).</t>
  </si>
  <si>
    <t xml:space="preserve">Head Office</t>
  </si>
  <si>
    <t xml:space="preserve">Bonus Leave</t>
  </si>
  <si>
    <t xml:space="preserve">Hours</t>
  </si>
  <si>
    <t xml:space="preserve">Annual Leave</t>
  </si>
  <si>
    <t xml:space="preserve">SAMPLE - clear this sheet, then paste the EH Leave Liability Report for the CURRENT financial year (latest) at A1 (headers in row 1, paste as values).</t>
  </si>
  <si>
    <t xml:space="preserve">SETTINGS</t>
  </si>
  <si>
    <t xml:space="preserve">General</t>
  </si>
  <si>
    <t xml:space="preserve">Value</t>
  </si>
  <si>
    <t xml:space="preserve">As-of date</t>
  </si>
  <si>
    <t xml:space="preserve">Type a fixed date for a month-end run.</t>
  </si>
  <si>
    <t xml:space="preserve">PFY date (date of the prior-year EH export)</t>
  </si>
  <si>
    <t xml:space="preserve">Policy accrual is counted from the day after this date to the as-of date.</t>
  </si>
  <si>
    <t xml:space="preserve">Hours per Bonus Leave day</t>
  </si>
  <si>
    <t xml:space="preserve">Policy p.3</t>
  </si>
  <si>
    <t xml:space="preserve">Bonus Leave category name in EH</t>
  </si>
  <si>
    <t xml:space="preserve">Must match LeaveCategoryName in the export exactly.</t>
  </si>
  <si>
    <t xml:space="preserve">EH export column headers (same on both EH tabs)</t>
  </si>
  <si>
    <t xml:space="preserve">Header text</t>
  </si>
  <si>
    <t xml:space="preserve">PFY found?</t>
  </si>
  <si>
    <t xml:space="preserve">CFY found?</t>
  </si>
  <si>
    <t xml:space="preserve">First name</t>
  </si>
  <si>
    <t xml:space="preserve">Taken from your Leave Liability Report export. Change only if EH renames a column.</t>
  </si>
  <si>
    <t xml:space="preserve">Leave category</t>
  </si>
  <si>
    <t xml:space="preserve">Balance in hours</t>
  </si>
  <si>
    <t xml:space="preserve">Approved requests in hours (optional)</t>
  </si>
  <si>
    <t xml:space="preserve">Exports ready?</t>
  </si>
  <si>
    <t xml:space="preserve">Policy rules (CTS Bonus Leave Policy 2026 v1.0)</t>
  </si>
  <si>
    <t xml:space="preserve">Full-time: first day at (months)</t>
  </si>
  <si>
    <t xml:space="preserve">3 years - p.5</t>
  </si>
  <si>
    <t xml:space="preserve">Full-time: months between days, years 3-5</t>
  </si>
  <si>
    <t xml:space="preserve">1 day every 4 months - p.5</t>
  </si>
  <si>
    <t xml:space="preserve">Full-time: 5-year milestone (months)</t>
  </si>
  <si>
    <t xml:space="preserve">p.5</t>
  </si>
  <si>
    <t xml:space="preserve">Full-time: days on 5-yr and later anniversaries</t>
  </si>
  <si>
    <t xml:space="preserve">Full-time: months between days after year 5</t>
  </si>
  <si>
    <t xml:space="preserve">1 day every 3 months - p.5</t>
  </si>
  <si>
    <t xml:space="preserve">Part-time: first day at (months)</t>
  </si>
  <si>
    <t xml:space="preserve">5 years - p.5-6</t>
  </si>
  <si>
    <t xml:space="preserve">Part-time: months between days</t>
  </si>
  <si>
    <t xml:space="preserve">1 day every 4 months - p.6</t>
  </si>
  <si>
    <t xml:space="preserve">Part-time: minimum hours per week</t>
  </si>
  <si>
    <t xml:space="preserve">Under 24 hrs = not eligible - p.4</t>
  </si>
  <si>
    <t xml:space="preserve">Full-time days before 5-yr milestone (calc)</t>
  </si>
  <si>
    <t xml:space="preserve">Full-time days per year from year 6 (calc)</t>
  </si>
  <si>
    <t xml:space="preserve">HOW TO USE</t>
  </si>
  <si>
    <t xml:space="preserve">1. Staff tab: type Name, Surname, EmploymentType (current), DateOfBirth, StartDate. PTE Start / FTE Start only if the person has been both: the later of the two is treated as the change date. AnniversaryDate only if HR has pushed the qualifying-service start out for unpaid or parental leave (policy p.4-5); otherwise leave blank and StartDate is used.</t>
  </si>
  <si>
    <t xml:space="preserve">2. Bonus leave Accrued = HOURS the policy says the person should have received in total to date. Days = the same in days. Eligible? and Next Accrual tell you who is in the scheme and when the next day lands.</t>
  </si>
  <si>
    <t xml:space="preserve">3. PFY EH tab: paste the Leave Liability Report as at the end of the prior financial year. CFY EH tab: paste the latest one. Set the PFY date on this tab.</t>
  </si>
  <si>
    <t xml:space="preserve">4. The red columns then show: PFY balance, CFY balance, approved-not-yet-taken, Taken since PFY (= PFY balance + what you posted since - CFY balance), Due since PFY (policy accrual between the PFY date and today), Hours to Accrue (= due - posted), Accrue? and an Action.</t>
  </si>
  <si>
    <t xml:space="preserve">5. Column T 'Posted in EH since PFY': if you already added some bonus leave in EH this year, type the hours here so it is not accrued twice. Blank = nothing posted.</t>
  </si>
  <si>
    <t xml:space="preserve">6. Filter column AA: ACCRUE = add those hours in EH now. CHECK = something does not add up. OK = nothing to do.</t>
  </si>
  <si>
    <t xml:space="preserve">7. Column AB 'PFY gap vs policy': policy hours at the PFY date minus the PFY balance. A positive number is either leave taken before the PFY date (fine) or accruals that were never posted (catch up). Check the leave history in EH before deciding.</t>
  </si>
  <si>
    <t xml:space="preserve">POLICY IN ONE LINE EACH</t>
  </si>
  <si>
    <t xml:space="preserve">Full-time: 1 day at 3 years, then 1 day every 4 months. At 5 years 2 days, then 1 day every 3 months (5 a year). Policy p.5, Schedule 1 p.9.</t>
  </si>
  <si>
    <t xml:space="preserve">Part-time 24+ hrs: nothing until 5 years, then 1 day every 4 months (3 a year). Policy p.5-6.</t>
  </si>
  <si>
    <t xml:space="preserve">Casual, contractor, part-time under 24 hrs: not eligible (p.3-4). No pro-rata (p.7). Status on the accrual date decides the pathway (p.7-8). 1 day = 8 hours (p.3).</t>
  </si>
  <si>
    <t xml:space="preserve">ASSUMPTIONS: PT Hrs/Week blank means 24+ (eligible). Staff are matched to EH on FirstName + Surname, so spelling must match the export. The PFY balance is taken as correct at the PFY date. Terminated staff forfeit the balance (p.8) - delete them from the Staff tab and zero the EH balance.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</si>
</sst>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.0"/>
    <numFmt numFmtId="167" formatCode="0.##;\-0.##;\-"/>
    <numFmt numFmtId="168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C00000"/>
        <bgColor rgb="FF9C0006"/>
      </patternFill>
    </fill>
    <fill>
      <patternFill patternType="solid">
        <fgColor rgb="FF7F7F7F"/>
        <bgColor rgb="FF70AD47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000"/>
      <rgbColor rgb="FFFF9900"/>
      <rgbColor rgb="FFFF6600"/>
      <rgbColor rgb="FF555555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O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8" min="4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8"/>
    <col collapsed="false" customWidth="true" hidden="false" outlineLevel="0" max="16" min="16" style="0" width="30"/>
    <col collapsed="false" customWidth="true" hidden="false" outlineLevel="0" max="17" min="17" style="0" width="24"/>
    <col collapsed="false" customWidth="true" hidden="false" outlineLevel="0" max="18" min="18" style="0" width="11"/>
    <col collapsed="false" customWidth="true" hidden="false" outlineLevel="0" max="25" min="19" style="0" width="10"/>
    <col collapsed="false" customWidth="true" hidden="false" outlineLevel="0" max="26" min="26" style="0" width="8"/>
    <col collapsed="false" customWidth="true" hidden="false" outlineLevel="0" max="27" min="27" style="0" width="34"/>
    <col collapsed="false" customWidth="true" hidden="false" outlineLevel="0" max="28" min="28" style="0" width="10"/>
    <col collapsed="false" customWidth="true" hidden="true" outlineLevel="1" max="41" min="29" style="0" width="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"As at "&amp;TEXT(AsOfDate,"dd/mm/yyyy")&amp;"  |  PFY date "&amp;TEXT(PFYDate,"dd/mm/yyyy")&amp;"  |  Staff: "&amp;COUNTIF($AC$5:$AC$154,1)&amp;"  |  Accruing: "&amp;COUNTIF($Q$5:$Q$154,"Yes*")&amp;"  |  To accrue now: "&amp;TEXT(SUMIF($Y$5:$Y$154,"&gt;0"),"0.##")&amp;" hrs for "&amp;COUNTIF($Z$5:$Z$154,"Yes")&amp;" people"</f>
        <v>As at 01/10/2026  |  PFY date 30/06/2026  |  Staff: 7  |  Accruing: 4  |  To accrue now: 24 hrs for 3 people</v>
      </c>
    </row>
    <row r="3" customFormat="false" ht="36" hidden="false" customHeight="true" outlineLevel="0" collapsed="false">
      <c r="A3" s="3" t="s">
        <v>1</v>
      </c>
      <c r="B3" s="3" t="s">
        <v>1</v>
      </c>
      <c r="C3" s="3" t="s">
        <v>2</v>
      </c>
      <c r="D3" s="3" t="s">
        <v>1</v>
      </c>
      <c r="E3" s="3" t="s">
        <v>3</v>
      </c>
      <c r="F3" s="3" t="s">
        <v>1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/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/>
      <c r="AA3" s="3"/>
      <c r="AB3" s="3" t="s">
        <v>22</v>
      </c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customFormat="false" ht="42" hidden="false" customHeight="true" outlineLevel="0" collapsed="false">
      <c r="A4" s="4" t="s">
        <v>23</v>
      </c>
      <c r="B4" s="4" t="s">
        <v>24</v>
      </c>
      <c r="C4" s="4" t="s">
        <v>25</v>
      </c>
      <c r="D4" s="4" t="s">
        <v>26</v>
      </c>
      <c r="E4" s="5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4" t="s">
        <v>37</v>
      </c>
      <c r="P4" s="5" t="s">
        <v>38</v>
      </c>
      <c r="Q4" s="5" t="s">
        <v>39</v>
      </c>
      <c r="R4" s="5" t="s">
        <v>40</v>
      </c>
      <c r="S4" s="6" t="s">
        <v>41</v>
      </c>
      <c r="T4" s="4" t="s">
        <v>42</v>
      </c>
      <c r="U4" s="6" t="s">
        <v>43</v>
      </c>
      <c r="V4" s="6" t="s">
        <v>44</v>
      </c>
      <c r="W4" s="6" t="s">
        <v>45</v>
      </c>
      <c r="X4" s="6" t="s">
        <v>46</v>
      </c>
      <c r="Y4" s="6" t="s">
        <v>47</v>
      </c>
      <c r="Z4" s="6" t="s">
        <v>48</v>
      </c>
      <c r="AA4" s="6" t="s">
        <v>49</v>
      </c>
      <c r="AB4" s="6" t="s">
        <v>50</v>
      </c>
      <c r="AC4" s="7" t="s">
        <v>51</v>
      </c>
      <c r="AD4" s="7" t="s">
        <v>52</v>
      </c>
      <c r="AE4" s="7" t="s">
        <v>53</v>
      </c>
      <c r="AF4" s="7" t="s">
        <v>54</v>
      </c>
      <c r="AG4" s="7" t="s">
        <v>55</v>
      </c>
      <c r="AH4" s="7" t="s">
        <v>56</v>
      </c>
      <c r="AI4" s="7" t="s">
        <v>57</v>
      </c>
      <c r="AJ4" s="7" t="s">
        <v>58</v>
      </c>
      <c r="AK4" s="7" t="s">
        <v>59</v>
      </c>
      <c r="AL4" s="7" t="s">
        <v>60</v>
      </c>
      <c r="AM4" s="7" t="s">
        <v>61</v>
      </c>
      <c r="AN4" s="7" t="s">
        <v>62</v>
      </c>
      <c r="AO4" s="7" t="s">
        <v>63</v>
      </c>
    </row>
    <row r="5" customFormat="false" ht="15" hidden="false" customHeight="false" outlineLevel="0" collapsed="false">
      <c r="A5" s="8" t="s">
        <v>64</v>
      </c>
      <c r="B5" s="8" t="s">
        <v>65</v>
      </c>
      <c r="C5" s="8" t="s">
        <v>66</v>
      </c>
      <c r="D5" s="9" t="n">
        <v>32975</v>
      </c>
      <c r="E5" s="10" t="n">
        <f aca="false">IF(OR(AC5=0,$D5=""),"",DATE(YEAR(AsOfDate)+IF(DATE(YEAR(AsOfDate),MONTH($D5),DAY($D5))&lt;=AsOfDate,1,0),MONTH($D5),DAY($D5)))</f>
        <v>46489</v>
      </c>
      <c r="F5" s="9" t="n">
        <v>44242</v>
      </c>
      <c r="G5" s="9"/>
      <c r="H5" s="9"/>
      <c r="I5" s="9"/>
      <c r="J5" s="10" t="n">
        <f aca="false">IF(AC5=0,"",DATE(YEAR(AsOfDate)+IF(DATE(YEAR(AsOfDate),MONTH($F5),DAY($F5))&lt;=AsOfDate,1,0),MONTH($F5),DAY($F5)))</f>
        <v>46433</v>
      </c>
      <c r="K5" s="11" t="n">
        <f aca="false">IF(AC5=0,"",ROUND((AsOfDate-$F5)/365.25,1))</f>
        <v>5.6</v>
      </c>
      <c r="L5" s="12" t="str">
        <f aca="false">IF(AC5=0,"",IF(AsOfDate&lt;AD5,"-",DATEDIF(AD5,AsOfDate,"y")&amp;"y "&amp;DATEDIF(AD5,AsOfDate,"ym")&amp;"m "&amp;DATEDIF(AD5,AsOfDate,"md")&amp;"d"))</f>
        <v>5y 7m 16d</v>
      </c>
      <c r="M5" s="13" t="n">
        <f aca="false">IF(AC5=0,"",N5*HoursPerDay)</f>
        <v>80</v>
      </c>
      <c r="N5" s="13" t="n">
        <f aca="false">IF(AC5=0,"",AL5)</f>
        <v>10</v>
      </c>
      <c r="O5" s="14"/>
      <c r="P5" s="12" t="str">
        <f aca="false">IF(AC5=0,"",IF(AE5="","",IF($G5&lt;$H5,"Part-Time to Full-Time","Full-Time to Part-Time")&amp;" on "&amp;TEXT(AE5,"dd/mm/yyyy")&amp;IF(AE5&gt;AsOfDate," (future)",IF(AF5=AG5,"",IF(AG5="None"," - STOPPED accruing",IF(AF5="None"," - now qualifying"," - pathway changed"))))))</f>
        <v/>
      </c>
      <c r="Q5" s="12" t="str">
        <f aca="false">IF(AC5=0,"",IF(AG5="None",IF(N5&gt;0,"No longer accruing","Not eligible - "&amp;IF(AND($C5="Part-Time",N($O5)&lt;PT_MinHours,$O5&lt;&gt;""),"under "&amp;PT_MinHours&amp;" hrs",$C5)),IF(N5&gt;0,"Yes - accruing","Not yet - from "&amp;TEXT(R5,"dd/mm/yyyy"))))</f>
        <v>Yes - accruing</v>
      </c>
      <c r="R5" s="10" t="n">
        <f aca="false">IF(AC5=0,"",IF(AG5="None","",EDATE(AD5,AN5)))</f>
        <v>46341</v>
      </c>
      <c r="S5" s="13" t="n">
        <f aca="false">IF(AC5=0,"",IF(NOT(PFY_Ready),"",SUMIFS(INDEX(PFY_Data,0,PFY_ColBal),INDEX(PFY_Data,0,PFY_ColFirst),$A5,INDEX(PFY_Data,0,PFY_ColSur),$B5,INDEX(PFY_Data,0,PFY_ColCat),BonusCat)))</f>
        <v>64</v>
      </c>
      <c r="T5" s="14"/>
      <c r="U5" s="13" t="n">
        <f aca="false">IF(AC5=0,"",IF(NOT(CFY_Ready),"",SUMIFS(INDEX(CFY_Data,0,CFY_ColBal),INDEX(CFY_Data,0,CFY_ColFirst),$A5,INDEX(CFY_Data,0,CFY_ColSur),$B5,INDEX(CFY_Data,0,CFY_ColCat),BonusCat)))</f>
        <v>56</v>
      </c>
      <c r="V5" s="13" t="n">
        <f aca="false">IF(AC5=0,"",IF(OR(NOT(CFY_Ready),CFY_ColAppr=0),"",SUMIFS(INDEX(CFY_Data,0,CFY_ColAppr),INDEX(CFY_Data,0,CFY_ColFirst),$A5,INDEX(CFY_Data,0,CFY_ColSur),$B5,INDEX(CFY_Data,0,CFY_ColCat),BonusCat)))</f>
        <v>8</v>
      </c>
      <c r="W5" s="13" t="n">
        <f aca="false">IF(OR(AC5=0,S5="",U5=""),"",MAX(0,S5+N($T5)-U5))</f>
        <v>8</v>
      </c>
      <c r="X5" s="13" t="n">
        <f aca="false">IF(AC5=0,"",(AL5-AM5)*HoursPerDay)</f>
        <v>8</v>
      </c>
      <c r="Y5" s="13" t="n">
        <f aca="false">IF(AC5=0,"",X5-N($T5))</f>
        <v>8</v>
      </c>
      <c r="Z5" s="12" t="str">
        <f aca="false">IF(AC5=0,"",IF(Y5&gt;0,"Yes","No"))</f>
        <v>Yes</v>
      </c>
      <c r="AA5" s="12" t="str">
        <f aca="false">IF(AC5=0,"",IF(NOT(CFY_Ready),"Paste CFY EH export",IF(Y5&gt;0,"ACCRUE "&amp;TEXT(Y5,"0.##")&amp;" hrs ("&amp;TEXT(Y5/HoursPerDay,"0.##")&amp;" days)"&amp;IF(AO5=0," - no Bonus Leave line in EH yet",""),IF(Y5&lt;0,"CHECK - posted "&amp;TEXT(-Y5,"0.##")&amp;" hrs more than policy",IF(AND(N5&gt;0,AO5=0,U5=0),"CHECK - policy says "&amp;TEXT(M5,"0.##")&amp;" hrs to date but nothing in EH",IF(N5&gt;0,"OK","-"))))))</f>
        <v>ACCRUE 8 hrs (1 days)</v>
      </c>
      <c r="AB5" s="13" t="n">
        <f aca="false">IF(OR(AC5=0,S5=""),"",AM5*HoursPerDay-S5)</f>
        <v>8</v>
      </c>
      <c r="AC5" s="12" t="n">
        <f aca="false">IF(OR(LEN($A5&amp;$B5)=0,$F5=""),0,1)</f>
        <v>1</v>
      </c>
      <c r="AD5" s="10" t="n">
        <f aca="false">IF(AC5=0,"",IF($I5&lt;&gt;"",$I5,$F5))</f>
        <v>44242</v>
      </c>
      <c r="AE5" s="10" t="str">
        <f aca="false">IF(AC5=0,"",IF(AND($G5&lt;&gt;"",$H5&lt;&gt;"",$G5&lt;&gt;$H5),MAX($G5,$H5),""))</f>
        <v/>
      </c>
      <c r="AF5" s="12" t="str">
        <f aca="false">IF(AC5=0,"",IF(AE5="",AG5,IF(IF($G5&lt;$H5,"Part-Time","Full-Time")="Full-Time","FT",IF(AND(IF($G5&lt;$H5,"Part-Time","Full-Time")="Part-Time",OR($O5="",N($O5)&gt;=PT_MinHours)),"PT","None"))))</f>
        <v>FT</v>
      </c>
      <c r="AG5" s="12" t="str">
        <f aca="false">IF(AC5=0,"",IF($C5="Full-Time","FT",IF(AND($C5="Part-Time",OR($O5="",N($O5)&gt;=PT_MinHours)),"PT","None")))</f>
        <v>FT</v>
      </c>
      <c r="AH5" s="12" t="n">
        <f aca="false">IF(AC5=0,"",IF(AsOfDate&lt;AD5,-1,12*(YEAR(AsOfDate)-YEAR(AD5))+MONTH(AsOfDate)-MONTH(AD5)-IF(DAY(AsOfDate)&lt;MIN(DAY(AD5),DAY(EOMONTH(AsOfDate,0))),1,0)))</f>
        <v>67</v>
      </c>
      <c r="AI5" s="12" t="n">
        <f aca="false">IF(AC5=0,"",IF(OR(AE5="",AE5&gt;AsOfDate),AH5,IF((AE5-1)&lt;AD5,-1,12*(YEAR((AE5-1))-YEAR(AD5))+MONTH((AE5-1))-MONTH(AD5)-IF(DAY((AE5-1))&lt;MIN(DAY(AD5),DAY(EOMONTH((AE5-1),0))),1,0))))</f>
        <v>67</v>
      </c>
      <c r="AJ5" s="12" t="n">
        <f aca="false">IF(AC5=0,"",IF(PFYDate&lt;AD5,-1,12*(YEAR(PFYDate)-YEAR(AD5))+MONTH(PFYDate)-MONTH(AD5)-IF(DAY(PFYDate)&lt;MIN(DAY(AD5),DAY(EOMONTH(PFYDate,0))),1,0)))</f>
        <v>64</v>
      </c>
      <c r="AK5" s="12" t="n">
        <f aca="false">IF(AC5=0,"",IF(OR(AE5="",AE5&gt;PFYDate),AJ5,IF((AE5-1)&lt;AD5,-1,12*(YEAR((AE5-1))-YEAR(AD5))+MONTH((AE5-1))-MONTH(AD5)-IF(DAY((AE5-1))&lt;MIN(DAY(AD5),DAY(EOMONTH((AE5-1),0))),1,0))))</f>
        <v>64</v>
      </c>
      <c r="AL5" s="12" t="n">
        <f aca="false">IF(AC5=0,"",IF(AF5="FT",IF(AI5&lt;FT_First,0,IF(AI5&lt;FT_Y5,1+INT((AI5-FT_First)/FT_Int1),FT_PreY5+FT_PerYear*INT((AI5-FT_Y5)/12)+FT_AnnivDays+INT(MOD(AI5-FT_Y5,12)/FT_Int2))),IF(AF5="PT",IF(AI5&lt;PT_First,0,1+INT((AI5-PT_First)/PT_Int)),0))+IF(OR(AE5="",AE5&gt;AsOfDate),0,IF(AG5="FT",IF(AH5&lt;FT_First,0,IF(AH5&lt;FT_Y5,1+INT((AH5-FT_First)/FT_Int1),FT_PreY5+FT_PerYear*INT((AH5-FT_Y5)/12)+FT_AnnivDays+INT(MOD(AH5-FT_Y5,12)/FT_Int2))),IF(AG5="PT",IF(AH5&lt;PT_First,0,1+INT((AH5-PT_First)/PT_Int)),0))-IF(AG5="FT",IF(AI5&lt;FT_First,0,IF(AI5&lt;FT_Y5,1+INT((AI5-FT_First)/FT_Int1),FT_PreY5+FT_PerYear*INT((AI5-FT_Y5)/12)+FT_AnnivDays+INT(MOD(AI5-FT_Y5,12)/FT_Int2))),IF(AG5="PT",IF(AI5&lt;PT_First,0,1+INT((AI5-PT_First)/PT_Int)),0))))</f>
        <v>10</v>
      </c>
      <c r="AM5" s="12" t="n">
        <f aca="false">IF(AC5=0,"",IF(AF5="FT",IF(AK5&lt;FT_First,0,IF(AK5&lt;FT_Y5,1+INT((AK5-FT_First)/FT_Int1),FT_PreY5+FT_PerYear*INT((AK5-FT_Y5)/12)+FT_AnnivDays+INT(MOD(AK5-FT_Y5,12)/FT_Int2))),IF(AF5="PT",IF(AK5&lt;PT_First,0,1+INT((AK5-PT_First)/PT_Int)),0))+IF(OR(AE5="",AE5&gt;PFYDate),0,IF(AG5="FT",IF(AJ5&lt;FT_First,0,IF(AJ5&lt;FT_Y5,1+INT((AJ5-FT_First)/FT_Int1),FT_PreY5+FT_PerYear*INT((AJ5-FT_Y5)/12)+FT_AnnivDays+INT(MOD(AJ5-FT_Y5,12)/FT_Int2))),IF(AG5="PT",IF(AJ5&lt;PT_First,0,1+INT((AJ5-PT_First)/PT_Int)),0))-IF(AG5="FT",IF(AK5&lt;FT_First,0,IF(AK5&lt;FT_Y5,1+INT((AK5-FT_First)/FT_Int1),FT_PreY5+FT_PerYear*INT((AK5-FT_Y5)/12)+FT_AnnivDays+INT(MOD(AK5-FT_Y5,12)/FT_Int2))),IF(AG5="PT",IF(AK5&lt;PT_First,0,1+INT((AK5-PT_First)/PT_Int)),0))))</f>
        <v>9</v>
      </c>
      <c r="AN5" s="12" t="n">
        <f aca="false">IF(AC5=0,"",IF(AG5="FT",IF(AH5&lt;FT_First,FT_First,IF(AH5&lt;FT_Y5,MIN(FT_Y5,FT_First+FT_Int1*(INT((AH5-FT_First)/FT_Int1)+1)),FT_Y5+12*INT((AH5-FT_Y5)/12)+FT_Int2*(INT(MOD(AH5-FT_Y5,12)/FT_Int2)+1))),IF(AG5="PT",IF(AH5&lt;PT_First,PT_First,PT_First+PT_Int*(INT((AH5-PT_First)/PT_Int)+1)),"")))</f>
        <v>69</v>
      </c>
      <c r="AO5" s="12" t="n">
        <f aca="false">IF(AC5=0,"",IF(NOT(CFY_Ready),0,COUNTIFS(INDEX(CFY_Data,0,CFY_ColFirst),$A5,INDEX(CFY_Data,0,CFY_ColSur),$B5,INDEX(CFY_Data,0,CFY_ColCat),BonusCat)))</f>
        <v>1</v>
      </c>
    </row>
    <row r="6" customFormat="false" ht="15" hidden="false" customHeight="false" outlineLevel="0" collapsed="false">
      <c r="A6" s="8" t="s">
        <v>67</v>
      </c>
      <c r="B6" s="8" t="s">
        <v>68</v>
      </c>
      <c r="C6" s="8" t="s">
        <v>69</v>
      </c>
      <c r="D6" s="9" t="n">
        <v>31381</v>
      </c>
      <c r="E6" s="10" t="n">
        <f aca="false">IF(OR(AC6=0,$D6=""),"",DATE(YEAR(AsOfDate)+IF(DATE(YEAR(AsOfDate),MONTH($D6),DAY($D6))&lt;=AsOfDate,1,0),MONTH($D6),DAY($D6)))</f>
        <v>46356</v>
      </c>
      <c r="F6" s="9" t="n">
        <v>43983</v>
      </c>
      <c r="G6" s="9" t="n">
        <v>43983</v>
      </c>
      <c r="H6" s="9"/>
      <c r="I6" s="9"/>
      <c r="J6" s="10" t="n">
        <f aca="false">IF(AC6=0,"",DATE(YEAR(AsOfDate)+IF(DATE(YEAR(AsOfDate),MONTH($F6),DAY($F6))&lt;=AsOfDate,1,0),MONTH($F6),DAY($F6)))</f>
        <v>46539</v>
      </c>
      <c r="K6" s="11" t="n">
        <f aca="false">IF(AC6=0,"",ROUND((AsOfDate-$F6)/365.25,1))</f>
        <v>6.3</v>
      </c>
      <c r="L6" s="12" t="str">
        <f aca="false">IF(AC6=0,"",IF(AsOfDate&lt;AD6,"-",DATEDIF(AD6,AsOfDate,"y")&amp;"y "&amp;DATEDIF(AD6,AsOfDate,"ym")&amp;"m "&amp;DATEDIF(AD6,AsOfDate,"md")&amp;"d"))</f>
        <v>6y 4m 0d</v>
      </c>
      <c r="M6" s="13" t="n">
        <f aca="false">IF(AC6=0,"",N6*HoursPerDay)</f>
        <v>40</v>
      </c>
      <c r="N6" s="13" t="n">
        <f aca="false">IF(AC6=0,"",AL6)</f>
        <v>5</v>
      </c>
      <c r="O6" s="14" t="n">
        <v>24</v>
      </c>
      <c r="P6" s="12" t="str">
        <f aca="false">IF(AC6=0,"",IF(AE6="","",IF($G6&lt;$H6,"Part-Time to Full-Time","Full-Time to Part-Time")&amp;" on "&amp;TEXT(AE6,"dd/mm/yyyy")&amp;IF(AE6&gt;AsOfDate," (future)",IF(AF6=AG6,"",IF(AG6="None"," - STOPPED accruing",IF(AF6="None"," - now qualifying"," - pathway changed"))))))</f>
        <v/>
      </c>
      <c r="Q6" s="12" t="str">
        <f aca="false">IF(AC6=0,"",IF(AG6="None",IF(N6&gt;0,"No longer accruing","Not eligible - "&amp;IF(AND($C6="Part-Time",N($O6)&lt;PT_MinHours,$O6&lt;&gt;""),"under "&amp;PT_MinHours&amp;" hrs",$C6)),IF(N6&gt;0,"Yes - accruing","Not yet - from "&amp;TEXT(R6,"dd/mm/yyyy"))))</f>
        <v>Yes - accruing</v>
      </c>
      <c r="R6" s="10" t="n">
        <f aca="false">IF(AC6=0,"",IF(AG6="None","",EDATE(AD6,AN6)))</f>
        <v>46419</v>
      </c>
      <c r="S6" s="13" t="n">
        <f aca="false">IF(AC6=0,"",IF(NOT(PFY_Ready),"",SUMIFS(INDEX(PFY_Data,0,PFY_ColBal),INDEX(PFY_Data,0,PFY_ColFirst),$A6,INDEX(PFY_Data,0,PFY_ColSur),$B6,INDEX(PFY_Data,0,PFY_ColCat),BonusCat)))</f>
        <v>32</v>
      </c>
      <c r="T6" s="14"/>
      <c r="U6" s="13" t="n">
        <f aca="false">IF(AC6=0,"",IF(NOT(CFY_Ready),"",SUMIFS(INDEX(CFY_Data,0,CFY_ColBal),INDEX(CFY_Data,0,CFY_ColFirst),$A6,INDEX(CFY_Data,0,CFY_ColSur),$B6,INDEX(CFY_Data,0,CFY_ColCat),BonusCat)))</f>
        <v>32</v>
      </c>
      <c r="V6" s="13" t="n">
        <f aca="false">IF(AC6=0,"",IF(OR(NOT(CFY_Ready),CFY_ColAppr=0),"",SUMIFS(INDEX(CFY_Data,0,CFY_ColAppr),INDEX(CFY_Data,0,CFY_ColFirst),$A6,INDEX(CFY_Data,0,CFY_ColSur),$B6,INDEX(CFY_Data,0,CFY_ColCat),BonusCat)))</f>
        <v>0</v>
      </c>
      <c r="W6" s="13" t="n">
        <f aca="false">IF(OR(AC6=0,S6="",U6=""),"",MAX(0,S6+N($T6)-U6))</f>
        <v>0</v>
      </c>
      <c r="X6" s="13" t="n">
        <f aca="false">IF(AC6=0,"",(AL6-AM6)*HoursPerDay)</f>
        <v>8</v>
      </c>
      <c r="Y6" s="13" t="n">
        <f aca="false">IF(AC6=0,"",X6-N($T6))</f>
        <v>8</v>
      </c>
      <c r="Z6" s="12" t="str">
        <f aca="false">IF(AC6=0,"",IF(Y6&gt;0,"Yes","No"))</f>
        <v>Yes</v>
      </c>
      <c r="AA6" s="12" t="str">
        <f aca="false">IF(AC6=0,"",IF(NOT(CFY_Ready),"Paste CFY EH export",IF(Y6&gt;0,"ACCRUE "&amp;TEXT(Y6,"0.##")&amp;" hrs ("&amp;TEXT(Y6/HoursPerDay,"0.##")&amp;" days)"&amp;IF(AO6=0," - no Bonus Leave line in EH yet",""),IF(Y6&lt;0,"CHECK - posted "&amp;TEXT(-Y6,"0.##")&amp;" hrs more than policy",IF(AND(N6&gt;0,AO6=0,U6=0),"CHECK - policy says "&amp;TEXT(M6,"0.##")&amp;" hrs to date but nothing in EH",IF(N6&gt;0,"OK","-"))))))</f>
        <v>ACCRUE 8 hrs (1 days)</v>
      </c>
      <c r="AB6" s="13" t="n">
        <f aca="false">IF(OR(AC6=0,S6=""),"",AM6*HoursPerDay-S6)</f>
        <v>0</v>
      </c>
      <c r="AC6" s="12" t="n">
        <f aca="false">IF(OR(LEN($A6&amp;$B6)=0,$F6=""),0,1)</f>
        <v>1</v>
      </c>
      <c r="AD6" s="10" t="n">
        <f aca="false">IF(AC6=0,"",IF($I6&lt;&gt;"",$I6,$F6))</f>
        <v>43983</v>
      </c>
      <c r="AE6" s="10" t="str">
        <f aca="false">IF(AC6=0,"",IF(AND($G6&lt;&gt;"",$H6&lt;&gt;"",$G6&lt;&gt;$H6),MAX($G6,$H6),""))</f>
        <v/>
      </c>
      <c r="AF6" s="12" t="str">
        <f aca="false">IF(AC6=0,"",IF(AE6="",AG6,IF(IF($G6&lt;$H6,"Part-Time","Full-Time")="Full-Time","FT",IF(AND(IF($G6&lt;$H6,"Part-Time","Full-Time")="Part-Time",OR($O6="",N($O6)&gt;=PT_MinHours)),"PT","None"))))</f>
        <v>PT</v>
      </c>
      <c r="AG6" s="12" t="str">
        <f aca="false">IF(AC6=0,"",IF($C6="Full-Time","FT",IF(AND($C6="Part-Time",OR($O6="",N($O6)&gt;=PT_MinHours)),"PT","None")))</f>
        <v>PT</v>
      </c>
      <c r="AH6" s="12" t="n">
        <f aca="false">IF(AC6=0,"",IF(AsOfDate&lt;AD6,-1,12*(YEAR(AsOfDate)-YEAR(AD6))+MONTH(AsOfDate)-MONTH(AD6)-IF(DAY(AsOfDate)&lt;MIN(DAY(AD6),DAY(EOMONTH(AsOfDate,0))),1,0)))</f>
        <v>76</v>
      </c>
      <c r="AI6" s="12" t="n">
        <f aca="false">IF(AC6=0,"",IF(OR(AE6="",AE6&gt;AsOfDate),AH6,IF((AE6-1)&lt;AD6,-1,12*(YEAR((AE6-1))-YEAR(AD6))+MONTH((AE6-1))-MONTH(AD6)-IF(DAY((AE6-1))&lt;MIN(DAY(AD6),DAY(EOMONTH((AE6-1),0))),1,0))))</f>
        <v>76</v>
      </c>
      <c r="AJ6" s="12" t="n">
        <f aca="false">IF(AC6=0,"",IF(PFYDate&lt;AD6,-1,12*(YEAR(PFYDate)-YEAR(AD6))+MONTH(PFYDate)-MONTH(AD6)-IF(DAY(PFYDate)&lt;MIN(DAY(AD6),DAY(EOMONTH(PFYDate,0))),1,0)))</f>
        <v>72</v>
      </c>
      <c r="AK6" s="12" t="n">
        <f aca="false">IF(AC6=0,"",IF(OR(AE6="",AE6&gt;PFYDate),AJ6,IF((AE6-1)&lt;AD6,-1,12*(YEAR((AE6-1))-YEAR(AD6))+MONTH((AE6-1))-MONTH(AD6)-IF(DAY((AE6-1))&lt;MIN(DAY(AD6),DAY(EOMONTH((AE6-1),0))),1,0))))</f>
        <v>72</v>
      </c>
      <c r="AL6" s="12" t="n">
        <f aca="false">IF(AC6=0,"",IF(AF6="FT",IF(AI6&lt;FT_First,0,IF(AI6&lt;FT_Y5,1+INT((AI6-FT_First)/FT_Int1),FT_PreY5+FT_PerYear*INT((AI6-FT_Y5)/12)+FT_AnnivDays+INT(MOD(AI6-FT_Y5,12)/FT_Int2))),IF(AF6="PT",IF(AI6&lt;PT_First,0,1+INT((AI6-PT_First)/PT_Int)),0))+IF(OR(AE6="",AE6&gt;AsOfDate),0,IF(AG6="FT",IF(AH6&lt;FT_First,0,IF(AH6&lt;FT_Y5,1+INT((AH6-FT_First)/FT_Int1),FT_PreY5+FT_PerYear*INT((AH6-FT_Y5)/12)+FT_AnnivDays+INT(MOD(AH6-FT_Y5,12)/FT_Int2))),IF(AG6="PT",IF(AH6&lt;PT_First,0,1+INT((AH6-PT_First)/PT_Int)),0))-IF(AG6="FT",IF(AI6&lt;FT_First,0,IF(AI6&lt;FT_Y5,1+INT((AI6-FT_First)/FT_Int1),FT_PreY5+FT_PerYear*INT((AI6-FT_Y5)/12)+FT_AnnivDays+INT(MOD(AI6-FT_Y5,12)/FT_Int2))),IF(AG6="PT",IF(AI6&lt;PT_First,0,1+INT((AI6-PT_First)/PT_Int)),0))))</f>
        <v>5</v>
      </c>
      <c r="AM6" s="12" t="n">
        <f aca="false">IF(AC6=0,"",IF(AF6="FT",IF(AK6&lt;FT_First,0,IF(AK6&lt;FT_Y5,1+INT((AK6-FT_First)/FT_Int1),FT_PreY5+FT_PerYear*INT((AK6-FT_Y5)/12)+FT_AnnivDays+INT(MOD(AK6-FT_Y5,12)/FT_Int2))),IF(AF6="PT",IF(AK6&lt;PT_First,0,1+INT((AK6-PT_First)/PT_Int)),0))+IF(OR(AE6="",AE6&gt;PFYDate),0,IF(AG6="FT",IF(AJ6&lt;FT_First,0,IF(AJ6&lt;FT_Y5,1+INT((AJ6-FT_First)/FT_Int1),FT_PreY5+FT_PerYear*INT((AJ6-FT_Y5)/12)+FT_AnnivDays+INT(MOD(AJ6-FT_Y5,12)/FT_Int2))),IF(AG6="PT",IF(AJ6&lt;PT_First,0,1+INT((AJ6-PT_First)/PT_Int)),0))-IF(AG6="FT",IF(AK6&lt;FT_First,0,IF(AK6&lt;FT_Y5,1+INT((AK6-FT_First)/FT_Int1),FT_PreY5+FT_PerYear*INT((AK6-FT_Y5)/12)+FT_AnnivDays+INT(MOD(AK6-FT_Y5,12)/FT_Int2))),IF(AG6="PT",IF(AK6&lt;PT_First,0,1+INT((AK6-PT_First)/PT_Int)),0))))</f>
        <v>4</v>
      </c>
      <c r="AN6" s="12" t="n">
        <f aca="false">IF(AC6=0,"",IF(AG6="FT",IF(AH6&lt;FT_First,FT_First,IF(AH6&lt;FT_Y5,MIN(FT_Y5,FT_First+FT_Int1*(INT((AH6-FT_First)/FT_Int1)+1)),FT_Y5+12*INT((AH6-FT_Y5)/12)+FT_Int2*(INT(MOD(AH6-FT_Y5,12)/FT_Int2)+1))),IF(AG6="PT",IF(AH6&lt;PT_First,PT_First,PT_First+PT_Int*(INT((AH6-PT_First)/PT_Int)+1)),"")))</f>
        <v>80</v>
      </c>
      <c r="AO6" s="12" t="n">
        <f aca="false">IF(AC6=0,"",IF(NOT(CFY_Ready),0,COUNTIFS(INDEX(CFY_Data,0,CFY_ColFirst),$A6,INDEX(CFY_Data,0,CFY_ColSur),$B6,INDEX(CFY_Data,0,CFY_ColCat),BonusCat)))</f>
        <v>1</v>
      </c>
    </row>
    <row r="7" customFormat="false" ht="15" hidden="false" customHeight="false" outlineLevel="0" collapsed="false">
      <c r="A7" s="8" t="s">
        <v>70</v>
      </c>
      <c r="B7" s="8" t="s">
        <v>71</v>
      </c>
      <c r="C7" s="8" t="s">
        <v>72</v>
      </c>
      <c r="D7" s="9" t="n">
        <v>36545</v>
      </c>
      <c r="E7" s="10" t="n">
        <f aca="false">IF(OR(AC7=0,$D7=""),"",DATE(YEAR(AsOfDate)+IF(DATE(YEAR(AsOfDate),MONTH($D7),DAY($D7))&lt;=AsOfDate,1,0),MONTH($D7),DAY($D7)))</f>
        <v>46407</v>
      </c>
      <c r="F7" s="9" t="n">
        <v>43528</v>
      </c>
      <c r="G7" s="9"/>
      <c r="H7" s="9"/>
      <c r="I7" s="9"/>
      <c r="J7" s="10" t="n">
        <f aca="false">IF(AC7=0,"",DATE(YEAR(AsOfDate)+IF(DATE(YEAR(AsOfDate),MONTH($F7),DAY($F7))&lt;=AsOfDate,1,0),MONTH($F7),DAY($F7)))</f>
        <v>46450</v>
      </c>
      <c r="K7" s="11" t="n">
        <f aca="false">IF(AC7=0,"",ROUND((AsOfDate-$F7)/365.25,1))</f>
        <v>7.6</v>
      </c>
      <c r="L7" s="12" t="str">
        <f aca="false">IF(AC7=0,"",IF(AsOfDate&lt;AD7,"-",DATEDIF(AD7,AsOfDate,"y")&amp;"y "&amp;DATEDIF(AD7,AsOfDate,"ym")&amp;"m "&amp;DATEDIF(AD7,AsOfDate,"md")&amp;"d"))</f>
        <v>7y 6m 27d</v>
      </c>
      <c r="M7" s="13" t="n">
        <f aca="false">IF(AC7=0,"",N7*HoursPerDay)</f>
        <v>0</v>
      </c>
      <c r="N7" s="13" t="n">
        <f aca="false">IF(AC7=0,"",AL7)</f>
        <v>0</v>
      </c>
      <c r="O7" s="14"/>
      <c r="P7" s="12" t="str">
        <f aca="false">IF(AC7=0,"",IF(AE7="","",IF($G7&lt;$H7,"Part-Time to Full-Time","Full-Time to Part-Time")&amp;" on "&amp;TEXT(AE7,"dd/mm/yyyy")&amp;IF(AE7&gt;AsOfDate," (future)",IF(AF7=AG7,"",IF(AG7="None"," - STOPPED accruing",IF(AF7="None"," - now qualifying"," - pathway changed"))))))</f>
        <v/>
      </c>
      <c r="Q7" s="12" t="str">
        <f aca="false">IF(AC7=0,"",IF(AG7="None",IF(N7&gt;0,"No longer accruing","Not eligible - "&amp;IF(AND($C7="Part-Time",N($O7)&lt;PT_MinHours,$O7&lt;&gt;""),"under "&amp;PT_MinHours&amp;" hrs",$C7)),IF(N7&gt;0,"Yes - accruing","Not yet - from "&amp;TEXT(R7,"dd/mm/yyyy"))))</f>
        <v>Not eligible - Casual</v>
      </c>
      <c r="R7" s="10" t="str">
        <f aca="false">IF(AC7=0,"",IF(AG7="None","",EDATE(AD7,AN7)))</f>
        <v/>
      </c>
      <c r="S7" s="13" t="n">
        <f aca="false">IF(AC7=0,"",IF(NOT(PFY_Ready),"",SUMIFS(INDEX(PFY_Data,0,PFY_ColBal),INDEX(PFY_Data,0,PFY_ColFirst),$A7,INDEX(PFY_Data,0,PFY_ColSur),$B7,INDEX(PFY_Data,0,PFY_ColCat),BonusCat)))</f>
        <v>0</v>
      </c>
      <c r="T7" s="14"/>
      <c r="U7" s="13" t="n">
        <f aca="false">IF(AC7=0,"",IF(NOT(CFY_Ready),"",SUMIFS(INDEX(CFY_Data,0,CFY_ColBal),INDEX(CFY_Data,0,CFY_ColFirst),$A7,INDEX(CFY_Data,0,CFY_ColSur),$B7,INDEX(CFY_Data,0,CFY_ColCat),BonusCat)))</f>
        <v>0</v>
      </c>
      <c r="V7" s="13" t="n">
        <f aca="false">IF(AC7=0,"",IF(OR(NOT(CFY_Ready),CFY_ColAppr=0),"",SUMIFS(INDEX(CFY_Data,0,CFY_ColAppr),INDEX(CFY_Data,0,CFY_ColFirst),$A7,INDEX(CFY_Data,0,CFY_ColSur),$B7,INDEX(CFY_Data,0,CFY_ColCat),BonusCat)))</f>
        <v>0</v>
      </c>
      <c r="W7" s="13" t="n">
        <f aca="false">IF(OR(AC7=0,S7="",U7=""),"",MAX(0,S7+N($T7)-U7))</f>
        <v>0</v>
      </c>
      <c r="X7" s="13" t="n">
        <f aca="false">IF(AC7=0,"",(AL7-AM7)*HoursPerDay)</f>
        <v>0</v>
      </c>
      <c r="Y7" s="13" t="n">
        <f aca="false">IF(AC7=0,"",X7-N($T7))</f>
        <v>0</v>
      </c>
      <c r="Z7" s="12" t="str">
        <f aca="false">IF(AC7=0,"",IF(Y7&gt;0,"Yes","No"))</f>
        <v>No</v>
      </c>
      <c r="AA7" s="12" t="str">
        <f aca="false">IF(AC7=0,"",IF(NOT(CFY_Ready),"Paste CFY EH export",IF(Y7&gt;0,"ACCRUE "&amp;TEXT(Y7,"0.##")&amp;" hrs ("&amp;TEXT(Y7/HoursPerDay,"0.##")&amp;" days)"&amp;IF(AO7=0," - no Bonus Leave line in EH yet",""),IF(Y7&lt;0,"CHECK - posted "&amp;TEXT(-Y7,"0.##")&amp;" hrs more than policy",IF(AND(N7&gt;0,AO7=0,U7=0),"CHECK - policy says "&amp;TEXT(M7,"0.##")&amp;" hrs to date but nothing in EH",IF(N7&gt;0,"OK","-"))))))</f>
        <v>-</v>
      </c>
      <c r="AB7" s="13" t="n">
        <f aca="false">IF(OR(AC7=0,S7=""),"",AM7*HoursPerDay-S7)</f>
        <v>0</v>
      </c>
      <c r="AC7" s="12" t="n">
        <f aca="false">IF(OR(LEN($A7&amp;$B7)=0,$F7=""),0,1)</f>
        <v>1</v>
      </c>
      <c r="AD7" s="10" t="n">
        <f aca="false">IF(AC7=0,"",IF($I7&lt;&gt;"",$I7,$F7))</f>
        <v>43528</v>
      </c>
      <c r="AE7" s="10" t="str">
        <f aca="false">IF(AC7=0,"",IF(AND($G7&lt;&gt;"",$H7&lt;&gt;"",$G7&lt;&gt;$H7),MAX($G7,$H7),""))</f>
        <v/>
      </c>
      <c r="AF7" s="12" t="str">
        <f aca="false">IF(AC7=0,"",IF(AE7="",AG7,IF(IF($G7&lt;$H7,"Part-Time","Full-Time")="Full-Time","FT",IF(AND(IF($G7&lt;$H7,"Part-Time","Full-Time")="Part-Time",OR($O7="",N($O7)&gt;=PT_MinHours)),"PT","None"))))</f>
        <v>None</v>
      </c>
      <c r="AG7" s="12" t="str">
        <f aca="false">IF(AC7=0,"",IF($C7="Full-Time","FT",IF(AND($C7="Part-Time",OR($O7="",N($O7)&gt;=PT_MinHours)),"PT","None")))</f>
        <v>None</v>
      </c>
      <c r="AH7" s="12" t="n">
        <f aca="false">IF(AC7=0,"",IF(AsOfDate&lt;AD7,-1,12*(YEAR(AsOfDate)-YEAR(AD7))+MONTH(AsOfDate)-MONTH(AD7)-IF(DAY(AsOfDate)&lt;MIN(DAY(AD7),DAY(EOMONTH(AsOfDate,0))),1,0)))</f>
        <v>90</v>
      </c>
      <c r="AI7" s="12" t="n">
        <f aca="false">IF(AC7=0,"",IF(OR(AE7="",AE7&gt;AsOfDate),AH7,IF((AE7-1)&lt;AD7,-1,12*(YEAR((AE7-1))-YEAR(AD7))+MONTH((AE7-1))-MONTH(AD7)-IF(DAY((AE7-1))&lt;MIN(DAY(AD7),DAY(EOMONTH((AE7-1),0))),1,0))))</f>
        <v>90</v>
      </c>
      <c r="AJ7" s="12" t="n">
        <f aca="false">IF(AC7=0,"",IF(PFYDate&lt;AD7,-1,12*(YEAR(PFYDate)-YEAR(AD7))+MONTH(PFYDate)-MONTH(AD7)-IF(DAY(PFYDate)&lt;MIN(DAY(AD7),DAY(EOMONTH(PFYDate,0))),1,0)))</f>
        <v>87</v>
      </c>
      <c r="AK7" s="12" t="n">
        <f aca="false">IF(AC7=0,"",IF(OR(AE7="",AE7&gt;PFYDate),AJ7,IF((AE7-1)&lt;AD7,-1,12*(YEAR((AE7-1))-YEAR(AD7))+MONTH((AE7-1))-MONTH(AD7)-IF(DAY((AE7-1))&lt;MIN(DAY(AD7),DAY(EOMONTH((AE7-1),0))),1,0))))</f>
        <v>87</v>
      </c>
      <c r="AL7" s="12" t="n">
        <f aca="false">IF(AC7=0,"",IF(AF7="FT",IF(AI7&lt;FT_First,0,IF(AI7&lt;FT_Y5,1+INT((AI7-FT_First)/FT_Int1),FT_PreY5+FT_PerYear*INT((AI7-FT_Y5)/12)+FT_AnnivDays+INT(MOD(AI7-FT_Y5,12)/FT_Int2))),IF(AF7="PT",IF(AI7&lt;PT_First,0,1+INT((AI7-PT_First)/PT_Int)),0))+IF(OR(AE7="",AE7&gt;AsOfDate),0,IF(AG7="FT",IF(AH7&lt;FT_First,0,IF(AH7&lt;FT_Y5,1+INT((AH7-FT_First)/FT_Int1),FT_PreY5+FT_PerYear*INT((AH7-FT_Y5)/12)+FT_AnnivDays+INT(MOD(AH7-FT_Y5,12)/FT_Int2))),IF(AG7="PT",IF(AH7&lt;PT_First,0,1+INT((AH7-PT_First)/PT_Int)),0))-IF(AG7="FT",IF(AI7&lt;FT_First,0,IF(AI7&lt;FT_Y5,1+INT((AI7-FT_First)/FT_Int1),FT_PreY5+FT_PerYear*INT((AI7-FT_Y5)/12)+FT_AnnivDays+INT(MOD(AI7-FT_Y5,12)/FT_Int2))),IF(AG7="PT",IF(AI7&lt;PT_First,0,1+INT((AI7-PT_First)/PT_Int)),0))))</f>
        <v>0</v>
      </c>
      <c r="AM7" s="12" t="n">
        <f aca="false">IF(AC7=0,"",IF(AF7="FT",IF(AK7&lt;FT_First,0,IF(AK7&lt;FT_Y5,1+INT((AK7-FT_First)/FT_Int1),FT_PreY5+FT_PerYear*INT((AK7-FT_Y5)/12)+FT_AnnivDays+INT(MOD(AK7-FT_Y5,12)/FT_Int2))),IF(AF7="PT",IF(AK7&lt;PT_First,0,1+INT((AK7-PT_First)/PT_Int)),0))+IF(OR(AE7="",AE7&gt;PFYDate),0,IF(AG7="FT",IF(AJ7&lt;FT_First,0,IF(AJ7&lt;FT_Y5,1+INT((AJ7-FT_First)/FT_Int1),FT_PreY5+FT_PerYear*INT((AJ7-FT_Y5)/12)+FT_AnnivDays+INT(MOD(AJ7-FT_Y5,12)/FT_Int2))),IF(AG7="PT",IF(AJ7&lt;PT_First,0,1+INT((AJ7-PT_First)/PT_Int)),0))-IF(AG7="FT",IF(AK7&lt;FT_First,0,IF(AK7&lt;FT_Y5,1+INT((AK7-FT_First)/FT_Int1),FT_PreY5+FT_PerYear*INT((AK7-FT_Y5)/12)+FT_AnnivDays+INT(MOD(AK7-FT_Y5,12)/FT_Int2))),IF(AG7="PT",IF(AK7&lt;PT_First,0,1+INT((AK7-PT_First)/PT_Int)),0))))</f>
        <v>0</v>
      </c>
      <c r="AN7" s="12" t="str">
        <f aca="false">IF(AC7=0,"",IF(AG7="FT",IF(AH7&lt;FT_First,FT_First,IF(AH7&lt;FT_Y5,MIN(FT_Y5,FT_First+FT_Int1*(INT((AH7-FT_First)/FT_Int1)+1)),FT_Y5+12*INT((AH7-FT_Y5)/12)+FT_Int2*(INT(MOD(AH7-FT_Y5,12)/FT_Int2)+1))),IF(AG7="PT",IF(AH7&lt;PT_First,PT_First,PT_First+PT_Int*(INT((AH7-PT_First)/PT_Int)+1)),"")))</f>
        <v/>
      </c>
      <c r="AO7" s="12" t="n">
        <f aca="false">IF(AC7=0,"",IF(NOT(CFY_Ready),0,COUNTIFS(INDEX(CFY_Data,0,CFY_ColFirst),$A7,INDEX(CFY_Data,0,CFY_ColSur),$B7,INDEX(CFY_Data,0,CFY_ColCat),BonusCat)))</f>
        <v>0</v>
      </c>
    </row>
    <row r="8" customFormat="false" ht="15" hidden="false" customHeight="false" outlineLevel="0" collapsed="false">
      <c r="A8" s="8" t="s">
        <v>73</v>
      </c>
      <c r="B8" s="8" t="s">
        <v>74</v>
      </c>
      <c r="C8" s="8" t="s">
        <v>69</v>
      </c>
      <c r="D8" s="9" t="n">
        <v>33793</v>
      </c>
      <c r="E8" s="10" t="n">
        <f aca="false">IF(OR(AC8=0,$D8=""),"",DATE(YEAR(AsOfDate)+IF(DATE(YEAR(AsOfDate),MONTH($D8),DAY($D8))&lt;=AsOfDate,1,0),MONTH($D8),DAY($D8)))</f>
        <v>46576</v>
      </c>
      <c r="F8" s="9" t="n">
        <v>44621</v>
      </c>
      <c r="G8" s="9" t="n">
        <v>45839</v>
      </c>
      <c r="H8" s="9" t="n">
        <v>44621</v>
      </c>
      <c r="I8" s="9"/>
      <c r="J8" s="10" t="n">
        <f aca="false">IF(AC8=0,"",DATE(YEAR(AsOfDate)+IF(DATE(YEAR(AsOfDate),MONTH($F8),DAY($F8))&lt;=AsOfDate,1,0),MONTH($F8),DAY($F8)))</f>
        <v>46447</v>
      </c>
      <c r="K8" s="11" t="n">
        <f aca="false">IF(AC8=0,"",ROUND((AsOfDate-$F8)/365.25,1))</f>
        <v>4.6</v>
      </c>
      <c r="L8" s="12" t="str">
        <f aca="false">IF(AC8=0,"",IF(AsOfDate&lt;AD8,"-",DATEDIF(AD8,AsOfDate,"y")&amp;"y "&amp;DATEDIF(AD8,AsOfDate,"ym")&amp;"m "&amp;DATEDIF(AD8,AsOfDate,"md")&amp;"d"))</f>
        <v>4y 7m 0d</v>
      </c>
      <c r="M8" s="13" t="n">
        <f aca="false">IF(AC8=0,"",N8*HoursPerDay)</f>
        <v>8</v>
      </c>
      <c r="N8" s="13" t="n">
        <f aca="false">IF(AC8=0,"",AL8)</f>
        <v>1</v>
      </c>
      <c r="O8" s="14" t="n">
        <v>20</v>
      </c>
      <c r="P8" s="12" t="str">
        <f aca="false">IF(AC8=0,"",IF(AE8="","",IF($G8&lt;$H8,"Part-Time to Full-Time","Full-Time to Part-Time")&amp;" on "&amp;TEXT(AE8,"dd/mm/yyyy")&amp;IF(AE8&gt;AsOfDate," (future)",IF(AF8=AG8,"",IF(AG8="None"," - STOPPED accruing",IF(AF8="None"," - now qualifying"," - pathway changed"))))))</f>
        <v>Full-Time to Part-Time on 01/07/2025 - STOPPED accruing</v>
      </c>
      <c r="Q8" s="12" t="str">
        <f aca="false">IF(AC8=0,"",IF(AG8="None",IF(N8&gt;0,"No longer accruing","Not eligible - "&amp;IF(AND($C8="Part-Time",N($O8)&lt;PT_MinHours,$O8&lt;&gt;""),"under "&amp;PT_MinHours&amp;" hrs",$C8)),IF(N8&gt;0,"Yes - accruing","Not yet - from "&amp;TEXT(R8,"dd/mm/yyyy"))))</f>
        <v>No longer accruing</v>
      </c>
      <c r="R8" s="10" t="str">
        <f aca="false">IF(AC8=0,"",IF(AG8="None","",EDATE(AD8,AN8)))</f>
        <v/>
      </c>
      <c r="S8" s="13" t="n">
        <f aca="false">IF(AC8=0,"",IF(NOT(PFY_Ready),"",SUMIFS(INDEX(PFY_Data,0,PFY_ColBal),INDEX(PFY_Data,0,PFY_ColFirst),$A8,INDEX(PFY_Data,0,PFY_ColSur),$B8,INDEX(PFY_Data,0,PFY_ColCat),BonusCat)))</f>
        <v>8</v>
      </c>
      <c r="T8" s="14"/>
      <c r="U8" s="13" t="n">
        <f aca="false">IF(AC8=0,"",IF(NOT(CFY_Ready),"",SUMIFS(INDEX(CFY_Data,0,CFY_ColBal),INDEX(CFY_Data,0,CFY_ColFirst),$A8,INDEX(CFY_Data,0,CFY_ColSur),$B8,INDEX(CFY_Data,0,CFY_ColCat),BonusCat)))</f>
        <v>0</v>
      </c>
      <c r="V8" s="13" t="n">
        <f aca="false">IF(AC8=0,"",IF(OR(NOT(CFY_Ready),CFY_ColAppr=0),"",SUMIFS(INDEX(CFY_Data,0,CFY_ColAppr),INDEX(CFY_Data,0,CFY_ColFirst),$A8,INDEX(CFY_Data,0,CFY_ColSur),$B8,INDEX(CFY_Data,0,CFY_ColCat),BonusCat)))</f>
        <v>0</v>
      </c>
      <c r="W8" s="13" t="n">
        <f aca="false">IF(OR(AC8=0,S8="",U8=""),"",MAX(0,S8+N($T8)-U8))</f>
        <v>8</v>
      </c>
      <c r="X8" s="13" t="n">
        <f aca="false">IF(AC8=0,"",(AL8-AM8)*HoursPerDay)</f>
        <v>0</v>
      </c>
      <c r="Y8" s="13" t="n">
        <f aca="false">IF(AC8=0,"",X8-N($T8))</f>
        <v>0</v>
      </c>
      <c r="Z8" s="12" t="str">
        <f aca="false">IF(AC8=0,"",IF(Y8&gt;0,"Yes","No"))</f>
        <v>No</v>
      </c>
      <c r="AA8" s="12" t="str">
        <f aca="false">IF(AC8=0,"",IF(NOT(CFY_Ready),"Paste CFY EH export",IF(Y8&gt;0,"ACCRUE "&amp;TEXT(Y8,"0.##")&amp;" hrs ("&amp;TEXT(Y8/HoursPerDay,"0.##")&amp;" days)"&amp;IF(AO8=0," - no Bonus Leave line in EH yet",""),IF(Y8&lt;0,"CHECK - posted "&amp;TEXT(-Y8,"0.##")&amp;" hrs more than policy",IF(AND(N8&gt;0,AO8=0,U8=0),"CHECK - policy says "&amp;TEXT(M8,"0.##")&amp;" hrs to date but nothing in EH",IF(N8&gt;0,"OK","-"))))))</f>
        <v>OK</v>
      </c>
      <c r="AB8" s="13" t="n">
        <f aca="false">IF(OR(AC8=0,S8=""),"",AM8*HoursPerDay-S8)</f>
        <v>0</v>
      </c>
      <c r="AC8" s="12" t="n">
        <f aca="false">IF(OR(LEN($A8&amp;$B8)=0,$F8=""),0,1)</f>
        <v>1</v>
      </c>
      <c r="AD8" s="10" t="n">
        <f aca="false">IF(AC8=0,"",IF($I8&lt;&gt;"",$I8,$F8))</f>
        <v>44621</v>
      </c>
      <c r="AE8" s="10" t="n">
        <f aca="false">IF(AC8=0,"",IF(AND($G8&lt;&gt;"",$H8&lt;&gt;"",$G8&lt;&gt;$H8),MAX($G8,$H8),""))</f>
        <v>45839</v>
      </c>
      <c r="AF8" s="12" t="str">
        <f aca="false">IF(AC8=0,"",IF(AE8="",AG8,IF(IF($G8&lt;$H8,"Part-Time","Full-Time")="Full-Time","FT",IF(AND(IF($G8&lt;$H8,"Part-Time","Full-Time")="Part-Time",OR($O8="",N($O8)&gt;=PT_MinHours)),"PT","None"))))</f>
        <v>FT</v>
      </c>
      <c r="AG8" s="12" t="str">
        <f aca="false">IF(AC8=0,"",IF($C8="Full-Time","FT",IF(AND($C8="Part-Time",OR($O8="",N($O8)&gt;=PT_MinHours)),"PT","None")))</f>
        <v>None</v>
      </c>
      <c r="AH8" s="12" t="n">
        <f aca="false">IF(AC8=0,"",IF(AsOfDate&lt;AD8,-1,12*(YEAR(AsOfDate)-YEAR(AD8))+MONTH(AsOfDate)-MONTH(AD8)-IF(DAY(AsOfDate)&lt;MIN(DAY(AD8),DAY(EOMONTH(AsOfDate,0))),1,0)))</f>
        <v>55</v>
      </c>
      <c r="AI8" s="12" t="n">
        <f aca="false">IF(AC8=0,"",IF(OR(AE8="",AE8&gt;AsOfDate),AH8,IF((AE8-1)&lt;AD8,-1,12*(YEAR((AE8-1))-YEAR(AD8))+MONTH((AE8-1))-MONTH(AD8)-IF(DAY((AE8-1))&lt;MIN(DAY(AD8),DAY(EOMONTH((AE8-1),0))),1,0))))</f>
        <v>39</v>
      </c>
      <c r="AJ8" s="12" t="n">
        <f aca="false">IF(AC8=0,"",IF(PFYDate&lt;AD8,-1,12*(YEAR(PFYDate)-YEAR(AD8))+MONTH(PFYDate)-MONTH(AD8)-IF(DAY(PFYDate)&lt;MIN(DAY(AD8),DAY(EOMONTH(PFYDate,0))),1,0)))</f>
        <v>51</v>
      </c>
      <c r="AK8" s="12" t="n">
        <f aca="false">IF(AC8=0,"",IF(OR(AE8="",AE8&gt;PFYDate),AJ8,IF((AE8-1)&lt;AD8,-1,12*(YEAR((AE8-1))-YEAR(AD8))+MONTH((AE8-1))-MONTH(AD8)-IF(DAY((AE8-1))&lt;MIN(DAY(AD8),DAY(EOMONTH((AE8-1),0))),1,0))))</f>
        <v>39</v>
      </c>
      <c r="AL8" s="12" t="n">
        <f aca="false">IF(AC8=0,"",IF(AF8="FT",IF(AI8&lt;FT_First,0,IF(AI8&lt;FT_Y5,1+INT((AI8-FT_First)/FT_Int1),FT_PreY5+FT_PerYear*INT((AI8-FT_Y5)/12)+FT_AnnivDays+INT(MOD(AI8-FT_Y5,12)/FT_Int2))),IF(AF8="PT",IF(AI8&lt;PT_First,0,1+INT((AI8-PT_First)/PT_Int)),0))+IF(OR(AE8="",AE8&gt;AsOfDate),0,IF(AG8="FT",IF(AH8&lt;FT_First,0,IF(AH8&lt;FT_Y5,1+INT((AH8-FT_First)/FT_Int1),FT_PreY5+FT_PerYear*INT((AH8-FT_Y5)/12)+FT_AnnivDays+INT(MOD(AH8-FT_Y5,12)/FT_Int2))),IF(AG8="PT",IF(AH8&lt;PT_First,0,1+INT((AH8-PT_First)/PT_Int)),0))-IF(AG8="FT",IF(AI8&lt;FT_First,0,IF(AI8&lt;FT_Y5,1+INT((AI8-FT_First)/FT_Int1),FT_PreY5+FT_PerYear*INT((AI8-FT_Y5)/12)+FT_AnnivDays+INT(MOD(AI8-FT_Y5,12)/FT_Int2))),IF(AG8="PT",IF(AI8&lt;PT_First,0,1+INT((AI8-PT_First)/PT_Int)),0))))</f>
        <v>1</v>
      </c>
      <c r="AM8" s="12" t="n">
        <f aca="false">IF(AC8=0,"",IF(AF8="FT",IF(AK8&lt;FT_First,0,IF(AK8&lt;FT_Y5,1+INT((AK8-FT_First)/FT_Int1),FT_PreY5+FT_PerYear*INT((AK8-FT_Y5)/12)+FT_AnnivDays+INT(MOD(AK8-FT_Y5,12)/FT_Int2))),IF(AF8="PT",IF(AK8&lt;PT_First,0,1+INT((AK8-PT_First)/PT_Int)),0))+IF(OR(AE8="",AE8&gt;PFYDate),0,IF(AG8="FT",IF(AJ8&lt;FT_First,0,IF(AJ8&lt;FT_Y5,1+INT((AJ8-FT_First)/FT_Int1),FT_PreY5+FT_PerYear*INT((AJ8-FT_Y5)/12)+FT_AnnivDays+INT(MOD(AJ8-FT_Y5,12)/FT_Int2))),IF(AG8="PT",IF(AJ8&lt;PT_First,0,1+INT((AJ8-PT_First)/PT_Int)),0))-IF(AG8="FT",IF(AK8&lt;FT_First,0,IF(AK8&lt;FT_Y5,1+INT((AK8-FT_First)/FT_Int1),FT_PreY5+FT_PerYear*INT((AK8-FT_Y5)/12)+FT_AnnivDays+INT(MOD(AK8-FT_Y5,12)/FT_Int2))),IF(AG8="PT",IF(AK8&lt;PT_First,0,1+INT((AK8-PT_First)/PT_Int)),0))))</f>
        <v>1</v>
      </c>
      <c r="AN8" s="12" t="str">
        <f aca="false">IF(AC8=0,"",IF(AG8="FT",IF(AH8&lt;FT_First,FT_First,IF(AH8&lt;FT_Y5,MIN(FT_Y5,FT_First+FT_Int1*(INT((AH8-FT_First)/FT_Int1)+1)),FT_Y5+12*INT((AH8-FT_Y5)/12)+FT_Int2*(INT(MOD(AH8-FT_Y5,12)/FT_Int2)+1))),IF(AG8="PT",IF(AH8&lt;PT_First,PT_First,PT_First+PT_Int*(INT((AH8-PT_First)/PT_Int)+1)),"")))</f>
        <v/>
      </c>
      <c r="AO8" s="12" t="n">
        <f aca="false">IF(AC8=0,"",IF(NOT(CFY_Ready),0,COUNTIFS(INDEX(CFY_Data,0,CFY_ColFirst),$A8,INDEX(CFY_Data,0,CFY_ColSur),$B8,INDEX(CFY_Data,0,CFY_ColCat),BonusCat)))</f>
        <v>1</v>
      </c>
    </row>
    <row r="9" customFormat="false" ht="15" hidden="false" customHeight="false" outlineLevel="0" collapsed="false">
      <c r="A9" s="8" t="s">
        <v>75</v>
      </c>
      <c r="B9" s="8" t="s">
        <v>76</v>
      </c>
      <c r="C9" s="8" t="s">
        <v>66</v>
      </c>
      <c r="D9" s="9" t="n">
        <v>32202</v>
      </c>
      <c r="E9" s="10" t="n">
        <f aca="false">IF(OR(AC9=0,$D9=""),"",DATE(YEAR(AsOfDate)+IF(DATE(YEAR(AsOfDate),MONTH($D9),DAY($D9))&lt;=AsOfDate,1,0),MONTH($D9),DAY($D9)))</f>
        <v>46447</v>
      </c>
      <c r="F9" s="9" t="n">
        <v>43840</v>
      </c>
      <c r="G9" s="9" t="n">
        <v>43840</v>
      </c>
      <c r="H9" s="9" t="n">
        <v>45292</v>
      </c>
      <c r="I9" s="9"/>
      <c r="J9" s="10" t="n">
        <f aca="false">IF(AC9=0,"",DATE(YEAR(AsOfDate)+IF(DATE(YEAR(AsOfDate),MONTH($F9),DAY($F9))&lt;=AsOfDate,1,0),MONTH($F9),DAY($F9)))</f>
        <v>46397</v>
      </c>
      <c r="K9" s="11" t="n">
        <f aca="false">IF(AC9=0,"",ROUND((AsOfDate-$F9)/365.25,1))</f>
        <v>6.7</v>
      </c>
      <c r="L9" s="12" t="str">
        <f aca="false">IF(AC9=0,"",IF(AsOfDate&lt;AD9,"-",DATEDIF(AD9,AsOfDate,"y")&amp;"y "&amp;DATEDIF(AD9,AsOfDate,"ym")&amp;"m "&amp;DATEDIF(AD9,AsOfDate,"md")&amp;"d"))</f>
        <v>6y 8m 21d</v>
      </c>
      <c r="M9" s="13" t="n">
        <f aca="false">IF(AC9=0,"",N9*HoursPerDay)</f>
        <v>96</v>
      </c>
      <c r="N9" s="13" t="n">
        <f aca="false">IF(AC9=0,"",AL9)</f>
        <v>12</v>
      </c>
      <c r="O9" s="14"/>
      <c r="P9" s="12" t="str">
        <f aca="false">IF(AC9=0,"",IF(AE9="","",IF($G9&lt;$H9,"Part-Time to Full-Time","Full-Time to Part-Time")&amp;" on "&amp;TEXT(AE9,"dd/mm/yyyy")&amp;IF(AE9&gt;AsOfDate," (future)",IF(AF9=AG9,"",IF(AG9="None"," - STOPPED accruing",IF(AF9="None"," - now qualifying"," - pathway changed"))))))</f>
        <v>Part-Time to Full-Time on 01/01/2024 - pathway changed</v>
      </c>
      <c r="Q9" s="12" t="str">
        <f aca="false">IF(AC9=0,"",IF(AG9="None",IF(N9&gt;0,"No longer accruing","Not eligible - "&amp;IF(AND($C9="Part-Time",N($O9)&lt;PT_MinHours,$O9&lt;&gt;""),"under "&amp;PT_MinHours&amp;" hrs",$C9)),IF(N9&gt;0,"Yes - accruing","Not yet - from "&amp;TEXT(R9,"dd/mm/yyyy"))))</f>
        <v>Yes - accruing</v>
      </c>
      <c r="R9" s="10" t="n">
        <f aca="false">IF(AC9=0,"",IF(AG9="None","",EDATE(AD9,AN9)))</f>
        <v>46305</v>
      </c>
      <c r="S9" s="13" t="n">
        <f aca="false">IF(AC9=0,"",IF(NOT(PFY_Ready),"",SUMIFS(INDEX(PFY_Data,0,PFY_ColBal),INDEX(PFY_Data,0,PFY_ColFirst),$A9,INDEX(PFY_Data,0,PFY_ColSur),$B9,INDEX(PFY_Data,0,PFY_ColCat),BonusCat)))</f>
        <v>72</v>
      </c>
      <c r="T9" s="14" t="n">
        <v>8</v>
      </c>
      <c r="U9" s="13" t="n">
        <f aca="false">IF(AC9=0,"",IF(NOT(CFY_Ready),"",SUMIFS(INDEX(CFY_Data,0,CFY_ColBal),INDEX(CFY_Data,0,CFY_ColFirst),$A9,INDEX(CFY_Data,0,CFY_ColSur),$B9,INDEX(CFY_Data,0,CFY_ColCat),BonusCat)))</f>
        <v>80</v>
      </c>
      <c r="V9" s="13" t="n">
        <f aca="false">IF(AC9=0,"",IF(OR(NOT(CFY_Ready),CFY_ColAppr=0),"",SUMIFS(INDEX(CFY_Data,0,CFY_ColAppr),INDEX(CFY_Data,0,CFY_ColFirst),$A9,INDEX(CFY_Data,0,CFY_ColSur),$B9,INDEX(CFY_Data,0,CFY_ColCat),BonusCat)))</f>
        <v>0</v>
      </c>
      <c r="W9" s="13" t="n">
        <f aca="false">IF(OR(AC9=0,S9="",U9=""),"",MAX(0,S9+N($T9)-U9))</f>
        <v>0</v>
      </c>
      <c r="X9" s="13" t="n">
        <f aca="false">IF(AC9=0,"",(AL9-AM9)*HoursPerDay)</f>
        <v>8</v>
      </c>
      <c r="Y9" s="13" t="n">
        <f aca="false">IF(AC9=0,"",X9-N($T9))</f>
        <v>0</v>
      </c>
      <c r="Z9" s="12" t="str">
        <f aca="false">IF(AC9=0,"",IF(Y9&gt;0,"Yes","No"))</f>
        <v>No</v>
      </c>
      <c r="AA9" s="12" t="str">
        <f aca="false">IF(AC9=0,"",IF(NOT(CFY_Ready),"Paste CFY EH export",IF(Y9&gt;0,"ACCRUE "&amp;TEXT(Y9,"0.##")&amp;" hrs ("&amp;TEXT(Y9/HoursPerDay,"0.##")&amp;" days)"&amp;IF(AO9=0," - no Bonus Leave line in EH yet",""),IF(Y9&lt;0,"CHECK - posted "&amp;TEXT(-Y9,"0.##")&amp;" hrs more than policy",IF(AND(N9&gt;0,AO9=0,U9=0),"CHECK - policy says "&amp;TEXT(M9,"0.##")&amp;" hrs to date but nothing in EH",IF(N9&gt;0,"OK","-"))))))</f>
        <v>OK</v>
      </c>
      <c r="AB9" s="13" t="n">
        <f aca="false">IF(OR(AC9=0,S9=""),"",AM9*HoursPerDay-S9)</f>
        <v>16</v>
      </c>
      <c r="AC9" s="12" t="n">
        <f aca="false">IF(OR(LEN($A9&amp;$B9)=0,$F9=""),0,1)</f>
        <v>1</v>
      </c>
      <c r="AD9" s="10" t="n">
        <f aca="false">IF(AC9=0,"",IF($I9&lt;&gt;"",$I9,$F9))</f>
        <v>43840</v>
      </c>
      <c r="AE9" s="10" t="n">
        <f aca="false">IF(AC9=0,"",IF(AND($G9&lt;&gt;"",$H9&lt;&gt;"",$G9&lt;&gt;$H9),MAX($G9,$H9),""))</f>
        <v>45292</v>
      </c>
      <c r="AF9" s="12" t="str">
        <f aca="false">IF(AC9=0,"",IF(AE9="",AG9,IF(IF($G9&lt;$H9,"Part-Time","Full-Time")="Full-Time","FT",IF(AND(IF($G9&lt;$H9,"Part-Time","Full-Time")="Part-Time",OR($O9="",N($O9)&gt;=PT_MinHours)),"PT","None"))))</f>
        <v>PT</v>
      </c>
      <c r="AG9" s="12" t="str">
        <f aca="false">IF(AC9=0,"",IF($C9="Full-Time","FT",IF(AND($C9="Part-Time",OR($O9="",N($O9)&gt;=PT_MinHours)),"PT","None")))</f>
        <v>FT</v>
      </c>
      <c r="AH9" s="12" t="n">
        <f aca="false">IF(AC9=0,"",IF(AsOfDate&lt;AD9,-1,12*(YEAR(AsOfDate)-YEAR(AD9))+MONTH(AsOfDate)-MONTH(AD9)-IF(DAY(AsOfDate)&lt;MIN(DAY(AD9),DAY(EOMONTH(AsOfDate,0))),1,0)))</f>
        <v>80</v>
      </c>
      <c r="AI9" s="12" t="n">
        <f aca="false">IF(AC9=0,"",IF(OR(AE9="",AE9&gt;AsOfDate),AH9,IF((AE9-1)&lt;AD9,-1,12*(YEAR((AE9-1))-YEAR(AD9))+MONTH((AE9-1))-MONTH(AD9)-IF(DAY((AE9-1))&lt;MIN(DAY(AD9),DAY(EOMONTH((AE9-1),0))),1,0))))</f>
        <v>47</v>
      </c>
      <c r="AJ9" s="12" t="n">
        <f aca="false">IF(AC9=0,"",IF(PFYDate&lt;AD9,-1,12*(YEAR(PFYDate)-YEAR(AD9))+MONTH(PFYDate)-MONTH(AD9)-IF(DAY(PFYDate)&lt;MIN(DAY(AD9),DAY(EOMONTH(PFYDate,0))),1,0)))</f>
        <v>77</v>
      </c>
      <c r="AK9" s="12" t="n">
        <f aca="false">IF(AC9=0,"",IF(OR(AE9="",AE9&gt;PFYDate),AJ9,IF((AE9-1)&lt;AD9,-1,12*(YEAR((AE9-1))-YEAR(AD9))+MONTH((AE9-1))-MONTH(AD9)-IF(DAY((AE9-1))&lt;MIN(DAY(AD9),DAY(EOMONTH((AE9-1),0))),1,0))))</f>
        <v>47</v>
      </c>
      <c r="AL9" s="12" t="n">
        <f aca="false">IF(AC9=0,"",IF(AF9="FT",IF(AI9&lt;FT_First,0,IF(AI9&lt;FT_Y5,1+INT((AI9-FT_First)/FT_Int1),FT_PreY5+FT_PerYear*INT((AI9-FT_Y5)/12)+FT_AnnivDays+INT(MOD(AI9-FT_Y5,12)/FT_Int2))),IF(AF9="PT",IF(AI9&lt;PT_First,0,1+INT((AI9-PT_First)/PT_Int)),0))+IF(OR(AE9="",AE9&gt;AsOfDate),0,IF(AG9="FT",IF(AH9&lt;FT_First,0,IF(AH9&lt;FT_Y5,1+INT((AH9-FT_First)/FT_Int1),FT_PreY5+FT_PerYear*INT((AH9-FT_Y5)/12)+FT_AnnivDays+INT(MOD(AH9-FT_Y5,12)/FT_Int2))),IF(AG9="PT",IF(AH9&lt;PT_First,0,1+INT((AH9-PT_First)/PT_Int)),0))-IF(AG9="FT",IF(AI9&lt;FT_First,0,IF(AI9&lt;FT_Y5,1+INT((AI9-FT_First)/FT_Int1),FT_PreY5+FT_PerYear*INT((AI9-FT_Y5)/12)+FT_AnnivDays+INT(MOD(AI9-FT_Y5,12)/FT_Int2))),IF(AG9="PT",IF(AI9&lt;PT_First,0,1+INT((AI9-PT_First)/PT_Int)),0))))</f>
        <v>12</v>
      </c>
      <c r="AM9" s="12" t="n">
        <f aca="false">IF(AC9=0,"",IF(AF9="FT",IF(AK9&lt;FT_First,0,IF(AK9&lt;FT_Y5,1+INT((AK9-FT_First)/FT_Int1),FT_PreY5+FT_PerYear*INT((AK9-FT_Y5)/12)+FT_AnnivDays+INT(MOD(AK9-FT_Y5,12)/FT_Int2))),IF(AF9="PT",IF(AK9&lt;PT_First,0,1+INT((AK9-PT_First)/PT_Int)),0))+IF(OR(AE9="",AE9&gt;PFYDate),0,IF(AG9="FT",IF(AJ9&lt;FT_First,0,IF(AJ9&lt;FT_Y5,1+INT((AJ9-FT_First)/FT_Int1),FT_PreY5+FT_PerYear*INT((AJ9-FT_Y5)/12)+FT_AnnivDays+INT(MOD(AJ9-FT_Y5,12)/FT_Int2))),IF(AG9="PT",IF(AJ9&lt;PT_First,0,1+INT((AJ9-PT_First)/PT_Int)),0))-IF(AG9="FT",IF(AK9&lt;FT_First,0,IF(AK9&lt;FT_Y5,1+INT((AK9-FT_First)/FT_Int1),FT_PreY5+FT_PerYear*INT((AK9-FT_Y5)/12)+FT_AnnivDays+INT(MOD(AK9-FT_Y5,12)/FT_Int2))),IF(AG9="PT",IF(AK9&lt;PT_First,0,1+INT((AK9-PT_First)/PT_Int)),0))))</f>
        <v>11</v>
      </c>
      <c r="AN9" s="12" t="n">
        <f aca="false">IF(AC9=0,"",IF(AG9="FT",IF(AH9&lt;FT_First,FT_First,IF(AH9&lt;FT_Y5,MIN(FT_Y5,FT_First+FT_Int1*(INT((AH9-FT_First)/FT_Int1)+1)),FT_Y5+12*INT((AH9-FT_Y5)/12)+FT_Int2*(INT(MOD(AH9-FT_Y5,12)/FT_Int2)+1))),IF(AG9="PT",IF(AH9&lt;PT_First,PT_First,PT_First+PT_Int*(INT((AH9-PT_First)/PT_Int)+1)),"")))</f>
        <v>81</v>
      </c>
      <c r="AO9" s="12" t="n">
        <f aca="false">IF(AC9=0,"",IF(NOT(CFY_Ready),0,COUNTIFS(INDEX(CFY_Data,0,CFY_ColFirst),$A9,INDEX(CFY_Data,0,CFY_ColSur),$B9,INDEX(CFY_Data,0,CFY_ColCat),BonusCat)))</f>
        <v>1</v>
      </c>
    </row>
    <row r="10" customFormat="false" ht="15" hidden="false" customHeight="false" outlineLevel="0" collapsed="false">
      <c r="A10" s="8" t="s">
        <v>77</v>
      </c>
      <c r="B10" s="8" t="s">
        <v>78</v>
      </c>
      <c r="C10" s="8" t="s">
        <v>66</v>
      </c>
      <c r="D10" s="9" t="n">
        <v>34945</v>
      </c>
      <c r="E10" s="10" t="n">
        <f aca="false">IF(OR(AC10=0,$D10=""),"",DATE(YEAR(AsOfDate)+IF(DATE(YEAR(AsOfDate),MONTH($D10),DAY($D10))&lt;=AsOfDate,1,0),MONTH($D10),DAY($D10)))</f>
        <v>46633</v>
      </c>
      <c r="F10" s="9" t="n">
        <v>44686</v>
      </c>
      <c r="G10" s="9"/>
      <c r="H10" s="9"/>
      <c r="I10" s="9" t="n">
        <v>44867</v>
      </c>
      <c r="J10" s="10" t="n">
        <f aca="false">IF(AC10=0,"",DATE(YEAR(AsOfDate)+IF(DATE(YEAR(AsOfDate),MONTH($F10),DAY($F10))&lt;=AsOfDate,1,0),MONTH($F10),DAY($F10)))</f>
        <v>46512</v>
      </c>
      <c r="K10" s="11" t="n">
        <f aca="false">IF(AC10=0,"",ROUND((AsOfDate-$F10)/365.25,1))</f>
        <v>4.4</v>
      </c>
      <c r="L10" s="12" t="str">
        <f aca="false">IF(AC10=0,"",IF(AsOfDate&lt;AD10,"-",DATEDIF(AD10,AsOfDate,"y")&amp;"y "&amp;DATEDIF(AD10,AsOfDate,"ym")&amp;"m "&amp;DATEDIF(AD10,AsOfDate,"md")&amp;"d"))</f>
        <v>3y 10m 29d</v>
      </c>
      <c r="M10" s="13" t="n">
        <f aca="false">IF(AC10=0,"",N10*HoursPerDay)</f>
        <v>24</v>
      </c>
      <c r="N10" s="13" t="n">
        <f aca="false">IF(AC10=0,"",AL10)</f>
        <v>3</v>
      </c>
      <c r="O10" s="14"/>
      <c r="P10" s="12" t="str">
        <f aca="false">IF(AC10=0,"",IF(AE10="","",IF($G10&lt;$H10,"Part-Time to Full-Time","Full-Time to Part-Time")&amp;" on "&amp;TEXT(AE10,"dd/mm/yyyy")&amp;IF(AE10&gt;AsOfDate," (future)",IF(AF10=AG10,"",IF(AG10="None"," - STOPPED accruing",IF(AF10="None"," - now qualifying"," - pathway changed"))))))</f>
        <v/>
      </c>
      <c r="Q10" s="12" t="str">
        <f aca="false">IF(AC10=0,"",IF(AG10="None",IF(N10&gt;0,"No longer accruing","Not eligible - "&amp;IF(AND($C10="Part-Time",N($O10)&lt;PT_MinHours,$O10&lt;&gt;""),"under "&amp;PT_MinHours&amp;" hrs",$C10)),IF(N10&gt;0,"Yes - accruing","Not yet - from "&amp;TEXT(R10,"dd/mm/yyyy"))))</f>
        <v>Yes - accruing</v>
      </c>
      <c r="R10" s="10" t="n">
        <f aca="false">IF(AC10=0,"",IF(AG10="None","",EDATE(AD10,AN10)))</f>
        <v>46328</v>
      </c>
      <c r="S10" s="13" t="n">
        <f aca="false">IF(AC10=0,"",IF(NOT(PFY_Ready),"",SUMIFS(INDEX(PFY_Data,0,PFY_ColBal),INDEX(PFY_Data,0,PFY_ColFirst),$A10,INDEX(PFY_Data,0,PFY_ColSur),$B10,INDEX(PFY_Data,0,PFY_ColCat),BonusCat)))</f>
        <v>0</v>
      </c>
      <c r="T10" s="14"/>
      <c r="U10" s="13" t="n">
        <f aca="false">IF(AC10=0,"",IF(NOT(CFY_Ready),"",SUMIFS(INDEX(CFY_Data,0,CFY_ColBal),INDEX(CFY_Data,0,CFY_ColFirst),$A10,INDEX(CFY_Data,0,CFY_ColSur),$B10,INDEX(CFY_Data,0,CFY_ColCat),BonusCat)))</f>
        <v>0</v>
      </c>
      <c r="V10" s="13" t="n">
        <f aca="false">IF(AC10=0,"",IF(OR(NOT(CFY_Ready),CFY_ColAppr=0),"",SUMIFS(INDEX(CFY_Data,0,CFY_ColAppr),INDEX(CFY_Data,0,CFY_ColFirst),$A10,INDEX(CFY_Data,0,CFY_ColSur),$B10,INDEX(CFY_Data,0,CFY_ColCat),BonusCat)))</f>
        <v>0</v>
      </c>
      <c r="W10" s="13" t="n">
        <f aca="false">IF(OR(AC10=0,S10="",U10=""),"",MAX(0,S10+N($T10)-U10))</f>
        <v>0</v>
      </c>
      <c r="X10" s="13" t="n">
        <f aca="false">IF(AC10=0,"",(AL10-AM10)*HoursPerDay)</f>
        <v>8</v>
      </c>
      <c r="Y10" s="13" t="n">
        <f aca="false">IF(AC10=0,"",X10-N($T10))</f>
        <v>8</v>
      </c>
      <c r="Z10" s="12" t="str">
        <f aca="false">IF(AC10=0,"",IF(Y10&gt;0,"Yes","No"))</f>
        <v>Yes</v>
      </c>
      <c r="AA10" s="12" t="str">
        <f aca="false">IF(AC10=0,"",IF(NOT(CFY_Ready),"Paste CFY EH export",IF(Y10&gt;0,"ACCRUE "&amp;TEXT(Y10,"0.##")&amp;" hrs ("&amp;TEXT(Y10/HoursPerDay,"0.##")&amp;" days)"&amp;IF(AO10=0," - no Bonus Leave line in EH yet",""),IF(Y10&lt;0,"CHECK - posted "&amp;TEXT(-Y10,"0.##")&amp;" hrs more than policy",IF(AND(N10&gt;0,AO10=0,U10=0),"CHECK - policy says "&amp;TEXT(M10,"0.##")&amp;" hrs to date but nothing in EH",IF(N10&gt;0,"OK","-"))))))</f>
        <v>ACCRUE 8 hrs (1 days) - no Bonus Leave line in EH yet</v>
      </c>
      <c r="AB10" s="13" t="n">
        <f aca="false">IF(OR(AC10=0,S10=""),"",AM10*HoursPerDay-S10)</f>
        <v>16</v>
      </c>
      <c r="AC10" s="12" t="n">
        <f aca="false">IF(OR(LEN($A10&amp;$B10)=0,$F10=""),0,1)</f>
        <v>1</v>
      </c>
      <c r="AD10" s="10" t="n">
        <f aca="false">IF(AC10=0,"",IF($I10&lt;&gt;"",$I10,$F10))</f>
        <v>44867</v>
      </c>
      <c r="AE10" s="10" t="str">
        <f aca="false">IF(AC10=0,"",IF(AND($G10&lt;&gt;"",$H10&lt;&gt;"",$G10&lt;&gt;$H10),MAX($G10,$H10),""))</f>
        <v/>
      </c>
      <c r="AF10" s="12" t="str">
        <f aca="false">IF(AC10=0,"",IF(AE10="",AG10,IF(IF($G10&lt;$H10,"Part-Time","Full-Time")="Full-Time","FT",IF(AND(IF($G10&lt;$H10,"Part-Time","Full-Time")="Part-Time",OR($O10="",N($O10)&gt;=PT_MinHours)),"PT","None"))))</f>
        <v>FT</v>
      </c>
      <c r="AG10" s="12" t="str">
        <f aca="false">IF(AC10=0,"",IF($C10="Full-Time","FT",IF(AND($C10="Part-Time",OR($O10="",N($O10)&gt;=PT_MinHours)),"PT","None")))</f>
        <v>FT</v>
      </c>
      <c r="AH10" s="12" t="n">
        <f aca="false">IF(AC10=0,"",IF(AsOfDate&lt;AD10,-1,12*(YEAR(AsOfDate)-YEAR(AD10))+MONTH(AsOfDate)-MONTH(AD10)-IF(DAY(AsOfDate)&lt;MIN(DAY(AD10),DAY(EOMONTH(AsOfDate,0))),1,0)))</f>
        <v>46</v>
      </c>
      <c r="AI10" s="12" t="n">
        <f aca="false">IF(AC10=0,"",IF(OR(AE10="",AE10&gt;AsOfDate),AH10,IF((AE10-1)&lt;AD10,-1,12*(YEAR((AE10-1))-YEAR(AD10))+MONTH((AE10-1))-MONTH(AD10)-IF(DAY((AE10-1))&lt;MIN(DAY(AD10),DAY(EOMONTH((AE10-1),0))),1,0))))</f>
        <v>46</v>
      </c>
      <c r="AJ10" s="12" t="n">
        <f aca="false">IF(AC10=0,"",IF(PFYDate&lt;AD10,-1,12*(YEAR(PFYDate)-YEAR(AD10))+MONTH(PFYDate)-MONTH(AD10)-IF(DAY(PFYDate)&lt;MIN(DAY(AD10),DAY(EOMONTH(PFYDate,0))),1,0)))</f>
        <v>43</v>
      </c>
      <c r="AK10" s="12" t="n">
        <f aca="false">IF(AC10=0,"",IF(OR(AE10="",AE10&gt;PFYDate),AJ10,IF((AE10-1)&lt;AD10,-1,12*(YEAR((AE10-1))-YEAR(AD10))+MONTH((AE10-1))-MONTH(AD10)-IF(DAY((AE10-1))&lt;MIN(DAY(AD10),DAY(EOMONTH((AE10-1),0))),1,0))))</f>
        <v>43</v>
      </c>
      <c r="AL10" s="12" t="n">
        <f aca="false">IF(AC10=0,"",IF(AF10="FT",IF(AI10&lt;FT_First,0,IF(AI10&lt;FT_Y5,1+INT((AI10-FT_First)/FT_Int1),FT_PreY5+FT_PerYear*INT((AI10-FT_Y5)/12)+FT_AnnivDays+INT(MOD(AI10-FT_Y5,12)/FT_Int2))),IF(AF10="PT",IF(AI10&lt;PT_First,0,1+INT((AI10-PT_First)/PT_Int)),0))+IF(OR(AE10="",AE10&gt;AsOfDate),0,IF(AG10="FT",IF(AH10&lt;FT_First,0,IF(AH10&lt;FT_Y5,1+INT((AH10-FT_First)/FT_Int1),FT_PreY5+FT_PerYear*INT((AH10-FT_Y5)/12)+FT_AnnivDays+INT(MOD(AH10-FT_Y5,12)/FT_Int2))),IF(AG10="PT",IF(AH10&lt;PT_First,0,1+INT((AH10-PT_First)/PT_Int)),0))-IF(AG10="FT",IF(AI10&lt;FT_First,0,IF(AI10&lt;FT_Y5,1+INT((AI10-FT_First)/FT_Int1),FT_PreY5+FT_PerYear*INT((AI10-FT_Y5)/12)+FT_AnnivDays+INT(MOD(AI10-FT_Y5,12)/FT_Int2))),IF(AG10="PT",IF(AI10&lt;PT_First,0,1+INT((AI10-PT_First)/PT_Int)),0))))</f>
        <v>3</v>
      </c>
      <c r="AM10" s="12" t="n">
        <f aca="false">IF(AC10=0,"",IF(AF10="FT",IF(AK10&lt;FT_First,0,IF(AK10&lt;FT_Y5,1+INT((AK10-FT_First)/FT_Int1),FT_PreY5+FT_PerYear*INT((AK10-FT_Y5)/12)+FT_AnnivDays+INT(MOD(AK10-FT_Y5,12)/FT_Int2))),IF(AF10="PT",IF(AK10&lt;PT_First,0,1+INT((AK10-PT_First)/PT_Int)),0))+IF(OR(AE10="",AE10&gt;PFYDate),0,IF(AG10="FT",IF(AJ10&lt;FT_First,0,IF(AJ10&lt;FT_Y5,1+INT((AJ10-FT_First)/FT_Int1),FT_PreY5+FT_PerYear*INT((AJ10-FT_Y5)/12)+FT_AnnivDays+INT(MOD(AJ10-FT_Y5,12)/FT_Int2))),IF(AG10="PT",IF(AJ10&lt;PT_First,0,1+INT((AJ10-PT_First)/PT_Int)),0))-IF(AG10="FT",IF(AK10&lt;FT_First,0,IF(AK10&lt;FT_Y5,1+INT((AK10-FT_First)/FT_Int1),FT_PreY5+FT_PerYear*INT((AK10-FT_Y5)/12)+FT_AnnivDays+INT(MOD(AK10-FT_Y5,12)/FT_Int2))),IF(AG10="PT",IF(AK10&lt;PT_First,0,1+INT((AK10-PT_First)/PT_Int)),0))))</f>
        <v>2</v>
      </c>
      <c r="AN10" s="12" t="n">
        <f aca="false">IF(AC10=0,"",IF(AG10="FT",IF(AH10&lt;FT_First,FT_First,IF(AH10&lt;FT_Y5,MIN(FT_Y5,FT_First+FT_Int1*(INT((AH10-FT_First)/FT_Int1)+1)),FT_Y5+12*INT((AH10-FT_Y5)/12)+FT_Int2*(INT(MOD(AH10-FT_Y5,12)/FT_Int2)+1))),IF(AG10="PT",IF(AH10&lt;PT_First,PT_First,PT_First+PT_Int*(INT((AH10-PT_First)/PT_Int)+1)),"")))</f>
        <v>48</v>
      </c>
      <c r="AO10" s="12" t="n">
        <f aca="false">IF(AC10=0,"",IF(NOT(CFY_Ready),0,COUNTIFS(INDEX(CFY_Data,0,CFY_ColFirst),$A10,INDEX(CFY_Data,0,CFY_ColSur),$B10,INDEX(CFY_Data,0,CFY_ColCat),BonusCat)))</f>
        <v>0</v>
      </c>
    </row>
    <row r="11" customFormat="false" ht="15" hidden="false" customHeight="false" outlineLevel="0" collapsed="false">
      <c r="A11" s="8" t="s">
        <v>79</v>
      </c>
      <c r="B11" s="8" t="s">
        <v>80</v>
      </c>
      <c r="C11" s="8" t="s">
        <v>66</v>
      </c>
      <c r="D11" s="9" t="n">
        <v>37250</v>
      </c>
      <c r="E11" s="10" t="n">
        <f aca="false">IF(OR(AC11=0,$D11=""),"",DATE(YEAR(AsOfDate)+IF(DATE(YEAR(AsOfDate),MONTH($D11),DAY($D11))&lt;=AsOfDate,1,0),MONTH($D11),DAY($D11)))</f>
        <v>46381</v>
      </c>
      <c r="F11" s="9" t="n">
        <v>45627</v>
      </c>
      <c r="G11" s="9"/>
      <c r="H11" s="9"/>
      <c r="I11" s="9"/>
      <c r="J11" s="10" t="n">
        <f aca="false">IF(AC11=0,"",DATE(YEAR(AsOfDate)+IF(DATE(YEAR(AsOfDate),MONTH($F11),DAY($F11))&lt;=AsOfDate,1,0),MONTH($F11),DAY($F11)))</f>
        <v>46357</v>
      </c>
      <c r="K11" s="11" t="n">
        <f aca="false">IF(AC11=0,"",ROUND((AsOfDate-$F11)/365.25,1))</f>
        <v>1.8</v>
      </c>
      <c r="L11" s="12" t="str">
        <f aca="false">IF(AC11=0,"",IF(AsOfDate&lt;AD11,"-",DATEDIF(AD11,AsOfDate,"y")&amp;"y "&amp;DATEDIF(AD11,AsOfDate,"ym")&amp;"m "&amp;DATEDIF(AD11,AsOfDate,"md")&amp;"d"))</f>
        <v>1y 10m 0d</v>
      </c>
      <c r="M11" s="13" t="n">
        <f aca="false">IF(AC11=0,"",N11*HoursPerDay)</f>
        <v>0</v>
      </c>
      <c r="N11" s="13" t="n">
        <f aca="false">IF(AC11=0,"",AL11)</f>
        <v>0</v>
      </c>
      <c r="O11" s="14"/>
      <c r="P11" s="12" t="str">
        <f aca="false">IF(AC11=0,"",IF(AE11="","",IF($G11&lt;$H11,"Part-Time to Full-Time","Full-Time to Part-Time")&amp;" on "&amp;TEXT(AE11,"dd/mm/yyyy")&amp;IF(AE11&gt;AsOfDate," (future)",IF(AF11=AG11,"",IF(AG11="None"," - STOPPED accruing",IF(AF11="None"," - now qualifying"," - pathway changed"))))))</f>
        <v/>
      </c>
      <c r="Q11" s="12" t="str">
        <f aca="false">IF(AC11=0,"",IF(AG11="None",IF(N11&gt;0,"No longer accruing","Not eligible - "&amp;IF(AND($C11="Part-Time",N($O11)&lt;PT_MinHours,$O11&lt;&gt;""),"under "&amp;PT_MinHours&amp;" hrs",$C11)),IF(N11&gt;0,"Yes - accruing","Not yet - from "&amp;TEXT(R11,"dd/mm/yyyy"))))</f>
        <v>Not yet - from 01/12/2027</v>
      </c>
      <c r="R11" s="10" t="n">
        <f aca="false">IF(AC11=0,"",IF(AG11="None","",EDATE(AD11,AN11)))</f>
        <v>46722</v>
      </c>
      <c r="S11" s="13" t="n">
        <f aca="false">IF(AC11=0,"",IF(NOT(PFY_Ready),"",SUMIFS(INDEX(PFY_Data,0,PFY_ColBal),INDEX(PFY_Data,0,PFY_ColFirst),$A11,INDEX(PFY_Data,0,PFY_ColSur),$B11,INDEX(PFY_Data,0,PFY_ColCat),BonusCat)))</f>
        <v>0</v>
      </c>
      <c r="T11" s="14"/>
      <c r="U11" s="13" t="n">
        <f aca="false">IF(AC11=0,"",IF(NOT(CFY_Ready),"",SUMIFS(INDEX(CFY_Data,0,CFY_ColBal),INDEX(CFY_Data,0,CFY_ColFirst),$A11,INDEX(CFY_Data,0,CFY_ColSur),$B11,INDEX(CFY_Data,0,CFY_ColCat),BonusCat)))</f>
        <v>0</v>
      </c>
      <c r="V11" s="13" t="n">
        <f aca="false">IF(AC11=0,"",IF(OR(NOT(CFY_Ready),CFY_ColAppr=0),"",SUMIFS(INDEX(CFY_Data,0,CFY_ColAppr),INDEX(CFY_Data,0,CFY_ColFirst),$A11,INDEX(CFY_Data,0,CFY_ColSur),$B11,INDEX(CFY_Data,0,CFY_ColCat),BonusCat)))</f>
        <v>0</v>
      </c>
      <c r="W11" s="13" t="n">
        <f aca="false">IF(OR(AC11=0,S11="",U11=""),"",MAX(0,S11+N($T11)-U11))</f>
        <v>0</v>
      </c>
      <c r="X11" s="13" t="n">
        <f aca="false">IF(AC11=0,"",(AL11-AM11)*HoursPerDay)</f>
        <v>0</v>
      </c>
      <c r="Y11" s="13" t="n">
        <f aca="false">IF(AC11=0,"",X11-N($T11))</f>
        <v>0</v>
      </c>
      <c r="Z11" s="12" t="str">
        <f aca="false">IF(AC11=0,"",IF(Y11&gt;0,"Yes","No"))</f>
        <v>No</v>
      </c>
      <c r="AA11" s="12" t="str">
        <f aca="false">IF(AC11=0,"",IF(NOT(CFY_Ready),"Paste CFY EH export",IF(Y11&gt;0,"ACCRUE "&amp;TEXT(Y11,"0.##")&amp;" hrs ("&amp;TEXT(Y11/HoursPerDay,"0.##")&amp;" days)"&amp;IF(AO11=0," - no Bonus Leave line in EH yet",""),IF(Y11&lt;0,"CHECK - posted "&amp;TEXT(-Y11,"0.##")&amp;" hrs more than policy",IF(AND(N11&gt;0,AO11=0,U11=0),"CHECK - policy says "&amp;TEXT(M11,"0.##")&amp;" hrs to date but nothing in EH",IF(N11&gt;0,"OK","-"))))))</f>
        <v>-</v>
      </c>
      <c r="AB11" s="13" t="n">
        <f aca="false">IF(OR(AC11=0,S11=""),"",AM11*HoursPerDay-S11)</f>
        <v>0</v>
      </c>
      <c r="AC11" s="12" t="n">
        <f aca="false">IF(OR(LEN($A11&amp;$B11)=0,$F11=""),0,1)</f>
        <v>1</v>
      </c>
      <c r="AD11" s="10" t="n">
        <f aca="false">IF(AC11=0,"",IF($I11&lt;&gt;"",$I11,$F11))</f>
        <v>45627</v>
      </c>
      <c r="AE11" s="10" t="str">
        <f aca="false">IF(AC11=0,"",IF(AND($G11&lt;&gt;"",$H11&lt;&gt;"",$G11&lt;&gt;$H11),MAX($G11,$H11),""))</f>
        <v/>
      </c>
      <c r="AF11" s="12" t="str">
        <f aca="false">IF(AC11=0,"",IF(AE11="",AG11,IF(IF($G11&lt;$H11,"Part-Time","Full-Time")="Full-Time","FT",IF(AND(IF($G11&lt;$H11,"Part-Time","Full-Time")="Part-Time",OR($O11="",N($O11)&gt;=PT_MinHours)),"PT","None"))))</f>
        <v>FT</v>
      </c>
      <c r="AG11" s="12" t="str">
        <f aca="false">IF(AC11=0,"",IF($C11="Full-Time","FT",IF(AND($C11="Part-Time",OR($O11="",N($O11)&gt;=PT_MinHours)),"PT","None")))</f>
        <v>FT</v>
      </c>
      <c r="AH11" s="12" t="n">
        <f aca="false">IF(AC11=0,"",IF(AsOfDate&lt;AD11,-1,12*(YEAR(AsOfDate)-YEAR(AD11))+MONTH(AsOfDate)-MONTH(AD11)-IF(DAY(AsOfDate)&lt;MIN(DAY(AD11),DAY(EOMONTH(AsOfDate,0))),1,0)))</f>
        <v>22</v>
      </c>
      <c r="AI11" s="12" t="n">
        <f aca="false">IF(AC11=0,"",IF(OR(AE11="",AE11&gt;AsOfDate),AH11,IF((AE11-1)&lt;AD11,-1,12*(YEAR((AE11-1))-YEAR(AD11))+MONTH((AE11-1))-MONTH(AD11)-IF(DAY((AE11-1))&lt;MIN(DAY(AD11),DAY(EOMONTH((AE11-1),0))),1,0))))</f>
        <v>22</v>
      </c>
      <c r="AJ11" s="12" t="n">
        <f aca="false">IF(AC11=0,"",IF(PFYDate&lt;AD11,-1,12*(YEAR(PFYDate)-YEAR(AD11))+MONTH(PFYDate)-MONTH(AD11)-IF(DAY(PFYDate)&lt;MIN(DAY(AD11),DAY(EOMONTH(PFYDate,0))),1,0)))</f>
        <v>18</v>
      </c>
      <c r="AK11" s="12" t="n">
        <f aca="false">IF(AC11=0,"",IF(OR(AE11="",AE11&gt;PFYDate),AJ11,IF((AE11-1)&lt;AD11,-1,12*(YEAR((AE11-1))-YEAR(AD11))+MONTH((AE11-1))-MONTH(AD11)-IF(DAY((AE11-1))&lt;MIN(DAY(AD11),DAY(EOMONTH((AE11-1),0))),1,0))))</f>
        <v>18</v>
      </c>
      <c r="AL11" s="12" t="n">
        <f aca="false">IF(AC11=0,"",IF(AF11="FT",IF(AI11&lt;FT_First,0,IF(AI11&lt;FT_Y5,1+INT((AI11-FT_First)/FT_Int1),FT_PreY5+FT_PerYear*INT((AI11-FT_Y5)/12)+FT_AnnivDays+INT(MOD(AI11-FT_Y5,12)/FT_Int2))),IF(AF11="PT",IF(AI11&lt;PT_First,0,1+INT((AI11-PT_First)/PT_Int)),0))+IF(OR(AE11="",AE11&gt;AsOfDate),0,IF(AG11="FT",IF(AH11&lt;FT_First,0,IF(AH11&lt;FT_Y5,1+INT((AH11-FT_First)/FT_Int1),FT_PreY5+FT_PerYear*INT((AH11-FT_Y5)/12)+FT_AnnivDays+INT(MOD(AH11-FT_Y5,12)/FT_Int2))),IF(AG11="PT",IF(AH11&lt;PT_First,0,1+INT((AH11-PT_First)/PT_Int)),0))-IF(AG11="FT",IF(AI11&lt;FT_First,0,IF(AI11&lt;FT_Y5,1+INT((AI11-FT_First)/FT_Int1),FT_PreY5+FT_PerYear*INT((AI11-FT_Y5)/12)+FT_AnnivDays+INT(MOD(AI11-FT_Y5,12)/FT_Int2))),IF(AG11="PT",IF(AI11&lt;PT_First,0,1+INT((AI11-PT_First)/PT_Int)),0))))</f>
        <v>0</v>
      </c>
      <c r="AM11" s="12" t="n">
        <f aca="false">IF(AC11=0,"",IF(AF11="FT",IF(AK11&lt;FT_First,0,IF(AK11&lt;FT_Y5,1+INT((AK11-FT_First)/FT_Int1),FT_PreY5+FT_PerYear*INT((AK11-FT_Y5)/12)+FT_AnnivDays+INT(MOD(AK11-FT_Y5,12)/FT_Int2))),IF(AF11="PT",IF(AK11&lt;PT_First,0,1+INT((AK11-PT_First)/PT_Int)),0))+IF(OR(AE11="",AE11&gt;PFYDate),0,IF(AG11="FT",IF(AJ11&lt;FT_First,0,IF(AJ11&lt;FT_Y5,1+INT((AJ11-FT_First)/FT_Int1),FT_PreY5+FT_PerYear*INT((AJ11-FT_Y5)/12)+FT_AnnivDays+INT(MOD(AJ11-FT_Y5,12)/FT_Int2))),IF(AG11="PT",IF(AJ11&lt;PT_First,0,1+INT((AJ11-PT_First)/PT_Int)),0))-IF(AG11="FT",IF(AK11&lt;FT_First,0,IF(AK11&lt;FT_Y5,1+INT((AK11-FT_First)/FT_Int1),FT_PreY5+FT_PerYear*INT((AK11-FT_Y5)/12)+FT_AnnivDays+INT(MOD(AK11-FT_Y5,12)/FT_Int2))),IF(AG11="PT",IF(AK11&lt;PT_First,0,1+INT((AK11-PT_First)/PT_Int)),0))))</f>
        <v>0</v>
      </c>
      <c r="AN11" s="12" t="n">
        <f aca="false">IF(AC11=0,"",IF(AG11="FT",IF(AH11&lt;FT_First,FT_First,IF(AH11&lt;FT_Y5,MIN(FT_Y5,FT_First+FT_Int1*(INT((AH11-FT_First)/FT_Int1)+1)),FT_Y5+12*INT((AH11-FT_Y5)/12)+FT_Int2*(INT(MOD(AH11-FT_Y5,12)/FT_Int2)+1))),IF(AG11="PT",IF(AH11&lt;PT_First,PT_First,PT_First+PT_Int*(INT((AH11-PT_First)/PT_Int)+1)),"")))</f>
        <v>36</v>
      </c>
      <c r="AO11" s="12" t="n">
        <f aca="false">IF(AC11=0,"",IF(NOT(CFY_Ready),0,COUNTIFS(INDEX(CFY_Data,0,CFY_ColFirst),$A11,INDEX(CFY_Data,0,CFY_ColSur),$B11,INDEX(CFY_Data,0,CFY_ColCat),BonusCat)))</f>
        <v>0</v>
      </c>
    </row>
    <row r="12" customFormat="false" ht="15" hidden="false" customHeight="false" outlineLevel="0" collapsed="false">
      <c r="A12" s="15"/>
      <c r="B12" s="15"/>
      <c r="C12" s="15"/>
      <c r="D12" s="16"/>
      <c r="E12" s="10" t="str">
        <f aca="false">IF(OR(AC12=0,$D12=""),"",DATE(YEAR(AsOfDate)+IF(DATE(YEAR(AsOfDate),MONTH($D12),DAY($D12))&lt;=AsOfDate,1,0),MONTH($D12),DAY($D12)))</f>
        <v/>
      </c>
      <c r="F12" s="16"/>
      <c r="G12" s="16"/>
      <c r="H12" s="16"/>
      <c r="I12" s="16"/>
      <c r="J12" s="10" t="str">
        <f aca="false">IF(AC12=0,"",DATE(YEAR(AsOfDate)+IF(DATE(YEAR(AsOfDate),MONTH($F12),DAY($F12))&lt;=AsOfDate,1,0),MONTH($F12),DAY($F12)))</f>
        <v/>
      </c>
      <c r="K12" s="11" t="str">
        <f aca="false">IF(AC12=0,"",ROUND((AsOfDate-$F12)/365.25,1))</f>
        <v/>
      </c>
      <c r="L12" s="12" t="str">
        <f aca="false">IF(AC12=0,"",IF(AsOfDate&lt;AD12,"-",DATEDIF(AD12,AsOfDate,"y")&amp;"y "&amp;DATEDIF(AD12,AsOfDate,"ym")&amp;"m "&amp;DATEDIF(AD12,AsOfDate,"md")&amp;"d"))</f>
        <v/>
      </c>
      <c r="M12" s="13" t="str">
        <f aca="false">IF(AC12=0,"",N12*HoursPerDay)</f>
        <v/>
      </c>
      <c r="N12" s="13" t="str">
        <f aca="false">IF(AC12=0,"",AL12)</f>
        <v/>
      </c>
      <c r="O12" s="17"/>
      <c r="P12" s="12" t="str">
        <f aca="false">IF(AC12=0,"",IF(AE12="","",IF($G12&lt;$H12,"Part-Time to Full-Time","Full-Time to Part-Time")&amp;" on "&amp;TEXT(AE12,"dd/mm/yyyy")&amp;IF(AE12&gt;AsOfDate," (future)",IF(AF12=AG12,"",IF(AG12="None"," - STOPPED accruing",IF(AF12="None"," - now qualifying"," - pathway changed"))))))</f>
        <v/>
      </c>
      <c r="Q12" s="12" t="str">
        <f aca="false">IF(AC12=0,"",IF(AG12="None",IF(N12&gt;0,"No longer accruing","Not eligible - "&amp;IF(AND($C12="Part-Time",N($O12)&lt;PT_MinHours,$O12&lt;&gt;""),"under "&amp;PT_MinHours&amp;" hrs",$C12)),IF(N12&gt;0,"Yes - accruing","Not yet - from "&amp;TEXT(R12,"dd/mm/yyyy"))))</f>
        <v/>
      </c>
      <c r="R12" s="10" t="str">
        <f aca="false">IF(AC12=0,"",IF(AG12="None","",EDATE(AD12,AN12)))</f>
        <v/>
      </c>
      <c r="S12" s="13" t="str">
        <f aca="false">IF(AC12=0,"",IF(NOT(PFY_Ready),"",SUMIFS(INDEX(PFY_Data,0,PFY_ColBal),INDEX(PFY_Data,0,PFY_ColFirst),$A12,INDEX(PFY_Data,0,PFY_ColSur),$B12,INDEX(PFY_Data,0,PFY_ColCat),BonusCat)))</f>
        <v/>
      </c>
      <c r="T12" s="17"/>
      <c r="U12" s="13" t="str">
        <f aca="false">IF(AC12=0,"",IF(NOT(CFY_Ready),"",SUMIFS(INDEX(CFY_Data,0,CFY_ColBal),INDEX(CFY_Data,0,CFY_ColFirst),$A12,INDEX(CFY_Data,0,CFY_ColSur),$B12,INDEX(CFY_Data,0,CFY_ColCat),BonusCat)))</f>
        <v/>
      </c>
      <c r="V12" s="13" t="str">
        <f aca="false">IF(AC12=0,"",IF(OR(NOT(CFY_Ready),CFY_ColAppr=0),"",SUMIFS(INDEX(CFY_Data,0,CFY_ColAppr),INDEX(CFY_Data,0,CFY_ColFirst),$A12,INDEX(CFY_Data,0,CFY_ColSur),$B12,INDEX(CFY_Data,0,CFY_ColCat),BonusCat)))</f>
        <v/>
      </c>
      <c r="W12" s="13" t="str">
        <f aca="false">IF(OR(AC12=0,S12="",U12=""),"",MAX(0,S12+N($T12)-U12))</f>
        <v/>
      </c>
      <c r="X12" s="13" t="str">
        <f aca="false">IF(AC12=0,"",(AL12-AM12)*HoursPerDay)</f>
        <v/>
      </c>
      <c r="Y12" s="13" t="str">
        <f aca="false">IF(AC12=0,"",X12-N($T12))</f>
        <v/>
      </c>
      <c r="Z12" s="12" t="str">
        <f aca="false">IF(AC12=0,"",IF(Y12&gt;0,"Yes","No"))</f>
        <v/>
      </c>
      <c r="AA12" s="12" t="str">
        <f aca="false">IF(AC12=0,"",IF(NOT(CFY_Ready),"Paste CFY EH export",IF(Y12&gt;0,"ACCRUE "&amp;TEXT(Y12,"0.##")&amp;" hrs ("&amp;TEXT(Y12/HoursPerDay,"0.##")&amp;" days)"&amp;IF(AO12=0," - no Bonus Leave line in EH yet",""),IF(Y12&lt;0,"CHECK - posted "&amp;TEXT(-Y12,"0.##")&amp;" hrs more than policy",IF(AND(N12&gt;0,AO12=0,U12=0),"CHECK - policy says "&amp;TEXT(M12,"0.##")&amp;" hrs to date but nothing in EH",IF(N12&gt;0,"OK","-"))))))</f>
        <v/>
      </c>
      <c r="AB12" s="13" t="str">
        <f aca="false">IF(OR(AC12=0,S12=""),"",AM12*HoursPerDay-S12)</f>
        <v/>
      </c>
      <c r="AC12" s="12" t="n">
        <f aca="false">IF(OR(LEN($A12&amp;$B12)=0,$F12=""),0,1)</f>
        <v>0</v>
      </c>
      <c r="AD12" s="10" t="str">
        <f aca="false">IF(AC12=0,"",IF($I12&lt;&gt;"",$I12,$F12))</f>
        <v/>
      </c>
      <c r="AE12" s="10" t="str">
        <f aca="false">IF(AC12=0,"",IF(AND($G12&lt;&gt;"",$H12&lt;&gt;"",$G12&lt;&gt;$H12),MAX($G12,$H12),""))</f>
        <v/>
      </c>
      <c r="AF12" s="12" t="str">
        <f aca="false">IF(AC12=0,"",IF(AE12="",AG12,IF(IF($G12&lt;$H12,"Part-Time","Full-Time")="Full-Time","FT",IF(AND(IF($G12&lt;$H12,"Part-Time","Full-Time")="Part-Time",OR($O12="",N($O12)&gt;=PT_MinHours)),"PT","None"))))</f>
        <v/>
      </c>
      <c r="AG12" s="12" t="str">
        <f aca="false">IF(AC12=0,"",IF($C12="Full-Time","FT",IF(AND($C12="Part-Time",OR($O12="",N($O12)&gt;=PT_MinHours)),"PT","None")))</f>
        <v/>
      </c>
      <c r="AH12" s="12" t="str">
        <f aca="false">IF(AC12=0,"",IF(AsOfDate&lt;AD12,-1,12*(YEAR(AsOfDate)-YEAR(AD12))+MONTH(AsOfDate)-MONTH(AD12)-IF(DAY(AsOfDate)&lt;MIN(DAY(AD12),DAY(EOMONTH(AsOfDate,0))),1,0)))</f>
        <v/>
      </c>
      <c r="AI12" s="12" t="str">
        <f aca="false">IF(AC12=0,"",IF(OR(AE12="",AE12&gt;AsOfDate),AH12,IF((AE12-1)&lt;AD12,-1,12*(YEAR((AE12-1))-YEAR(AD12))+MONTH((AE12-1))-MONTH(AD12)-IF(DAY((AE12-1))&lt;MIN(DAY(AD12),DAY(EOMONTH((AE12-1),0))),1,0))))</f>
        <v/>
      </c>
      <c r="AJ12" s="12" t="str">
        <f aca="false">IF(AC12=0,"",IF(PFYDate&lt;AD12,-1,12*(YEAR(PFYDate)-YEAR(AD12))+MONTH(PFYDate)-MONTH(AD12)-IF(DAY(PFYDate)&lt;MIN(DAY(AD12),DAY(EOMONTH(PFYDate,0))),1,0)))</f>
        <v/>
      </c>
      <c r="AK12" s="12" t="str">
        <f aca="false">IF(AC12=0,"",IF(OR(AE12="",AE12&gt;PFYDate),AJ12,IF((AE12-1)&lt;AD12,-1,12*(YEAR((AE12-1))-YEAR(AD12))+MONTH((AE12-1))-MONTH(AD12)-IF(DAY((AE12-1))&lt;MIN(DAY(AD12),DAY(EOMONTH((AE12-1),0))),1,0))))</f>
        <v/>
      </c>
      <c r="AL12" s="12" t="str">
        <f aca="false">IF(AC12=0,"",IF(AF12="FT",IF(AI12&lt;FT_First,0,IF(AI12&lt;FT_Y5,1+INT((AI12-FT_First)/FT_Int1),FT_PreY5+FT_PerYear*INT((AI12-FT_Y5)/12)+FT_AnnivDays+INT(MOD(AI12-FT_Y5,12)/FT_Int2))),IF(AF12="PT",IF(AI12&lt;PT_First,0,1+INT((AI12-PT_First)/PT_Int)),0))+IF(OR(AE12="",AE12&gt;AsOfDate),0,IF(AG12="FT",IF(AH12&lt;FT_First,0,IF(AH12&lt;FT_Y5,1+INT((AH12-FT_First)/FT_Int1),FT_PreY5+FT_PerYear*INT((AH12-FT_Y5)/12)+FT_AnnivDays+INT(MOD(AH12-FT_Y5,12)/FT_Int2))),IF(AG12="PT",IF(AH12&lt;PT_First,0,1+INT((AH12-PT_First)/PT_Int)),0))-IF(AG12="FT",IF(AI12&lt;FT_First,0,IF(AI12&lt;FT_Y5,1+INT((AI12-FT_First)/FT_Int1),FT_PreY5+FT_PerYear*INT((AI12-FT_Y5)/12)+FT_AnnivDays+INT(MOD(AI12-FT_Y5,12)/FT_Int2))),IF(AG12="PT",IF(AI12&lt;PT_First,0,1+INT((AI12-PT_First)/PT_Int)),0))))</f>
        <v/>
      </c>
      <c r="AM12" s="12" t="str">
        <f aca="false">IF(AC12=0,"",IF(AF12="FT",IF(AK12&lt;FT_First,0,IF(AK12&lt;FT_Y5,1+INT((AK12-FT_First)/FT_Int1),FT_PreY5+FT_PerYear*INT((AK12-FT_Y5)/12)+FT_AnnivDays+INT(MOD(AK12-FT_Y5,12)/FT_Int2))),IF(AF12="PT",IF(AK12&lt;PT_First,0,1+INT((AK12-PT_First)/PT_Int)),0))+IF(OR(AE12="",AE12&gt;PFYDate),0,IF(AG12="FT",IF(AJ12&lt;FT_First,0,IF(AJ12&lt;FT_Y5,1+INT((AJ12-FT_First)/FT_Int1),FT_PreY5+FT_PerYear*INT((AJ12-FT_Y5)/12)+FT_AnnivDays+INT(MOD(AJ12-FT_Y5,12)/FT_Int2))),IF(AG12="PT",IF(AJ12&lt;PT_First,0,1+INT((AJ12-PT_First)/PT_Int)),0))-IF(AG12="FT",IF(AK12&lt;FT_First,0,IF(AK12&lt;FT_Y5,1+INT((AK12-FT_First)/FT_Int1),FT_PreY5+FT_PerYear*INT((AK12-FT_Y5)/12)+FT_AnnivDays+INT(MOD(AK12-FT_Y5,12)/FT_Int2))),IF(AG12="PT",IF(AK12&lt;PT_First,0,1+INT((AK12-PT_First)/PT_Int)),0))))</f>
        <v/>
      </c>
      <c r="AN12" s="12" t="str">
        <f aca="false">IF(AC12=0,"",IF(AG12="FT",IF(AH12&lt;FT_First,FT_First,IF(AH12&lt;FT_Y5,MIN(FT_Y5,FT_First+FT_Int1*(INT((AH12-FT_First)/FT_Int1)+1)),FT_Y5+12*INT((AH12-FT_Y5)/12)+FT_Int2*(INT(MOD(AH12-FT_Y5,12)/FT_Int2)+1))),IF(AG12="PT",IF(AH12&lt;PT_First,PT_First,PT_First+PT_Int*(INT((AH12-PT_First)/PT_Int)+1)),"")))</f>
        <v/>
      </c>
      <c r="AO12" s="12" t="str">
        <f aca="false">IF(AC12=0,"",IF(NOT(CFY_Ready),0,COUNTIFS(INDEX(CFY_Data,0,CFY_ColFirst),$A12,INDEX(CFY_Data,0,CFY_ColSur),$B12,INDEX(CFY_Data,0,CFY_ColCat),BonusCat)))</f>
        <v/>
      </c>
    </row>
    <row r="13" customFormat="false" ht="15" hidden="false" customHeight="false" outlineLevel="0" collapsed="false">
      <c r="A13" s="15"/>
      <c r="B13" s="15"/>
      <c r="C13" s="15"/>
      <c r="D13" s="16"/>
      <c r="E13" s="10" t="str">
        <f aca="false">IF(OR(AC13=0,$D13=""),"",DATE(YEAR(AsOfDate)+IF(DATE(YEAR(AsOfDate),MONTH($D13),DAY($D13))&lt;=AsOfDate,1,0),MONTH($D13),DAY($D13)))</f>
        <v/>
      </c>
      <c r="F13" s="16"/>
      <c r="G13" s="16"/>
      <c r="H13" s="16"/>
      <c r="I13" s="16"/>
      <c r="J13" s="10" t="str">
        <f aca="false">IF(AC13=0,"",DATE(YEAR(AsOfDate)+IF(DATE(YEAR(AsOfDate),MONTH($F13),DAY($F13))&lt;=AsOfDate,1,0),MONTH($F13),DAY($F13)))</f>
        <v/>
      </c>
      <c r="K13" s="11" t="str">
        <f aca="false">IF(AC13=0,"",ROUND((AsOfDate-$F13)/365.25,1))</f>
        <v/>
      </c>
      <c r="L13" s="12" t="str">
        <f aca="false">IF(AC13=0,"",IF(AsOfDate&lt;AD13,"-",DATEDIF(AD13,AsOfDate,"y")&amp;"y "&amp;DATEDIF(AD13,AsOfDate,"ym")&amp;"m "&amp;DATEDIF(AD13,AsOfDate,"md")&amp;"d"))</f>
        <v/>
      </c>
      <c r="M13" s="13" t="str">
        <f aca="false">IF(AC13=0,"",N13*HoursPerDay)</f>
        <v/>
      </c>
      <c r="N13" s="13" t="str">
        <f aca="false">IF(AC13=0,"",AL13)</f>
        <v/>
      </c>
      <c r="O13" s="17"/>
      <c r="P13" s="12" t="str">
        <f aca="false">IF(AC13=0,"",IF(AE13="","",IF($G13&lt;$H13,"Part-Time to Full-Time","Full-Time to Part-Time")&amp;" on "&amp;TEXT(AE13,"dd/mm/yyyy")&amp;IF(AE13&gt;AsOfDate," (future)",IF(AF13=AG13,"",IF(AG13="None"," - STOPPED accruing",IF(AF13="None"," - now qualifying"," - pathway changed"))))))</f>
        <v/>
      </c>
      <c r="Q13" s="12" t="str">
        <f aca="false">IF(AC13=0,"",IF(AG13="None",IF(N13&gt;0,"No longer accruing","Not eligible - "&amp;IF(AND($C13="Part-Time",N($O13)&lt;PT_MinHours,$O13&lt;&gt;""),"under "&amp;PT_MinHours&amp;" hrs",$C13)),IF(N13&gt;0,"Yes - accruing","Not yet - from "&amp;TEXT(R13,"dd/mm/yyyy"))))</f>
        <v/>
      </c>
      <c r="R13" s="10" t="str">
        <f aca="false">IF(AC13=0,"",IF(AG13="None","",EDATE(AD13,AN13)))</f>
        <v/>
      </c>
      <c r="S13" s="13" t="str">
        <f aca="false">IF(AC13=0,"",IF(NOT(PFY_Ready),"",SUMIFS(INDEX(PFY_Data,0,PFY_ColBal),INDEX(PFY_Data,0,PFY_ColFirst),$A13,INDEX(PFY_Data,0,PFY_ColSur),$B13,INDEX(PFY_Data,0,PFY_ColCat),BonusCat)))</f>
        <v/>
      </c>
      <c r="T13" s="17"/>
      <c r="U13" s="13" t="str">
        <f aca="false">IF(AC13=0,"",IF(NOT(CFY_Ready),"",SUMIFS(INDEX(CFY_Data,0,CFY_ColBal),INDEX(CFY_Data,0,CFY_ColFirst),$A13,INDEX(CFY_Data,0,CFY_ColSur),$B13,INDEX(CFY_Data,0,CFY_ColCat),BonusCat)))</f>
        <v/>
      </c>
      <c r="V13" s="13" t="str">
        <f aca="false">IF(AC13=0,"",IF(OR(NOT(CFY_Ready),CFY_ColAppr=0),"",SUMIFS(INDEX(CFY_Data,0,CFY_ColAppr),INDEX(CFY_Data,0,CFY_ColFirst),$A13,INDEX(CFY_Data,0,CFY_ColSur),$B13,INDEX(CFY_Data,0,CFY_ColCat),BonusCat)))</f>
        <v/>
      </c>
      <c r="W13" s="13" t="str">
        <f aca="false">IF(OR(AC13=0,S13="",U13=""),"",MAX(0,S13+N($T13)-U13))</f>
        <v/>
      </c>
      <c r="X13" s="13" t="str">
        <f aca="false">IF(AC13=0,"",(AL13-AM13)*HoursPerDay)</f>
        <v/>
      </c>
      <c r="Y13" s="13" t="str">
        <f aca="false">IF(AC13=0,"",X13-N($T13))</f>
        <v/>
      </c>
      <c r="Z13" s="12" t="str">
        <f aca="false">IF(AC13=0,"",IF(Y13&gt;0,"Yes","No"))</f>
        <v/>
      </c>
      <c r="AA13" s="12" t="str">
        <f aca="false">IF(AC13=0,"",IF(NOT(CFY_Ready),"Paste CFY EH export",IF(Y13&gt;0,"ACCRUE "&amp;TEXT(Y13,"0.##")&amp;" hrs ("&amp;TEXT(Y13/HoursPerDay,"0.##")&amp;" days)"&amp;IF(AO13=0," - no Bonus Leave line in EH yet",""),IF(Y13&lt;0,"CHECK - posted "&amp;TEXT(-Y13,"0.##")&amp;" hrs more than policy",IF(AND(N13&gt;0,AO13=0,U13=0),"CHECK - policy says "&amp;TEXT(M13,"0.##")&amp;" hrs to date but nothing in EH",IF(N13&gt;0,"OK","-"))))))</f>
        <v/>
      </c>
      <c r="AB13" s="13" t="str">
        <f aca="false">IF(OR(AC13=0,S13=""),"",AM13*HoursPerDay-S13)</f>
        <v/>
      </c>
      <c r="AC13" s="12" t="n">
        <f aca="false">IF(OR(LEN($A13&amp;$B13)=0,$F13=""),0,1)</f>
        <v>0</v>
      </c>
      <c r="AD13" s="10" t="str">
        <f aca="false">IF(AC13=0,"",IF($I13&lt;&gt;"",$I13,$F13))</f>
        <v/>
      </c>
      <c r="AE13" s="10" t="str">
        <f aca="false">IF(AC13=0,"",IF(AND($G13&lt;&gt;"",$H13&lt;&gt;"",$G13&lt;&gt;$H13),MAX($G13,$H13),""))</f>
        <v/>
      </c>
      <c r="AF13" s="12" t="str">
        <f aca="false">IF(AC13=0,"",IF(AE13="",AG13,IF(IF($G13&lt;$H13,"Part-Time","Full-Time")="Full-Time","FT",IF(AND(IF($G13&lt;$H13,"Part-Time","Full-Time")="Part-Time",OR($O13="",N($O13)&gt;=PT_MinHours)),"PT","None"))))</f>
        <v/>
      </c>
      <c r="AG13" s="12" t="str">
        <f aca="false">IF(AC13=0,"",IF($C13="Full-Time","FT",IF(AND($C13="Part-Time",OR($O13="",N($O13)&gt;=PT_MinHours)),"PT","None")))</f>
        <v/>
      </c>
      <c r="AH13" s="12" t="str">
        <f aca="false">IF(AC13=0,"",IF(AsOfDate&lt;AD13,-1,12*(YEAR(AsOfDate)-YEAR(AD13))+MONTH(AsOfDate)-MONTH(AD13)-IF(DAY(AsOfDate)&lt;MIN(DAY(AD13),DAY(EOMONTH(AsOfDate,0))),1,0)))</f>
        <v/>
      </c>
      <c r="AI13" s="12" t="str">
        <f aca="false">IF(AC13=0,"",IF(OR(AE13="",AE13&gt;AsOfDate),AH13,IF((AE13-1)&lt;AD13,-1,12*(YEAR((AE13-1))-YEAR(AD13))+MONTH((AE13-1))-MONTH(AD13)-IF(DAY((AE13-1))&lt;MIN(DAY(AD13),DAY(EOMONTH((AE13-1),0))),1,0))))</f>
        <v/>
      </c>
      <c r="AJ13" s="12" t="str">
        <f aca="false">IF(AC13=0,"",IF(PFYDate&lt;AD13,-1,12*(YEAR(PFYDate)-YEAR(AD13))+MONTH(PFYDate)-MONTH(AD13)-IF(DAY(PFYDate)&lt;MIN(DAY(AD13),DAY(EOMONTH(PFYDate,0))),1,0)))</f>
        <v/>
      </c>
      <c r="AK13" s="12" t="str">
        <f aca="false">IF(AC13=0,"",IF(OR(AE13="",AE13&gt;PFYDate),AJ13,IF((AE13-1)&lt;AD13,-1,12*(YEAR((AE13-1))-YEAR(AD13))+MONTH((AE13-1))-MONTH(AD13)-IF(DAY((AE13-1))&lt;MIN(DAY(AD13),DAY(EOMONTH((AE13-1),0))),1,0))))</f>
        <v/>
      </c>
      <c r="AL13" s="12" t="str">
        <f aca="false">IF(AC13=0,"",IF(AF13="FT",IF(AI13&lt;FT_First,0,IF(AI13&lt;FT_Y5,1+INT((AI13-FT_First)/FT_Int1),FT_PreY5+FT_PerYear*INT((AI13-FT_Y5)/12)+FT_AnnivDays+INT(MOD(AI13-FT_Y5,12)/FT_Int2))),IF(AF13="PT",IF(AI13&lt;PT_First,0,1+INT((AI13-PT_First)/PT_Int)),0))+IF(OR(AE13="",AE13&gt;AsOfDate),0,IF(AG13="FT",IF(AH13&lt;FT_First,0,IF(AH13&lt;FT_Y5,1+INT((AH13-FT_First)/FT_Int1),FT_PreY5+FT_PerYear*INT((AH13-FT_Y5)/12)+FT_AnnivDays+INT(MOD(AH13-FT_Y5,12)/FT_Int2))),IF(AG13="PT",IF(AH13&lt;PT_First,0,1+INT((AH13-PT_First)/PT_Int)),0))-IF(AG13="FT",IF(AI13&lt;FT_First,0,IF(AI13&lt;FT_Y5,1+INT((AI13-FT_First)/FT_Int1),FT_PreY5+FT_PerYear*INT((AI13-FT_Y5)/12)+FT_AnnivDays+INT(MOD(AI13-FT_Y5,12)/FT_Int2))),IF(AG13="PT",IF(AI13&lt;PT_First,0,1+INT((AI13-PT_First)/PT_Int)),0))))</f>
        <v/>
      </c>
      <c r="AM13" s="12" t="str">
        <f aca="false">IF(AC13=0,"",IF(AF13="FT",IF(AK13&lt;FT_First,0,IF(AK13&lt;FT_Y5,1+INT((AK13-FT_First)/FT_Int1),FT_PreY5+FT_PerYear*INT((AK13-FT_Y5)/12)+FT_AnnivDays+INT(MOD(AK13-FT_Y5,12)/FT_Int2))),IF(AF13="PT",IF(AK13&lt;PT_First,0,1+INT((AK13-PT_First)/PT_Int)),0))+IF(OR(AE13="",AE13&gt;PFYDate),0,IF(AG13="FT",IF(AJ13&lt;FT_First,0,IF(AJ13&lt;FT_Y5,1+INT((AJ13-FT_First)/FT_Int1),FT_PreY5+FT_PerYear*INT((AJ13-FT_Y5)/12)+FT_AnnivDays+INT(MOD(AJ13-FT_Y5,12)/FT_Int2))),IF(AG13="PT",IF(AJ13&lt;PT_First,0,1+INT((AJ13-PT_First)/PT_Int)),0))-IF(AG13="FT",IF(AK13&lt;FT_First,0,IF(AK13&lt;FT_Y5,1+INT((AK13-FT_First)/FT_Int1),FT_PreY5+FT_PerYear*INT((AK13-FT_Y5)/12)+FT_AnnivDays+INT(MOD(AK13-FT_Y5,12)/FT_Int2))),IF(AG13="PT",IF(AK13&lt;PT_First,0,1+INT((AK13-PT_First)/PT_Int)),0))))</f>
        <v/>
      </c>
      <c r="AN13" s="12" t="str">
        <f aca="false">IF(AC13=0,"",IF(AG13="FT",IF(AH13&lt;FT_First,FT_First,IF(AH13&lt;FT_Y5,MIN(FT_Y5,FT_First+FT_Int1*(INT((AH13-FT_First)/FT_Int1)+1)),FT_Y5+12*INT((AH13-FT_Y5)/12)+FT_Int2*(INT(MOD(AH13-FT_Y5,12)/FT_Int2)+1))),IF(AG13="PT",IF(AH13&lt;PT_First,PT_First,PT_First+PT_Int*(INT((AH13-PT_First)/PT_Int)+1)),"")))</f>
        <v/>
      </c>
      <c r="AO13" s="12" t="str">
        <f aca="false">IF(AC13=0,"",IF(NOT(CFY_Ready),0,COUNTIFS(INDEX(CFY_Data,0,CFY_ColFirst),$A13,INDEX(CFY_Data,0,CFY_ColSur),$B13,INDEX(CFY_Data,0,CFY_ColCat),BonusCat)))</f>
        <v/>
      </c>
    </row>
    <row r="14" customFormat="false" ht="15" hidden="false" customHeight="false" outlineLevel="0" collapsed="false">
      <c r="A14" s="15"/>
      <c r="B14" s="15"/>
      <c r="C14" s="15"/>
      <c r="D14" s="16"/>
      <c r="E14" s="10" t="str">
        <f aca="false">IF(OR(AC14=0,$D14=""),"",DATE(YEAR(AsOfDate)+IF(DATE(YEAR(AsOfDate),MONTH($D14),DAY($D14))&lt;=AsOfDate,1,0),MONTH($D14),DAY($D14)))</f>
        <v/>
      </c>
      <c r="F14" s="16"/>
      <c r="G14" s="16"/>
      <c r="H14" s="16"/>
      <c r="I14" s="16"/>
      <c r="J14" s="10" t="str">
        <f aca="false">IF(AC14=0,"",DATE(YEAR(AsOfDate)+IF(DATE(YEAR(AsOfDate),MONTH($F14),DAY($F14))&lt;=AsOfDate,1,0),MONTH($F14),DAY($F14)))</f>
        <v/>
      </c>
      <c r="K14" s="11" t="str">
        <f aca="false">IF(AC14=0,"",ROUND((AsOfDate-$F14)/365.25,1))</f>
        <v/>
      </c>
      <c r="L14" s="12" t="str">
        <f aca="false">IF(AC14=0,"",IF(AsOfDate&lt;AD14,"-",DATEDIF(AD14,AsOfDate,"y")&amp;"y "&amp;DATEDIF(AD14,AsOfDate,"ym")&amp;"m "&amp;DATEDIF(AD14,AsOfDate,"md")&amp;"d"))</f>
        <v/>
      </c>
      <c r="M14" s="13" t="str">
        <f aca="false">IF(AC14=0,"",N14*HoursPerDay)</f>
        <v/>
      </c>
      <c r="N14" s="13" t="str">
        <f aca="false">IF(AC14=0,"",AL14)</f>
        <v/>
      </c>
      <c r="O14" s="17"/>
      <c r="P14" s="12" t="str">
        <f aca="false">IF(AC14=0,"",IF(AE14="","",IF($G14&lt;$H14,"Part-Time to Full-Time","Full-Time to Part-Time")&amp;" on "&amp;TEXT(AE14,"dd/mm/yyyy")&amp;IF(AE14&gt;AsOfDate," (future)",IF(AF14=AG14,"",IF(AG14="None"," - STOPPED accruing",IF(AF14="None"," - now qualifying"," - pathway changed"))))))</f>
        <v/>
      </c>
      <c r="Q14" s="12" t="str">
        <f aca="false">IF(AC14=0,"",IF(AG14="None",IF(N14&gt;0,"No longer accruing","Not eligible - "&amp;IF(AND($C14="Part-Time",N($O14)&lt;PT_MinHours,$O14&lt;&gt;""),"under "&amp;PT_MinHours&amp;" hrs",$C14)),IF(N14&gt;0,"Yes - accruing","Not yet - from "&amp;TEXT(R14,"dd/mm/yyyy"))))</f>
        <v/>
      </c>
      <c r="R14" s="10" t="str">
        <f aca="false">IF(AC14=0,"",IF(AG14="None","",EDATE(AD14,AN14)))</f>
        <v/>
      </c>
      <c r="S14" s="13" t="str">
        <f aca="false">IF(AC14=0,"",IF(NOT(PFY_Ready),"",SUMIFS(INDEX(PFY_Data,0,PFY_ColBal),INDEX(PFY_Data,0,PFY_ColFirst),$A14,INDEX(PFY_Data,0,PFY_ColSur),$B14,INDEX(PFY_Data,0,PFY_ColCat),BonusCat)))</f>
        <v/>
      </c>
      <c r="T14" s="17"/>
      <c r="U14" s="13" t="str">
        <f aca="false">IF(AC14=0,"",IF(NOT(CFY_Ready),"",SUMIFS(INDEX(CFY_Data,0,CFY_ColBal),INDEX(CFY_Data,0,CFY_ColFirst),$A14,INDEX(CFY_Data,0,CFY_ColSur),$B14,INDEX(CFY_Data,0,CFY_ColCat),BonusCat)))</f>
        <v/>
      </c>
      <c r="V14" s="13" t="str">
        <f aca="false">IF(AC14=0,"",IF(OR(NOT(CFY_Ready),CFY_ColAppr=0),"",SUMIFS(INDEX(CFY_Data,0,CFY_ColAppr),INDEX(CFY_Data,0,CFY_ColFirst),$A14,INDEX(CFY_Data,0,CFY_ColSur),$B14,INDEX(CFY_Data,0,CFY_ColCat),BonusCat)))</f>
        <v/>
      </c>
      <c r="W14" s="13" t="str">
        <f aca="false">IF(OR(AC14=0,S14="",U14=""),"",MAX(0,S14+N($T14)-U14))</f>
        <v/>
      </c>
      <c r="X14" s="13" t="str">
        <f aca="false">IF(AC14=0,"",(AL14-AM14)*HoursPerDay)</f>
        <v/>
      </c>
      <c r="Y14" s="13" t="str">
        <f aca="false">IF(AC14=0,"",X14-N($T14))</f>
        <v/>
      </c>
      <c r="Z14" s="12" t="str">
        <f aca="false">IF(AC14=0,"",IF(Y14&gt;0,"Yes","No"))</f>
        <v/>
      </c>
      <c r="AA14" s="12" t="str">
        <f aca="false">IF(AC14=0,"",IF(NOT(CFY_Ready),"Paste CFY EH export",IF(Y14&gt;0,"ACCRUE "&amp;TEXT(Y14,"0.##")&amp;" hrs ("&amp;TEXT(Y14/HoursPerDay,"0.##")&amp;" days)"&amp;IF(AO14=0," - no Bonus Leave line in EH yet",""),IF(Y14&lt;0,"CHECK - posted "&amp;TEXT(-Y14,"0.##")&amp;" hrs more than policy",IF(AND(N14&gt;0,AO14=0,U14=0),"CHECK - policy says "&amp;TEXT(M14,"0.##")&amp;" hrs to date but nothing in EH",IF(N14&gt;0,"OK","-"))))))</f>
        <v/>
      </c>
      <c r="AB14" s="13" t="str">
        <f aca="false">IF(OR(AC14=0,S14=""),"",AM14*HoursPerDay-S14)</f>
        <v/>
      </c>
      <c r="AC14" s="12" t="n">
        <f aca="false">IF(OR(LEN($A14&amp;$B14)=0,$F14=""),0,1)</f>
        <v>0</v>
      </c>
      <c r="AD14" s="10" t="str">
        <f aca="false">IF(AC14=0,"",IF($I14&lt;&gt;"",$I14,$F14))</f>
        <v/>
      </c>
      <c r="AE14" s="10" t="str">
        <f aca="false">IF(AC14=0,"",IF(AND($G14&lt;&gt;"",$H14&lt;&gt;"",$G14&lt;&gt;$H14),MAX($G14,$H14),""))</f>
        <v/>
      </c>
      <c r="AF14" s="12" t="str">
        <f aca="false">IF(AC14=0,"",IF(AE14="",AG14,IF(IF($G14&lt;$H14,"Part-Time","Full-Time")="Full-Time","FT",IF(AND(IF($G14&lt;$H14,"Part-Time","Full-Time")="Part-Time",OR($O14="",N($O14)&gt;=PT_MinHours)),"PT","None"))))</f>
        <v/>
      </c>
      <c r="AG14" s="12" t="str">
        <f aca="false">IF(AC14=0,"",IF($C14="Full-Time","FT",IF(AND($C14="Part-Time",OR($O14="",N($O14)&gt;=PT_MinHours)),"PT","None")))</f>
        <v/>
      </c>
      <c r="AH14" s="12" t="str">
        <f aca="false">IF(AC14=0,"",IF(AsOfDate&lt;AD14,-1,12*(YEAR(AsOfDate)-YEAR(AD14))+MONTH(AsOfDate)-MONTH(AD14)-IF(DAY(AsOfDate)&lt;MIN(DAY(AD14),DAY(EOMONTH(AsOfDate,0))),1,0)))</f>
        <v/>
      </c>
      <c r="AI14" s="12" t="str">
        <f aca="false">IF(AC14=0,"",IF(OR(AE14="",AE14&gt;AsOfDate),AH14,IF((AE14-1)&lt;AD14,-1,12*(YEAR((AE14-1))-YEAR(AD14))+MONTH((AE14-1))-MONTH(AD14)-IF(DAY((AE14-1))&lt;MIN(DAY(AD14),DAY(EOMONTH((AE14-1),0))),1,0))))</f>
        <v/>
      </c>
      <c r="AJ14" s="12" t="str">
        <f aca="false">IF(AC14=0,"",IF(PFYDate&lt;AD14,-1,12*(YEAR(PFYDate)-YEAR(AD14))+MONTH(PFYDate)-MONTH(AD14)-IF(DAY(PFYDate)&lt;MIN(DAY(AD14),DAY(EOMONTH(PFYDate,0))),1,0)))</f>
        <v/>
      </c>
      <c r="AK14" s="12" t="str">
        <f aca="false">IF(AC14=0,"",IF(OR(AE14="",AE14&gt;PFYDate),AJ14,IF((AE14-1)&lt;AD14,-1,12*(YEAR((AE14-1))-YEAR(AD14))+MONTH((AE14-1))-MONTH(AD14)-IF(DAY((AE14-1))&lt;MIN(DAY(AD14),DAY(EOMONTH((AE14-1),0))),1,0))))</f>
        <v/>
      </c>
      <c r="AL14" s="12" t="str">
        <f aca="false">IF(AC14=0,"",IF(AF14="FT",IF(AI14&lt;FT_First,0,IF(AI14&lt;FT_Y5,1+INT((AI14-FT_First)/FT_Int1),FT_PreY5+FT_PerYear*INT((AI14-FT_Y5)/12)+FT_AnnivDays+INT(MOD(AI14-FT_Y5,12)/FT_Int2))),IF(AF14="PT",IF(AI14&lt;PT_First,0,1+INT((AI14-PT_First)/PT_Int)),0))+IF(OR(AE14="",AE14&gt;AsOfDate),0,IF(AG14="FT",IF(AH14&lt;FT_First,0,IF(AH14&lt;FT_Y5,1+INT((AH14-FT_First)/FT_Int1),FT_PreY5+FT_PerYear*INT((AH14-FT_Y5)/12)+FT_AnnivDays+INT(MOD(AH14-FT_Y5,12)/FT_Int2))),IF(AG14="PT",IF(AH14&lt;PT_First,0,1+INT((AH14-PT_First)/PT_Int)),0))-IF(AG14="FT",IF(AI14&lt;FT_First,0,IF(AI14&lt;FT_Y5,1+INT((AI14-FT_First)/FT_Int1),FT_PreY5+FT_PerYear*INT((AI14-FT_Y5)/12)+FT_AnnivDays+INT(MOD(AI14-FT_Y5,12)/FT_Int2))),IF(AG14="PT",IF(AI14&lt;PT_First,0,1+INT((AI14-PT_First)/PT_Int)),0))))</f>
        <v/>
      </c>
      <c r="AM14" s="12" t="str">
        <f aca="false">IF(AC14=0,"",IF(AF14="FT",IF(AK14&lt;FT_First,0,IF(AK14&lt;FT_Y5,1+INT((AK14-FT_First)/FT_Int1),FT_PreY5+FT_PerYear*INT((AK14-FT_Y5)/12)+FT_AnnivDays+INT(MOD(AK14-FT_Y5,12)/FT_Int2))),IF(AF14="PT",IF(AK14&lt;PT_First,0,1+INT((AK14-PT_First)/PT_Int)),0))+IF(OR(AE14="",AE14&gt;PFYDate),0,IF(AG14="FT",IF(AJ14&lt;FT_First,0,IF(AJ14&lt;FT_Y5,1+INT((AJ14-FT_First)/FT_Int1),FT_PreY5+FT_PerYear*INT((AJ14-FT_Y5)/12)+FT_AnnivDays+INT(MOD(AJ14-FT_Y5,12)/FT_Int2))),IF(AG14="PT",IF(AJ14&lt;PT_First,0,1+INT((AJ14-PT_First)/PT_Int)),0))-IF(AG14="FT",IF(AK14&lt;FT_First,0,IF(AK14&lt;FT_Y5,1+INT((AK14-FT_First)/FT_Int1),FT_PreY5+FT_PerYear*INT((AK14-FT_Y5)/12)+FT_AnnivDays+INT(MOD(AK14-FT_Y5,12)/FT_Int2))),IF(AG14="PT",IF(AK14&lt;PT_First,0,1+INT((AK14-PT_First)/PT_Int)),0))))</f>
        <v/>
      </c>
      <c r="AN14" s="12" t="str">
        <f aca="false">IF(AC14=0,"",IF(AG14="FT",IF(AH14&lt;FT_First,FT_First,IF(AH14&lt;FT_Y5,MIN(FT_Y5,FT_First+FT_Int1*(INT((AH14-FT_First)/FT_Int1)+1)),FT_Y5+12*INT((AH14-FT_Y5)/12)+FT_Int2*(INT(MOD(AH14-FT_Y5,12)/FT_Int2)+1))),IF(AG14="PT",IF(AH14&lt;PT_First,PT_First,PT_First+PT_Int*(INT((AH14-PT_First)/PT_Int)+1)),"")))</f>
        <v/>
      </c>
      <c r="AO14" s="12" t="str">
        <f aca="false">IF(AC14=0,"",IF(NOT(CFY_Ready),0,COUNTIFS(INDEX(CFY_Data,0,CFY_ColFirst),$A14,INDEX(CFY_Data,0,CFY_ColSur),$B14,INDEX(CFY_Data,0,CFY_ColCat),BonusCat)))</f>
        <v/>
      </c>
    </row>
    <row r="15" customFormat="false" ht="15" hidden="false" customHeight="false" outlineLevel="0" collapsed="false">
      <c r="A15" s="15"/>
      <c r="B15" s="15"/>
      <c r="C15" s="15"/>
      <c r="D15" s="16"/>
      <c r="E15" s="10" t="str">
        <f aca="false">IF(OR(AC15=0,$D15=""),"",DATE(YEAR(AsOfDate)+IF(DATE(YEAR(AsOfDate),MONTH($D15),DAY($D15))&lt;=AsOfDate,1,0),MONTH($D15),DAY($D15)))</f>
        <v/>
      </c>
      <c r="F15" s="16"/>
      <c r="G15" s="16"/>
      <c r="H15" s="16"/>
      <c r="I15" s="16"/>
      <c r="J15" s="10" t="str">
        <f aca="false">IF(AC15=0,"",DATE(YEAR(AsOfDate)+IF(DATE(YEAR(AsOfDate),MONTH($F15),DAY($F15))&lt;=AsOfDate,1,0),MONTH($F15),DAY($F15)))</f>
        <v/>
      </c>
      <c r="K15" s="11" t="str">
        <f aca="false">IF(AC15=0,"",ROUND((AsOfDate-$F15)/365.25,1))</f>
        <v/>
      </c>
      <c r="L15" s="12" t="str">
        <f aca="false">IF(AC15=0,"",IF(AsOfDate&lt;AD15,"-",DATEDIF(AD15,AsOfDate,"y")&amp;"y "&amp;DATEDIF(AD15,AsOfDate,"ym")&amp;"m "&amp;DATEDIF(AD15,AsOfDate,"md")&amp;"d"))</f>
        <v/>
      </c>
      <c r="M15" s="13" t="str">
        <f aca="false">IF(AC15=0,"",N15*HoursPerDay)</f>
        <v/>
      </c>
      <c r="N15" s="13" t="str">
        <f aca="false">IF(AC15=0,"",AL15)</f>
        <v/>
      </c>
      <c r="O15" s="17"/>
      <c r="P15" s="12" t="str">
        <f aca="false">IF(AC15=0,"",IF(AE15="","",IF($G15&lt;$H15,"Part-Time to Full-Time","Full-Time to Part-Time")&amp;" on "&amp;TEXT(AE15,"dd/mm/yyyy")&amp;IF(AE15&gt;AsOfDate," (future)",IF(AF15=AG15,"",IF(AG15="None"," - STOPPED accruing",IF(AF15="None"," - now qualifying"," - pathway changed"))))))</f>
        <v/>
      </c>
      <c r="Q15" s="12" t="str">
        <f aca="false">IF(AC15=0,"",IF(AG15="None",IF(N15&gt;0,"No longer accruing","Not eligible - "&amp;IF(AND($C15="Part-Time",N($O15)&lt;PT_MinHours,$O15&lt;&gt;""),"under "&amp;PT_MinHours&amp;" hrs",$C15)),IF(N15&gt;0,"Yes - accruing","Not yet - from "&amp;TEXT(R15,"dd/mm/yyyy"))))</f>
        <v/>
      </c>
      <c r="R15" s="10" t="str">
        <f aca="false">IF(AC15=0,"",IF(AG15="None","",EDATE(AD15,AN15)))</f>
        <v/>
      </c>
      <c r="S15" s="13" t="str">
        <f aca="false">IF(AC15=0,"",IF(NOT(PFY_Ready),"",SUMIFS(INDEX(PFY_Data,0,PFY_ColBal),INDEX(PFY_Data,0,PFY_ColFirst),$A15,INDEX(PFY_Data,0,PFY_ColSur),$B15,INDEX(PFY_Data,0,PFY_ColCat),BonusCat)))</f>
        <v/>
      </c>
      <c r="T15" s="17"/>
      <c r="U15" s="13" t="str">
        <f aca="false">IF(AC15=0,"",IF(NOT(CFY_Ready),"",SUMIFS(INDEX(CFY_Data,0,CFY_ColBal),INDEX(CFY_Data,0,CFY_ColFirst),$A15,INDEX(CFY_Data,0,CFY_ColSur),$B15,INDEX(CFY_Data,0,CFY_ColCat),BonusCat)))</f>
        <v/>
      </c>
      <c r="V15" s="13" t="str">
        <f aca="false">IF(AC15=0,"",IF(OR(NOT(CFY_Ready),CFY_ColAppr=0),"",SUMIFS(INDEX(CFY_Data,0,CFY_ColAppr),INDEX(CFY_Data,0,CFY_ColFirst),$A15,INDEX(CFY_Data,0,CFY_ColSur),$B15,INDEX(CFY_Data,0,CFY_ColCat),BonusCat)))</f>
        <v/>
      </c>
      <c r="W15" s="13" t="str">
        <f aca="false">IF(OR(AC15=0,S15="",U15=""),"",MAX(0,S15+N($T15)-U15))</f>
        <v/>
      </c>
      <c r="X15" s="13" t="str">
        <f aca="false">IF(AC15=0,"",(AL15-AM15)*HoursPerDay)</f>
        <v/>
      </c>
      <c r="Y15" s="13" t="str">
        <f aca="false">IF(AC15=0,"",X15-N($T15))</f>
        <v/>
      </c>
      <c r="Z15" s="12" t="str">
        <f aca="false">IF(AC15=0,"",IF(Y15&gt;0,"Yes","No"))</f>
        <v/>
      </c>
      <c r="AA15" s="12" t="str">
        <f aca="false">IF(AC15=0,"",IF(NOT(CFY_Ready),"Paste CFY EH export",IF(Y15&gt;0,"ACCRUE "&amp;TEXT(Y15,"0.##")&amp;" hrs ("&amp;TEXT(Y15/HoursPerDay,"0.##")&amp;" days)"&amp;IF(AO15=0," - no Bonus Leave line in EH yet",""),IF(Y15&lt;0,"CHECK - posted "&amp;TEXT(-Y15,"0.##")&amp;" hrs more than policy",IF(AND(N15&gt;0,AO15=0,U15=0),"CHECK - policy says "&amp;TEXT(M15,"0.##")&amp;" hrs to date but nothing in EH",IF(N15&gt;0,"OK","-"))))))</f>
        <v/>
      </c>
      <c r="AB15" s="13" t="str">
        <f aca="false">IF(OR(AC15=0,S15=""),"",AM15*HoursPerDay-S15)</f>
        <v/>
      </c>
      <c r="AC15" s="12" t="n">
        <f aca="false">IF(OR(LEN($A15&amp;$B15)=0,$F15=""),0,1)</f>
        <v>0</v>
      </c>
      <c r="AD15" s="10" t="str">
        <f aca="false">IF(AC15=0,"",IF($I15&lt;&gt;"",$I15,$F15))</f>
        <v/>
      </c>
      <c r="AE15" s="10" t="str">
        <f aca="false">IF(AC15=0,"",IF(AND($G15&lt;&gt;"",$H15&lt;&gt;"",$G15&lt;&gt;$H15),MAX($G15,$H15),""))</f>
        <v/>
      </c>
      <c r="AF15" s="12" t="str">
        <f aca="false">IF(AC15=0,"",IF(AE15="",AG15,IF(IF($G15&lt;$H15,"Part-Time","Full-Time")="Full-Time","FT",IF(AND(IF($G15&lt;$H15,"Part-Time","Full-Time")="Part-Time",OR($O15="",N($O15)&gt;=PT_MinHours)),"PT","None"))))</f>
        <v/>
      </c>
      <c r="AG15" s="12" t="str">
        <f aca="false">IF(AC15=0,"",IF($C15="Full-Time","FT",IF(AND($C15="Part-Time",OR($O15="",N($O15)&gt;=PT_MinHours)),"PT","None")))</f>
        <v/>
      </c>
      <c r="AH15" s="12" t="str">
        <f aca="false">IF(AC15=0,"",IF(AsOfDate&lt;AD15,-1,12*(YEAR(AsOfDate)-YEAR(AD15))+MONTH(AsOfDate)-MONTH(AD15)-IF(DAY(AsOfDate)&lt;MIN(DAY(AD15),DAY(EOMONTH(AsOfDate,0))),1,0)))</f>
        <v/>
      </c>
      <c r="AI15" s="12" t="str">
        <f aca="false">IF(AC15=0,"",IF(OR(AE15="",AE15&gt;AsOfDate),AH15,IF((AE15-1)&lt;AD15,-1,12*(YEAR((AE15-1))-YEAR(AD15))+MONTH((AE15-1))-MONTH(AD15)-IF(DAY((AE15-1))&lt;MIN(DAY(AD15),DAY(EOMONTH((AE15-1),0))),1,0))))</f>
        <v/>
      </c>
      <c r="AJ15" s="12" t="str">
        <f aca="false">IF(AC15=0,"",IF(PFYDate&lt;AD15,-1,12*(YEAR(PFYDate)-YEAR(AD15))+MONTH(PFYDate)-MONTH(AD15)-IF(DAY(PFYDate)&lt;MIN(DAY(AD15),DAY(EOMONTH(PFYDate,0))),1,0)))</f>
        <v/>
      </c>
      <c r="AK15" s="12" t="str">
        <f aca="false">IF(AC15=0,"",IF(OR(AE15="",AE15&gt;PFYDate),AJ15,IF((AE15-1)&lt;AD15,-1,12*(YEAR((AE15-1))-YEAR(AD15))+MONTH((AE15-1))-MONTH(AD15)-IF(DAY((AE15-1))&lt;MIN(DAY(AD15),DAY(EOMONTH((AE15-1),0))),1,0))))</f>
        <v/>
      </c>
      <c r="AL15" s="12" t="str">
        <f aca="false">IF(AC15=0,"",IF(AF15="FT",IF(AI15&lt;FT_First,0,IF(AI15&lt;FT_Y5,1+INT((AI15-FT_First)/FT_Int1),FT_PreY5+FT_PerYear*INT((AI15-FT_Y5)/12)+FT_AnnivDays+INT(MOD(AI15-FT_Y5,12)/FT_Int2))),IF(AF15="PT",IF(AI15&lt;PT_First,0,1+INT((AI15-PT_First)/PT_Int)),0))+IF(OR(AE15="",AE15&gt;AsOfDate),0,IF(AG15="FT",IF(AH15&lt;FT_First,0,IF(AH15&lt;FT_Y5,1+INT((AH15-FT_First)/FT_Int1),FT_PreY5+FT_PerYear*INT((AH15-FT_Y5)/12)+FT_AnnivDays+INT(MOD(AH15-FT_Y5,12)/FT_Int2))),IF(AG15="PT",IF(AH15&lt;PT_First,0,1+INT((AH15-PT_First)/PT_Int)),0))-IF(AG15="FT",IF(AI15&lt;FT_First,0,IF(AI15&lt;FT_Y5,1+INT((AI15-FT_First)/FT_Int1),FT_PreY5+FT_PerYear*INT((AI15-FT_Y5)/12)+FT_AnnivDays+INT(MOD(AI15-FT_Y5,12)/FT_Int2))),IF(AG15="PT",IF(AI15&lt;PT_First,0,1+INT((AI15-PT_First)/PT_Int)),0))))</f>
        <v/>
      </c>
      <c r="AM15" s="12" t="str">
        <f aca="false">IF(AC15=0,"",IF(AF15="FT",IF(AK15&lt;FT_First,0,IF(AK15&lt;FT_Y5,1+INT((AK15-FT_First)/FT_Int1),FT_PreY5+FT_PerYear*INT((AK15-FT_Y5)/12)+FT_AnnivDays+INT(MOD(AK15-FT_Y5,12)/FT_Int2))),IF(AF15="PT",IF(AK15&lt;PT_First,0,1+INT((AK15-PT_First)/PT_Int)),0))+IF(OR(AE15="",AE15&gt;PFYDate),0,IF(AG15="FT",IF(AJ15&lt;FT_First,0,IF(AJ15&lt;FT_Y5,1+INT((AJ15-FT_First)/FT_Int1),FT_PreY5+FT_PerYear*INT((AJ15-FT_Y5)/12)+FT_AnnivDays+INT(MOD(AJ15-FT_Y5,12)/FT_Int2))),IF(AG15="PT",IF(AJ15&lt;PT_First,0,1+INT((AJ15-PT_First)/PT_Int)),0))-IF(AG15="FT",IF(AK15&lt;FT_First,0,IF(AK15&lt;FT_Y5,1+INT((AK15-FT_First)/FT_Int1),FT_PreY5+FT_PerYear*INT((AK15-FT_Y5)/12)+FT_AnnivDays+INT(MOD(AK15-FT_Y5,12)/FT_Int2))),IF(AG15="PT",IF(AK15&lt;PT_First,0,1+INT((AK15-PT_First)/PT_Int)),0))))</f>
        <v/>
      </c>
      <c r="AN15" s="12" t="str">
        <f aca="false">IF(AC15=0,"",IF(AG15="FT",IF(AH15&lt;FT_First,FT_First,IF(AH15&lt;FT_Y5,MIN(FT_Y5,FT_First+FT_Int1*(INT((AH15-FT_First)/FT_Int1)+1)),FT_Y5+12*INT((AH15-FT_Y5)/12)+FT_Int2*(INT(MOD(AH15-FT_Y5,12)/FT_Int2)+1))),IF(AG15="PT",IF(AH15&lt;PT_First,PT_First,PT_First+PT_Int*(INT((AH15-PT_First)/PT_Int)+1)),"")))</f>
        <v/>
      </c>
      <c r="AO15" s="12" t="str">
        <f aca="false">IF(AC15=0,"",IF(NOT(CFY_Ready),0,COUNTIFS(INDEX(CFY_Data,0,CFY_ColFirst),$A15,INDEX(CFY_Data,0,CFY_ColSur),$B15,INDEX(CFY_Data,0,CFY_ColCat),BonusCat)))</f>
        <v/>
      </c>
    </row>
    <row r="16" customFormat="false" ht="15" hidden="false" customHeight="false" outlineLevel="0" collapsed="false">
      <c r="A16" s="15"/>
      <c r="B16" s="15"/>
      <c r="C16" s="15"/>
      <c r="D16" s="16"/>
      <c r="E16" s="10" t="str">
        <f aca="false">IF(OR(AC16=0,$D16=""),"",DATE(YEAR(AsOfDate)+IF(DATE(YEAR(AsOfDate),MONTH($D16),DAY($D16))&lt;=AsOfDate,1,0),MONTH($D16),DAY($D16)))</f>
        <v/>
      </c>
      <c r="F16" s="16"/>
      <c r="G16" s="16"/>
      <c r="H16" s="16"/>
      <c r="I16" s="16"/>
      <c r="J16" s="10" t="str">
        <f aca="false">IF(AC16=0,"",DATE(YEAR(AsOfDate)+IF(DATE(YEAR(AsOfDate),MONTH($F16),DAY($F16))&lt;=AsOfDate,1,0),MONTH($F16),DAY($F16)))</f>
        <v/>
      </c>
      <c r="K16" s="11" t="str">
        <f aca="false">IF(AC16=0,"",ROUND((AsOfDate-$F16)/365.25,1))</f>
        <v/>
      </c>
      <c r="L16" s="12" t="str">
        <f aca="false">IF(AC16=0,"",IF(AsOfDate&lt;AD16,"-",DATEDIF(AD16,AsOfDate,"y")&amp;"y "&amp;DATEDIF(AD16,AsOfDate,"ym")&amp;"m "&amp;DATEDIF(AD16,AsOfDate,"md")&amp;"d"))</f>
        <v/>
      </c>
      <c r="M16" s="13" t="str">
        <f aca="false">IF(AC16=0,"",N16*HoursPerDay)</f>
        <v/>
      </c>
      <c r="N16" s="13" t="str">
        <f aca="false">IF(AC16=0,"",AL16)</f>
        <v/>
      </c>
      <c r="O16" s="17"/>
      <c r="P16" s="12" t="str">
        <f aca="false">IF(AC16=0,"",IF(AE16="","",IF($G16&lt;$H16,"Part-Time to Full-Time","Full-Time to Part-Time")&amp;" on "&amp;TEXT(AE16,"dd/mm/yyyy")&amp;IF(AE16&gt;AsOfDate," (future)",IF(AF16=AG16,"",IF(AG16="None"," - STOPPED accruing",IF(AF16="None"," - now qualifying"," - pathway changed"))))))</f>
        <v/>
      </c>
      <c r="Q16" s="12" t="str">
        <f aca="false">IF(AC16=0,"",IF(AG16="None",IF(N16&gt;0,"No longer accruing","Not eligible - "&amp;IF(AND($C16="Part-Time",N($O16)&lt;PT_MinHours,$O16&lt;&gt;""),"under "&amp;PT_MinHours&amp;" hrs",$C16)),IF(N16&gt;0,"Yes - accruing","Not yet - from "&amp;TEXT(R16,"dd/mm/yyyy"))))</f>
        <v/>
      </c>
      <c r="R16" s="10" t="str">
        <f aca="false">IF(AC16=0,"",IF(AG16="None","",EDATE(AD16,AN16)))</f>
        <v/>
      </c>
      <c r="S16" s="13" t="str">
        <f aca="false">IF(AC16=0,"",IF(NOT(PFY_Ready),"",SUMIFS(INDEX(PFY_Data,0,PFY_ColBal),INDEX(PFY_Data,0,PFY_ColFirst),$A16,INDEX(PFY_Data,0,PFY_ColSur),$B16,INDEX(PFY_Data,0,PFY_ColCat),BonusCat)))</f>
        <v/>
      </c>
      <c r="T16" s="17"/>
      <c r="U16" s="13" t="str">
        <f aca="false">IF(AC16=0,"",IF(NOT(CFY_Ready),"",SUMIFS(INDEX(CFY_Data,0,CFY_ColBal),INDEX(CFY_Data,0,CFY_ColFirst),$A16,INDEX(CFY_Data,0,CFY_ColSur),$B16,INDEX(CFY_Data,0,CFY_ColCat),BonusCat)))</f>
        <v/>
      </c>
      <c r="V16" s="13" t="str">
        <f aca="false">IF(AC16=0,"",IF(OR(NOT(CFY_Ready),CFY_ColAppr=0),"",SUMIFS(INDEX(CFY_Data,0,CFY_ColAppr),INDEX(CFY_Data,0,CFY_ColFirst),$A16,INDEX(CFY_Data,0,CFY_ColSur),$B16,INDEX(CFY_Data,0,CFY_ColCat),BonusCat)))</f>
        <v/>
      </c>
      <c r="W16" s="13" t="str">
        <f aca="false">IF(OR(AC16=0,S16="",U16=""),"",MAX(0,S16+N($T16)-U16))</f>
        <v/>
      </c>
      <c r="X16" s="13" t="str">
        <f aca="false">IF(AC16=0,"",(AL16-AM16)*HoursPerDay)</f>
        <v/>
      </c>
      <c r="Y16" s="13" t="str">
        <f aca="false">IF(AC16=0,"",X16-N($T16))</f>
        <v/>
      </c>
      <c r="Z16" s="12" t="str">
        <f aca="false">IF(AC16=0,"",IF(Y16&gt;0,"Yes","No"))</f>
        <v/>
      </c>
      <c r="AA16" s="12" t="str">
        <f aca="false">IF(AC16=0,"",IF(NOT(CFY_Ready),"Paste CFY EH export",IF(Y16&gt;0,"ACCRUE "&amp;TEXT(Y16,"0.##")&amp;" hrs ("&amp;TEXT(Y16/HoursPerDay,"0.##")&amp;" days)"&amp;IF(AO16=0," - no Bonus Leave line in EH yet",""),IF(Y16&lt;0,"CHECK - posted "&amp;TEXT(-Y16,"0.##")&amp;" hrs more than policy",IF(AND(N16&gt;0,AO16=0,U16=0),"CHECK - policy says "&amp;TEXT(M16,"0.##")&amp;" hrs to date but nothing in EH",IF(N16&gt;0,"OK","-"))))))</f>
        <v/>
      </c>
      <c r="AB16" s="13" t="str">
        <f aca="false">IF(OR(AC16=0,S16=""),"",AM16*HoursPerDay-S16)</f>
        <v/>
      </c>
      <c r="AC16" s="12" t="n">
        <f aca="false">IF(OR(LEN($A16&amp;$B16)=0,$F16=""),0,1)</f>
        <v>0</v>
      </c>
      <c r="AD16" s="10" t="str">
        <f aca="false">IF(AC16=0,"",IF($I16&lt;&gt;"",$I16,$F16))</f>
        <v/>
      </c>
      <c r="AE16" s="10" t="str">
        <f aca="false">IF(AC16=0,"",IF(AND($G16&lt;&gt;"",$H16&lt;&gt;"",$G16&lt;&gt;$H16),MAX($G16,$H16),""))</f>
        <v/>
      </c>
      <c r="AF16" s="12" t="str">
        <f aca="false">IF(AC16=0,"",IF(AE16="",AG16,IF(IF($G16&lt;$H16,"Part-Time","Full-Time")="Full-Time","FT",IF(AND(IF($G16&lt;$H16,"Part-Time","Full-Time")="Part-Time",OR($O16="",N($O16)&gt;=PT_MinHours)),"PT","None"))))</f>
        <v/>
      </c>
      <c r="AG16" s="12" t="str">
        <f aca="false">IF(AC16=0,"",IF($C16="Full-Time","FT",IF(AND($C16="Part-Time",OR($O16="",N($O16)&gt;=PT_MinHours)),"PT","None")))</f>
        <v/>
      </c>
      <c r="AH16" s="12" t="str">
        <f aca="false">IF(AC16=0,"",IF(AsOfDate&lt;AD16,-1,12*(YEAR(AsOfDate)-YEAR(AD16))+MONTH(AsOfDate)-MONTH(AD16)-IF(DAY(AsOfDate)&lt;MIN(DAY(AD16),DAY(EOMONTH(AsOfDate,0))),1,0)))</f>
        <v/>
      </c>
      <c r="AI16" s="12" t="str">
        <f aca="false">IF(AC16=0,"",IF(OR(AE16="",AE16&gt;AsOfDate),AH16,IF((AE16-1)&lt;AD16,-1,12*(YEAR((AE16-1))-YEAR(AD16))+MONTH((AE16-1))-MONTH(AD16)-IF(DAY((AE16-1))&lt;MIN(DAY(AD16),DAY(EOMONTH((AE16-1),0))),1,0))))</f>
        <v/>
      </c>
      <c r="AJ16" s="12" t="str">
        <f aca="false">IF(AC16=0,"",IF(PFYDate&lt;AD16,-1,12*(YEAR(PFYDate)-YEAR(AD16))+MONTH(PFYDate)-MONTH(AD16)-IF(DAY(PFYDate)&lt;MIN(DAY(AD16),DAY(EOMONTH(PFYDate,0))),1,0)))</f>
        <v/>
      </c>
      <c r="AK16" s="12" t="str">
        <f aca="false">IF(AC16=0,"",IF(OR(AE16="",AE16&gt;PFYDate),AJ16,IF((AE16-1)&lt;AD16,-1,12*(YEAR((AE16-1))-YEAR(AD16))+MONTH((AE16-1))-MONTH(AD16)-IF(DAY((AE16-1))&lt;MIN(DAY(AD16),DAY(EOMONTH((AE16-1),0))),1,0))))</f>
        <v/>
      </c>
      <c r="AL16" s="12" t="str">
        <f aca="false">IF(AC16=0,"",IF(AF16="FT",IF(AI16&lt;FT_First,0,IF(AI16&lt;FT_Y5,1+INT((AI16-FT_First)/FT_Int1),FT_PreY5+FT_PerYear*INT((AI16-FT_Y5)/12)+FT_AnnivDays+INT(MOD(AI16-FT_Y5,12)/FT_Int2))),IF(AF16="PT",IF(AI16&lt;PT_First,0,1+INT((AI16-PT_First)/PT_Int)),0))+IF(OR(AE16="",AE16&gt;AsOfDate),0,IF(AG16="FT",IF(AH16&lt;FT_First,0,IF(AH16&lt;FT_Y5,1+INT((AH16-FT_First)/FT_Int1),FT_PreY5+FT_PerYear*INT((AH16-FT_Y5)/12)+FT_AnnivDays+INT(MOD(AH16-FT_Y5,12)/FT_Int2))),IF(AG16="PT",IF(AH16&lt;PT_First,0,1+INT((AH16-PT_First)/PT_Int)),0))-IF(AG16="FT",IF(AI16&lt;FT_First,0,IF(AI16&lt;FT_Y5,1+INT((AI16-FT_First)/FT_Int1),FT_PreY5+FT_PerYear*INT((AI16-FT_Y5)/12)+FT_AnnivDays+INT(MOD(AI16-FT_Y5,12)/FT_Int2))),IF(AG16="PT",IF(AI16&lt;PT_First,0,1+INT((AI16-PT_First)/PT_Int)),0))))</f>
        <v/>
      </c>
      <c r="AM16" s="12" t="str">
        <f aca="false">IF(AC16=0,"",IF(AF16="FT",IF(AK16&lt;FT_First,0,IF(AK16&lt;FT_Y5,1+INT((AK16-FT_First)/FT_Int1),FT_PreY5+FT_PerYear*INT((AK16-FT_Y5)/12)+FT_AnnivDays+INT(MOD(AK16-FT_Y5,12)/FT_Int2))),IF(AF16="PT",IF(AK16&lt;PT_First,0,1+INT((AK16-PT_First)/PT_Int)),0))+IF(OR(AE16="",AE16&gt;PFYDate),0,IF(AG16="FT",IF(AJ16&lt;FT_First,0,IF(AJ16&lt;FT_Y5,1+INT((AJ16-FT_First)/FT_Int1),FT_PreY5+FT_PerYear*INT((AJ16-FT_Y5)/12)+FT_AnnivDays+INT(MOD(AJ16-FT_Y5,12)/FT_Int2))),IF(AG16="PT",IF(AJ16&lt;PT_First,0,1+INT((AJ16-PT_First)/PT_Int)),0))-IF(AG16="FT",IF(AK16&lt;FT_First,0,IF(AK16&lt;FT_Y5,1+INT((AK16-FT_First)/FT_Int1),FT_PreY5+FT_PerYear*INT((AK16-FT_Y5)/12)+FT_AnnivDays+INT(MOD(AK16-FT_Y5,12)/FT_Int2))),IF(AG16="PT",IF(AK16&lt;PT_First,0,1+INT((AK16-PT_First)/PT_Int)),0))))</f>
        <v/>
      </c>
      <c r="AN16" s="12" t="str">
        <f aca="false">IF(AC16=0,"",IF(AG16="FT",IF(AH16&lt;FT_First,FT_First,IF(AH16&lt;FT_Y5,MIN(FT_Y5,FT_First+FT_Int1*(INT((AH16-FT_First)/FT_Int1)+1)),FT_Y5+12*INT((AH16-FT_Y5)/12)+FT_Int2*(INT(MOD(AH16-FT_Y5,12)/FT_Int2)+1))),IF(AG16="PT",IF(AH16&lt;PT_First,PT_First,PT_First+PT_Int*(INT((AH16-PT_First)/PT_Int)+1)),"")))</f>
        <v/>
      </c>
      <c r="AO16" s="12" t="str">
        <f aca="false">IF(AC16=0,"",IF(NOT(CFY_Ready),0,COUNTIFS(INDEX(CFY_Data,0,CFY_ColFirst),$A16,INDEX(CFY_Data,0,CFY_ColSur),$B16,INDEX(CFY_Data,0,CFY_ColCat),BonusCat)))</f>
        <v/>
      </c>
    </row>
    <row r="17" customFormat="false" ht="15" hidden="false" customHeight="false" outlineLevel="0" collapsed="false">
      <c r="A17" s="15"/>
      <c r="B17" s="15"/>
      <c r="C17" s="15"/>
      <c r="D17" s="16"/>
      <c r="E17" s="10" t="str">
        <f aca="false">IF(OR(AC17=0,$D17=""),"",DATE(YEAR(AsOfDate)+IF(DATE(YEAR(AsOfDate),MONTH($D17),DAY($D17))&lt;=AsOfDate,1,0),MONTH($D17),DAY($D17)))</f>
        <v/>
      </c>
      <c r="F17" s="16"/>
      <c r="G17" s="16"/>
      <c r="H17" s="16"/>
      <c r="I17" s="16"/>
      <c r="J17" s="10" t="str">
        <f aca="false">IF(AC17=0,"",DATE(YEAR(AsOfDate)+IF(DATE(YEAR(AsOfDate),MONTH($F17),DAY($F17))&lt;=AsOfDate,1,0),MONTH($F17),DAY($F17)))</f>
        <v/>
      </c>
      <c r="K17" s="11" t="str">
        <f aca="false">IF(AC17=0,"",ROUND((AsOfDate-$F17)/365.25,1))</f>
        <v/>
      </c>
      <c r="L17" s="12" t="str">
        <f aca="false">IF(AC17=0,"",IF(AsOfDate&lt;AD17,"-",DATEDIF(AD17,AsOfDate,"y")&amp;"y "&amp;DATEDIF(AD17,AsOfDate,"ym")&amp;"m "&amp;DATEDIF(AD17,AsOfDate,"md")&amp;"d"))</f>
        <v/>
      </c>
      <c r="M17" s="13" t="str">
        <f aca="false">IF(AC17=0,"",N17*HoursPerDay)</f>
        <v/>
      </c>
      <c r="N17" s="13" t="str">
        <f aca="false">IF(AC17=0,"",AL17)</f>
        <v/>
      </c>
      <c r="O17" s="17"/>
      <c r="P17" s="12" t="str">
        <f aca="false">IF(AC17=0,"",IF(AE17="","",IF($G17&lt;$H17,"Part-Time to Full-Time","Full-Time to Part-Time")&amp;" on "&amp;TEXT(AE17,"dd/mm/yyyy")&amp;IF(AE17&gt;AsOfDate," (future)",IF(AF17=AG17,"",IF(AG17="None"," - STOPPED accruing",IF(AF17="None"," - now qualifying"," - pathway changed"))))))</f>
        <v/>
      </c>
      <c r="Q17" s="12" t="str">
        <f aca="false">IF(AC17=0,"",IF(AG17="None",IF(N17&gt;0,"No longer accruing","Not eligible - "&amp;IF(AND($C17="Part-Time",N($O17)&lt;PT_MinHours,$O17&lt;&gt;""),"under "&amp;PT_MinHours&amp;" hrs",$C17)),IF(N17&gt;0,"Yes - accruing","Not yet - from "&amp;TEXT(R17,"dd/mm/yyyy"))))</f>
        <v/>
      </c>
      <c r="R17" s="10" t="str">
        <f aca="false">IF(AC17=0,"",IF(AG17="None","",EDATE(AD17,AN17)))</f>
        <v/>
      </c>
      <c r="S17" s="13" t="str">
        <f aca="false">IF(AC17=0,"",IF(NOT(PFY_Ready),"",SUMIFS(INDEX(PFY_Data,0,PFY_ColBal),INDEX(PFY_Data,0,PFY_ColFirst),$A17,INDEX(PFY_Data,0,PFY_ColSur),$B17,INDEX(PFY_Data,0,PFY_ColCat),BonusCat)))</f>
        <v/>
      </c>
      <c r="T17" s="17"/>
      <c r="U17" s="13" t="str">
        <f aca="false">IF(AC17=0,"",IF(NOT(CFY_Ready),"",SUMIFS(INDEX(CFY_Data,0,CFY_ColBal),INDEX(CFY_Data,0,CFY_ColFirst),$A17,INDEX(CFY_Data,0,CFY_ColSur),$B17,INDEX(CFY_Data,0,CFY_ColCat),BonusCat)))</f>
        <v/>
      </c>
      <c r="V17" s="13" t="str">
        <f aca="false">IF(AC17=0,"",IF(OR(NOT(CFY_Ready),CFY_ColAppr=0),"",SUMIFS(INDEX(CFY_Data,0,CFY_ColAppr),INDEX(CFY_Data,0,CFY_ColFirst),$A17,INDEX(CFY_Data,0,CFY_ColSur),$B17,INDEX(CFY_Data,0,CFY_ColCat),BonusCat)))</f>
        <v/>
      </c>
      <c r="W17" s="13" t="str">
        <f aca="false">IF(OR(AC17=0,S17="",U17=""),"",MAX(0,S17+N($T17)-U17))</f>
        <v/>
      </c>
      <c r="X17" s="13" t="str">
        <f aca="false">IF(AC17=0,"",(AL17-AM17)*HoursPerDay)</f>
        <v/>
      </c>
      <c r="Y17" s="13" t="str">
        <f aca="false">IF(AC17=0,"",X17-N($T17))</f>
        <v/>
      </c>
      <c r="Z17" s="12" t="str">
        <f aca="false">IF(AC17=0,"",IF(Y17&gt;0,"Yes","No"))</f>
        <v/>
      </c>
      <c r="AA17" s="12" t="str">
        <f aca="false">IF(AC17=0,"",IF(NOT(CFY_Ready),"Paste CFY EH export",IF(Y17&gt;0,"ACCRUE "&amp;TEXT(Y17,"0.##")&amp;" hrs ("&amp;TEXT(Y17/HoursPerDay,"0.##")&amp;" days)"&amp;IF(AO17=0," - no Bonus Leave line in EH yet",""),IF(Y17&lt;0,"CHECK - posted "&amp;TEXT(-Y17,"0.##")&amp;" hrs more than policy",IF(AND(N17&gt;0,AO17=0,U17=0),"CHECK - policy says "&amp;TEXT(M17,"0.##")&amp;" hrs to date but nothing in EH",IF(N17&gt;0,"OK","-"))))))</f>
        <v/>
      </c>
      <c r="AB17" s="13" t="str">
        <f aca="false">IF(OR(AC17=0,S17=""),"",AM17*HoursPerDay-S17)</f>
        <v/>
      </c>
      <c r="AC17" s="12" t="n">
        <f aca="false">IF(OR(LEN($A17&amp;$B17)=0,$F17=""),0,1)</f>
        <v>0</v>
      </c>
      <c r="AD17" s="10" t="str">
        <f aca="false">IF(AC17=0,"",IF($I17&lt;&gt;"",$I17,$F17))</f>
        <v/>
      </c>
      <c r="AE17" s="10" t="str">
        <f aca="false">IF(AC17=0,"",IF(AND($G17&lt;&gt;"",$H17&lt;&gt;"",$G17&lt;&gt;$H17),MAX($G17,$H17),""))</f>
        <v/>
      </c>
      <c r="AF17" s="12" t="str">
        <f aca="false">IF(AC17=0,"",IF(AE17="",AG17,IF(IF($G17&lt;$H17,"Part-Time","Full-Time")="Full-Time","FT",IF(AND(IF($G17&lt;$H17,"Part-Time","Full-Time")="Part-Time",OR($O17="",N($O17)&gt;=PT_MinHours)),"PT","None"))))</f>
        <v/>
      </c>
      <c r="AG17" s="12" t="str">
        <f aca="false">IF(AC17=0,"",IF($C17="Full-Time","FT",IF(AND($C17="Part-Time",OR($O17="",N($O17)&gt;=PT_MinHours)),"PT","None")))</f>
        <v/>
      </c>
      <c r="AH17" s="12" t="str">
        <f aca="false">IF(AC17=0,"",IF(AsOfDate&lt;AD17,-1,12*(YEAR(AsOfDate)-YEAR(AD17))+MONTH(AsOfDate)-MONTH(AD17)-IF(DAY(AsOfDate)&lt;MIN(DAY(AD17),DAY(EOMONTH(AsOfDate,0))),1,0)))</f>
        <v/>
      </c>
      <c r="AI17" s="12" t="str">
        <f aca="false">IF(AC17=0,"",IF(OR(AE17="",AE17&gt;AsOfDate),AH17,IF((AE17-1)&lt;AD17,-1,12*(YEAR((AE17-1))-YEAR(AD17))+MONTH((AE17-1))-MONTH(AD17)-IF(DAY((AE17-1))&lt;MIN(DAY(AD17),DAY(EOMONTH((AE17-1),0))),1,0))))</f>
        <v/>
      </c>
      <c r="AJ17" s="12" t="str">
        <f aca="false">IF(AC17=0,"",IF(PFYDate&lt;AD17,-1,12*(YEAR(PFYDate)-YEAR(AD17))+MONTH(PFYDate)-MONTH(AD17)-IF(DAY(PFYDate)&lt;MIN(DAY(AD17),DAY(EOMONTH(PFYDate,0))),1,0)))</f>
        <v/>
      </c>
      <c r="AK17" s="12" t="str">
        <f aca="false">IF(AC17=0,"",IF(OR(AE17="",AE17&gt;PFYDate),AJ17,IF((AE17-1)&lt;AD17,-1,12*(YEAR((AE17-1))-YEAR(AD17))+MONTH((AE17-1))-MONTH(AD17)-IF(DAY((AE17-1))&lt;MIN(DAY(AD17),DAY(EOMONTH((AE17-1),0))),1,0))))</f>
        <v/>
      </c>
      <c r="AL17" s="12" t="str">
        <f aca="false">IF(AC17=0,"",IF(AF17="FT",IF(AI17&lt;FT_First,0,IF(AI17&lt;FT_Y5,1+INT((AI17-FT_First)/FT_Int1),FT_PreY5+FT_PerYear*INT((AI17-FT_Y5)/12)+FT_AnnivDays+INT(MOD(AI17-FT_Y5,12)/FT_Int2))),IF(AF17="PT",IF(AI17&lt;PT_First,0,1+INT((AI17-PT_First)/PT_Int)),0))+IF(OR(AE17="",AE17&gt;AsOfDate),0,IF(AG17="FT",IF(AH17&lt;FT_First,0,IF(AH17&lt;FT_Y5,1+INT((AH17-FT_First)/FT_Int1),FT_PreY5+FT_PerYear*INT((AH17-FT_Y5)/12)+FT_AnnivDays+INT(MOD(AH17-FT_Y5,12)/FT_Int2))),IF(AG17="PT",IF(AH17&lt;PT_First,0,1+INT((AH17-PT_First)/PT_Int)),0))-IF(AG17="FT",IF(AI17&lt;FT_First,0,IF(AI17&lt;FT_Y5,1+INT((AI17-FT_First)/FT_Int1),FT_PreY5+FT_PerYear*INT((AI17-FT_Y5)/12)+FT_AnnivDays+INT(MOD(AI17-FT_Y5,12)/FT_Int2))),IF(AG17="PT",IF(AI17&lt;PT_First,0,1+INT((AI17-PT_First)/PT_Int)),0))))</f>
        <v/>
      </c>
      <c r="AM17" s="12" t="str">
        <f aca="false">IF(AC17=0,"",IF(AF17="FT",IF(AK17&lt;FT_First,0,IF(AK17&lt;FT_Y5,1+INT((AK17-FT_First)/FT_Int1),FT_PreY5+FT_PerYear*INT((AK17-FT_Y5)/12)+FT_AnnivDays+INT(MOD(AK17-FT_Y5,12)/FT_Int2))),IF(AF17="PT",IF(AK17&lt;PT_First,0,1+INT((AK17-PT_First)/PT_Int)),0))+IF(OR(AE17="",AE17&gt;PFYDate),0,IF(AG17="FT",IF(AJ17&lt;FT_First,0,IF(AJ17&lt;FT_Y5,1+INT((AJ17-FT_First)/FT_Int1),FT_PreY5+FT_PerYear*INT((AJ17-FT_Y5)/12)+FT_AnnivDays+INT(MOD(AJ17-FT_Y5,12)/FT_Int2))),IF(AG17="PT",IF(AJ17&lt;PT_First,0,1+INT((AJ17-PT_First)/PT_Int)),0))-IF(AG17="FT",IF(AK17&lt;FT_First,0,IF(AK17&lt;FT_Y5,1+INT((AK17-FT_First)/FT_Int1),FT_PreY5+FT_PerYear*INT((AK17-FT_Y5)/12)+FT_AnnivDays+INT(MOD(AK17-FT_Y5,12)/FT_Int2))),IF(AG17="PT",IF(AK17&lt;PT_First,0,1+INT((AK17-PT_First)/PT_Int)),0))))</f>
        <v/>
      </c>
      <c r="AN17" s="12" t="str">
        <f aca="false">IF(AC17=0,"",IF(AG17="FT",IF(AH17&lt;FT_First,FT_First,IF(AH17&lt;FT_Y5,MIN(FT_Y5,FT_First+FT_Int1*(INT((AH17-FT_First)/FT_Int1)+1)),FT_Y5+12*INT((AH17-FT_Y5)/12)+FT_Int2*(INT(MOD(AH17-FT_Y5,12)/FT_Int2)+1))),IF(AG17="PT",IF(AH17&lt;PT_First,PT_First,PT_First+PT_Int*(INT((AH17-PT_First)/PT_Int)+1)),"")))</f>
        <v/>
      </c>
      <c r="AO17" s="12" t="str">
        <f aca="false">IF(AC17=0,"",IF(NOT(CFY_Ready),0,COUNTIFS(INDEX(CFY_Data,0,CFY_ColFirst),$A17,INDEX(CFY_Data,0,CFY_ColSur),$B17,INDEX(CFY_Data,0,CFY_ColCat),BonusCat)))</f>
        <v/>
      </c>
    </row>
    <row r="18" customFormat="false" ht="15" hidden="false" customHeight="false" outlineLevel="0" collapsed="false">
      <c r="A18" s="15"/>
      <c r="B18" s="15"/>
      <c r="C18" s="15"/>
      <c r="D18" s="16"/>
      <c r="E18" s="10" t="str">
        <f aca="false">IF(OR(AC18=0,$D18=""),"",DATE(YEAR(AsOfDate)+IF(DATE(YEAR(AsOfDate),MONTH($D18),DAY($D18))&lt;=AsOfDate,1,0),MONTH($D18),DAY($D18)))</f>
        <v/>
      </c>
      <c r="F18" s="16"/>
      <c r="G18" s="16"/>
      <c r="H18" s="16"/>
      <c r="I18" s="16"/>
      <c r="J18" s="10" t="str">
        <f aca="false">IF(AC18=0,"",DATE(YEAR(AsOfDate)+IF(DATE(YEAR(AsOfDate),MONTH($F18),DAY($F18))&lt;=AsOfDate,1,0),MONTH($F18),DAY($F18)))</f>
        <v/>
      </c>
      <c r="K18" s="11" t="str">
        <f aca="false">IF(AC18=0,"",ROUND((AsOfDate-$F18)/365.25,1))</f>
        <v/>
      </c>
      <c r="L18" s="12" t="str">
        <f aca="false">IF(AC18=0,"",IF(AsOfDate&lt;AD18,"-",DATEDIF(AD18,AsOfDate,"y")&amp;"y "&amp;DATEDIF(AD18,AsOfDate,"ym")&amp;"m "&amp;DATEDIF(AD18,AsOfDate,"md")&amp;"d"))</f>
        <v/>
      </c>
      <c r="M18" s="13" t="str">
        <f aca="false">IF(AC18=0,"",N18*HoursPerDay)</f>
        <v/>
      </c>
      <c r="N18" s="13" t="str">
        <f aca="false">IF(AC18=0,"",AL18)</f>
        <v/>
      </c>
      <c r="O18" s="17"/>
      <c r="P18" s="12" t="str">
        <f aca="false">IF(AC18=0,"",IF(AE18="","",IF($G18&lt;$H18,"Part-Time to Full-Time","Full-Time to Part-Time")&amp;" on "&amp;TEXT(AE18,"dd/mm/yyyy")&amp;IF(AE18&gt;AsOfDate," (future)",IF(AF18=AG18,"",IF(AG18="None"," - STOPPED accruing",IF(AF18="None"," - now qualifying"," - pathway changed"))))))</f>
        <v/>
      </c>
      <c r="Q18" s="12" t="str">
        <f aca="false">IF(AC18=0,"",IF(AG18="None",IF(N18&gt;0,"No longer accruing","Not eligible - "&amp;IF(AND($C18="Part-Time",N($O18)&lt;PT_MinHours,$O18&lt;&gt;""),"under "&amp;PT_MinHours&amp;" hrs",$C18)),IF(N18&gt;0,"Yes - accruing","Not yet - from "&amp;TEXT(R18,"dd/mm/yyyy"))))</f>
        <v/>
      </c>
      <c r="R18" s="10" t="str">
        <f aca="false">IF(AC18=0,"",IF(AG18="None","",EDATE(AD18,AN18)))</f>
        <v/>
      </c>
      <c r="S18" s="13" t="str">
        <f aca="false">IF(AC18=0,"",IF(NOT(PFY_Ready),"",SUMIFS(INDEX(PFY_Data,0,PFY_ColBal),INDEX(PFY_Data,0,PFY_ColFirst),$A18,INDEX(PFY_Data,0,PFY_ColSur),$B18,INDEX(PFY_Data,0,PFY_ColCat),BonusCat)))</f>
        <v/>
      </c>
      <c r="T18" s="17"/>
      <c r="U18" s="13" t="str">
        <f aca="false">IF(AC18=0,"",IF(NOT(CFY_Ready),"",SUMIFS(INDEX(CFY_Data,0,CFY_ColBal),INDEX(CFY_Data,0,CFY_ColFirst),$A18,INDEX(CFY_Data,0,CFY_ColSur),$B18,INDEX(CFY_Data,0,CFY_ColCat),BonusCat)))</f>
        <v/>
      </c>
      <c r="V18" s="13" t="str">
        <f aca="false">IF(AC18=0,"",IF(OR(NOT(CFY_Ready),CFY_ColAppr=0),"",SUMIFS(INDEX(CFY_Data,0,CFY_ColAppr),INDEX(CFY_Data,0,CFY_ColFirst),$A18,INDEX(CFY_Data,0,CFY_ColSur),$B18,INDEX(CFY_Data,0,CFY_ColCat),BonusCat)))</f>
        <v/>
      </c>
      <c r="W18" s="13" t="str">
        <f aca="false">IF(OR(AC18=0,S18="",U18=""),"",MAX(0,S18+N($T18)-U18))</f>
        <v/>
      </c>
      <c r="X18" s="13" t="str">
        <f aca="false">IF(AC18=0,"",(AL18-AM18)*HoursPerDay)</f>
        <v/>
      </c>
      <c r="Y18" s="13" t="str">
        <f aca="false">IF(AC18=0,"",X18-N($T18))</f>
        <v/>
      </c>
      <c r="Z18" s="12" t="str">
        <f aca="false">IF(AC18=0,"",IF(Y18&gt;0,"Yes","No"))</f>
        <v/>
      </c>
      <c r="AA18" s="12" t="str">
        <f aca="false">IF(AC18=0,"",IF(NOT(CFY_Ready),"Paste CFY EH export",IF(Y18&gt;0,"ACCRUE "&amp;TEXT(Y18,"0.##")&amp;" hrs ("&amp;TEXT(Y18/HoursPerDay,"0.##")&amp;" days)"&amp;IF(AO18=0," - no Bonus Leave line in EH yet",""),IF(Y18&lt;0,"CHECK - posted "&amp;TEXT(-Y18,"0.##")&amp;" hrs more than policy",IF(AND(N18&gt;0,AO18=0,U18=0),"CHECK - policy says "&amp;TEXT(M18,"0.##")&amp;" hrs to date but nothing in EH",IF(N18&gt;0,"OK","-"))))))</f>
        <v/>
      </c>
      <c r="AB18" s="13" t="str">
        <f aca="false">IF(OR(AC18=0,S18=""),"",AM18*HoursPerDay-S18)</f>
        <v/>
      </c>
      <c r="AC18" s="12" t="n">
        <f aca="false">IF(OR(LEN($A18&amp;$B18)=0,$F18=""),0,1)</f>
        <v>0</v>
      </c>
      <c r="AD18" s="10" t="str">
        <f aca="false">IF(AC18=0,"",IF($I18&lt;&gt;"",$I18,$F18))</f>
        <v/>
      </c>
      <c r="AE18" s="10" t="str">
        <f aca="false">IF(AC18=0,"",IF(AND($G18&lt;&gt;"",$H18&lt;&gt;"",$G18&lt;&gt;$H18),MAX($G18,$H18),""))</f>
        <v/>
      </c>
      <c r="AF18" s="12" t="str">
        <f aca="false">IF(AC18=0,"",IF(AE18="",AG18,IF(IF($G18&lt;$H18,"Part-Time","Full-Time")="Full-Time","FT",IF(AND(IF($G18&lt;$H18,"Part-Time","Full-Time")="Part-Time",OR($O18="",N($O18)&gt;=PT_MinHours)),"PT","None"))))</f>
        <v/>
      </c>
      <c r="AG18" s="12" t="str">
        <f aca="false">IF(AC18=0,"",IF($C18="Full-Time","FT",IF(AND($C18="Part-Time",OR($O18="",N($O18)&gt;=PT_MinHours)),"PT","None")))</f>
        <v/>
      </c>
      <c r="AH18" s="12" t="str">
        <f aca="false">IF(AC18=0,"",IF(AsOfDate&lt;AD18,-1,12*(YEAR(AsOfDate)-YEAR(AD18))+MONTH(AsOfDate)-MONTH(AD18)-IF(DAY(AsOfDate)&lt;MIN(DAY(AD18),DAY(EOMONTH(AsOfDate,0))),1,0)))</f>
        <v/>
      </c>
      <c r="AI18" s="12" t="str">
        <f aca="false">IF(AC18=0,"",IF(OR(AE18="",AE18&gt;AsOfDate),AH18,IF((AE18-1)&lt;AD18,-1,12*(YEAR((AE18-1))-YEAR(AD18))+MONTH((AE18-1))-MONTH(AD18)-IF(DAY((AE18-1))&lt;MIN(DAY(AD18),DAY(EOMONTH((AE18-1),0))),1,0))))</f>
        <v/>
      </c>
      <c r="AJ18" s="12" t="str">
        <f aca="false">IF(AC18=0,"",IF(PFYDate&lt;AD18,-1,12*(YEAR(PFYDate)-YEAR(AD18))+MONTH(PFYDate)-MONTH(AD18)-IF(DAY(PFYDate)&lt;MIN(DAY(AD18),DAY(EOMONTH(PFYDate,0))),1,0)))</f>
        <v/>
      </c>
      <c r="AK18" s="12" t="str">
        <f aca="false">IF(AC18=0,"",IF(OR(AE18="",AE18&gt;PFYDate),AJ18,IF((AE18-1)&lt;AD18,-1,12*(YEAR((AE18-1))-YEAR(AD18))+MONTH((AE18-1))-MONTH(AD18)-IF(DAY((AE18-1))&lt;MIN(DAY(AD18),DAY(EOMONTH((AE18-1),0))),1,0))))</f>
        <v/>
      </c>
      <c r="AL18" s="12" t="str">
        <f aca="false">IF(AC18=0,"",IF(AF18="FT",IF(AI18&lt;FT_First,0,IF(AI18&lt;FT_Y5,1+INT((AI18-FT_First)/FT_Int1),FT_PreY5+FT_PerYear*INT((AI18-FT_Y5)/12)+FT_AnnivDays+INT(MOD(AI18-FT_Y5,12)/FT_Int2))),IF(AF18="PT",IF(AI18&lt;PT_First,0,1+INT((AI18-PT_First)/PT_Int)),0))+IF(OR(AE18="",AE18&gt;AsOfDate),0,IF(AG18="FT",IF(AH18&lt;FT_First,0,IF(AH18&lt;FT_Y5,1+INT((AH18-FT_First)/FT_Int1),FT_PreY5+FT_PerYear*INT((AH18-FT_Y5)/12)+FT_AnnivDays+INT(MOD(AH18-FT_Y5,12)/FT_Int2))),IF(AG18="PT",IF(AH18&lt;PT_First,0,1+INT((AH18-PT_First)/PT_Int)),0))-IF(AG18="FT",IF(AI18&lt;FT_First,0,IF(AI18&lt;FT_Y5,1+INT((AI18-FT_First)/FT_Int1),FT_PreY5+FT_PerYear*INT((AI18-FT_Y5)/12)+FT_AnnivDays+INT(MOD(AI18-FT_Y5,12)/FT_Int2))),IF(AG18="PT",IF(AI18&lt;PT_First,0,1+INT((AI18-PT_First)/PT_Int)),0))))</f>
        <v/>
      </c>
      <c r="AM18" s="12" t="str">
        <f aca="false">IF(AC18=0,"",IF(AF18="FT",IF(AK18&lt;FT_First,0,IF(AK18&lt;FT_Y5,1+INT((AK18-FT_First)/FT_Int1),FT_PreY5+FT_PerYear*INT((AK18-FT_Y5)/12)+FT_AnnivDays+INT(MOD(AK18-FT_Y5,12)/FT_Int2))),IF(AF18="PT",IF(AK18&lt;PT_First,0,1+INT((AK18-PT_First)/PT_Int)),0))+IF(OR(AE18="",AE18&gt;PFYDate),0,IF(AG18="FT",IF(AJ18&lt;FT_First,0,IF(AJ18&lt;FT_Y5,1+INT((AJ18-FT_First)/FT_Int1),FT_PreY5+FT_PerYear*INT((AJ18-FT_Y5)/12)+FT_AnnivDays+INT(MOD(AJ18-FT_Y5,12)/FT_Int2))),IF(AG18="PT",IF(AJ18&lt;PT_First,0,1+INT((AJ18-PT_First)/PT_Int)),0))-IF(AG18="FT",IF(AK18&lt;FT_First,0,IF(AK18&lt;FT_Y5,1+INT((AK18-FT_First)/FT_Int1),FT_PreY5+FT_PerYear*INT((AK18-FT_Y5)/12)+FT_AnnivDays+INT(MOD(AK18-FT_Y5,12)/FT_Int2))),IF(AG18="PT",IF(AK18&lt;PT_First,0,1+INT((AK18-PT_First)/PT_Int)),0))))</f>
        <v/>
      </c>
      <c r="AN18" s="12" t="str">
        <f aca="false">IF(AC18=0,"",IF(AG18="FT",IF(AH18&lt;FT_First,FT_First,IF(AH18&lt;FT_Y5,MIN(FT_Y5,FT_First+FT_Int1*(INT((AH18-FT_First)/FT_Int1)+1)),FT_Y5+12*INT((AH18-FT_Y5)/12)+FT_Int2*(INT(MOD(AH18-FT_Y5,12)/FT_Int2)+1))),IF(AG18="PT",IF(AH18&lt;PT_First,PT_First,PT_First+PT_Int*(INT((AH18-PT_First)/PT_Int)+1)),"")))</f>
        <v/>
      </c>
      <c r="AO18" s="12" t="str">
        <f aca="false">IF(AC18=0,"",IF(NOT(CFY_Ready),0,COUNTIFS(INDEX(CFY_Data,0,CFY_ColFirst),$A18,INDEX(CFY_Data,0,CFY_ColSur),$B18,INDEX(CFY_Data,0,CFY_ColCat),BonusCat)))</f>
        <v/>
      </c>
    </row>
    <row r="19" customFormat="false" ht="15" hidden="false" customHeight="false" outlineLevel="0" collapsed="false">
      <c r="A19" s="15"/>
      <c r="B19" s="15"/>
      <c r="C19" s="15"/>
      <c r="D19" s="16"/>
      <c r="E19" s="10" t="str">
        <f aca="false">IF(OR(AC19=0,$D19=""),"",DATE(YEAR(AsOfDate)+IF(DATE(YEAR(AsOfDate),MONTH($D19),DAY($D19))&lt;=AsOfDate,1,0),MONTH($D19),DAY($D19)))</f>
        <v/>
      </c>
      <c r="F19" s="16"/>
      <c r="G19" s="16"/>
      <c r="H19" s="16"/>
      <c r="I19" s="16"/>
      <c r="J19" s="10" t="str">
        <f aca="false">IF(AC19=0,"",DATE(YEAR(AsOfDate)+IF(DATE(YEAR(AsOfDate),MONTH($F19),DAY($F19))&lt;=AsOfDate,1,0),MONTH($F19),DAY($F19)))</f>
        <v/>
      </c>
      <c r="K19" s="11" t="str">
        <f aca="false">IF(AC19=0,"",ROUND((AsOfDate-$F19)/365.25,1))</f>
        <v/>
      </c>
      <c r="L19" s="12" t="str">
        <f aca="false">IF(AC19=0,"",IF(AsOfDate&lt;AD19,"-",DATEDIF(AD19,AsOfDate,"y")&amp;"y "&amp;DATEDIF(AD19,AsOfDate,"ym")&amp;"m "&amp;DATEDIF(AD19,AsOfDate,"md")&amp;"d"))</f>
        <v/>
      </c>
      <c r="M19" s="13" t="str">
        <f aca="false">IF(AC19=0,"",N19*HoursPerDay)</f>
        <v/>
      </c>
      <c r="N19" s="13" t="str">
        <f aca="false">IF(AC19=0,"",AL19)</f>
        <v/>
      </c>
      <c r="O19" s="17"/>
      <c r="P19" s="12" t="str">
        <f aca="false">IF(AC19=0,"",IF(AE19="","",IF($G19&lt;$H19,"Part-Time to Full-Time","Full-Time to Part-Time")&amp;" on "&amp;TEXT(AE19,"dd/mm/yyyy")&amp;IF(AE19&gt;AsOfDate," (future)",IF(AF19=AG19,"",IF(AG19="None"," - STOPPED accruing",IF(AF19="None"," - now qualifying"," - pathway changed"))))))</f>
        <v/>
      </c>
      <c r="Q19" s="12" t="str">
        <f aca="false">IF(AC19=0,"",IF(AG19="None",IF(N19&gt;0,"No longer accruing","Not eligible - "&amp;IF(AND($C19="Part-Time",N($O19)&lt;PT_MinHours,$O19&lt;&gt;""),"under "&amp;PT_MinHours&amp;" hrs",$C19)),IF(N19&gt;0,"Yes - accruing","Not yet - from "&amp;TEXT(R19,"dd/mm/yyyy"))))</f>
        <v/>
      </c>
      <c r="R19" s="10" t="str">
        <f aca="false">IF(AC19=0,"",IF(AG19="None","",EDATE(AD19,AN19)))</f>
        <v/>
      </c>
      <c r="S19" s="13" t="str">
        <f aca="false">IF(AC19=0,"",IF(NOT(PFY_Ready),"",SUMIFS(INDEX(PFY_Data,0,PFY_ColBal),INDEX(PFY_Data,0,PFY_ColFirst),$A19,INDEX(PFY_Data,0,PFY_ColSur),$B19,INDEX(PFY_Data,0,PFY_ColCat),BonusCat)))</f>
        <v/>
      </c>
      <c r="T19" s="17"/>
      <c r="U19" s="13" t="str">
        <f aca="false">IF(AC19=0,"",IF(NOT(CFY_Ready),"",SUMIFS(INDEX(CFY_Data,0,CFY_ColBal),INDEX(CFY_Data,0,CFY_ColFirst),$A19,INDEX(CFY_Data,0,CFY_ColSur),$B19,INDEX(CFY_Data,0,CFY_ColCat),BonusCat)))</f>
        <v/>
      </c>
      <c r="V19" s="13" t="str">
        <f aca="false">IF(AC19=0,"",IF(OR(NOT(CFY_Ready),CFY_ColAppr=0),"",SUMIFS(INDEX(CFY_Data,0,CFY_ColAppr),INDEX(CFY_Data,0,CFY_ColFirst),$A19,INDEX(CFY_Data,0,CFY_ColSur),$B19,INDEX(CFY_Data,0,CFY_ColCat),BonusCat)))</f>
        <v/>
      </c>
      <c r="W19" s="13" t="str">
        <f aca="false">IF(OR(AC19=0,S19="",U19=""),"",MAX(0,S19+N($T19)-U19))</f>
        <v/>
      </c>
      <c r="X19" s="13" t="str">
        <f aca="false">IF(AC19=0,"",(AL19-AM19)*HoursPerDay)</f>
        <v/>
      </c>
      <c r="Y19" s="13" t="str">
        <f aca="false">IF(AC19=0,"",X19-N($T19))</f>
        <v/>
      </c>
      <c r="Z19" s="12" t="str">
        <f aca="false">IF(AC19=0,"",IF(Y19&gt;0,"Yes","No"))</f>
        <v/>
      </c>
      <c r="AA19" s="12" t="str">
        <f aca="false">IF(AC19=0,"",IF(NOT(CFY_Ready),"Paste CFY EH export",IF(Y19&gt;0,"ACCRUE "&amp;TEXT(Y19,"0.##")&amp;" hrs ("&amp;TEXT(Y19/HoursPerDay,"0.##")&amp;" days)"&amp;IF(AO19=0," - no Bonus Leave line in EH yet",""),IF(Y19&lt;0,"CHECK - posted "&amp;TEXT(-Y19,"0.##")&amp;" hrs more than policy",IF(AND(N19&gt;0,AO19=0,U19=0),"CHECK - policy says "&amp;TEXT(M19,"0.##")&amp;" hrs to date but nothing in EH",IF(N19&gt;0,"OK","-"))))))</f>
        <v/>
      </c>
      <c r="AB19" s="13" t="str">
        <f aca="false">IF(OR(AC19=0,S19=""),"",AM19*HoursPerDay-S19)</f>
        <v/>
      </c>
      <c r="AC19" s="12" t="n">
        <f aca="false">IF(OR(LEN($A19&amp;$B19)=0,$F19=""),0,1)</f>
        <v>0</v>
      </c>
      <c r="AD19" s="10" t="str">
        <f aca="false">IF(AC19=0,"",IF($I19&lt;&gt;"",$I19,$F19))</f>
        <v/>
      </c>
      <c r="AE19" s="10" t="str">
        <f aca="false">IF(AC19=0,"",IF(AND($G19&lt;&gt;"",$H19&lt;&gt;"",$G19&lt;&gt;$H19),MAX($G19,$H19),""))</f>
        <v/>
      </c>
      <c r="AF19" s="12" t="str">
        <f aca="false">IF(AC19=0,"",IF(AE19="",AG19,IF(IF($G19&lt;$H19,"Part-Time","Full-Time")="Full-Time","FT",IF(AND(IF($G19&lt;$H19,"Part-Time","Full-Time")="Part-Time",OR($O19="",N($O19)&gt;=PT_MinHours)),"PT","None"))))</f>
        <v/>
      </c>
      <c r="AG19" s="12" t="str">
        <f aca="false">IF(AC19=0,"",IF($C19="Full-Time","FT",IF(AND($C19="Part-Time",OR($O19="",N($O19)&gt;=PT_MinHours)),"PT","None")))</f>
        <v/>
      </c>
      <c r="AH19" s="12" t="str">
        <f aca="false">IF(AC19=0,"",IF(AsOfDate&lt;AD19,-1,12*(YEAR(AsOfDate)-YEAR(AD19))+MONTH(AsOfDate)-MONTH(AD19)-IF(DAY(AsOfDate)&lt;MIN(DAY(AD19),DAY(EOMONTH(AsOfDate,0))),1,0)))</f>
        <v/>
      </c>
      <c r="AI19" s="12" t="str">
        <f aca="false">IF(AC19=0,"",IF(OR(AE19="",AE19&gt;AsOfDate),AH19,IF((AE19-1)&lt;AD19,-1,12*(YEAR((AE19-1))-YEAR(AD19))+MONTH((AE19-1))-MONTH(AD19)-IF(DAY((AE19-1))&lt;MIN(DAY(AD19),DAY(EOMONTH((AE19-1),0))),1,0))))</f>
        <v/>
      </c>
      <c r="AJ19" s="12" t="str">
        <f aca="false">IF(AC19=0,"",IF(PFYDate&lt;AD19,-1,12*(YEAR(PFYDate)-YEAR(AD19))+MONTH(PFYDate)-MONTH(AD19)-IF(DAY(PFYDate)&lt;MIN(DAY(AD19),DAY(EOMONTH(PFYDate,0))),1,0)))</f>
        <v/>
      </c>
      <c r="AK19" s="12" t="str">
        <f aca="false">IF(AC19=0,"",IF(OR(AE19="",AE19&gt;PFYDate),AJ19,IF((AE19-1)&lt;AD19,-1,12*(YEAR((AE19-1))-YEAR(AD19))+MONTH((AE19-1))-MONTH(AD19)-IF(DAY((AE19-1))&lt;MIN(DAY(AD19),DAY(EOMONTH((AE19-1),0))),1,0))))</f>
        <v/>
      </c>
      <c r="AL19" s="12" t="str">
        <f aca="false">IF(AC19=0,"",IF(AF19="FT",IF(AI19&lt;FT_First,0,IF(AI19&lt;FT_Y5,1+INT((AI19-FT_First)/FT_Int1),FT_PreY5+FT_PerYear*INT((AI19-FT_Y5)/12)+FT_AnnivDays+INT(MOD(AI19-FT_Y5,12)/FT_Int2))),IF(AF19="PT",IF(AI19&lt;PT_First,0,1+INT((AI19-PT_First)/PT_Int)),0))+IF(OR(AE19="",AE19&gt;AsOfDate),0,IF(AG19="FT",IF(AH19&lt;FT_First,0,IF(AH19&lt;FT_Y5,1+INT((AH19-FT_First)/FT_Int1),FT_PreY5+FT_PerYear*INT((AH19-FT_Y5)/12)+FT_AnnivDays+INT(MOD(AH19-FT_Y5,12)/FT_Int2))),IF(AG19="PT",IF(AH19&lt;PT_First,0,1+INT((AH19-PT_First)/PT_Int)),0))-IF(AG19="FT",IF(AI19&lt;FT_First,0,IF(AI19&lt;FT_Y5,1+INT((AI19-FT_First)/FT_Int1),FT_PreY5+FT_PerYear*INT((AI19-FT_Y5)/12)+FT_AnnivDays+INT(MOD(AI19-FT_Y5,12)/FT_Int2))),IF(AG19="PT",IF(AI19&lt;PT_First,0,1+INT((AI19-PT_First)/PT_Int)),0))))</f>
        <v/>
      </c>
      <c r="AM19" s="12" t="str">
        <f aca="false">IF(AC19=0,"",IF(AF19="FT",IF(AK19&lt;FT_First,0,IF(AK19&lt;FT_Y5,1+INT((AK19-FT_First)/FT_Int1),FT_PreY5+FT_PerYear*INT((AK19-FT_Y5)/12)+FT_AnnivDays+INT(MOD(AK19-FT_Y5,12)/FT_Int2))),IF(AF19="PT",IF(AK19&lt;PT_First,0,1+INT((AK19-PT_First)/PT_Int)),0))+IF(OR(AE19="",AE19&gt;PFYDate),0,IF(AG19="FT",IF(AJ19&lt;FT_First,0,IF(AJ19&lt;FT_Y5,1+INT((AJ19-FT_First)/FT_Int1),FT_PreY5+FT_PerYear*INT((AJ19-FT_Y5)/12)+FT_AnnivDays+INT(MOD(AJ19-FT_Y5,12)/FT_Int2))),IF(AG19="PT",IF(AJ19&lt;PT_First,0,1+INT((AJ19-PT_First)/PT_Int)),0))-IF(AG19="FT",IF(AK19&lt;FT_First,0,IF(AK19&lt;FT_Y5,1+INT((AK19-FT_First)/FT_Int1),FT_PreY5+FT_PerYear*INT((AK19-FT_Y5)/12)+FT_AnnivDays+INT(MOD(AK19-FT_Y5,12)/FT_Int2))),IF(AG19="PT",IF(AK19&lt;PT_First,0,1+INT((AK19-PT_First)/PT_Int)),0))))</f>
        <v/>
      </c>
      <c r="AN19" s="12" t="str">
        <f aca="false">IF(AC19=0,"",IF(AG19="FT",IF(AH19&lt;FT_First,FT_First,IF(AH19&lt;FT_Y5,MIN(FT_Y5,FT_First+FT_Int1*(INT((AH19-FT_First)/FT_Int1)+1)),FT_Y5+12*INT((AH19-FT_Y5)/12)+FT_Int2*(INT(MOD(AH19-FT_Y5,12)/FT_Int2)+1))),IF(AG19="PT",IF(AH19&lt;PT_First,PT_First,PT_First+PT_Int*(INT((AH19-PT_First)/PT_Int)+1)),"")))</f>
        <v/>
      </c>
      <c r="AO19" s="12" t="str">
        <f aca="false">IF(AC19=0,"",IF(NOT(CFY_Ready),0,COUNTIFS(INDEX(CFY_Data,0,CFY_ColFirst),$A19,INDEX(CFY_Data,0,CFY_ColSur),$B19,INDEX(CFY_Data,0,CFY_ColCat),BonusCat)))</f>
        <v/>
      </c>
    </row>
    <row r="20" customFormat="false" ht="15" hidden="false" customHeight="false" outlineLevel="0" collapsed="false">
      <c r="A20" s="15"/>
      <c r="B20" s="15"/>
      <c r="C20" s="15"/>
      <c r="D20" s="16"/>
      <c r="E20" s="10" t="str">
        <f aca="false">IF(OR(AC20=0,$D20=""),"",DATE(YEAR(AsOfDate)+IF(DATE(YEAR(AsOfDate),MONTH($D20),DAY($D20))&lt;=AsOfDate,1,0),MONTH($D20),DAY($D20)))</f>
        <v/>
      </c>
      <c r="F20" s="16"/>
      <c r="G20" s="16"/>
      <c r="H20" s="16"/>
      <c r="I20" s="16"/>
      <c r="J20" s="10" t="str">
        <f aca="false">IF(AC20=0,"",DATE(YEAR(AsOfDate)+IF(DATE(YEAR(AsOfDate),MONTH($F20),DAY($F20))&lt;=AsOfDate,1,0),MONTH($F20),DAY($F20)))</f>
        <v/>
      </c>
      <c r="K20" s="11" t="str">
        <f aca="false">IF(AC20=0,"",ROUND((AsOfDate-$F20)/365.25,1))</f>
        <v/>
      </c>
      <c r="L20" s="12" t="str">
        <f aca="false">IF(AC20=0,"",IF(AsOfDate&lt;AD20,"-",DATEDIF(AD20,AsOfDate,"y")&amp;"y "&amp;DATEDIF(AD20,AsOfDate,"ym")&amp;"m "&amp;DATEDIF(AD20,AsOfDate,"md")&amp;"d"))</f>
        <v/>
      </c>
      <c r="M20" s="13" t="str">
        <f aca="false">IF(AC20=0,"",N20*HoursPerDay)</f>
        <v/>
      </c>
      <c r="N20" s="13" t="str">
        <f aca="false">IF(AC20=0,"",AL20)</f>
        <v/>
      </c>
      <c r="O20" s="17"/>
      <c r="P20" s="12" t="str">
        <f aca="false">IF(AC20=0,"",IF(AE20="","",IF($G20&lt;$H20,"Part-Time to Full-Time","Full-Time to Part-Time")&amp;" on "&amp;TEXT(AE20,"dd/mm/yyyy")&amp;IF(AE20&gt;AsOfDate," (future)",IF(AF20=AG20,"",IF(AG20="None"," - STOPPED accruing",IF(AF20="None"," - now qualifying"," - pathway changed"))))))</f>
        <v/>
      </c>
      <c r="Q20" s="12" t="str">
        <f aca="false">IF(AC20=0,"",IF(AG20="None",IF(N20&gt;0,"No longer accruing","Not eligible - "&amp;IF(AND($C20="Part-Time",N($O20)&lt;PT_MinHours,$O20&lt;&gt;""),"under "&amp;PT_MinHours&amp;" hrs",$C20)),IF(N20&gt;0,"Yes - accruing","Not yet - from "&amp;TEXT(R20,"dd/mm/yyyy"))))</f>
        <v/>
      </c>
      <c r="R20" s="10" t="str">
        <f aca="false">IF(AC20=0,"",IF(AG20="None","",EDATE(AD20,AN20)))</f>
        <v/>
      </c>
      <c r="S20" s="13" t="str">
        <f aca="false">IF(AC20=0,"",IF(NOT(PFY_Ready),"",SUMIFS(INDEX(PFY_Data,0,PFY_ColBal),INDEX(PFY_Data,0,PFY_ColFirst),$A20,INDEX(PFY_Data,0,PFY_ColSur),$B20,INDEX(PFY_Data,0,PFY_ColCat),BonusCat)))</f>
        <v/>
      </c>
      <c r="T20" s="17"/>
      <c r="U20" s="13" t="str">
        <f aca="false">IF(AC20=0,"",IF(NOT(CFY_Ready),"",SUMIFS(INDEX(CFY_Data,0,CFY_ColBal),INDEX(CFY_Data,0,CFY_ColFirst),$A20,INDEX(CFY_Data,0,CFY_ColSur),$B20,INDEX(CFY_Data,0,CFY_ColCat),BonusCat)))</f>
        <v/>
      </c>
      <c r="V20" s="13" t="str">
        <f aca="false">IF(AC20=0,"",IF(OR(NOT(CFY_Ready),CFY_ColAppr=0),"",SUMIFS(INDEX(CFY_Data,0,CFY_ColAppr),INDEX(CFY_Data,0,CFY_ColFirst),$A20,INDEX(CFY_Data,0,CFY_ColSur),$B20,INDEX(CFY_Data,0,CFY_ColCat),BonusCat)))</f>
        <v/>
      </c>
      <c r="W20" s="13" t="str">
        <f aca="false">IF(OR(AC20=0,S20="",U20=""),"",MAX(0,S20+N($T20)-U20))</f>
        <v/>
      </c>
      <c r="X20" s="13" t="str">
        <f aca="false">IF(AC20=0,"",(AL20-AM20)*HoursPerDay)</f>
        <v/>
      </c>
      <c r="Y20" s="13" t="str">
        <f aca="false">IF(AC20=0,"",X20-N($T20))</f>
        <v/>
      </c>
      <c r="Z20" s="12" t="str">
        <f aca="false">IF(AC20=0,"",IF(Y20&gt;0,"Yes","No"))</f>
        <v/>
      </c>
      <c r="AA20" s="12" t="str">
        <f aca="false">IF(AC20=0,"",IF(NOT(CFY_Ready),"Paste CFY EH export",IF(Y20&gt;0,"ACCRUE "&amp;TEXT(Y20,"0.##")&amp;" hrs ("&amp;TEXT(Y20/HoursPerDay,"0.##")&amp;" days)"&amp;IF(AO20=0," - no Bonus Leave line in EH yet",""),IF(Y20&lt;0,"CHECK - posted "&amp;TEXT(-Y20,"0.##")&amp;" hrs more than policy",IF(AND(N20&gt;0,AO20=0,U20=0),"CHECK - policy says "&amp;TEXT(M20,"0.##")&amp;" hrs to date but nothing in EH",IF(N20&gt;0,"OK","-"))))))</f>
        <v/>
      </c>
      <c r="AB20" s="13" t="str">
        <f aca="false">IF(OR(AC20=0,S20=""),"",AM20*HoursPerDay-S20)</f>
        <v/>
      </c>
      <c r="AC20" s="12" t="n">
        <f aca="false">IF(OR(LEN($A20&amp;$B20)=0,$F20=""),0,1)</f>
        <v>0</v>
      </c>
      <c r="AD20" s="10" t="str">
        <f aca="false">IF(AC20=0,"",IF($I20&lt;&gt;"",$I20,$F20))</f>
        <v/>
      </c>
      <c r="AE20" s="10" t="str">
        <f aca="false">IF(AC20=0,"",IF(AND($G20&lt;&gt;"",$H20&lt;&gt;"",$G20&lt;&gt;$H20),MAX($G20,$H20),""))</f>
        <v/>
      </c>
      <c r="AF20" s="12" t="str">
        <f aca="false">IF(AC20=0,"",IF(AE20="",AG20,IF(IF($G20&lt;$H20,"Part-Time","Full-Time")="Full-Time","FT",IF(AND(IF($G20&lt;$H20,"Part-Time","Full-Time")="Part-Time",OR($O20="",N($O20)&gt;=PT_MinHours)),"PT","None"))))</f>
        <v/>
      </c>
      <c r="AG20" s="12" t="str">
        <f aca="false">IF(AC20=0,"",IF($C20="Full-Time","FT",IF(AND($C20="Part-Time",OR($O20="",N($O20)&gt;=PT_MinHours)),"PT","None")))</f>
        <v/>
      </c>
      <c r="AH20" s="12" t="str">
        <f aca="false">IF(AC20=0,"",IF(AsOfDate&lt;AD20,-1,12*(YEAR(AsOfDate)-YEAR(AD20))+MONTH(AsOfDate)-MONTH(AD20)-IF(DAY(AsOfDate)&lt;MIN(DAY(AD20),DAY(EOMONTH(AsOfDate,0))),1,0)))</f>
        <v/>
      </c>
      <c r="AI20" s="12" t="str">
        <f aca="false">IF(AC20=0,"",IF(OR(AE20="",AE20&gt;AsOfDate),AH20,IF((AE20-1)&lt;AD20,-1,12*(YEAR((AE20-1))-YEAR(AD20))+MONTH((AE20-1))-MONTH(AD20)-IF(DAY((AE20-1))&lt;MIN(DAY(AD20),DAY(EOMONTH((AE20-1),0))),1,0))))</f>
        <v/>
      </c>
      <c r="AJ20" s="12" t="str">
        <f aca="false">IF(AC20=0,"",IF(PFYDate&lt;AD20,-1,12*(YEAR(PFYDate)-YEAR(AD20))+MONTH(PFYDate)-MONTH(AD20)-IF(DAY(PFYDate)&lt;MIN(DAY(AD20),DAY(EOMONTH(PFYDate,0))),1,0)))</f>
        <v/>
      </c>
      <c r="AK20" s="12" t="str">
        <f aca="false">IF(AC20=0,"",IF(OR(AE20="",AE20&gt;PFYDate),AJ20,IF((AE20-1)&lt;AD20,-1,12*(YEAR((AE20-1))-YEAR(AD20))+MONTH((AE20-1))-MONTH(AD20)-IF(DAY((AE20-1))&lt;MIN(DAY(AD20),DAY(EOMONTH((AE20-1),0))),1,0))))</f>
        <v/>
      </c>
      <c r="AL20" s="12" t="str">
        <f aca="false">IF(AC20=0,"",IF(AF20="FT",IF(AI20&lt;FT_First,0,IF(AI20&lt;FT_Y5,1+INT((AI20-FT_First)/FT_Int1),FT_PreY5+FT_PerYear*INT((AI20-FT_Y5)/12)+FT_AnnivDays+INT(MOD(AI20-FT_Y5,12)/FT_Int2))),IF(AF20="PT",IF(AI20&lt;PT_First,0,1+INT((AI20-PT_First)/PT_Int)),0))+IF(OR(AE20="",AE20&gt;AsOfDate),0,IF(AG20="FT",IF(AH20&lt;FT_First,0,IF(AH20&lt;FT_Y5,1+INT((AH20-FT_First)/FT_Int1),FT_PreY5+FT_PerYear*INT((AH20-FT_Y5)/12)+FT_AnnivDays+INT(MOD(AH20-FT_Y5,12)/FT_Int2))),IF(AG20="PT",IF(AH20&lt;PT_First,0,1+INT((AH20-PT_First)/PT_Int)),0))-IF(AG20="FT",IF(AI20&lt;FT_First,0,IF(AI20&lt;FT_Y5,1+INT((AI20-FT_First)/FT_Int1),FT_PreY5+FT_PerYear*INT((AI20-FT_Y5)/12)+FT_AnnivDays+INT(MOD(AI20-FT_Y5,12)/FT_Int2))),IF(AG20="PT",IF(AI20&lt;PT_First,0,1+INT((AI20-PT_First)/PT_Int)),0))))</f>
        <v/>
      </c>
      <c r="AM20" s="12" t="str">
        <f aca="false">IF(AC20=0,"",IF(AF20="FT",IF(AK20&lt;FT_First,0,IF(AK20&lt;FT_Y5,1+INT((AK20-FT_First)/FT_Int1),FT_PreY5+FT_PerYear*INT((AK20-FT_Y5)/12)+FT_AnnivDays+INT(MOD(AK20-FT_Y5,12)/FT_Int2))),IF(AF20="PT",IF(AK20&lt;PT_First,0,1+INT((AK20-PT_First)/PT_Int)),0))+IF(OR(AE20="",AE20&gt;PFYDate),0,IF(AG20="FT",IF(AJ20&lt;FT_First,0,IF(AJ20&lt;FT_Y5,1+INT((AJ20-FT_First)/FT_Int1),FT_PreY5+FT_PerYear*INT((AJ20-FT_Y5)/12)+FT_AnnivDays+INT(MOD(AJ20-FT_Y5,12)/FT_Int2))),IF(AG20="PT",IF(AJ20&lt;PT_First,0,1+INT((AJ20-PT_First)/PT_Int)),0))-IF(AG20="FT",IF(AK20&lt;FT_First,0,IF(AK20&lt;FT_Y5,1+INT((AK20-FT_First)/FT_Int1),FT_PreY5+FT_PerYear*INT((AK20-FT_Y5)/12)+FT_AnnivDays+INT(MOD(AK20-FT_Y5,12)/FT_Int2))),IF(AG20="PT",IF(AK20&lt;PT_First,0,1+INT((AK20-PT_First)/PT_Int)),0))))</f>
        <v/>
      </c>
      <c r="AN20" s="12" t="str">
        <f aca="false">IF(AC20=0,"",IF(AG20="FT",IF(AH20&lt;FT_First,FT_First,IF(AH20&lt;FT_Y5,MIN(FT_Y5,FT_First+FT_Int1*(INT((AH20-FT_First)/FT_Int1)+1)),FT_Y5+12*INT((AH20-FT_Y5)/12)+FT_Int2*(INT(MOD(AH20-FT_Y5,12)/FT_Int2)+1))),IF(AG20="PT",IF(AH20&lt;PT_First,PT_First,PT_First+PT_Int*(INT((AH20-PT_First)/PT_Int)+1)),"")))</f>
        <v/>
      </c>
      <c r="AO20" s="12" t="str">
        <f aca="false">IF(AC20=0,"",IF(NOT(CFY_Ready),0,COUNTIFS(INDEX(CFY_Data,0,CFY_ColFirst),$A20,INDEX(CFY_Data,0,CFY_ColSur),$B20,INDEX(CFY_Data,0,CFY_ColCat),BonusCat)))</f>
        <v/>
      </c>
    </row>
    <row r="21" customFormat="false" ht="15" hidden="false" customHeight="false" outlineLevel="0" collapsed="false">
      <c r="A21" s="15"/>
      <c r="B21" s="15"/>
      <c r="C21" s="15"/>
      <c r="D21" s="16"/>
      <c r="E21" s="10" t="str">
        <f aca="false">IF(OR(AC21=0,$D21=""),"",DATE(YEAR(AsOfDate)+IF(DATE(YEAR(AsOfDate),MONTH($D21),DAY($D21))&lt;=AsOfDate,1,0),MONTH($D21),DAY($D21)))</f>
        <v/>
      </c>
      <c r="F21" s="16"/>
      <c r="G21" s="16"/>
      <c r="H21" s="16"/>
      <c r="I21" s="16"/>
      <c r="J21" s="10" t="str">
        <f aca="false">IF(AC21=0,"",DATE(YEAR(AsOfDate)+IF(DATE(YEAR(AsOfDate),MONTH($F21),DAY($F21))&lt;=AsOfDate,1,0),MONTH($F21),DAY($F21)))</f>
        <v/>
      </c>
      <c r="K21" s="11" t="str">
        <f aca="false">IF(AC21=0,"",ROUND((AsOfDate-$F21)/365.25,1))</f>
        <v/>
      </c>
      <c r="L21" s="12" t="str">
        <f aca="false">IF(AC21=0,"",IF(AsOfDate&lt;AD21,"-",DATEDIF(AD21,AsOfDate,"y")&amp;"y "&amp;DATEDIF(AD21,AsOfDate,"ym")&amp;"m "&amp;DATEDIF(AD21,AsOfDate,"md")&amp;"d"))</f>
        <v/>
      </c>
      <c r="M21" s="13" t="str">
        <f aca="false">IF(AC21=0,"",N21*HoursPerDay)</f>
        <v/>
      </c>
      <c r="N21" s="13" t="str">
        <f aca="false">IF(AC21=0,"",AL21)</f>
        <v/>
      </c>
      <c r="O21" s="17"/>
      <c r="P21" s="12" t="str">
        <f aca="false">IF(AC21=0,"",IF(AE21="","",IF($G21&lt;$H21,"Part-Time to Full-Time","Full-Time to Part-Time")&amp;" on "&amp;TEXT(AE21,"dd/mm/yyyy")&amp;IF(AE21&gt;AsOfDate," (future)",IF(AF21=AG21,"",IF(AG21="None"," - STOPPED accruing",IF(AF21="None"," - now qualifying"," - pathway changed"))))))</f>
        <v/>
      </c>
      <c r="Q21" s="12" t="str">
        <f aca="false">IF(AC21=0,"",IF(AG21="None",IF(N21&gt;0,"No longer accruing","Not eligible - "&amp;IF(AND($C21="Part-Time",N($O21)&lt;PT_MinHours,$O21&lt;&gt;""),"under "&amp;PT_MinHours&amp;" hrs",$C21)),IF(N21&gt;0,"Yes - accruing","Not yet - from "&amp;TEXT(R21,"dd/mm/yyyy"))))</f>
        <v/>
      </c>
      <c r="R21" s="10" t="str">
        <f aca="false">IF(AC21=0,"",IF(AG21="None","",EDATE(AD21,AN21)))</f>
        <v/>
      </c>
      <c r="S21" s="13" t="str">
        <f aca="false">IF(AC21=0,"",IF(NOT(PFY_Ready),"",SUMIFS(INDEX(PFY_Data,0,PFY_ColBal),INDEX(PFY_Data,0,PFY_ColFirst),$A21,INDEX(PFY_Data,0,PFY_ColSur),$B21,INDEX(PFY_Data,0,PFY_ColCat),BonusCat)))</f>
        <v/>
      </c>
      <c r="T21" s="17"/>
      <c r="U21" s="13" t="str">
        <f aca="false">IF(AC21=0,"",IF(NOT(CFY_Ready),"",SUMIFS(INDEX(CFY_Data,0,CFY_ColBal),INDEX(CFY_Data,0,CFY_ColFirst),$A21,INDEX(CFY_Data,0,CFY_ColSur),$B21,INDEX(CFY_Data,0,CFY_ColCat),BonusCat)))</f>
        <v/>
      </c>
      <c r="V21" s="13" t="str">
        <f aca="false">IF(AC21=0,"",IF(OR(NOT(CFY_Ready),CFY_ColAppr=0),"",SUMIFS(INDEX(CFY_Data,0,CFY_ColAppr),INDEX(CFY_Data,0,CFY_ColFirst),$A21,INDEX(CFY_Data,0,CFY_ColSur),$B21,INDEX(CFY_Data,0,CFY_ColCat),BonusCat)))</f>
        <v/>
      </c>
      <c r="W21" s="13" t="str">
        <f aca="false">IF(OR(AC21=0,S21="",U21=""),"",MAX(0,S21+N($T21)-U21))</f>
        <v/>
      </c>
      <c r="X21" s="13" t="str">
        <f aca="false">IF(AC21=0,"",(AL21-AM21)*HoursPerDay)</f>
        <v/>
      </c>
      <c r="Y21" s="13" t="str">
        <f aca="false">IF(AC21=0,"",X21-N($T21))</f>
        <v/>
      </c>
      <c r="Z21" s="12" t="str">
        <f aca="false">IF(AC21=0,"",IF(Y21&gt;0,"Yes","No"))</f>
        <v/>
      </c>
      <c r="AA21" s="12" t="str">
        <f aca="false">IF(AC21=0,"",IF(NOT(CFY_Ready),"Paste CFY EH export",IF(Y21&gt;0,"ACCRUE "&amp;TEXT(Y21,"0.##")&amp;" hrs ("&amp;TEXT(Y21/HoursPerDay,"0.##")&amp;" days)"&amp;IF(AO21=0," - no Bonus Leave line in EH yet",""),IF(Y21&lt;0,"CHECK - posted "&amp;TEXT(-Y21,"0.##")&amp;" hrs more than policy",IF(AND(N21&gt;0,AO21=0,U21=0),"CHECK - policy says "&amp;TEXT(M21,"0.##")&amp;" hrs to date but nothing in EH",IF(N21&gt;0,"OK","-"))))))</f>
        <v/>
      </c>
      <c r="AB21" s="13" t="str">
        <f aca="false">IF(OR(AC21=0,S21=""),"",AM21*HoursPerDay-S21)</f>
        <v/>
      </c>
      <c r="AC21" s="12" t="n">
        <f aca="false">IF(OR(LEN($A21&amp;$B21)=0,$F21=""),0,1)</f>
        <v>0</v>
      </c>
      <c r="AD21" s="10" t="str">
        <f aca="false">IF(AC21=0,"",IF($I21&lt;&gt;"",$I21,$F21))</f>
        <v/>
      </c>
      <c r="AE21" s="10" t="str">
        <f aca="false">IF(AC21=0,"",IF(AND($G21&lt;&gt;"",$H21&lt;&gt;"",$G21&lt;&gt;$H21),MAX($G21,$H21),""))</f>
        <v/>
      </c>
      <c r="AF21" s="12" t="str">
        <f aca="false">IF(AC21=0,"",IF(AE21="",AG21,IF(IF($G21&lt;$H21,"Part-Time","Full-Time")="Full-Time","FT",IF(AND(IF($G21&lt;$H21,"Part-Time","Full-Time")="Part-Time",OR($O21="",N($O21)&gt;=PT_MinHours)),"PT","None"))))</f>
        <v/>
      </c>
      <c r="AG21" s="12" t="str">
        <f aca="false">IF(AC21=0,"",IF($C21="Full-Time","FT",IF(AND($C21="Part-Time",OR($O21="",N($O21)&gt;=PT_MinHours)),"PT","None")))</f>
        <v/>
      </c>
      <c r="AH21" s="12" t="str">
        <f aca="false">IF(AC21=0,"",IF(AsOfDate&lt;AD21,-1,12*(YEAR(AsOfDate)-YEAR(AD21))+MONTH(AsOfDate)-MONTH(AD21)-IF(DAY(AsOfDate)&lt;MIN(DAY(AD21),DAY(EOMONTH(AsOfDate,0))),1,0)))</f>
        <v/>
      </c>
      <c r="AI21" s="12" t="str">
        <f aca="false">IF(AC21=0,"",IF(OR(AE21="",AE21&gt;AsOfDate),AH21,IF((AE21-1)&lt;AD21,-1,12*(YEAR((AE21-1))-YEAR(AD21))+MONTH((AE21-1))-MONTH(AD21)-IF(DAY((AE21-1))&lt;MIN(DAY(AD21),DAY(EOMONTH((AE21-1),0))),1,0))))</f>
        <v/>
      </c>
      <c r="AJ21" s="12" t="str">
        <f aca="false">IF(AC21=0,"",IF(PFYDate&lt;AD21,-1,12*(YEAR(PFYDate)-YEAR(AD21))+MONTH(PFYDate)-MONTH(AD21)-IF(DAY(PFYDate)&lt;MIN(DAY(AD21),DAY(EOMONTH(PFYDate,0))),1,0)))</f>
        <v/>
      </c>
      <c r="AK21" s="12" t="str">
        <f aca="false">IF(AC21=0,"",IF(OR(AE21="",AE21&gt;PFYDate),AJ21,IF((AE21-1)&lt;AD21,-1,12*(YEAR((AE21-1))-YEAR(AD21))+MONTH((AE21-1))-MONTH(AD21)-IF(DAY((AE21-1))&lt;MIN(DAY(AD21),DAY(EOMONTH((AE21-1),0))),1,0))))</f>
        <v/>
      </c>
      <c r="AL21" s="12" t="str">
        <f aca="false">IF(AC21=0,"",IF(AF21="FT",IF(AI21&lt;FT_First,0,IF(AI21&lt;FT_Y5,1+INT((AI21-FT_First)/FT_Int1),FT_PreY5+FT_PerYear*INT((AI21-FT_Y5)/12)+FT_AnnivDays+INT(MOD(AI21-FT_Y5,12)/FT_Int2))),IF(AF21="PT",IF(AI21&lt;PT_First,0,1+INT((AI21-PT_First)/PT_Int)),0))+IF(OR(AE21="",AE21&gt;AsOfDate),0,IF(AG21="FT",IF(AH21&lt;FT_First,0,IF(AH21&lt;FT_Y5,1+INT((AH21-FT_First)/FT_Int1),FT_PreY5+FT_PerYear*INT((AH21-FT_Y5)/12)+FT_AnnivDays+INT(MOD(AH21-FT_Y5,12)/FT_Int2))),IF(AG21="PT",IF(AH21&lt;PT_First,0,1+INT((AH21-PT_First)/PT_Int)),0))-IF(AG21="FT",IF(AI21&lt;FT_First,0,IF(AI21&lt;FT_Y5,1+INT((AI21-FT_First)/FT_Int1),FT_PreY5+FT_PerYear*INT((AI21-FT_Y5)/12)+FT_AnnivDays+INT(MOD(AI21-FT_Y5,12)/FT_Int2))),IF(AG21="PT",IF(AI21&lt;PT_First,0,1+INT((AI21-PT_First)/PT_Int)),0))))</f>
        <v/>
      </c>
      <c r="AM21" s="12" t="str">
        <f aca="false">IF(AC21=0,"",IF(AF21="FT",IF(AK21&lt;FT_First,0,IF(AK21&lt;FT_Y5,1+INT((AK21-FT_First)/FT_Int1),FT_PreY5+FT_PerYear*INT((AK21-FT_Y5)/12)+FT_AnnivDays+INT(MOD(AK21-FT_Y5,12)/FT_Int2))),IF(AF21="PT",IF(AK21&lt;PT_First,0,1+INT((AK21-PT_First)/PT_Int)),0))+IF(OR(AE21="",AE21&gt;PFYDate),0,IF(AG21="FT",IF(AJ21&lt;FT_First,0,IF(AJ21&lt;FT_Y5,1+INT((AJ21-FT_First)/FT_Int1),FT_PreY5+FT_PerYear*INT((AJ21-FT_Y5)/12)+FT_AnnivDays+INT(MOD(AJ21-FT_Y5,12)/FT_Int2))),IF(AG21="PT",IF(AJ21&lt;PT_First,0,1+INT((AJ21-PT_First)/PT_Int)),0))-IF(AG21="FT",IF(AK21&lt;FT_First,0,IF(AK21&lt;FT_Y5,1+INT((AK21-FT_First)/FT_Int1),FT_PreY5+FT_PerYear*INT((AK21-FT_Y5)/12)+FT_AnnivDays+INT(MOD(AK21-FT_Y5,12)/FT_Int2))),IF(AG21="PT",IF(AK21&lt;PT_First,0,1+INT((AK21-PT_First)/PT_Int)),0))))</f>
        <v/>
      </c>
      <c r="AN21" s="12" t="str">
        <f aca="false">IF(AC21=0,"",IF(AG21="FT",IF(AH21&lt;FT_First,FT_First,IF(AH21&lt;FT_Y5,MIN(FT_Y5,FT_First+FT_Int1*(INT((AH21-FT_First)/FT_Int1)+1)),FT_Y5+12*INT((AH21-FT_Y5)/12)+FT_Int2*(INT(MOD(AH21-FT_Y5,12)/FT_Int2)+1))),IF(AG21="PT",IF(AH21&lt;PT_First,PT_First,PT_First+PT_Int*(INT((AH21-PT_First)/PT_Int)+1)),"")))</f>
        <v/>
      </c>
      <c r="AO21" s="12" t="str">
        <f aca="false">IF(AC21=0,"",IF(NOT(CFY_Ready),0,COUNTIFS(INDEX(CFY_Data,0,CFY_ColFirst),$A21,INDEX(CFY_Data,0,CFY_ColSur),$B21,INDEX(CFY_Data,0,CFY_ColCat),BonusCat)))</f>
        <v/>
      </c>
    </row>
    <row r="22" customFormat="false" ht="15" hidden="false" customHeight="false" outlineLevel="0" collapsed="false">
      <c r="A22" s="15"/>
      <c r="B22" s="15"/>
      <c r="C22" s="15"/>
      <c r="D22" s="16"/>
      <c r="E22" s="10" t="str">
        <f aca="false">IF(OR(AC22=0,$D22=""),"",DATE(YEAR(AsOfDate)+IF(DATE(YEAR(AsOfDate),MONTH($D22),DAY($D22))&lt;=AsOfDate,1,0),MONTH($D22),DAY($D22)))</f>
        <v/>
      </c>
      <c r="F22" s="16"/>
      <c r="G22" s="16"/>
      <c r="H22" s="16"/>
      <c r="I22" s="16"/>
      <c r="J22" s="10" t="str">
        <f aca="false">IF(AC22=0,"",DATE(YEAR(AsOfDate)+IF(DATE(YEAR(AsOfDate),MONTH($F22),DAY($F22))&lt;=AsOfDate,1,0),MONTH($F22),DAY($F22)))</f>
        <v/>
      </c>
      <c r="K22" s="11" t="str">
        <f aca="false">IF(AC22=0,"",ROUND((AsOfDate-$F22)/365.25,1))</f>
        <v/>
      </c>
      <c r="L22" s="12" t="str">
        <f aca="false">IF(AC22=0,"",IF(AsOfDate&lt;AD22,"-",DATEDIF(AD22,AsOfDate,"y")&amp;"y "&amp;DATEDIF(AD22,AsOfDate,"ym")&amp;"m "&amp;DATEDIF(AD22,AsOfDate,"md")&amp;"d"))</f>
        <v/>
      </c>
      <c r="M22" s="13" t="str">
        <f aca="false">IF(AC22=0,"",N22*HoursPerDay)</f>
        <v/>
      </c>
      <c r="N22" s="13" t="str">
        <f aca="false">IF(AC22=0,"",AL22)</f>
        <v/>
      </c>
      <c r="O22" s="17"/>
      <c r="P22" s="12" t="str">
        <f aca="false">IF(AC22=0,"",IF(AE22="","",IF($G22&lt;$H22,"Part-Time to Full-Time","Full-Time to Part-Time")&amp;" on "&amp;TEXT(AE22,"dd/mm/yyyy")&amp;IF(AE22&gt;AsOfDate," (future)",IF(AF22=AG22,"",IF(AG22="None"," - STOPPED accruing",IF(AF22="None"," - now qualifying"," - pathway changed"))))))</f>
        <v/>
      </c>
      <c r="Q22" s="12" t="str">
        <f aca="false">IF(AC22=0,"",IF(AG22="None",IF(N22&gt;0,"No longer accruing","Not eligible - "&amp;IF(AND($C22="Part-Time",N($O22)&lt;PT_MinHours,$O22&lt;&gt;""),"under "&amp;PT_MinHours&amp;" hrs",$C22)),IF(N22&gt;0,"Yes - accruing","Not yet - from "&amp;TEXT(R22,"dd/mm/yyyy"))))</f>
        <v/>
      </c>
      <c r="R22" s="10" t="str">
        <f aca="false">IF(AC22=0,"",IF(AG22="None","",EDATE(AD22,AN22)))</f>
        <v/>
      </c>
      <c r="S22" s="13" t="str">
        <f aca="false">IF(AC22=0,"",IF(NOT(PFY_Ready),"",SUMIFS(INDEX(PFY_Data,0,PFY_ColBal),INDEX(PFY_Data,0,PFY_ColFirst),$A22,INDEX(PFY_Data,0,PFY_ColSur),$B22,INDEX(PFY_Data,0,PFY_ColCat),BonusCat)))</f>
        <v/>
      </c>
      <c r="T22" s="17"/>
      <c r="U22" s="13" t="str">
        <f aca="false">IF(AC22=0,"",IF(NOT(CFY_Ready),"",SUMIFS(INDEX(CFY_Data,0,CFY_ColBal),INDEX(CFY_Data,0,CFY_ColFirst),$A22,INDEX(CFY_Data,0,CFY_ColSur),$B22,INDEX(CFY_Data,0,CFY_ColCat),BonusCat)))</f>
        <v/>
      </c>
      <c r="V22" s="13" t="str">
        <f aca="false">IF(AC22=0,"",IF(OR(NOT(CFY_Ready),CFY_ColAppr=0),"",SUMIFS(INDEX(CFY_Data,0,CFY_ColAppr),INDEX(CFY_Data,0,CFY_ColFirst),$A22,INDEX(CFY_Data,0,CFY_ColSur),$B22,INDEX(CFY_Data,0,CFY_ColCat),BonusCat)))</f>
        <v/>
      </c>
      <c r="W22" s="13" t="str">
        <f aca="false">IF(OR(AC22=0,S22="",U22=""),"",MAX(0,S22+N($T22)-U22))</f>
        <v/>
      </c>
      <c r="X22" s="13" t="str">
        <f aca="false">IF(AC22=0,"",(AL22-AM22)*HoursPerDay)</f>
        <v/>
      </c>
      <c r="Y22" s="13" t="str">
        <f aca="false">IF(AC22=0,"",X22-N($T22))</f>
        <v/>
      </c>
      <c r="Z22" s="12" t="str">
        <f aca="false">IF(AC22=0,"",IF(Y22&gt;0,"Yes","No"))</f>
        <v/>
      </c>
      <c r="AA22" s="12" t="str">
        <f aca="false">IF(AC22=0,"",IF(NOT(CFY_Ready),"Paste CFY EH export",IF(Y22&gt;0,"ACCRUE "&amp;TEXT(Y22,"0.##")&amp;" hrs ("&amp;TEXT(Y22/HoursPerDay,"0.##")&amp;" days)"&amp;IF(AO22=0," - no Bonus Leave line in EH yet",""),IF(Y22&lt;0,"CHECK - posted "&amp;TEXT(-Y22,"0.##")&amp;" hrs more than policy",IF(AND(N22&gt;0,AO22=0,U22=0),"CHECK - policy says "&amp;TEXT(M22,"0.##")&amp;" hrs to date but nothing in EH",IF(N22&gt;0,"OK","-"))))))</f>
        <v/>
      </c>
      <c r="AB22" s="13" t="str">
        <f aca="false">IF(OR(AC22=0,S22=""),"",AM22*HoursPerDay-S22)</f>
        <v/>
      </c>
      <c r="AC22" s="12" t="n">
        <f aca="false">IF(OR(LEN($A22&amp;$B22)=0,$F22=""),0,1)</f>
        <v>0</v>
      </c>
      <c r="AD22" s="10" t="str">
        <f aca="false">IF(AC22=0,"",IF($I22&lt;&gt;"",$I22,$F22))</f>
        <v/>
      </c>
      <c r="AE22" s="10" t="str">
        <f aca="false">IF(AC22=0,"",IF(AND($G22&lt;&gt;"",$H22&lt;&gt;"",$G22&lt;&gt;$H22),MAX($G22,$H22),""))</f>
        <v/>
      </c>
      <c r="AF22" s="12" t="str">
        <f aca="false">IF(AC22=0,"",IF(AE22="",AG22,IF(IF($G22&lt;$H22,"Part-Time","Full-Time")="Full-Time","FT",IF(AND(IF($G22&lt;$H22,"Part-Time","Full-Time")="Part-Time",OR($O22="",N($O22)&gt;=PT_MinHours)),"PT","None"))))</f>
        <v/>
      </c>
      <c r="AG22" s="12" t="str">
        <f aca="false">IF(AC22=0,"",IF($C22="Full-Time","FT",IF(AND($C22="Part-Time",OR($O22="",N($O22)&gt;=PT_MinHours)),"PT","None")))</f>
        <v/>
      </c>
      <c r="AH22" s="12" t="str">
        <f aca="false">IF(AC22=0,"",IF(AsOfDate&lt;AD22,-1,12*(YEAR(AsOfDate)-YEAR(AD22))+MONTH(AsOfDate)-MONTH(AD22)-IF(DAY(AsOfDate)&lt;MIN(DAY(AD22),DAY(EOMONTH(AsOfDate,0))),1,0)))</f>
        <v/>
      </c>
      <c r="AI22" s="12" t="str">
        <f aca="false">IF(AC22=0,"",IF(OR(AE22="",AE22&gt;AsOfDate),AH22,IF((AE22-1)&lt;AD22,-1,12*(YEAR((AE22-1))-YEAR(AD22))+MONTH((AE22-1))-MONTH(AD22)-IF(DAY((AE22-1))&lt;MIN(DAY(AD22),DAY(EOMONTH((AE22-1),0))),1,0))))</f>
        <v/>
      </c>
      <c r="AJ22" s="12" t="str">
        <f aca="false">IF(AC22=0,"",IF(PFYDate&lt;AD22,-1,12*(YEAR(PFYDate)-YEAR(AD22))+MONTH(PFYDate)-MONTH(AD22)-IF(DAY(PFYDate)&lt;MIN(DAY(AD22),DAY(EOMONTH(PFYDate,0))),1,0)))</f>
        <v/>
      </c>
      <c r="AK22" s="12" t="str">
        <f aca="false">IF(AC22=0,"",IF(OR(AE22="",AE22&gt;PFYDate),AJ22,IF((AE22-1)&lt;AD22,-1,12*(YEAR((AE22-1))-YEAR(AD22))+MONTH((AE22-1))-MONTH(AD22)-IF(DAY((AE22-1))&lt;MIN(DAY(AD22),DAY(EOMONTH((AE22-1),0))),1,0))))</f>
        <v/>
      </c>
      <c r="AL22" s="12" t="str">
        <f aca="false">IF(AC22=0,"",IF(AF22="FT",IF(AI22&lt;FT_First,0,IF(AI22&lt;FT_Y5,1+INT((AI22-FT_First)/FT_Int1),FT_PreY5+FT_PerYear*INT((AI22-FT_Y5)/12)+FT_AnnivDays+INT(MOD(AI22-FT_Y5,12)/FT_Int2))),IF(AF22="PT",IF(AI22&lt;PT_First,0,1+INT((AI22-PT_First)/PT_Int)),0))+IF(OR(AE22="",AE22&gt;AsOfDate),0,IF(AG22="FT",IF(AH22&lt;FT_First,0,IF(AH22&lt;FT_Y5,1+INT((AH22-FT_First)/FT_Int1),FT_PreY5+FT_PerYear*INT((AH22-FT_Y5)/12)+FT_AnnivDays+INT(MOD(AH22-FT_Y5,12)/FT_Int2))),IF(AG22="PT",IF(AH22&lt;PT_First,0,1+INT((AH22-PT_First)/PT_Int)),0))-IF(AG22="FT",IF(AI22&lt;FT_First,0,IF(AI22&lt;FT_Y5,1+INT((AI22-FT_First)/FT_Int1),FT_PreY5+FT_PerYear*INT((AI22-FT_Y5)/12)+FT_AnnivDays+INT(MOD(AI22-FT_Y5,12)/FT_Int2))),IF(AG22="PT",IF(AI22&lt;PT_First,0,1+INT((AI22-PT_First)/PT_Int)),0))))</f>
        <v/>
      </c>
      <c r="AM22" s="12" t="str">
        <f aca="false">IF(AC22=0,"",IF(AF22="FT",IF(AK22&lt;FT_First,0,IF(AK22&lt;FT_Y5,1+INT((AK22-FT_First)/FT_Int1),FT_PreY5+FT_PerYear*INT((AK22-FT_Y5)/12)+FT_AnnivDays+INT(MOD(AK22-FT_Y5,12)/FT_Int2))),IF(AF22="PT",IF(AK22&lt;PT_First,0,1+INT((AK22-PT_First)/PT_Int)),0))+IF(OR(AE22="",AE22&gt;PFYDate),0,IF(AG22="FT",IF(AJ22&lt;FT_First,0,IF(AJ22&lt;FT_Y5,1+INT((AJ22-FT_First)/FT_Int1),FT_PreY5+FT_PerYear*INT((AJ22-FT_Y5)/12)+FT_AnnivDays+INT(MOD(AJ22-FT_Y5,12)/FT_Int2))),IF(AG22="PT",IF(AJ22&lt;PT_First,0,1+INT((AJ22-PT_First)/PT_Int)),0))-IF(AG22="FT",IF(AK22&lt;FT_First,0,IF(AK22&lt;FT_Y5,1+INT((AK22-FT_First)/FT_Int1),FT_PreY5+FT_PerYear*INT((AK22-FT_Y5)/12)+FT_AnnivDays+INT(MOD(AK22-FT_Y5,12)/FT_Int2))),IF(AG22="PT",IF(AK22&lt;PT_First,0,1+INT((AK22-PT_First)/PT_Int)),0))))</f>
        <v/>
      </c>
      <c r="AN22" s="12" t="str">
        <f aca="false">IF(AC22=0,"",IF(AG22="FT",IF(AH22&lt;FT_First,FT_First,IF(AH22&lt;FT_Y5,MIN(FT_Y5,FT_First+FT_Int1*(INT((AH22-FT_First)/FT_Int1)+1)),FT_Y5+12*INT((AH22-FT_Y5)/12)+FT_Int2*(INT(MOD(AH22-FT_Y5,12)/FT_Int2)+1))),IF(AG22="PT",IF(AH22&lt;PT_First,PT_First,PT_First+PT_Int*(INT((AH22-PT_First)/PT_Int)+1)),"")))</f>
        <v/>
      </c>
      <c r="AO22" s="12" t="str">
        <f aca="false">IF(AC22=0,"",IF(NOT(CFY_Ready),0,COUNTIFS(INDEX(CFY_Data,0,CFY_ColFirst),$A22,INDEX(CFY_Data,0,CFY_ColSur),$B22,INDEX(CFY_Data,0,CFY_ColCat),BonusCat)))</f>
        <v/>
      </c>
    </row>
    <row r="23" customFormat="false" ht="15" hidden="false" customHeight="false" outlineLevel="0" collapsed="false">
      <c r="A23" s="15"/>
      <c r="B23" s="15"/>
      <c r="C23" s="15"/>
      <c r="D23" s="16"/>
      <c r="E23" s="10" t="str">
        <f aca="false">IF(OR(AC23=0,$D23=""),"",DATE(YEAR(AsOfDate)+IF(DATE(YEAR(AsOfDate),MONTH($D23),DAY($D23))&lt;=AsOfDate,1,0),MONTH($D23),DAY($D23)))</f>
        <v/>
      </c>
      <c r="F23" s="16"/>
      <c r="G23" s="16"/>
      <c r="H23" s="16"/>
      <c r="I23" s="16"/>
      <c r="J23" s="10" t="str">
        <f aca="false">IF(AC23=0,"",DATE(YEAR(AsOfDate)+IF(DATE(YEAR(AsOfDate),MONTH($F23),DAY($F23))&lt;=AsOfDate,1,0),MONTH($F23),DAY($F23)))</f>
        <v/>
      </c>
      <c r="K23" s="11" t="str">
        <f aca="false">IF(AC23=0,"",ROUND((AsOfDate-$F23)/365.25,1))</f>
        <v/>
      </c>
      <c r="L23" s="12" t="str">
        <f aca="false">IF(AC23=0,"",IF(AsOfDate&lt;AD23,"-",DATEDIF(AD23,AsOfDate,"y")&amp;"y "&amp;DATEDIF(AD23,AsOfDate,"ym")&amp;"m "&amp;DATEDIF(AD23,AsOfDate,"md")&amp;"d"))</f>
        <v/>
      </c>
      <c r="M23" s="13" t="str">
        <f aca="false">IF(AC23=0,"",N23*HoursPerDay)</f>
        <v/>
      </c>
      <c r="N23" s="13" t="str">
        <f aca="false">IF(AC23=0,"",AL23)</f>
        <v/>
      </c>
      <c r="O23" s="17"/>
      <c r="P23" s="12" t="str">
        <f aca="false">IF(AC23=0,"",IF(AE23="","",IF($G23&lt;$H23,"Part-Time to Full-Time","Full-Time to Part-Time")&amp;" on "&amp;TEXT(AE23,"dd/mm/yyyy")&amp;IF(AE23&gt;AsOfDate," (future)",IF(AF23=AG23,"",IF(AG23="None"," - STOPPED accruing",IF(AF23="None"," - now qualifying"," - pathway changed"))))))</f>
        <v/>
      </c>
      <c r="Q23" s="12" t="str">
        <f aca="false">IF(AC23=0,"",IF(AG23="None",IF(N23&gt;0,"No longer accruing","Not eligible - "&amp;IF(AND($C23="Part-Time",N($O23)&lt;PT_MinHours,$O23&lt;&gt;""),"under "&amp;PT_MinHours&amp;" hrs",$C23)),IF(N23&gt;0,"Yes - accruing","Not yet - from "&amp;TEXT(R23,"dd/mm/yyyy"))))</f>
        <v/>
      </c>
      <c r="R23" s="10" t="str">
        <f aca="false">IF(AC23=0,"",IF(AG23="None","",EDATE(AD23,AN23)))</f>
        <v/>
      </c>
      <c r="S23" s="13" t="str">
        <f aca="false">IF(AC23=0,"",IF(NOT(PFY_Ready),"",SUMIFS(INDEX(PFY_Data,0,PFY_ColBal),INDEX(PFY_Data,0,PFY_ColFirst),$A23,INDEX(PFY_Data,0,PFY_ColSur),$B23,INDEX(PFY_Data,0,PFY_ColCat),BonusCat)))</f>
        <v/>
      </c>
      <c r="T23" s="17"/>
      <c r="U23" s="13" t="str">
        <f aca="false">IF(AC23=0,"",IF(NOT(CFY_Ready),"",SUMIFS(INDEX(CFY_Data,0,CFY_ColBal),INDEX(CFY_Data,0,CFY_ColFirst),$A23,INDEX(CFY_Data,0,CFY_ColSur),$B23,INDEX(CFY_Data,0,CFY_ColCat),BonusCat)))</f>
        <v/>
      </c>
      <c r="V23" s="13" t="str">
        <f aca="false">IF(AC23=0,"",IF(OR(NOT(CFY_Ready),CFY_ColAppr=0),"",SUMIFS(INDEX(CFY_Data,0,CFY_ColAppr),INDEX(CFY_Data,0,CFY_ColFirst),$A23,INDEX(CFY_Data,0,CFY_ColSur),$B23,INDEX(CFY_Data,0,CFY_ColCat),BonusCat)))</f>
        <v/>
      </c>
      <c r="W23" s="13" t="str">
        <f aca="false">IF(OR(AC23=0,S23="",U23=""),"",MAX(0,S23+N($T23)-U23))</f>
        <v/>
      </c>
      <c r="X23" s="13" t="str">
        <f aca="false">IF(AC23=0,"",(AL23-AM23)*HoursPerDay)</f>
        <v/>
      </c>
      <c r="Y23" s="13" t="str">
        <f aca="false">IF(AC23=0,"",X23-N($T23))</f>
        <v/>
      </c>
      <c r="Z23" s="12" t="str">
        <f aca="false">IF(AC23=0,"",IF(Y23&gt;0,"Yes","No"))</f>
        <v/>
      </c>
      <c r="AA23" s="12" t="str">
        <f aca="false">IF(AC23=0,"",IF(NOT(CFY_Ready),"Paste CFY EH export",IF(Y23&gt;0,"ACCRUE "&amp;TEXT(Y23,"0.##")&amp;" hrs ("&amp;TEXT(Y23/HoursPerDay,"0.##")&amp;" days)"&amp;IF(AO23=0," - no Bonus Leave line in EH yet",""),IF(Y23&lt;0,"CHECK - posted "&amp;TEXT(-Y23,"0.##")&amp;" hrs more than policy",IF(AND(N23&gt;0,AO23=0,U23=0),"CHECK - policy says "&amp;TEXT(M23,"0.##")&amp;" hrs to date but nothing in EH",IF(N23&gt;0,"OK","-"))))))</f>
        <v/>
      </c>
      <c r="AB23" s="13" t="str">
        <f aca="false">IF(OR(AC23=0,S23=""),"",AM23*HoursPerDay-S23)</f>
        <v/>
      </c>
      <c r="AC23" s="12" t="n">
        <f aca="false">IF(OR(LEN($A23&amp;$B23)=0,$F23=""),0,1)</f>
        <v>0</v>
      </c>
      <c r="AD23" s="10" t="str">
        <f aca="false">IF(AC23=0,"",IF($I23&lt;&gt;"",$I23,$F23))</f>
        <v/>
      </c>
      <c r="AE23" s="10" t="str">
        <f aca="false">IF(AC23=0,"",IF(AND($G23&lt;&gt;"",$H23&lt;&gt;"",$G23&lt;&gt;$H23),MAX($G23,$H23),""))</f>
        <v/>
      </c>
      <c r="AF23" s="12" t="str">
        <f aca="false">IF(AC23=0,"",IF(AE23="",AG23,IF(IF($G23&lt;$H23,"Part-Time","Full-Time")="Full-Time","FT",IF(AND(IF($G23&lt;$H23,"Part-Time","Full-Time")="Part-Time",OR($O23="",N($O23)&gt;=PT_MinHours)),"PT","None"))))</f>
        <v/>
      </c>
      <c r="AG23" s="12" t="str">
        <f aca="false">IF(AC23=0,"",IF($C23="Full-Time","FT",IF(AND($C23="Part-Time",OR($O23="",N($O23)&gt;=PT_MinHours)),"PT","None")))</f>
        <v/>
      </c>
      <c r="AH23" s="12" t="str">
        <f aca="false">IF(AC23=0,"",IF(AsOfDate&lt;AD23,-1,12*(YEAR(AsOfDate)-YEAR(AD23))+MONTH(AsOfDate)-MONTH(AD23)-IF(DAY(AsOfDate)&lt;MIN(DAY(AD23),DAY(EOMONTH(AsOfDate,0))),1,0)))</f>
        <v/>
      </c>
      <c r="AI23" s="12" t="str">
        <f aca="false">IF(AC23=0,"",IF(OR(AE23="",AE23&gt;AsOfDate),AH23,IF((AE23-1)&lt;AD23,-1,12*(YEAR((AE23-1))-YEAR(AD23))+MONTH((AE23-1))-MONTH(AD23)-IF(DAY((AE23-1))&lt;MIN(DAY(AD23),DAY(EOMONTH((AE23-1),0))),1,0))))</f>
        <v/>
      </c>
      <c r="AJ23" s="12" t="str">
        <f aca="false">IF(AC23=0,"",IF(PFYDate&lt;AD23,-1,12*(YEAR(PFYDate)-YEAR(AD23))+MONTH(PFYDate)-MONTH(AD23)-IF(DAY(PFYDate)&lt;MIN(DAY(AD23),DAY(EOMONTH(PFYDate,0))),1,0)))</f>
        <v/>
      </c>
      <c r="AK23" s="12" t="str">
        <f aca="false">IF(AC23=0,"",IF(OR(AE23="",AE23&gt;PFYDate),AJ23,IF((AE23-1)&lt;AD23,-1,12*(YEAR((AE23-1))-YEAR(AD23))+MONTH((AE23-1))-MONTH(AD23)-IF(DAY((AE23-1))&lt;MIN(DAY(AD23),DAY(EOMONTH((AE23-1),0))),1,0))))</f>
        <v/>
      </c>
      <c r="AL23" s="12" t="str">
        <f aca="false">IF(AC23=0,"",IF(AF23="FT",IF(AI23&lt;FT_First,0,IF(AI23&lt;FT_Y5,1+INT((AI23-FT_First)/FT_Int1),FT_PreY5+FT_PerYear*INT((AI23-FT_Y5)/12)+FT_AnnivDays+INT(MOD(AI23-FT_Y5,12)/FT_Int2))),IF(AF23="PT",IF(AI23&lt;PT_First,0,1+INT((AI23-PT_First)/PT_Int)),0))+IF(OR(AE23="",AE23&gt;AsOfDate),0,IF(AG23="FT",IF(AH23&lt;FT_First,0,IF(AH23&lt;FT_Y5,1+INT((AH23-FT_First)/FT_Int1),FT_PreY5+FT_PerYear*INT((AH23-FT_Y5)/12)+FT_AnnivDays+INT(MOD(AH23-FT_Y5,12)/FT_Int2))),IF(AG23="PT",IF(AH23&lt;PT_First,0,1+INT((AH23-PT_First)/PT_Int)),0))-IF(AG23="FT",IF(AI23&lt;FT_First,0,IF(AI23&lt;FT_Y5,1+INT((AI23-FT_First)/FT_Int1),FT_PreY5+FT_PerYear*INT((AI23-FT_Y5)/12)+FT_AnnivDays+INT(MOD(AI23-FT_Y5,12)/FT_Int2))),IF(AG23="PT",IF(AI23&lt;PT_First,0,1+INT((AI23-PT_First)/PT_Int)),0))))</f>
        <v/>
      </c>
      <c r="AM23" s="12" t="str">
        <f aca="false">IF(AC23=0,"",IF(AF23="FT",IF(AK23&lt;FT_First,0,IF(AK23&lt;FT_Y5,1+INT((AK23-FT_First)/FT_Int1),FT_PreY5+FT_PerYear*INT((AK23-FT_Y5)/12)+FT_AnnivDays+INT(MOD(AK23-FT_Y5,12)/FT_Int2))),IF(AF23="PT",IF(AK23&lt;PT_First,0,1+INT((AK23-PT_First)/PT_Int)),0))+IF(OR(AE23="",AE23&gt;PFYDate),0,IF(AG23="FT",IF(AJ23&lt;FT_First,0,IF(AJ23&lt;FT_Y5,1+INT((AJ23-FT_First)/FT_Int1),FT_PreY5+FT_PerYear*INT((AJ23-FT_Y5)/12)+FT_AnnivDays+INT(MOD(AJ23-FT_Y5,12)/FT_Int2))),IF(AG23="PT",IF(AJ23&lt;PT_First,0,1+INT((AJ23-PT_First)/PT_Int)),0))-IF(AG23="FT",IF(AK23&lt;FT_First,0,IF(AK23&lt;FT_Y5,1+INT((AK23-FT_First)/FT_Int1),FT_PreY5+FT_PerYear*INT((AK23-FT_Y5)/12)+FT_AnnivDays+INT(MOD(AK23-FT_Y5,12)/FT_Int2))),IF(AG23="PT",IF(AK23&lt;PT_First,0,1+INT((AK23-PT_First)/PT_Int)),0))))</f>
        <v/>
      </c>
      <c r="AN23" s="12" t="str">
        <f aca="false">IF(AC23=0,"",IF(AG23="FT",IF(AH23&lt;FT_First,FT_First,IF(AH23&lt;FT_Y5,MIN(FT_Y5,FT_First+FT_Int1*(INT((AH23-FT_First)/FT_Int1)+1)),FT_Y5+12*INT((AH23-FT_Y5)/12)+FT_Int2*(INT(MOD(AH23-FT_Y5,12)/FT_Int2)+1))),IF(AG23="PT",IF(AH23&lt;PT_First,PT_First,PT_First+PT_Int*(INT((AH23-PT_First)/PT_Int)+1)),"")))</f>
        <v/>
      </c>
      <c r="AO23" s="12" t="str">
        <f aca="false">IF(AC23=0,"",IF(NOT(CFY_Ready),0,COUNTIFS(INDEX(CFY_Data,0,CFY_ColFirst),$A23,INDEX(CFY_Data,0,CFY_ColSur),$B23,INDEX(CFY_Data,0,CFY_ColCat),BonusCat)))</f>
        <v/>
      </c>
    </row>
    <row r="24" customFormat="false" ht="15" hidden="false" customHeight="false" outlineLevel="0" collapsed="false">
      <c r="A24" s="15"/>
      <c r="B24" s="15"/>
      <c r="C24" s="15"/>
      <c r="D24" s="16"/>
      <c r="E24" s="10" t="str">
        <f aca="false">IF(OR(AC24=0,$D24=""),"",DATE(YEAR(AsOfDate)+IF(DATE(YEAR(AsOfDate),MONTH($D24),DAY($D24))&lt;=AsOfDate,1,0),MONTH($D24),DAY($D24)))</f>
        <v/>
      </c>
      <c r="F24" s="16"/>
      <c r="G24" s="16"/>
      <c r="H24" s="16"/>
      <c r="I24" s="16"/>
      <c r="J24" s="10" t="str">
        <f aca="false">IF(AC24=0,"",DATE(YEAR(AsOfDate)+IF(DATE(YEAR(AsOfDate),MONTH($F24),DAY($F24))&lt;=AsOfDate,1,0),MONTH($F24),DAY($F24)))</f>
        <v/>
      </c>
      <c r="K24" s="11" t="str">
        <f aca="false">IF(AC24=0,"",ROUND((AsOfDate-$F24)/365.25,1))</f>
        <v/>
      </c>
      <c r="L24" s="12" t="str">
        <f aca="false">IF(AC24=0,"",IF(AsOfDate&lt;AD24,"-",DATEDIF(AD24,AsOfDate,"y")&amp;"y "&amp;DATEDIF(AD24,AsOfDate,"ym")&amp;"m "&amp;DATEDIF(AD24,AsOfDate,"md")&amp;"d"))</f>
        <v/>
      </c>
      <c r="M24" s="13" t="str">
        <f aca="false">IF(AC24=0,"",N24*HoursPerDay)</f>
        <v/>
      </c>
      <c r="N24" s="13" t="str">
        <f aca="false">IF(AC24=0,"",AL24)</f>
        <v/>
      </c>
      <c r="O24" s="17"/>
      <c r="P24" s="12" t="str">
        <f aca="false">IF(AC24=0,"",IF(AE24="","",IF($G24&lt;$H24,"Part-Time to Full-Time","Full-Time to Part-Time")&amp;" on "&amp;TEXT(AE24,"dd/mm/yyyy")&amp;IF(AE24&gt;AsOfDate," (future)",IF(AF24=AG24,"",IF(AG24="None"," - STOPPED accruing",IF(AF24="None"," - now qualifying"," - pathway changed"))))))</f>
        <v/>
      </c>
      <c r="Q24" s="12" t="str">
        <f aca="false">IF(AC24=0,"",IF(AG24="None",IF(N24&gt;0,"No longer accruing","Not eligible - "&amp;IF(AND($C24="Part-Time",N($O24)&lt;PT_MinHours,$O24&lt;&gt;""),"under "&amp;PT_MinHours&amp;" hrs",$C24)),IF(N24&gt;0,"Yes - accruing","Not yet - from "&amp;TEXT(R24,"dd/mm/yyyy"))))</f>
        <v/>
      </c>
      <c r="R24" s="10" t="str">
        <f aca="false">IF(AC24=0,"",IF(AG24="None","",EDATE(AD24,AN24)))</f>
        <v/>
      </c>
      <c r="S24" s="13" t="str">
        <f aca="false">IF(AC24=0,"",IF(NOT(PFY_Ready),"",SUMIFS(INDEX(PFY_Data,0,PFY_ColBal),INDEX(PFY_Data,0,PFY_ColFirst),$A24,INDEX(PFY_Data,0,PFY_ColSur),$B24,INDEX(PFY_Data,0,PFY_ColCat),BonusCat)))</f>
        <v/>
      </c>
      <c r="T24" s="17"/>
      <c r="U24" s="13" t="str">
        <f aca="false">IF(AC24=0,"",IF(NOT(CFY_Ready),"",SUMIFS(INDEX(CFY_Data,0,CFY_ColBal),INDEX(CFY_Data,0,CFY_ColFirst),$A24,INDEX(CFY_Data,0,CFY_ColSur),$B24,INDEX(CFY_Data,0,CFY_ColCat),BonusCat)))</f>
        <v/>
      </c>
      <c r="V24" s="13" t="str">
        <f aca="false">IF(AC24=0,"",IF(OR(NOT(CFY_Ready),CFY_ColAppr=0),"",SUMIFS(INDEX(CFY_Data,0,CFY_ColAppr),INDEX(CFY_Data,0,CFY_ColFirst),$A24,INDEX(CFY_Data,0,CFY_ColSur),$B24,INDEX(CFY_Data,0,CFY_ColCat),BonusCat)))</f>
        <v/>
      </c>
      <c r="W24" s="13" t="str">
        <f aca="false">IF(OR(AC24=0,S24="",U24=""),"",MAX(0,S24+N($T24)-U24))</f>
        <v/>
      </c>
      <c r="X24" s="13" t="str">
        <f aca="false">IF(AC24=0,"",(AL24-AM24)*HoursPerDay)</f>
        <v/>
      </c>
      <c r="Y24" s="13" t="str">
        <f aca="false">IF(AC24=0,"",X24-N($T24))</f>
        <v/>
      </c>
      <c r="Z24" s="12" t="str">
        <f aca="false">IF(AC24=0,"",IF(Y24&gt;0,"Yes","No"))</f>
        <v/>
      </c>
      <c r="AA24" s="12" t="str">
        <f aca="false">IF(AC24=0,"",IF(NOT(CFY_Ready),"Paste CFY EH export",IF(Y24&gt;0,"ACCRUE "&amp;TEXT(Y24,"0.##")&amp;" hrs ("&amp;TEXT(Y24/HoursPerDay,"0.##")&amp;" days)"&amp;IF(AO24=0," - no Bonus Leave line in EH yet",""),IF(Y24&lt;0,"CHECK - posted "&amp;TEXT(-Y24,"0.##")&amp;" hrs more than policy",IF(AND(N24&gt;0,AO24=0,U24=0),"CHECK - policy says "&amp;TEXT(M24,"0.##")&amp;" hrs to date but nothing in EH",IF(N24&gt;0,"OK","-"))))))</f>
        <v/>
      </c>
      <c r="AB24" s="13" t="str">
        <f aca="false">IF(OR(AC24=0,S24=""),"",AM24*HoursPerDay-S24)</f>
        <v/>
      </c>
      <c r="AC24" s="12" t="n">
        <f aca="false">IF(OR(LEN($A24&amp;$B24)=0,$F24=""),0,1)</f>
        <v>0</v>
      </c>
      <c r="AD24" s="10" t="str">
        <f aca="false">IF(AC24=0,"",IF($I24&lt;&gt;"",$I24,$F24))</f>
        <v/>
      </c>
      <c r="AE24" s="10" t="str">
        <f aca="false">IF(AC24=0,"",IF(AND($G24&lt;&gt;"",$H24&lt;&gt;"",$G24&lt;&gt;$H24),MAX($G24,$H24),""))</f>
        <v/>
      </c>
      <c r="AF24" s="12" t="str">
        <f aca="false">IF(AC24=0,"",IF(AE24="",AG24,IF(IF($G24&lt;$H24,"Part-Time","Full-Time")="Full-Time","FT",IF(AND(IF($G24&lt;$H24,"Part-Time","Full-Time")="Part-Time",OR($O24="",N($O24)&gt;=PT_MinHours)),"PT","None"))))</f>
        <v/>
      </c>
      <c r="AG24" s="12" t="str">
        <f aca="false">IF(AC24=0,"",IF($C24="Full-Time","FT",IF(AND($C24="Part-Time",OR($O24="",N($O24)&gt;=PT_MinHours)),"PT","None")))</f>
        <v/>
      </c>
      <c r="AH24" s="12" t="str">
        <f aca="false">IF(AC24=0,"",IF(AsOfDate&lt;AD24,-1,12*(YEAR(AsOfDate)-YEAR(AD24))+MONTH(AsOfDate)-MONTH(AD24)-IF(DAY(AsOfDate)&lt;MIN(DAY(AD24),DAY(EOMONTH(AsOfDate,0))),1,0)))</f>
        <v/>
      </c>
      <c r="AI24" s="12" t="str">
        <f aca="false">IF(AC24=0,"",IF(OR(AE24="",AE24&gt;AsOfDate),AH24,IF((AE24-1)&lt;AD24,-1,12*(YEAR((AE24-1))-YEAR(AD24))+MONTH((AE24-1))-MONTH(AD24)-IF(DAY((AE24-1))&lt;MIN(DAY(AD24),DAY(EOMONTH((AE24-1),0))),1,0))))</f>
        <v/>
      </c>
      <c r="AJ24" s="12" t="str">
        <f aca="false">IF(AC24=0,"",IF(PFYDate&lt;AD24,-1,12*(YEAR(PFYDate)-YEAR(AD24))+MONTH(PFYDate)-MONTH(AD24)-IF(DAY(PFYDate)&lt;MIN(DAY(AD24),DAY(EOMONTH(PFYDate,0))),1,0)))</f>
        <v/>
      </c>
      <c r="AK24" s="12" t="str">
        <f aca="false">IF(AC24=0,"",IF(OR(AE24="",AE24&gt;PFYDate),AJ24,IF((AE24-1)&lt;AD24,-1,12*(YEAR((AE24-1))-YEAR(AD24))+MONTH((AE24-1))-MONTH(AD24)-IF(DAY((AE24-1))&lt;MIN(DAY(AD24),DAY(EOMONTH((AE24-1),0))),1,0))))</f>
        <v/>
      </c>
      <c r="AL24" s="12" t="str">
        <f aca="false">IF(AC24=0,"",IF(AF24="FT",IF(AI24&lt;FT_First,0,IF(AI24&lt;FT_Y5,1+INT((AI24-FT_First)/FT_Int1),FT_PreY5+FT_PerYear*INT((AI24-FT_Y5)/12)+FT_AnnivDays+INT(MOD(AI24-FT_Y5,12)/FT_Int2))),IF(AF24="PT",IF(AI24&lt;PT_First,0,1+INT((AI24-PT_First)/PT_Int)),0))+IF(OR(AE24="",AE24&gt;AsOfDate),0,IF(AG24="FT",IF(AH24&lt;FT_First,0,IF(AH24&lt;FT_Y5,1+INT((AH24-FT_First)/FT_Int1),FT_PreY5+FT_PerYear*INT((AH24-FT_Y5)/12)+FT_AnnivDays+INT(MOD(AH24-FT_Y5,12)/FT_Int2))),IF(AG24="PT",IF(AH24&lt;PT_First,0,1+INT((AH24-PT_First)/PT_Int)),0))-IF(AG24="FT",IF(AI24&lt;FT_First,0,IF(AI24&lt;FT_Y5,1+INT((AI24-FT_First)/FT_Int1),FT_PreY5+FT_PerYear*INT((AI24-FT_Y5)/12)+FT_AnnivDays+INT(MOD(AI24-FT_Y5,12)/FT_Int2))),IF(AG24="PT",IF(AI24&lt;PT_First,0,1+INT((AI24-PT_First)/PT_Int)),0))))</f>
        <v/>
      </c>
      <c r="AM24" s="12" t="str">
        <f aca="false">IF(AC24=0,"",IF(AF24="FT",IF(AK24&lt;FT_First,0,IF(AK24&lt;FT_Y5,1+INT((AK24-FT_First)/FT_Int1),FT_PreY5+FT_PerYear*INT((AK24-FT_Y5)/12)+FT_AnnivDays+INT(MOD(AK24-FT_Y5,12)/FT_Int2))),IF(AF24="PT",IF(AK24&lt;PT_First,0,1+INT((AK24-PT_First)/PT_Int)),0))+IF(OR(AE24="",AE24&gt;PFYDate),0,IF(AG24="FT",IF(AJ24&lt;FT_First,0,IF(AJ24&lt;FT_Y5,1+INT((AJ24-FT_First)/FT_Int1),FT_PreY5+FT_PerYear*INT((AJ24-FT_Y5)/12)+FT_AnnivDays+INT(MOD(AJ24-FT_Y5,12)/FT_Int2))),IF(AG24="PT",IF(AJ24&lt;PT_First,0,1+INT((AJ24-PT_First)/PT_Int)),0))-IF(AG24="FT",IF(AK24&lt;FT_First,0,IF(AK24&lt;FT_Y5,1+INT((AK24-FT_First)/FT_Int1),FT_PreY5+FT_PerYear*INT((AK24-FT_Y5)/12)+FT_AnnivDays+INT(MOD(AK24-FT_Y5,12)/FT_Int2))),IF(AG24="PT",IF(AK24&lt;PT_First,0,1+INT((AK24-PT_First)/PT_Int)),0))))</f>
        <v/>
      </c>
      <c r="AN24" s="12" t="str">
        <f aca="false">IF(AC24=0,"",IF(AG24="FT",IF(AH24&lt;FT_First,FT_First,IF(AH24&lt;FT_Y5,MIN(FT_Y5,FT_First+FT_Int1*(INT((AH24-FT_First)/FT_Int1)+1)),FT_Y5+12*INT((AH24-FT_Y5)/12)+FT_Int2*(INT(MOD(AH24-FT_Y5,12)/FT_Int2)+1))),IF(AG24="PT",IF(AH24&lt;PT_First,PT_First,PT_First+PT_Int*(INT((AH24-PT_First)/PT_Int)+1)),"")))</f>
        <v/>
      </c>
      <c r="AO24" s="12" t="str">
        <f aca="false">IF(AC24=0,"",IF(NOT(CFY_Ready),0,COUNTIFS(INDEX(CFY_Data,0,CFY_ColFirst),$A24,INDEX(CFY_Data,0,CFY_ColSur),$B24,INDEX(CFY_Data,0,CFY_ColCat),BonusCat)))</f>
        <v/>
      </c>
    </row>
    <row r="25" customFormat="false" ht="15" hidden="false" customHeight="false" outlineLevel="0" collapsed="false">
      <c r="A25" s="15"/>
      <c r="B25" s="15"/>
      <c r="C25" s="15"/>
      <c r="D25" s="16"/>
      <c r="E25" s="10" t="str">
        <f aca="false">IF(OR(AC25=0,$D25=""),"",DATE(YEAR(AsOfDate)+IF(DATE(YEAR(AsOfDate),MONTH($D25),DAY($D25))&lt;=AsOfDate,1,0),MONTH($D25),DAY($D25)))</f>
        <v/>
      </c>
      <c r="F25" s="16"/>
      <c r="G25" s="16"/>
      <c r="H25" s="16"/>
      <c r="I25" s="16"/>
      <c r="J25" s="10" t="str">
        <f aca="false">IF(AC25=0,"",DATE(YEAR(AsOfDate)+IF(DATE(YEAR(AsOfDate),MONTH($F25),DAY($F25))&lt;=AsOfDate,1,0),MONTH($F25),DAY($F25)))</f>
        <v/>
      </c>
      <c r="K25" s="11" t="str">
        <f aca="false">IF(AC25=0,"",ROUND((AsOfDate-$F25)/365.25,1))</f>
        <v/>
      </c>
      <c r="L25" s="12" t="str">
        <f aca="false">IF(AC25=0,"",IF(AsOfDate&lt;AD25,"-",DATEDIF(AD25,AsOfDate,"y")&amp;"y "&amp;DATEDIF(AD25,AsOfDate,"ym")&amp;"m "&amp;DATEDIF(AD25,AsOfDate,"md")&amp;"d"))</f>
        <v/>
      </c>
      <c r="M25" s="13" t="str">
        <f aca="false">IF(AC25=0,"",N25*HoursPerDay)</f>
        <v/>
      </c>
      <c r="N25" s="13" t="str">
        <f aca="false">IF(AC25=0,"",AL25)</f>
        <v/>
      </c>
      <c r="O25" s="17"/>
      <c r="P25" s="12" t="str">
        <f aca="false">IF(AC25=0,"",IF(AE25="","",IF($G25&lt;$H25,"Part-Time to Full-Time","Full-Time to Part-Time")&amp;" on "&amp;TEXT(AE25,"dd/mm/yyyy")&amp;IF(AE25&gt;AsOfDate," (future)",IF(AF25=AG25,"",IF(AG25="None"," - STOPPED accruing",IF(AF25="None"," - now qualifying"," - pathway changed"))))))</f>
        <v/>
      </c>
      <c r="Q25" s="12" t="str">
        <f aca="false">IF(AC25=0,"",IF(AG25="None",IF(N25&gt;0,"No longer accruing","Not eligible - "&amp;IF(AND($C25="Part-Time",N($O25)&lt;PT_MinHours,$O25&lt;&gt;""),"under "&amp;PT_MinHours&amp;" hrs",$C25)),IF(N25&gt;0,"Yes - accruing","Not yet - from "&amp;TEXT(R25,"dd/mm/yyyy"))))</f>
        <v/>
      </c>
      <c r="R25" s="10" t="str">
        <f aca="false">IF(AC25=0,"",IF(AG25="None","",EDATE(AD25,AN25)))</f>
        <v/>
      </c>
      <c r="S25" s="13" t="str">
        <f aca="false">IF(AC25=0,"",IF(NOT(PFY_Ready),"",SUMIFS(INDEX(PFY_Data,0,PFY_ColBal),INDEX(PFY_Data,0,PFY_ColFirst),$A25,INDEX(PFY_Data,0,PFY_ColSur),$B25,INDEX(PFY_Data,0,PFY_ColCat),BonusCat)))</f>
        <v/>
      </c>
      <c r="T25" s="17"/>
      <c r="U25" s="13" t="str">
        <f aca="false">IF(AC25=0,"",IF(NOT(CFY_Ready),"",SUMIFS(INDEX(CFY_Data,0,CFY_ColBal),INDEX(CFY_Data,0,CFY_ColFirst),$A25,INDEX(CFY_Data,0,CFY_ColSur),$B25,INDEX(CFY_Data,0,CFY_ColCat),BonusCat)))</f>
        <v/>
      </c>
      <c r="V25" s="13" t="str">
        <f aca="false">IF(AC25=0,"",IF(OR(NOT(CFY_Ready),CFY_ColAppr=0),"",SUMIFS(INDEX(CFY_Data,0,CFY_ColAppr),INDEX(CFY_Data,0,CFY_ColFirst),$A25,INDEX(CFY_Data,0,CFY_ColSur),$B25,INDEX(CFY_Data,0,CFY_ColCat),BonusCat)))</f>
        <v/>
      </c>
      <c r="W25" s="13" t="str">
        <f aca="false">IF(OR(AC25=0,S25="",U25=""),"",MAX(0,S25+N($T25)-U25))</f>
        <v/>
      </c>
      <c r="X25" s="13" t="str">
        <f aca="false">IF(AC25=0,"",(AL25-AM25)*HoursPerDay)</f>
        <v/>
      </c>
      <c r="Y25" s="13" t="str">
        <f aca="false">IF(AC25=0,"",X25-N($T25))</f>
        <v/>
      </c>
      <c r="Z25" s="12" t="str">
        <f aca="false">IF(AC25=0,"",IF(Y25&gt;0,"Yes","No"))</f>
        <v/>
      </c>
      <c r="AA25" s="12" t="str">
        <f aca="false">IF(AC25=0,"",IF(NOT(CFY_Ready),"Paste CFY EH export",IF(Y25&gt;0,"ACCRUE "&amp;TEXT(Y25,"0.##")&amp;" hrs ("&amp;TEXT(Y25/HoursPerDay,"0.##")&amp;" days)"&amp;IF(AO25=0," - no Bonus Leave line in EH yet",""),IF(Y25&lt;0,"CHECK - posted "&amp;TEXT(-Y25,"0.##")&amp;" hrs more than policy",IF(AND(N25&gt;0,AO25=0,U25=0),"CHECK - policy says "&amp;TEXT(M25,"0.##")&amp;" hrs to date but nothing in EH",IF(N25&gt;0,"OK","-"))))))</f>
        <v/>
      </c>
      <c r="AB25" s="13" t="str">
        <f aca="false">IF(OR(AC25=0,S25=""),"",AM25*HoursPerDay-S25)</f>
        <v/>
      </c>
      <c r="AC25" s="12" t="n">
        <f aca="false">IF(OR(LEN($A25&amp;$B25)=0,$F25=""),0,1)</f>
        <v>0</v>
      </c>
      <c r="AD25" s="10" t="str">
        <f aca="false">IF(AC25=0,"",IF($I25&lt;&gt;"",$I25,$F25))</f>
        <v/>
      </c>
      <c r="AE25" s="10" t="str">
        <f aca="false">IF(AC25=0,"",IF(AND($G25&lt;&gt;"",$H25&lt;&gt;"",$G25&lt;&gt;$H25),MAX($G25,$H25),""))</f>
        <v/>
      </c>
      <c r="AF25" s="12" t="str">
        <f aca="false">IF(AC25=0,"",IF(AE25="",AG25,IF(IF($G25&lt;$H25,"Part-Time","Full-Time")="Full-Time","FT",IF(AND(IF($G25&lt;$H25,"Part-Time","Full-Time")="Part-Time",OR($O25="",N($O25)&gt;=PT_MinHours)),"PT","None"))))</f>
        <v/>
      </c>
      <c r="AG25" s="12" t="str">
        <f aca="false">IF(AC25=0,"",IF($C25="Full-Time","FT",IF(AND($C25="Part-Time",OR($O25="",N($O25)&gt;=PT_MinHours)),"PT","None")))</f>
        <v/>
      </c>
      <c r="AH25" s="12" t="str">
        <f aca="false">IF(AC25=0,"",IF(AsOfDate&lt;AD25,-1,12*(YEAR(AsOfDate)-YEAR(AD25))+MONTH(AsOfDate)-MONTH(AD25)-IF(DAY(AsOfDate)&lt;MIN(DAY(AD25),DAY(EOMONTH(AsOfDate,0))),1,0)))</f>
        <v/>
      </c>
      <c r="AI25" s="12" t="str">
        <f aca="false">IF(AC25=0,"",IF(OR(AE25="",AE25&gt;AsOfDate),AH25,IF((AE25-1)&lt;AD25,-1,12*(YEAR((AE25-1))-YEAR(AD25))+MONTH((AE25-1))-MONTH(AD25)-IF(DAY((AE25-1))&lt;MIN(DAY(AD25),DAY(EOMONTH((AE25-1),0))),1,0))))</f>
        <v/>
      </c>
      <c r="AJ25" s="12" t="str">
        <f aca="false">IF(AC25=0,"",IF(PFYDate&lt;AD25,-1,12*(YEAR(PFYDate)-YEAR(AD25))+MONTH(PFYDate)-MONTH(AD25)-IF(DAY(PFYDate)&lt;MIN(DAY(AD25),DAY(EOMONTH(PFYDate,0))),1,0)))</f>
        <v/>
      </c>
      <c r="AK25" s="12" t="str">
        <f aca="false">IF(AC25=0,"",IF(OR(AE25="",AE25&gt;PFYDate),AJ25,IF((AE25-1)&lt;AD25,-1,12*(YEAR((AE25-1))-YEAR(AD25))+MONTH((AE25-1))-MONTH(AD25)-IF(DAY((AE25-1))&lt;MIN(DAY(AD25),DAY(EOMONTH((AE25-1),0))),1,0))))</f>
        <v/>
      </c>
      <c r="AL25" s="12" t="str">
        <f aca="false">IF(AC25=0,"",IF(AF25="FT",IF(AI25&lt;FT_First,0,IF(AI25&lt;FT_Y5,1+INT((AI25-FT_First)/FT_Int1),FT_PreY5+FT_PerYear*INT((AI25-FT_Y5)/12)+FT_AnnivDays+INT(MOD(AI25-FT_Y5,12)/FT_Int2))),IF(AF25="PT",IF(AI25&lt;PT_First,0,1+INT((AI25-PT_First)/PT_Int)),0))+IF(OR(AE25="",AE25&gt;AsOfDate),0,IF(AG25="FT",IF(AH25&lt;FT_First,0,IF(AH25&lt;FT_Y5,1+INT((AH25-FT_First)/FT_Int1),FT_PreY5+FT_PerYear*INT((AH25-FT_Y5)/12)+FT_AnnivDays+INT(MOD(AH25-FT_Y5,12)/FT_Int2))),IF(AG25="PT",IF(AH25&lt;PT_First,0,1+INT((AH25-PT_First)/PT_Int)),0))-IF(AG25="FT",IF(AI25&lt;FT_First,0,IF(AI25&lt;FT_Y5,1+INT((AI25-FT_First)/FT_Int1),FT_PreY5+FT_PerYear*INT((AI25-FT_Y5)/12)+FT_AnnivDays+INT(MOD(AI25-FT_Y5,12)/FT_Int2))),IF(AG25="PT",IF(AI25&lt;PT_First,0,1+INT((AI25-PT_First)/PT_Int)),0))))</f>
        <v/>
      </c>
      <c r="AM25" s="12" t="str">
        <f aca="false">IF(AC25=0,"",IF(AF25="FT",IF(AK25&lt;FT_First,0,IF(AK25&lt;FT_Y5,1+INT((AK25-FT_First)/FT_Int1),FT_PreY5+FT_PerYear*INT((AK25-FT_Y5)/12)+FT_AnnivDays+INT(MOD(AK25-FT_Y5,12)/FT_Int2))),IF(AF25="PT",IF(AK25&lt;PT_First,0,1+INT((AK25-PT_First)/PT_Int)),0))+IF(OR(AE25="",AE25&gt;PFYDate),0,IF(AG25="FT",IF(AJ25&lt;FT_First,0,IF(AJ25&lt;FT_Y5,1+INT((AJ25-FT_First)/FT_Int1),FT_PreY5+FT_PerYear*INT((AJ25-FT_Y5)/12)+FT_AnnivDays+INT(MOD(AJ25-FT_Y5,12)/FT_Int2))),IF(AG25="PT",IF(AJ25&lt;PT_First,0,1+INT((AJ25-PT_First)/PT_Int)),0))-IF(AG25="FT",IF(AK25&lt;FT_First,0,IF(AK25&lt;FT_Y5,1+INT((AK25-FT_First)/FT_Int1),FT_PreY5+FT_PerYear*INT((AK25-FT_Y5)/12)+FT_AnnivDays+INT(MOD(AK25-FT_Y5,12)/FT_Int2))),IF(AG25="PT",IF(AK25&lt;PT_First,0,1+INT((AK25-PT_First)/PT_Int)),0))))</f>
        <v/>
      </c>
      <c r="AN25" s="12" t="str">
        <f aca="false">IF(AC25=0,"",IF(AG25="FT",IF(AH25&lt;FT_First,FT_First,IF(AH25&lt;FT_Y5,MIN(FT_Y5,FT_First+FT_Int1*(INT((AH25-FT_First)/FT_Int1)+1)),FT_Y5+12*INT((AH25-FT_Y5)/12)+FT_Int2*(INT(MOD(AH25-FT_Y5,12)/FT_Int2)+1))),IF(AG25="PT",IF(AH25&lt;PT_First,PT_First,PT_First+PT_Int*(INT((AH25-PT_First)/PT_Int)+1)),"")))</f>
        <v/>
      </c>
      <c r="AO25" s="12" t="str">
        <f aca="false">IF(AC25=0,"",IF(NOT(CFY_Ready),0,COUNTIFS(INDEX(CFY_Data,0,CFY_ColFirst),$A25,INDEX(CFY_Data,0,CFY_ColSur),$B25,INDEX(CFY_Data,0,CFY_ColCat),BonusCat)))</f>
        <v/>
      </c>
    </row>
    <row r="26" customFormat="false" ht="15" hidden="false" customHeight="false" outlineLevel="0" collapsed="false">
      <c r="A26" s="15"/>
      <c r="B26" s="15"/>
      <c r="C26" s="15"/>
      <c r="D26" s="16"/>
      <c r="E26" s="10" t="str">
        <f aca="false">IF(OR(AC26=0,$D26=""),"",DATE(YEAR(AsOfDate)+IF(DATE(YEAR(AsOfDate),MONTH($D26),DAY($D26))&lt;=AsOfDate,1,0),MONTH($D26),DAY($D26)))</f>
        <v/>
      </c>
      <c r="F26" s="16"/>
      <c r="G26" s="16"/>
      <c r="H26" s="16"/>
      <c r="I26" s="16"/>
      <c r="J26" s="10" t="str">
        <f aca="false">IF(AC26=0,"",DATE(YEAR(AsOfDate)+IF(DATE(YEAR(AsOfDate),MONTH($F26),DAY($F26))&lt;=AsOfDate,1,0),MONTH($F26),DAY($F26)))</f>
        <v/>
      </c>
      <c r="K26" s="11" t="str">
        <f aca="false">IF(AC26=0,"",ROUND((AsOfDate-$F26)/365.25,1))</f>
        <v/>
      </c>
      <c r="L26" s="12" t="str">
        <f aca="false">IF(AC26=0,"",IF(AsOfDate&lt;AD26,"-",DATEDIF(AD26,AsOfDate,"y")&amp;"y "&amp;DATEDIF(AD26,AsOfDate,"ym")&amp;"m "&amp;DATEDIF(AD26,AsOfDate,"md")&amp;"d"))</f>
        <v/>
      </c>
      <c r="M26" s="13" t="str">
        <f aca="false">IF(AC26=0,"",N26*HoursPerDay)</f>
        <v/>
      </c>
      <c r="N26" s="13" t="str">
        <f aca="false">IF(AC26=0,"",AL26)</f>
        <v/>
      </c>
      <c r="O26" s="17"/>
      <c r="P26" s="12" t="str">
        <f aca="false">IF(AC26=0,"",IF(AE26="","",IF($G26&lt;$H26,"Part-Time to Full-Time","Full-Time to Part-Time")&amp;" on "&amp;TEXT(AE26,"dd/mm/yyyy")&amp;IF(AE26&gt;AsOfDate," (future)",IF(AF26=AG26,"",IF(AG26="None"," - STOPPED accruing",IF(AF26="None"," - now qualifying"," - pathway changed"))))))</f>
        <v/>
      </c>
      <c r="Q26" s="12" t="str">
        <f aca="false">IF(AC26=0,"",IF(AG26="None",IF(N26&gt;0,"No longer accruing","Not eligible - "&amp;IF(AND($C26="Part-Time",N($O26)&lt;PT_MinHours,$O26&lt;&gt;""),"under "&amp;PT_MinHours&amp;" hrs",$C26)),IF(N26&gt;0,"Yes - accruing","Not yet - from "&amp;TEXT(R26,"dd/mm/yyyy"))))</f>
        <v/>
      </c>
      <c r="R26" s="10" t="str">
        <f aca="false">IF(AC26=0,"",IF(AG26="None","",EDATE(AD26,AN26)))</f>
        <v/>
      </c>
      <c r="S26" s="13" t="str">
        <f aca="false">IF(AC26=0,"",IF(NOT(PFY_Ready),"",SUMIFS(INDEX(PFY_Data,0,PFY_ColBal),INDEX(PFY_Data,0,PFY_ColFirst),$A26,INDEX(PFY_Data,0,PFY_ColSur),$B26,INDEX(PFY_Data,0,PFY_ColCat),BonusCat)))</f>
        <v/>
      </c>
      <c r="T26" s="17"/>
      <c r="U26" s="13" t="str">
        <f aca="false">IF(AC26=0,"",IF(NOT(CFY_Ready),"",SUMIFS(INDEX(CFY_Data,0,CFY_ColBal),INDEX(CFY_Data,0,CFY_ColFirst),$A26,INDEX(CFY_Data,0,CFY_ColSur),$B26,INDEX(CFY_Data,0,CFY_ColCat),BonusCat)))</f>
        <v/>
      </c>
      <c r="V26" s="13" t="str">
        <f aca="false">IF(AC26=0,"",IF(OR(NOT(CFY_Ready),CFY_ColAppr=0),"",SUMIFS(INDEX(CFY_Data,0,CFY_ColAppr),INDEX(CFY_Data,0,CFY_ColFirst),$A26,INDEX(CFY_Data,0,CFY_ColSur),$B26,INDEX(CFY_Data,0,CFY_ColCat),BonusCat)))</f>
        <v/>
      </c>
      <c r="W26" s="13" t="str">
        <f aca="false">IF(OR(AC26=0,S26="",U26=""),"",MAX(0,S26+N($T26)-U26))</f>
        <v/>
      </c>
      <c r="X26" s="13" t="str">
        <f aca="false">IF(AC26=0,"",(AL26-AM26)*HoursPerDay)</f>
        <v/>
      </c>
      <c r="Y26" s="13" t="str">
        <f aca="false">IF(AC26=0,"",X26-N($T26))</f>
        <v/>
      </c>
      <c r="Z26" s="12" t="str">
        <f aca="false">IF(AC26=0,"",IF(Y26&gt;0,"Yes","No"))</f>
        <v/>
      </c>
      <c r="AA26" s="12" t="str">
        <f aca="false">IF(AC26=0,"",IF(NOT(CFY_Ready),"Paste CFY EH export",IF(Y26&gt;0,"ACCRUE "&amp;TEXT(Y26,"0.##")&amp;" hrs ("&amp;TEXT(Y26/HoursPerDay,"0.##")&amp;" days)"&amp;IF(AO26=0," - no Bonus Leave line in EH yet",""),IF(Y26&lt;0,"CHECK - posted "&amp;TEXT(-Y26,"0.##")&amp;" hrs more than policy",IF(AND(N26&gt;0,AO26=0,U26=0),"CHECK - policy says "&amp;TEXT(M26,"0.##")&amp;" hrs to date but nothing in EH",IF(N26&gt;0,"OK","-"))))))</f>
        <v/>
      </c>
      <c r="AB26" s="13" t="str">
        <f aca="false">IF(OR(AC26=0,S26=""),"",AM26*HoursPerDay-S26)</f>
        <v/>
      </c>
      <c r="AC26" s="12" t="n">
        <f aca="false">IF(OR(LEN($A26&amp;$B26)=0,$F26=""),0,1)</f>
        <v>0</v>
      </c>
      <c r="AD26" s="10" t="str">
        <f aca="false">IF(AC26=0,"",IF($I26&lt;&gt;"",$I26,$F26))</f>
        <v/>
      </c>
      <c r="AE26" s="10" t="str">
        <f aca="false">IF(AC26=0,"",IF(AND($G26&lt;&gt;"",$H26&lt;&gt;"",$G26&lt;&gt;$H26),MAX($G26,$H26),""))</f>
        <v/>
      </c>
      <c r="AF26" s="12" t="str">
        <f aca="false">IF(AC26=0,"",IF(AE26="",AG26,IF(IF($G26&lt;$H26,"Part-Time","Full-Time")="Full-Time","FT",IF(AND(IF($G26&lt;$H26,"Part-Time","Full-Time")="Part-Time",OR($O26="",N($O26)&gt;=PT_MinHours)),"PT","None"))))</f>
        <v/>
      </c>
      <c r="AG26" s="12" t="str">
        <f aca="false">IF(AC26=0,"",IF($C26="Full-Time","FT",IF(AND($C26="Part-Time",OR($O26="",N($O26)&gt;=PT_MinHours)),"PT","None")))</f>
        <v/>
      </c>
      <c r="AH26" s="12" t="str">
        <f aca="false">IF(AC26=0,"",IF(AsOfDate&lt;AD26,-1,12*(YEAR(AsOfDate)-YEAR(AD26))+MONTH(AsOfDate)-MONTH(AD26)-IF(DAY(AsOfDate)&lt;MIN(DAY(AD26),DAY(EOMONTH(AsOfDate,0))),1,0)))</f>
        <v/>
      </c>
      <c r="AI26" s="12" t="str">
        <f aca="false">IF(AC26=0,"",IF(OR(AE26="",AE26&gt;AsOfDate),AH26,IF((AE26-1)&lt;AD26,-1,12*(YEAR((AE26-1))-YEAR(AD26))+MONTH((AE26-1))-MONTH(AD26)-IF(DAY((AE26-1))&lt;MIN(DAY(AD26),DAY(EOMONTH((AE26-1),0))),1,0))))</f>
        <v/>
      </c>
      <c r="AJ26" s="12" t="str">
        <f aca="false">IF(AC26=0,"",IF(PFYDate&lt;AD26,-1,12*(YEAR(PFYDate)-YEAR(AD26))+MONTH(PFYDate)-MONTH(AD26)-IF(DAY(PFYDate)&lt;MIN(DAY(AD26),DAY(EOMONTH(PFYDate,0))),1,0)))</f>
        <v/>
      </c>
      <c r="AK26" s="12" t="str">
        <f aca="false">IF(AC26=0,"",IF(OR(AE26="",AE26&gt;PFYDate),AJ26,IF((AE26-1)&lt;AD26,-1,12*(YEAR((AE26-1))-YEAR(AD26))+MONTH((AE26-1))-MONTH(AD26)-IF(DAY((AE26-1))&lt;MIN(DAY(AD26),DAY(EOMONTH((AE26-1),0))),1,0))))</f>
        <v/>
      </c>
      <c r="AL26" s="12" t="str">
        <f aca="false">IF(AC26=0,"",IF(AF26="FT",IF(AI26&lt;FT_First,0,IF(AI26&lt;FT_Y5,1+INT((AI26-FT_First)/FT_Int1),FT_PreY5+FT_PerYear*INT((AI26-FT_Y5)/12)+FT_AnnivDays+INT(MOD(AI26-FT_Y5,12)/FT_Int2))),IF(AF26="PT",IF(AI26&lt;PT_First,0,1+INT((AI26-PT_First)/PT_Int)),0))+IF(OR(AE26="",AE26&gt;AsOfDate),0,IF(AG26="FT",IF(AH26&lt;FT_First,0,IF(AH26&lt;FT_Y5,1+INT((AH26-FT_First)/FT_Int1),FT_PreY5+FT_PerYear*INT((AH26-FT_Y5)/12)+FT_AnnivDays+INT(MOD(AH26-FT_Y5,12)/FT_Int2))),IF(AG26="PT",IF(AH26&lt;PT_First,0,1+INT((AH26-PT_First)/PT_Int)),0))-IF(AG26="FT",IF(AI26&lt;FT_First,0,IF(AI26&lt;FT_Y5,1+INT((AI26-FT_First)/FT_Int1),FT_PreY5+FT_PerYear*INT((AI26-FT_Y5)/12)+FT_AnnivDays+INT(MOD(AI26-FT_Y5,12)/FT_Int2))),IF(AG26="PT",IF(AI26&lt;PT_First,0,1+INT((AI26-PT_First)/PT_Int)),0))))</f>
        <v/>
      </c>
      <c r="AM26" s="12" t="str">
        <f aca="false">IF(AC26=0,"",IF(AF26="FT",IF(AK26&lt;FT_First,0,IF(AK26&lt;FT_Y5,1+INT((AK26-FT_First)/FT_Int1),FT_PreY5+FT_PerYear*INT((AK26-FT_Y5)/12)+FT_AnnivDays+INT(MOD(AK26-FT_Y5,12)/FT_Int2))),IF(AF26="PT",IF(AK26&lt;PT_First,0,1+INT((AK26-PT_First)/PT_Int)),0))+IF(OR(AE26="",AE26&gt;PFYDate),0,IF(AG26="FT",IF(AJ26&lt;FT_First,0,IF(AJ26&lt;FT_Y5,1+INT((AJ26-FT_First)/FT_Int1),FT_PreY5+FT_PerYear*INT((AJ26-FT_Y5)/12)+FT_AnnivDays+INT(MOD(AJ26-FT_Y5,12)/FT_Int2))),IF(AG26="PT",IF(AJ26&lt;PT_First,0,1+INT((AJ26-PT_First)/PT_Int)),0))-IF(AG26="FT",IF(AK26&lt;FT_First,0,IF(AK26&lt;FT_Y5,1+INT((AK26-FT_First)/FT_Int1),FT_PreY5+FT_PerYear*INT((AK26-FT_Y5)/12)+FT_AnnivDays+INT(MOD(AK26-FT_Y5,12)/FT_Int2))),IF(AG26="PT",IF(AK26&lt;PT_First,0,1+INT((AK26-PT_First)/PT_Int)),0))))</f>
        <v/>
      </c>
      <c r="AN26" s="12" t="str">
        <f aca="false">IF(AC26=0,"",IF(AG26="FT",IF(AH26&lt;FT_First,FT_First,IF(AH26&lt;FT_Y5,MIN(FT_Y5,FT_First+FT_Int1*(INT((AH26-FT_First)/FT_Int1)+1)),FT_Y5+12*INT((AH26-FT_Y5)/12)+FT_Int2*(INT(MOD(AH26-FT_Y5,12)/FT_Int2)+1))),IF(AG26="PT",IF(AH26&lt;PT_First,PT_First,PT_First+PT_Int*(INT((AH26-PT_First)/PT_Int)+1)),"")))</f>
        <v/>
      </c>
      <c r="AO26" s="12" t="str">
        <f aca="false">IF(AC26=0,"",IF(NOT(CFY_Ready),0,COUNTIFS(INDEX(CFY_Data,0,CFY_ColFirst),$A26,INDEX(CFY_Data,0,CFY_ColSur),$B26,INDEX(CFY_Data,0,CFY_ColCat),BonusCat)))</f>
        <v/>
      </c>
    </row>
    <row r="27" customFormat="false" ht="15" hidden="false" customHeight="false" outlineLevel="0" collapsed="false">
      <c r="A27" s="15"/>
      <c r="B27" s="15"/>
      <c r="C27" s="15"/>
      <c r="D27" s="16"/>
      <c r="E27" s="10" t="str">
        <f aca="false">IF(OR(AC27=0,$D27=""),"",DATE(YEAR(AsOfDate)+IF(DATE(YEAR(AsOfDate),MONTH($D27),DAY($D27))&lt;=AsOfDate,1,0),MONTH($D27),DAY($D27)))</f>
        <v/>
      </c>
      <c r="F27" s="16"/>
      <c r="G27" s="16"/>
      <c r="H27" s="16"/>
      <c r="I27" s="16"/>
      <c r="J27" s="10" t="str">
        <f aca="false">IF(AC27=0,"",DATE(YEAR(AsOfDate)+IF(DATE(YEAR(AsOfDate),MONTH($F27),DAY($F27))&lt;=AsOfDate,1,0),MONTH($F27),DAY($F27)))</f>
        <v/>
      </c>
      <c r="K27" s="11" t="str">
        <f aca="false">IF(AC27=0,"",ROUND((AsOfDate-$F27)/365.25,1))</f>
        <v/>
      </c>
      <c r="L27" s="12" t="str">
        <f aca="false">IF(AC27=0,"",IF(AsOfDate&lt;AD27,"-",DATEDIF(AD27,AsOfDate,"y")&amp;"y "&amp;DATEDIF(AD27,AsOfDate,"ym")&amp;"m "&amp;DATEDIF(AD27,AsOfDate,"md")&amp;"d"))</f>
        <v/>
      </c>
      <c r="M27" s="13" t="str">
        <f aca="false">IF(AC27=0,"",N27*HoursPerDay)</f>
        <v/>
      </c>
      <c r="N27" s="13" t="str">
        <f aca="false">IF(AC27=0,"",AL27)</f>
        <v/>
      </c>
      <c r="O27" s="17"/>
      <c r="P27" s="12" t="str">
        <f aca="false">IF(AC27=0,"",IF(AE27="","",IF($G27&lt;$H27,"Part-Time to Full-Time","Full-Time to Part-Time")&amp;" on "&amp;TEXT(AE27,"dd/mm/yyyy")&amp;IF(AE27&gt;AsOfDate," (future)",IF(AF27=AG27,"",IF(AG27="None"," - STOPPED accruing",IF(AF27="None"," - now qualifying"," - pathway changed"))))))</f>
        <v/>
      </c>
      <c r="Q27" s="12" t="str">
        <f aca="false">IF(AC27=0,"",IF(AG27="None",IF(N27&gt;0,"No longer accruing","Not eligible - "&amp;IF(AND($C27="Part-Time",N($O27)&lt;PT_MinHours,$O27&lt;&gt;""),"under "&amp;PT_MinHours&amp;" hrs",$C27)),IF(N27&gt;0,"Yes - accruing","Not yet - from "&amp;TEXT(R27,"dd/mm/yyyy"))))</f>
        <v/>
      </c>
      <c r="R27" s="10" t="str">
        <f aca="false">IF(AC27=0,"",IF(AG27="None","",EDATE(AD27,AN27)))</f>
        <v/>
      </c>
      <c r="S27" s="13" t="str">
        <f aca="false">IF(AC27=0,"",IF(NOT(PFY_Ready),"",SUMIFS(INDEX(PFY_Data,0,PFY_ColBal),INDEX(PFY_Data,0,PFY_ColFirst),$A27,INDEX(PFY_Data,0,PFY_ColSur),$B27,INDEX(PFY_Data,0,PFY_ColCat),BonusCat)))</f>
        <v/>
      </c>
      <c r="T27" s="17"/>
      <c r="U27" s="13" t="str">
        <f aca="false">IF(AC27=0,"",IF(NOT(CFY_Ready),"",SUMIFS(INDEX(CFY_Data,0,CFY_ColBal),INDEX(CFY_Data,0,CFY_ColFirst),$A27,INDEX(CFY_Data,0,CFY_ColSur),$B27,INDEX(CFY_Data,0,CFY_ColCat),BonusCat)))</f>
        <v/>
      </c>
      <c r="V27" s="13" t="str">
        <f aca="false">IF(AC27=0,"",IF(OR(NOT(CFY_Ready),CFY_ColAppr=0),"",SUMIFS(INDEX(CFY_Data,0,CFY_ColAppr),INDEX(CFY_Data,0,CFY_ColFirst),$A27,INDEX(CFY_Data,0,CFY_ColSur),$B27,INDEX(CFY_Data,0,CFY_ColCat),BonusCat)))</f>
        <v/>
      </c>
      <c r="W27" s="13" t="str">
        <f aca="false">IF(OR(AC27=0,S27="",U27=""),"",MAX(0,S27+N($T27)-U27))</f>
        <v/>
      </c>
      <c r="X27" s="13" t="str">
        <f aca="false">IF(AC27=0,"",(AL27-AM27)*HoursPerDay)</f>
        <v/>
      </c>
      <c r="Y27" s="13" t="str">
        <f aca="false">IF(AC27=0,"",X27-N($T27))</f>
        <v/>
      </c>
      <c r="Z27" s="12" t="str">
        <f aca="false">IF(AC27=0,"",IF(Y27&gt;0,"Yes","No"))</f>
        <v/>
      </c>
      <c r="AA27" s="12" t="str">
        <f aca="false">IF(AC27=0,"",IF(NOT(CFY_Ready),"Paste CFY EH export",IF(Y27&gt;0,"ACCRUE "&amp;TEXT(Y27,"0.##")&amp;" hrs ("&amp;TEXT(Y27/HoursPerDay,"0.##")&amp;" days)"&amp;IF(AO27=0," - no Bonus Leave line in EH yet",""),IF(Y27&lt;0,"CHECK - posted "&amp;TEXT(-Y27,"0.##")&amp;" hrs more than policy",IF(AND(N27&gt;0,AO27=0,U27=0),"CHECK - policy says "&amp;TEXT(M27,"0.##")&amp;" hrs to date but nothing in EH",IF(N27&gt;0,"OK","-"))))))</f>
        <v/>
      </c>
      <c r="AB27" s="13" t="str">
        <f aca="false">IF(OR(AC27=0,S27=""),"",AM27*HoursPerDay-S27)</f>
        <v/>
      </c>
      <c r="AC27" s="12" t="n">
        <f aca="false">IF(OR(LEN($A27&amp;$B27)=0,$F27=""),0,1)</f>
        <v>0</v>
      </c>
      <c r="AD27" s="10" t="str">
        <f aca="false">IF(AC27=0,"",IF($I27&lt;&gt;"",$I27,$F27))</f>
        <v/>
      </c>
      <c r="AE27" s="10" t="str">
        <f aca="false">IF(AC27=0,"",IF(AND($G27&lt;&gt;"",$H27&lt;&gt;"",$G27&lt;&gt;$H27),MAX($G27,$H27),""))</f>
        <v/>
      </c>
      <c r="AF27" s="12" t="str">
        <f aca="false">IF(AC27=0,"",IF(AE27="",AG27,IF(IF($G27&lt;$H27,"Part-Time","Full-Time")="Full-Time","FT",IF(AND(IF($G27&lt;$H27,"Part-Time","Full-Time")="Part-Time",OR($O27="",N($O27)&gt;=PT_MinHours)),"PT","None"))))</f>
        <v/>
      </c>
      <c r="AG27" s="12" t="str">
        <f aca="false">IF(AC27=0,"",IF($C27="Full-Time","FT",IF(AND($C27="Part-Time",OR($O27="",N($O27)&gt;=PT_MinHours)),"PT","None")))</f>
        <v/>
      </c>
      <c r="AH27" s="12" t="str">
        <f aca="false">IF(AC27=0,"",IF(AsOfDate&lt;AD27,-1,12*(YEAR(AsOfDate)-YEAR(AD27))+MONTH(AsOfDate)-MONTH(AD27)-IF(DAY(AsOfDate)&lt;MIN(DAY(AD27),DAY(EOMONTH(AsOfDate,0))),1,0)))</f>
        <v/>
      </c>
      <c r="AI27" s="12" t="str">
        <f aca="false">IF(AC27=0,"",IF(OR(AE27="",AE27&gt;AsOfDate),AH27,IF((AE27-1)&lt;AD27,-1,12*(YEAR((AE27-1))-YEAR(AD27))+MONTH((AE27-1))-MONTH(AD27)-IF(DAY((AE27-1))&lt;MIN(DAY(AD27),DAY(EOMONTH((AE27-1),0))),1,0))))</f>
        <v/>
      </c>
      <c r="AJ27" s="12" t="str">
        <f aca="false">IF(AC27=0,"",IF(PFYDate&lt;AD27,-1,12*(YEAR(PFYDate)-YEAR(AD27))+MONTH(PFYDate)-MONTH(AD27)-IF(DAY(PFYDate)&lt;MIN(DAY(AD27),DAY(EOMONTH(PFYDate,0))),1,0)))</f>
        <v/>
      </c>
      <c r="AK27" s="12" t="str">
        <f aca="false">IF(AC27=0,"",IF(OR(AE27="",AE27&gt;PFYDate),AJ27,IF((AE27-1)&lt;AD27,-1,12*(YEAR((AE27-1))-YEAR(AD27))+MONTH((AE27-1))-MONTH(AD27)-IF(DAY((AE27-1))&lt;MIN(DAY(AD27),DAY(EOMONTH((AE27-1),0))),1,0))))</f>
        <v/>
      </c>
      <c r="AL27" s="12" t="str">
        <f aca="false">IF(AC27=0,"",IF(AF27="FT",IF(AI27&lt;FT_First,0,IF(AI27&lt;FT_Y5,1+INT((AI27-FT_First)/FT_Int1),FT_PreY5+FT_PerYear*INT((AI27-FT_Y5)/12)+FT_AnnivDays+INT(MOD(AI27-FT_Y5,12)/FT_Int2))),IF(AF27="PT",IF(AI27&lt;PT_First,0,1+INT((AI27-PT_First)/PT_Int)),0))+IF(OR(AE27="",AE27&gt;AsOfDate),0,IF(AG27="FT",IF(AH27&lt;FT_First,0,IF(AH27&lt;FT_Y5,1+INT((AH27-FT_First)/FT_Int1),FT_PreY5+FT_PerYear*INT((AH27-FT_Y5)/12)+FT_AnnivDays+INT(MOD(AH27-FT_Y5,12)/FT_Int2))),IF(AG27="PT",IF(AH27&lt;PT_First,0,1+INT((AH27-PT_First)/PT_Int)),0))-IF(AG27="FT",IF(AI27&lt;FT_First,0,IF(AI27&lt;FT_Y5,1+INT((AI27-FT_First)/FT_Int1),FT_PreY5+FT_PerYear*INT((AI27-FT_Y5)/12)+FT_AnnivDays+INT(MOD(AI27-FT_Y5,12)/FT_Int2))),IF(AG27="PT",IF(AI27&lt;PT_First,0,1+INT((AI27-PT_First)/PT_Int)),0))))</f>
        <v/>
      </c>
      <c r="AM27" s="12" t="str">
        <f aca="false">IF(AC27=0,"",IF(AF27="FT",IF(AK27&lt;FT_First,0,IF(AK27&lt;FT_Y5,1+INT((AK27-FT_First)/FT_Int1),FT_PreY5+FT_PerYear*INT((AK27-FT_Y5)/12)+FT_AnnivDays+INT(MOD(AK27-FT_Y5,12)/FT_Int2))),IF(AF27="PT",IF(AK27&lt;PT_First,0,1+INT((AK27-PT_First)/PT_Int)),0))+IF(OR(AE27="",AE27&gt;PFYDate),0,IF(AG27="FT",IF(AJ27&lt;FT_First,0,IF(AJ27&lt;FT_Y5,1+INT((AJ27-FT_First)/FT_Int1),FT_PreY5+FT_PerYear*INT((AJ27-FT_Y5)/12)+FT_AnnivDays+INT(MOD(AJ27-FT_Y5,12)/FT_Int2))),IF(AG27="PT",IF(AJ27&lt;PT_First,0,1+INT((AJ27-PT_First)/PT_Int)),0))-IF(AG27="FT",IF(AK27&lt;FT_First,0,IF(AK27&lt;FT_Y5,1+INT((AK27-FT_First)/FT_Int1),FT_PreY5+FT_PerYear*INT((AK27-FT_Y5)/12)+FT_AnnivDays+INT(MOD(AK27-FT_Y5,12)/FT_Int2))),IF(AG27="PT",IF(AK27&lt;PT_First,0,1+INT((AK27-PT_First)/PT_Int)),0))))</f>
        <v/>
      </c>
      <c r="AN27" s="12" t="str">
        <f aca="false">IF(AC27=0,"",IF(AG27="FT",IF(AH27&lt;FT_First,FT_First,IF(AH27&lt;FT_Y5,MIN(FT_Y5,FT_First+FT_Int1*(INT((AH27-FT_First)/FT_Int1)+1)),FT_Y5+12*INT((AH27-FT_Y5)/12)+FT_Int2*(INT(MOD(AH27-FT_Y5,12)/FT_Int2)+1))),IF(AG27="PT",IF(AH27&lt;PT_First,PT_First,PT_First+PT_Int*(INT((AH27-PT_First)/PT_Int)+1)),"")))</f>
        <v/>
      </c>
      <c r="AO27" s="12" t="str">
        <f aca="false">IF(AC27=0,"",IF(NOT(CFY_Ready),0,COUNTIFS(INDEX(CFY_Data,0,CFY_ColFirst),$A27,INDEX(CFY_Data,0,CFY_ColSur),$B27,INDEX(CFY_Data,0,CFY_ColCat),BonusCat)))</f>
        <v/>
      </c>
    </row>
    <row r="28" customFormat="false" ht="15" hidden="false" customHeight="false" outlineLevel="0" collapsed="false">
      <c r="A28" s="15"/>
      <c r="B28" s="15"/>
      <c r="C28" s="15"/>
      <c r="D28" s="16"/>
      <c r="E28" s="10" t="str">
        <f aca="false">IF(OR(AC28=0,$D28=""),"",DATE(YEAR(AsOfDate)+IF(DATE(YEAR(AsOfDate),MONTH($D28),DAY($D28))&lt;=AsOfDate,1,0),MONTH($D28),DAY($D28)))</f>
        <v/>
      </c>
      <c r="F28" s="16"/>
      <c r="G28" s="16"/>
      <c r="H28" s="16"/>
      <c r="I28" s="16"/>
      <c r="J28" s="10" t="str">
        <f aca="false">IF(AC28=0,"",DATE(YEAR(AsOfDate)+IF(DATE(YEAR(AsOfDate),MONTH($F28),DAY($F28))&lt;=AsOfDate,1,0),MONTH($F28),DAY($F28)))</f>
        <v/>
      </c>
      <c r="K28" s="11" t="str">
        <f aca="false">IF(AC28=0,"",ROUND((AsOfDate-$F28)/365.25,1))</f>
        <v/>
      </c>
      <c r="L28" s="12" t="str">
        <f aca="false">IF(AC28=0,"",IF(AsOfDate&lt;AD28,"-",DATEDIF(AD28,AsOfDate,"y")&amp;"y "&amp;DATEDIF(AD28,AsOfDate,"ym")&amp;"m "&amp;DATEDIF(AD28,AsOfDate,"md")&amp;"d"))</f>
        <v/>
      </c>
      <c r="M28" s="13" t="str">
        <f aca="false">IF(AC28=0,"",N28*HoursPerDay)</f>
        <v/>
      </c>
      <c r="N28" s="13" t="str">
        <f aca="false">IF(AC28=0,"",AL28)</f>
        <v/>
      </c>
      <c r="O28" s="17"/>
      <c r="P28" s="12" t="str">
        <f aca="false">IF(AC28=0,"",IF(AE28="","",IF($G28&lt;$H28,"Part-Time to Full-Time","Full-Time to Part-Time")&amp;" on "&amp;TEXT(AE28,"dd/mm/yyyy")&amp;IF(AE28&gt;AsOfDate," (future)",IF(AF28=AG28,"",IF(AG28="None"," - STOPPED accruing",IF(AF28="None"," - now qualifying"," - pathway changed"))))))</f>
        <v/>
      </c>
      <c r="Q28" s="12" t="str">
        <f aca="false">IF(AC28=0,"",IF(AG28="None",IF(N28&gt;0,"No longer accruing","Not eligible - "&amp;IF(AND($C28="Part-Time",N($O28)&lt;PT_MinHours,$O28&lt;&gt;""),"under "&amp;PT_MinHours&amp;" hrs",$C28)),IF(N28&gt;0,"Yes - accruing","Not yet - from "&amp;TEXT(R28,"dd/mm/yyyy"))))</f>
        <v/>
      </c>
      <c r="R28" s="10" t="str">
        <f aca="false">IF(AC28=0,"",IF(AG28="None","",EDATE(AD28,AN28)))</f>
        <v/>
      </c>
      <c r="S28" s="13" t="str">
        <f aca="false">IF(AC28=0,"",IF(NOT(PFY_Ready),"",SUMIFS(INDEX(PFY_Data,0,PFY_ColBal),INDEX(PFY_Data,0,PFY_ColFirst),$A28,INDEX(PFY_Data,0,PFY_ColSur),$B28,INDEX(PFY_Data,0,PFY_ColCat),BonusCat)))</f>
        <v/>
      </c>
      <c r="T28" s="17"/>
      <c r="U28" s="13" t="str">
        <f aca="false">IF(AC28=0,"",IF(NOT(CFY_Ready),"",SUMIFS(INDEX(CFY_Data,0,CFY_ColBal),INDEX(CFY_Data,0,CFY_ColFirst),$A28,INDEX(CFY_Data,0,CFY_ColSur),$B28,INDEX(CFY_Data,0,CFY_ColCat),BonusCat)))</f>
        <v/>
      </c>
      <c r="V28" s="13" t="str">
        <f aca="false">IF(AC28=0,"",IF(OR(NOT(CFY_Ready),CFY_ColAppr=0),"",SUMIFS(INDEX(CFY_Data,0,CFY_ColAppr),INDEX(CFY_Data,0,CFY_ColFirst),$A28,INDEX(CFY_Data,0,CFY_ColSur),$B28,INDEX(CFY_Data,0,CFY_ColCat),BonusCat)))</f>
        <v/>
      </c>
      <c r="W28" s="13" t="str">
        <f aca="false">IF(OR(AC28=0,S28="",U28=""),"",MAX(0,S28+N($T28)-U28))</f>
        <v/>
      </c>
      <c r="X28" s="13" t="str">
        <f aca="false">IF(AC28=0,"",(AL28-AM28)*HoursPerDay)</f>
        <v/>
      </c>
      <c r="Y28" s="13" t="str">
        <f aca="false">IF(AC28=0,"",X28-N($T28))</f>
        <v/>
      </c>
      <c r="Z28" s="12" t="str">
        <f aca="false">IF(AC28=0,"",IF(Y28&gt;0,"Yes","No"))</f>
        <v/>
      </c>
      <c r="AA28" s="12" t="str">
        <f aca="false">IF(AC28=0,"",IF(NOT(CFY_Ready),"Paste CFY EH export",IF(Y28&gt;0,"ACCRUE "&amp;TEXT(Y28,"0.##")&amp;" hrs ("&amp;TEXT(Y28/HoursPerDay,"0.##")&amp;" days)"&amp;IF(AO28=0," - no Bonus Leave line in EH yet",""),IF(Y28&lt;0,"CHECK - posted "&amp;TEXT(-Y28,"0.##")&amp;" hrs more than policy",IF(AND(N28&gt;0,AO28=0,U28=0),"CHECK - policy says "&amp;TEXT(M28,"0.##")&amp;" hrs to date but nothing in EH",IF(N28&gt;0,"OK","-"))))))</f>
        <v/>
      </c>
      <c r="AB28" s="13" t="str">
        <f aca="false">IF(OR(AC28=0,S28=""),"",AM28*HoursPerDay-S28)</f>
        <v/>
      </c>
      <c r="AC28" s="12" t="n">
        <f aca="false">IF(OR(LEN($A28&amp;$B28)=0,$F28=""),0,1)</f>
        <v>0</v>
      </c>
      <c r="AD28" s="10" t="str">
        <f aca="false">IF(AC28=0,"",IF($I28&lt;&gt;"",$I28,$F28))</f>
        <v/>
      </c>
      <c r="AE28" s="10" t="str">
        <f aca="false">IF(AC28=0,"",IF(AND($G28&lt;&gt;"",$H28&lt;&gt;"",$G28&lt;&gt;$H28),MAX($G28,$H28),""))</f>
        <v/>
      </c>
      <c r="AF28" s="12" t="str">
        <f aca="false">IF(AC28=0,"",IF(AE28="",AG28,IF(IF($G28&lt;$H28,"Part-Time","Full-Time")="Full-Time","FT",IF(AND(IF($G28&lt;$H28,"Part-Time","Full-Time")="Part-Time",OR($O28="",N($O28)&gt;=PT_MinHours)),"PT","None"))))</f>
        <v/>
      </c>
      <c r="AG28" s="12" t="str">
        <f aca="false">IF(AC28=0,"",IF($C28="Full-Time","FT",IF(AND($C28="Part-Time",OR($O28="",N($O28)&gt;=PT_MinHours)),"PT","None")))</f>
        <v/>
      </c>
      <c r="AH28" s="12" t="str">
        <f aca="false">IF(AC28=0,"",IF(AsOfDate&lt;AD28,-1,12*(YEAR(AsOfDate)-YEAR(AD28))+MONTH(AsOfDate)-MONTH(AD28)-IF(DAY(AsOfDate)&lt;MIN(DAY(AD28),DAY(EOMONTH(AsOfDate,0))),1,0)))</f>
        <v/>
      </c>
      <c r="AI28" s="12" t="str">
        <f aca="false">IF(AC28=0,"",IF(OR(AE28="",AE28&gt;AsOfDate),AH28,IF((AE28-1)&lt;AD28,-1,12*(YEAR((AE28-1))-YEAR(AD28))+MONTH((AE28-1))-MONTH(AD28)-IF(DAY((AE28-1))&lt;MIN(DAY(AD28),DAY(EOMONTH((AE28-1),0))),1,0))))</f>
        <v/>
      </c>
      <c r="AJ28" s="12" t="str">
        <f aca="false">IF(AC28=0,"",IF(PFYDate&lt;AD28,-1,12*(YEAR(PFYDate)-YEAR(AD28))+MONTH(PFYDate)-MONTH(AD28)-IF(DAY(PFYDate)&lt;MIN(DAY(AD28),DAY(EOMONTH(PFYDate,0))),1,0)))</f>
        <v/>
      </c>
      <c r="AK28" s="12" t="str">
        <f aca="false">IF(AC28=0,"",IF(OR(AE28="",AE28&gt;PFYDate),AJ28,IF((AE28-1)&lt;AD28,-1,12*(YEAR((AE28-1))-YEAR(AD28))+MONTH((AE28-1))-MONTH(AD28)-IF(DAY((AE28-1))&lt;MIN(DAY(AD28),DAY(EOMONTH((AE28-1),0))),1,0))))</f>
        <v/>
      </c>
      <c r="AL28" s="12" t="str">
        <f aca="false">IF(AC28=0,"",IF(AF28="FT",IF(AI28&lt;FT_First,0,IF(AI28&lt;FT_Y5,1+INT((AI28-FT_First)/FT_Int1),FT_PreY5+FT_PerYear*INT((AI28-FT_Y5)/12)+FT_AnnivDays+INT(MOD(AI28-FT_Y5,12)/FT_Int2))),IF(AF28="PT",IF(AI28&lt;PT_First,0,1+INT((AI28-PT_First)/PT_Int)),0))+IF(OR(AE28="",AE28&gt;AsOfDate),0,IF(AG28="FT",IF(AH28&lt;FT_First,0,IF(AH28&lt;FT_Y5,1+INT((AH28-FT_First)/FT_Int1),FT_PreY5+FT_PerYear*INT((AH28-FT_Y5)/12)+FT_AnnivDays+INT(MOD(AH28-FT_Y5,12)/FT_Int2))),IF(AG28="PT",IF(AH28&lt;PT_First,0,1+INT((AH28-PT_First)/PT_Int)),0))-IF(AG28="FT",IF(AI28&lt;FT_First,0,IF(AI28&lt;FT_Y5,1+INT((AI28-FT_First)/FT_Int1),FT_PreY5+FT_PerYear*INT((AI28-FT_Y5)/12)+FT_AnnivDays+INT(MOD(AI28-FT_Y5,12)/FT_Int2))),IF(AG28="PT",IF(AI28&lt;PT_First,0,1+INT((AI28-PT_First)/PT_Int)),0))))</f>
        <v/>
      </c>
      <c r="AM28" s="12" t="str">
        <f aca="false">IF(AC28=0,"",IF(AF28="FT",IF(AK28&lt;FT_First,0,IF(AK28&lt;FT_Y5,1+INT((AK28-FT_First)/FT_Int1),FT_PreY5+FT_PerYear*INT((AK28-FT_Y5)/12)+FT_AnnivDays+INT(MOD(AK28-FT_Y5,12)/FT_Int2))),IF(AF28="PT",IF(AK28&lt;PT_First,0,1+INT((AK28-PT_First)/PT_Int)),0))+IF(OR(AE28="",AE28&gt;PFYDate),0,IF(AG28="FT",IF(AJ28&lt;FT_First,0,IF(AJ28&lt;FT_Y5,1+INT((AJ28-FT_First)/FT_Int1),FT_PreY5+FT_PerYear*INT((AJ28-FT_Y5)/12)+FT_AnnivDays+INT(MOD(AJ28-FT_Y5,12)/FT_Int2))),IF(AG28="PT",IF(AJ28&lt;PT_First,0,1+INT((AJ28-PT_First)/PT_Int)),0))-IF(AG28="FT",IF(AK28&lt;FT_First,0,IF(AK28&lt;FT_Y5,1+INT((AK28-FT_First)/FT_Int1),FT_PreY5+FT_PerYear*INT((AK28-FT_Y5)/12)+FT_AnnivDays+INT(MOD(AK28-FT_Y5,12)/FT_Int2))),IF(AG28="PT",IF(AK28&lt;PT_First,0,1+INT((AK28-PT_First)/PT_Int)),0))))</f>
        <v/>
      </c>
      <c r="AN28" s="12" t="str">
        <f aca="false">IF(AC28=0,"",IF(AG28="FT",IF(AH28&lt;FT_First,FT_First,IF(AH28&lt;FT_Y5,MIN(FT_Y5,FT_First+FT_Int1*(INT((AH28-FT_First)/FT_Int1)+1)),FT_Y5+12*INT((AH28-FT_Y5)/12)+FT_Int2*(INT(MOD(AH28-FT_Y5,12)/FT_Int2)+1))),IF(AG28="PT",IF(AH28&lt;PT_First,PT_First,PT_First+PT_Int*(INT((AH28-PT_First)/PT_Int)+1)),"")))</f>
        <v/>
      </c>
      <c r="AO28" s="12" t="str">
        <f aca="false">IF(AC28=0,"",IF(NOT(CFY_Ready),0,COUNTIFS(INDEX(CFY_Data,0,CFY_ColFirst),$A28,INDEX(CFY_Data,0,CFY_ColSur),$B28,INDEX(CFY_Data,0,CFY_ColCat),BonusCat)))</f>
        <v/>
      </c>
    </row>
    <row r="29" customFormat="false" ht="15" hidden="false" customHeight="false" outlineLevel="0" collapsed="false">
      <c r="A29" s="15"/>
      <c r="B29" s="15"/>
      <c r="C29" s="15"/>
      <c r="D29" s="16"/>
      <c r="E29" s="10" t="str">
        <f aca="false">IF(OR(AC29=0,$D29=""),"",DATE(YEAR(AsOfDate)+IF(DATE(YEAR(AsOfDate),MONTH($D29),DAY($D29))&lt;=AsOfDate,1,0),MONTH($D29),DAY($D29)))</f>
        <v/>
      </c>
      <c r="F29" s="16"/>
      <c r="G29" s="16"/>
      <c r="H29" s="16"/>
      <c r="I29" s="16"/>
      <c r="J29" s="10" t="str">
        <f aca="false">IF(AC29=0,"",DATE(YEAR(AsOfDate)+IF(DATE(YEAR(AsOfDate),MONTH($F29),DAY($F29))&lt;=AsOfDate,1,0),MONTH($F29),DAY($F29)))</f>
        <v/>
      </c>
      <c r="K29" s="11" t="str">
        <f aca="false">IF(AC29=0,"",ROUND((AsOfDate-$F29)/365.25,1))</f>
        <v/>
      </c>
      <c r="L29" s="12" t="str">
        <f aca="false">IF(AC29=0,"",IF(AsOfDate&lt;AD29,"-",DATEDIF(AD29,AsOfDate,"y")&amp;"y "&amp;DATEDIF(AD29,AsOfDate,"ym")&amp;"m "&amp;DATEDIF(AD29,AsOfDate,"md")&amp;"d"))</f>
        <v/>
      </c>
      <c r="M29" s="13" t="str">
        <f aca="false">IF(AC29=0,"",N29*HoursPerDay)</f>
        <v/>
      </c>
      <c r="N29" s="13" t="str">
        <f aca="false">IF(AC29=0,"",AL29)</f>
        <v/>
      </c>
      <c r="O29" s="17"/>
      <c r="P29" s="12" t="str">
        <f aca="false">IF(AC29=0,"",IF(AE29="","",IF($G29&lt;$H29,"Part-Time to Full-Time","Full-Time to Part-Time")&amp;" on "&amp;TEXT(AE29,"dd/mm/yyyy")&amp;IF(AE29&gt;AsOfDate," (future)",IF(AF29=AG29,"",IF(AG29="None"," - STOPPED accruing",IF(AF29="None"," - now qualifying"," - pathway changed"))))))</f>
        <v/>
      </c>
      <c r="Q29" s="12" t="str">
        <f aca="false">IF(AC29=0,"",IF(AG29="None",IF(N29&gt;0,"No longer accruing","Not eligible - "&amp;IF(AND($C29="Part-Time",N($O29)&lt;PT_MinHours,$O29&lt;&gt;""),"under "&amp;PT_MinHours&amp;" hrs",$C29)),IF(N29&gt;0,"Yes - accruing","Not yet - from "&amp;TEXT(R29,"dd/mm/yyyy"))))</f>
        <v/>
      </c>
      <c r="R29" s="10" t="str">
        <f aca="false">IF(AC29=0,"",IF(AG29="None","",EDATE(AD29,AN29)))</f>
        <v/>
      </c>
      <c r="S29" s="13" t="str">
        <f aca="false">IF(AC29=0,"",IF(NOT(PFY_Ready),"",SUMIFS(INDEX(PFY_Data,0,PFY_ColBal),INDEX(PFY_Data,0,PFY_ColFirst),$A29,INDEX(PFY_Data,0,PFY_ColSur),$B29,INDEX(PFY_Data,0,PFY_ColCat),BonusCat)))</f>
        <v/>
      </c>
      <c r="T29" s="17"/>
      <c r="U29" s="13" t="str">
        <f aca="false">IF(AC29=0,"",IF(NOT(CFY_Ready),"",SUMIFS(INDEX(CFY_Data,0,CFY_ColBal),INDEX(CFY_Data,0,CFY_ColFirst),$A29,INDEX(CFY_Data,0,CFY_ColSur),$B29,INDEX(CFY_Data,0,CFY_ColCat),BonusCat)))</f>
        <v/>
      </c>
      <c r="V29" s="13" t="str">
        <f aca="false">IF(AC29=0,"",IF(OR(NOT(CFY_Ready),CFY_ColAppr=0),"",SUMIFS(INDEX(CFY_Data,0,CFY_ColAppr),INDEX(CFY_Data,0,CFY_ColFirst),$A29,INDEX(CFY_Data,0,CFY_ColSur),$B29,INDEX(CFY_Data,0,CFY_ColCat),BonusCat)))</f>
        <v/>
      </c>
      <c r="W29" s="13" t="str">
        <f aca="false">IF(OR(AC29=0,S29="",U29=""),"",MAX(0,S29+N($T29)-U29))</f>
        <v/>
      </c>
      <c r="X29" s="13" t="str">
        <f aca="false">IF(AC29=0,"",(AL29-AM29)*HoursPerDay)</f>
        <v/>
      </c>
      <c r="Y29" s="13" t="str">
        <f aca="false">IF(AC29=0,"",X29-N($T29))</f>
        <v/>
      </c>
      <c r="Z29" s="12" t="str">
        <f aca="false">IF(AC29=0,"",IF(Y29&gt;0,"Yes","No"))</f>
        <v/>
      </c>
      <c r="AA29" s="12" t="str">
        <f aca="false">IF(AC29=0,"",IF(NOT(CFY_Ready),"Paste CFY EH export",IF(Y29&gt;0,"ACCRUE "&amp;TEXT(Y29,"0.##")&amp;" hrs ("&amp;TEXT(Y29/HoursPerDay,"0.##")&amp;" days)"&amp;IF(AO29=0," - no Bonus Leave line in EH yet",""),IF(Y29&lt;0,"CHECK - posted "&amp;TEXT(-Y29,"0.##")&amp;" hrs more than policy",IF(AND(N29&gt;0,AO29=0,U29=0),"CHECK - policy says "&amp;TEXT(M29,"0.##")&amp;" hrs to date but nothing in EH",IF(N29&gt;0,"OK","-"))))))</f>
        <v/>
      </c>
      <c r="AB29" s="13" t="str">
        <f aca="false">IF(OR(AC29=0,S29=""),"",AM29*HoursPerDay-S29)</f>
        <v/>
      </c>
      <c r="AC29" s="12" t="n">
        <f aca="false">IF(OR(LEN($A29&amp;$B29)=0,$F29=""),0,1)</f>
        <v>0</v>
      </c>
      <c r="AD29" s="10" t="str">
        <f aca="false">IF(AC29=0,"",IF($I29&lt;&gt;"",$I29,$F29))</f>
        <v/>
      </c>
      <c r="AE29" s="10" t="str">
        <f aca="false">IF(AC29=0,"",IF(AND($G29&lt;&gt;"",$H29&lt;&gt;"",$G29&lt;&gt;$H29),MAX($G29,$H29),""))</f>
        <v/>
      </c>
      <c r="AF29" s="12" t="str">
        <f aca="false">IF(AC29=0,"",IF(AE29="",AG29,IF(IF($G29&lt;$H29,"Part-Time","Full-Time")="Full-Time","FT",IF(AND(IF($G29&lt;$H29,"Part-Time","Full-Time")="Part-Time",OR($O29="",N($O29)&gt;=PT_MinHours)),"PT","None"))))</f>
        <v/>
      </c>
      <c r="AG29" s="12" t="str">
        <f aca="false">IF(AC29=0,"",IF($C29="Full-Time","FT",IF(AND($C29="Part-Time",OR($O29="",N($O29)&gt;=PT_MinHours)),"PT","None")))</f>
        <v/>
      </c>
      <c r="AH29" s="12" t="str">
        <f aca="false">IF(AC29=0,"",IF(AsOfDate&lt;AD29,-1,12*(YEAR(AsOfDate)-YEAR(AD29))+MONTH(AsOfDate)-MONTH(AD29)-IF(DAY(AsOfDate)&lt;MIN(DAY(AD29),DAY(EOMONTH(AsOfDate,0))),1,0)))</f>
        <v/>
      </c>
      <c r="AI29" s="12" t="str">
        <f aca="false">IF(AC29=0,"",IF(OR(AE29="",AE29&gt;AsOfDate),AH29,IF((AE29-1)&lt;AD29,-1,12*(YEAR((AE29-1))-YEAR(AD29))+MONTH((AE29-1))-MONTH(AD29)-IF(DAY((AE29-1))&lt;MIN(DAY(AD29),DAY(EOMONTH((AE29-1),0))),1,0))))</f>
        <v/>
      </c>
      <c r="AJ29" s="12" t="str">
        <f aca="false">IF(AC29=0,"",IF(PFYDate&lt;AD29,-1,12*(YEAR(PFYDate)-YEAR(AD29))+MONTH(PFYDate)-MONTH(AD29)-IF(DAY(PFYDate)&lt;MIN(DAY(AD29),DAY(EOMONTH(PFYDate,0))),1,0)))</f>
        <v/>
      </c>
      <c r="AK29" s="12" t="str">
        <f aca="false">IF(AC29=0,"",IF(OR(AE29="",AE29&gt;PFYDate),AJ29,IF((AE29-1)&lt;AD29,-1,12*(YEAR((AE29-1))-YEAR(AD29))+MONTH((AE29-1))-MONTH(AD29)-IF(DAY((AE29-1))&lt;MIN(DAY(AD29),DAY(EOMONTH((AE29-1),0))),1,0))))</f>
        <v/>
      </c>
      <c r="AL29" s="12" t="str">
        <f aca="false">IF(AC29=0,"",IF(AF29="FT",IF(AI29&lt;FT_First,0,IF(AI29&lt;FT_Y5,1+INT((AI29-FT_First)/FT_Int1),FT_PreY5+FT_PerYear*INT((AI29-FT_Y5)/12)+FT_AnnivDays+INT(MOD(AI29-FT_Y5,12)/FT_Int2))),IF(AF29="PT",IF(AI29&lt;PT_First,0,1+INT((AI29-PT_First)/PT_Int)),0))+IF(OR(AE29="",AE29&gt;AsOfDate),0,IF(AG29="FT",IF(AH29&lt;FT_First,0,IF(AH29&lt;FT_Y5,1+INT((AH29-FT_First)/FT_Int1),FT_PreY5+FT_PerYear*INT((AH29-FT_Y5)/12)+FT_AnnivDays+INT(MOD(AH29-FT_Y5,12)/FT_Int2))),IF(AG29="PT",IF(AH29&lt;PT_First,0,1+INT((AH29-PT_First)/PT_Int)),0))-IF(AG29="FT",IF(AI29&lt;FT_First,0,IF(AI29&lt;FT_Y5,1+INT((AI29-FT_First)/FT_Int1),FT_PreY5+FT_PerYear*INT((AI29-FT_Y5)/12)+FT_AnnivDays+INT(MOD(AI29-FT_Y5,12)/FT_Int2))),IF(AG29="PT",IF(AI29&lt;PT_First,0,1+INT((AI29-PT_First)/PT_Int)),0))))</f>
        <v/>
      </c>
      <c r="AM29" s="12" t="str">
        <f aca="false">IF(AC29=0,"",IF(AF29="FT",IF(AK29&lt;FT_First,0,IF(AK29&lt;FT_Y5,1+INT((AK29-FT_First)/FT_Int1),FT_PreY5+FT_PerYear*INT((AK29-FT_Y5)/12)+FT_AnnivDays+INT(MOD(AK29-FT_Y5,12)/FT_Int2))),IF(AF29="PT",IF(AK29&lt;PT_First,0,1+INT((AK29-PT_First)/PT_Int)),0))+IF(OR(AE29="",AE29&gt;PFYDate),0,IF(AG29="FT",IF(AJ29&lt;FT_First,0,IF(AJ29&lt;FT_Y5,1+INT((AJ29-FT_First)/FT_Int1),FT_PreY5+FT_PerYear*INT((AJ29-FT_Y5)/12)+FT_AnnivDays+INT(MOD(AJ29-FT_Y5,12)/FT_Int2))),IF(AG29="PT",IF(AJ29&lt;PT_First,0,1+INT((AJ29-PT_First)/PT_Int)),0))-IF(AG29="FT",IF(AK29&lt;FT_First,0,IF(AK29&lt;FT_Y5,1+INT((AK29-FT_First)/FT_Int1),FT_PreY5+FT_PerYear*INT((AK29-FT_Y5)/12)+FT_AnnivDays+INT(MOD(AK29-FT_Y5,12)/FT_Int2))),IF(AG29="PT",IF(AK29&lt;PT_First,0,1+INT((AK29-PT_First)/PT_Int)),0))))</f>
        <v/>
      </c>
      <c r="AN29" s="12" t="str">
        <f aca="false">IF(AC29=0,"",IF(AG29="FT",IF(AH29&lt;FT_First,FT_First,IF(AH29&lt;FT_Y5,MIN(FT_Y5,FT_First+FT_Int1*(INT((AH29-FT_First)/FT_Int1)+1)),FT_Y5+12*INT((AH29-FT_Y5)/12)+FT_Int2*(INT(MOD(AH29-FT_Y5,12)/FT_Int2)+1))),IF(AG29="PT",IF(AH29&lt;PT_First,PT_First,PT_First+PT_Int*(INT((AH29-PT_First)/PT_Int)+1)),"")))</f>
        <v/>
      </c>
      <c r="AO29" s="12" t="str">
        <f aca="false">IF(AC29=0,"",IF(NOT(CFY_Ready),0,COUNTIFS(INDEX(CFY_Data,0,CFY_ColFirst),$A29,INDEX(CFY_Data,0,CFY_ColSur),$B29,INDEX(CFY_Data,0,CFY_ColCat),BonusCat)))</f>
        <v/>
      </c>
    </row>
    <row r="30" customFormat="false" ht="15" hidden="false" customHeight="false" outlineLevel="0" collapsed="false">
      <c r="A30" s="15"/>
      <c r="B30" s="15"/>
      <c r="C30" s="15"/>
      <c r="D30" s="16"/>
      <c r="E30" s="10" t="str">
        <f aca="false">IF(OR(AC30=0,$D30=""),"",DATE(YEAR(AsOfDate)+IF(DATE(YEAR(AsOfDate),MONTH($D30),DAY($D30))&lt;=AsOfDate,1,0),MONTH($D30),DAY($D30)))</f>
        <v/>
      </c>
      <c r="F30" s="16"/>
      <c r="G30" s="16"/>
      <c r="H30" s="16"/>
      <c r="I30" s="16"/>
      <c r="J30" s="10" t="str">
        <f aca="false">IF(AC30=0,"",DATE(YEAR(AsOfDate)+IF(DATE(YEAR(AsOfDate),MONTH($F30),DAY($F30))&lt;=AsOfDate,1,0),MONTH($F30),DAY($F30)))</f>
        <v/>
      </c>
      <c r="K30" s="11" t="str">
        <f aca="false">IF(AC30=0,"",ROUND((AsOfDate-$F30)/365.25,1))</f>
        <v/>
      </c>
      <c r="L30" s="12" t="str">
        <f aca="false">IF(AC30=0,"",IF(AsOfDate&lt;AD30,"-",DATEDIF(AD30,AsOfDate,"y")&amp;"y "&amp;DATEDIF(AD30,AsOfDate,"ym")&amp;"m "&amp;DATEDIF(AD30,AsOfDate,"md")&amp;"d"))</f>
        <v/>
      </c>
      <c r="M30" s="13" t="str">
        <f aca="false">IF(AC30=0,"",N30*HoursPerDay)</f>
        <v/>
      </c>
      <c r="N30" s="13" t="str">
        <f aca="false">IF(AC30=0,"",AL30)</f>
        <v/>
      </c>
      <c r="O30" s="17"/>
      <c r="P30" s="12" t="str">
        <f aca="false">IF(AC30=0,"",IF(AE30="","",IF($G30&lt;$H30,"Part-Time to Full-Time","Full-Time to Part-Time")&amp;" on "&amp;TEXT(AE30,"dd/mm/yyyy")&amp;IF(AE30&gt;AsOfDate," (future)",IF(AF30=AG30,"",IF(AG30="None"," - STOPPED accruing",IF(AF30="None"," - now qualifying"," - pathway changed"))))))</f>
        <v/>
      </c>
      <c r="Q30" s="12" t="str">
        <f aca="false">IF(AC30=0,"",IF(AG30="None",IF(N30&gt;0,"No longer accruing","Not eligible - "&amp;IF(AND($C30="Part-Time",N($O30)&lt;PT_MinHours,$O30&lt;&gt;""),"under "&amp;PT_MinHours&amp;" hrs",$C30)),IF(N30&gt;0,"Yes - accruing","Not yet - from "&amp;TEXT(R30,"dd/mm/yyyy"))))</f>
        <v/>
      </c>
      <c r="R30" s="10" t="str">
        <f aca="false">IF(AC30=0,"",IF(AG30="None","",EDATE(AD30,AN30)))</f>
        <v/>
      </c>
      <c r="S30" s="13" t="str">
        <f aca="false">IF(AC30=0,"",IF(NOT(PFY_Ready),"",SUMIFS(INDEX(PFY_Data,0,PFY_ColBal),INDEX(PFY_Data,0,PFY_ColFirst),$A30,INDEX(PFY_Data,0,PFY_ColSur),$B30,INDEX(PFY_Data,0,PFY_ColCat),BonusCat)))</f>
        <v/>
      </c>
      <c r="T30" s="17"/>
      <c r="U30" s="13" t="str">
        <f aca="false">IF(AC30=0,"",IF(NOT(CFY_Ready),"",SUMIFS(INDEX(CFY_Data,0,CFY_ColBal),INDEX(CFY_Data,0,CFY_ColFirst),$A30,INDEX(CFY_Data,0,CFY_ColSur),$B30,INDEX(CFY_Data,0,CFY_ColCat),BonusCat)))</f>
        <v/>
      </c>
      <c r="V30" s="13" t="str">
        <f aca="false">IF(AC30=0,"",IF(OR(NOT(CFY_Ready),CFY_ColAppr=0),"",SUMIFS(INDEX(CFY_Data,0,CFY_ColAppr),INDEX(CFY_Data,0,CFY_ColFirst),$A30,INDEX(CFY_Data,0,CFY_ColSur),$B30,INDEX(CFY_Data,0,CFY_ColCat),BonusCat)))</f>
        <v/>
      </c>
      <c r="W30" s="13" t="str">
        <f aca="false">IF(OR(AC30=0,S30="",U30=""),"",MAX(0,S30+N($T30)-U30))</f>
        <v/>
      </c>
      <c r="X30" s="13" t="str">
        <f aca="false">IF(AC30=0,"",(AL30-AM30)*HoursPerDay)</f>
        <v/>
      </c>
      <c r="Y30" s="13" t="str">
        <f aca="false">IF(AC30=0,"",X30-N($T30))</f>
        <v/>
      </c>
      <c r="Z30" s="12" t="str">
        <f aca="false">IF(AC30=0,"",IF(Y30&gt;0,"Yes","No"))</f>
        <v/>
      </c>
      <c r="AA30" s="12" t="str">
        <f aca="false">IF(AC30=0,"",IF(NOT(CFY_Ready),"Paste CFY EH export",IF(Y30&gt;0,"ACCRUE "&amp;TEXT(Y30,"0.##")&amp;" hrs ("&amp;TEXT(Y30/HoursPerDay,"0.##")&amp;" days)"&amp;IF(AO30=0," - no Bonus Leave line in EH yet",""),IF(Y30&lt;0,"CHECK - posted "&amp;TEXT(-Y30,"0.##")&amp;" hrs more than policy",IF(AND(N30&gt;0,AO30=0,U30=0),"CHECK - policy says "&amp;TEXT(M30,"0.##")&amp;" hrs to date but nothing in EH",IF(N30&gt;0,"OK","-"))))))</f>
        <v/>
      </c>
      <c r="AB30" s="13" t="str">
        <f aca="false">IF(OR(AC30=0,S30=""),"",AM30*HoursPerDay-S30)</f>
        <v/>
      </c>
      <c r="AC30" s="12" t="n">
        <f aca="false">IF(OR(LEN($A30&amp;$B30)=0,$F30=""),0,1)</f>
        <v>0</v>
      </c>
      <c r="AD30" s="10" t="str">
        <f aca="false">IF(AC30=0,"",IF($I30&lt;&gt;"",$I30,$F30))</f>
        <v/>
      </c>
      <c r="AE30" s="10" t="str">
        <f aca="false">IF(AC30=0,"",IF(AND($G30&lt;&gt;"",$H30&lt;&gt;"",$G30&lt;&gt;$H30),MAX($G30,$H30),""))</f>
        <v/>
      </c>
      <c r="AF30" s="12" t="str">
        <f aca="false">IF(AC30=0,"",IF(AE30="",AG30,IF(IF($G30&lt;$H30,"Part-Time","Full-Time")="Full-Time","FT",IF(AND(IF($G30&lt;$H30,"Part-Time","Full-Time")="Part-Time",OR($O30="",N($O30)&gt;=PT_MinHours)),"PT","None"))))</f>
        <v/>
      </c>
      <c r="AG30" s="12" t="str">
        <f aca="false">IF(AC30=0,"",IF($C30="Full-Time","FT",IF(AND($C30="Part-Time",OR($O30="",N($O30)&gt;=PT_MinHours)),"PT","None")))</f>
        <v/>
      </c>
      <c r="AH30" s="12" t="str">
        <f aca="false">IF(AC30=0,"",IF(AsOfDate&lt;AD30,-1,12*(YEAR(AsOfDate)-YEAR(AD30))+MONTH(AsOfDate)-MONTH(AD30)-IF(DAY(AsOfDate)&lt;MIN(DAY(AD30),DAY(EOMONTH(AsOfDate,0))),1,0)))</f>
        <v/>
      </c>
      <c r="AI30" s="12" t="str">
        <f aca="false">IF(AC30=0,"",IF(OR(AE30="",AE30&gt;AsOfDate),AH30,IF((AE30-1)&lt;AD30,-1,12*(YEAR((AE30-1))-YEAR(AD30))+MONTH((AE30-1))-MONTH(AD30)-IF(DAY((AE30-1))&lt;MIN(DAY(AD30),DAY(EOMONTH((AE30-1),0))),1,0))))</f>
        <v/>
      </c>
      <c r="AJ30" s="12" t="str">
        <f aca="false">IF(AC30=0,"",IF(PFYDate&lt;AD30,-1,12*(YEAR(PFYDate)-YEAR(AD30))+MONTH(PFYDate)-MONTH(AD30)-IF(DAY(PFYDate)&lt;MIN(DAY(AD30),DAY(EOMONTH(PFYDate,0))),1,0)))</f>
        <v/>
      </c>
      <c r="AK30" s="12" t="str">
        <f aca="false">IF(AC30=0,"",IF(OR(AE30="",AE30&gt;PFYDate),AJ30,IF((AE30-1)&lt;AD30,-1,12*(YEAR((AE30-1))-YEAR(AD30))+MONTH((AE30-1))-MONTH(AD30)-IF(DAY((AE30-1))&lt;MIN(DAY(AD30),DAY(EOMONTH((AE30-1),0))),1,0))))</f>
        <v/>
      </c>
      <c r="AL30" s="12" t="str">
        <f aca="false">IF(AC30=0,"",IF(AF30="FT",IF(AI30&lt;FT_First,0,IF(AI30&lt;FT_Y5,1+INT((AI30-FT_First)/FT_Int1),FT_PreY5+FT_PerYear*INT((AI30-FT_Y5)/12)+FT_AnnivDays+INT(MOD(AI30-FT_Y5,12)/FT_Int2))),IF(AF30="PT",IF(AI30&lt;PT_First,0,1+INT((AI30-PT_First)/PT_Int)),0))+IF(OR(AE30="",AE30&gt;AsOfDate),0,IF(AG30="FT",IF(AH30&lt;FT_First,0,IF(AH30&lt;FT_Y5,1+INT((AH30-FT_First)/FT_Int1),FT_PreY5+FT_PerYear*INT((AH30-FT_Y5)/12)+FT_AnnivDays+INT(MOD(AH30-FT_Y5,12)/FT_Int2))),IF(AG30="PT",IF(AH30&lt;PT_First,0,1+INT((AH30-PT_First)/PT_Int)),0))-IF(AG30="FT",IF(AI30&lt;FT_First,0,IF(AI30&lt;FT_Y5,1+INT((AI30-FT_First)/FT_Int1),FT_PreY5+FT_PerYear*INT((AI30-FT_Y5)/12)+FT_AnnivDays+INT(MOD(AI30-FT_Y5,12)/FT_Int2))),IF(AG30="PT",IF(AI30&lt;PT_First,0,1+INT((AI30-PT_First)/PT_Int)),0))))</f>
        <v/>
      </c>
      <c r="AM30" s="12" t="str">
        <f aca="false">IF(AC30=0,"",IF(AF30="FT",IF(AK30&lt;FT_First,0,IF(AK30&lt;FT_Y5,1+INT((AK30-FT_First)/FT_Int1),FT_PreY5+FT_PerYear*INT((AK30-FT_Y5)/12)+FT_AnnivDays+INT(MOD(AK30-FT_Y5,12)/FT_Int2))),IF(AF30="PT",IF(AK30&lt;PT_First,0,1+INT((AK30-PT_First)/PT_Int)),0))+IF(OR(AE30="",AE30&gt;PFYDate),0,IF(AG30="FT",IF(AJ30&lt;FT_First,0,IF(AJ30&lt;FT_Y5,1+INT((AJ30-FT_First)/FT_Int1),FT_PreY5+FT_PerYear*INT((AJ30-FT_Y5)/12)+FT_AnnivDays+INT(MOD(AJ30-FT_Y5,12)/FT_Int2))),IF(AG30="PT",IF(AJ30&lt;PT_First,0,1+INT((AJ30-PT_First)/PT_Int)),0))-IF(AG30="FT",IF(AK30&lt;FT_First,0,IF(AK30&lt;FT_Y5,1+INT((AK30-FT_First)/FT_Int1),FT_PreY5+FT_PerYear*INT((AK30-FT_Y5)/12)+FT_AnnivDays+INT(MOD(AK30-FT_Y5,12)/FT_Int2))),IF(AG30="PT",IF(AK30&lt;PT_First,0,1+INT((AK30-PT_First)/PT_Int)),0))))</f>
        <v/>
      </c>
      <c r="AN30" s="12" t="str">
        <f aca="false">IF(AC30=0,"",IF(AG30="FT",IF(AH30&lt;FT_First,FT_First,IF(AH30&lt;FT_Y5,MIN(FT_Y5,FT_First+FT_Int1*(INT((AH30-FT_First)/FT_Int1)+1)),FT_Y5+12*INT((AH30-FT_Y5)/12)+FT_Int2*(INT(MOD(AH30-FT_Y5,12)/FT_Int2)+1))),IF(AG30="PT",IF(AH30&lt;PT_First,PT_First,PT_First+PT_Int*(INT((AH30-PT_First)/PT_Int)+1)),"")))</f>
        <v/>
      </c>
      <c r="AO30" s="12" t="str">
        <f aca="false">IF(AC30=0,"",IF(NOT(CFY_Ready),0,COUNTIFS(INDEX(CFY_Data,0,CFY_ColFirst),$A30,INDEX(CFY_Data,0,CFY_ColSur),$B30,INDEX(CFY_Data,0,CFY_ColCat),BonusCat)))</f>
        <v/>
      </c>
    </row>
    <row r="31" customFormat="false" ht="15" hidden="false" customHeight="false" outlineLevel="0" collapsed="false">
      <c r="A31" s="15"/>
      <c r="B31" s="15"/>
      <c r="C31" s="15"/>
      <c r="D31" s="16"/>
      <c r="E31" s="10" t="str">
        <f aca="false">IF(OR(AC31=0,$D31=""),"",DATE(YEAR(AsOfDate)+IF(DATE(YEAR(AsOfDate),MONTH($D31),DAY($D31))&lt;=AsOfDate,1,0),MONTH($D31),DAY($D31)))</f>
        <v/>
      </c>
      <c r="F31" s="16"/>
      <c r="G31" s="16"/>
      <c r="H31" s="16"/>
      <c r="I31" s="16"/>
      <c r="J31" s="10" t="str">
        <f aca="false">IF(AC31=0,"",DATE(YEAR(AsOfDate)+IF(DATE(YEAR(AsOfDate),MONTH($F31),DAY($F31))&lt;=AsOfDate,1,0),MONTH($F31),DAY($F31)))</f>
        <v/>
      </c>
      <c r="K31" s="11" t="str">
        <f aca="false">IF(AC31=0,"",ROUND((AsOfDate-$F31)/365.25,1))</f>
        <v/>
      </c>
      <c r="L31" s="12" t="str">
        <f aca="false">IF(AC31=0,"",IF(AsOfDate&lt;AD31,"-",DATEDIF(AD31,AsOfDate,"y")&amp;"y "&amp;DATEDIF(AD31,AsOfDate,"ym")&amp;"m "&amp;DATEDIF(AD31,AsOfDate,"md")&amp;"d"))</f>
        <v/>
      </c>
      <c r="M31" s="13" t="str">
        <f aca="false">IF(AC31=0,"",N31*HoursPerDay)</f>
        <v/>
      </c>
      <c r="N31" s="13" t="str">
        <f aca="false">IF(AC31=0,"",AL31)</f>
        <v/>
      </c>
      <c r="O31" s="17"/>
      <c r="P31" s="12" t="str">
        <f aca="false">IF(AC31=0,"",IF(AE31="","",IF($G31&lt;$H31,"Part-Time to Full-Time","Full-Time to Part-Time")&amp;" on "&amp;TEXT(AE31,"dd/mm/yyyy")&amp;IF(AE31&gt;AsOfDate," (future)",IF(AF31=AG31,"",IF(AG31="None"," - STOPPED accruing",IF(AF31="None"," - now qualifying"," - pathway changed"))))))</f>
        <v/>
      </c>
      <c r="Q31" s="12" t="str">
        <f aca="false">IF(AC31=0,"",IF(AG31="None",IF(N31&gt;0,"No longer accruing","Not eligible - "&amp;IF(AND($C31="Part-Time",N($O31)&lt;PT_MinHours,$O31&lt;&gt;""),"under "&amp;PT_MinHours&amp;" hrs",$C31)),IF(N31&gt;0,"Yes - accruing","Not yet - from "&amp;TEXT(R31,"dd/mm/yyyy"))))</f>
        <v/>
      </c>
      <c r="R31" s="10" t="str">
        <f aca="false">IF(AC31=0,"",IF(AG31="None","",EDATE(AD31,AN31)))</f>
        <v/>
      </c>
      <c r="S31" s="13" t="str">
        <f aca="false">IF(AC31=0,"",IF(NOT(PFY_Ready),"",SUMIFS(INDEX(PFY_Data,0,PFY_ColBal),INDEX(PFY_Data,0,PFY_ColFirst),$A31,INDEX(PFY_Data,0,PFY_ColSur),$B31,INDEX(PFY_Data,0,PFY_ColCat),BonusCat)))</f>
        <v/>
      </c>
      <c r="T31" s="17"/>
      <c r="U31" s="13" t="str">
        <f aca="false">IF(AC31=0,"",IF(NOT(CFY_Ready),"",SUMIFS(INDEX(CFY_Data,0,CFY_ColBal),INDEX(CFY_Data,0,CFY_ColFirst),$A31,INDEX(CFY_Data,0,CFY_ColSur),$B31,INDEX(CFY_Data,0,CFY_ColCat),BonusCat)))</f>
        <v/>
      </c>
      <c r="V31" s="13" t="str">
        <f aca="false">IF(AC31=0,"",IF(OR(NOT(CFY_Ready),CFY_ColAppr=0),"",SUMIFS(INDEX(CFY_Data,0,CFY_ColAppr),INDEX(CFY_Data,0,CFY_ColFirst),$A31,INDEX(CFY_Data,0,CFY_ColSur),$B31,INDEX(CFY_Data,0,CFY_ColCat),BonusCat)))</f>
        <v/>
      </c>
      <c r="W31" s="13" t="str">
        <f aca="false">IF(OR(AC31=0,S31="",U31=""),"",MAX(0,S31+N($T31)-U31))</f>
        <v/>
      </c>
      <c r="X31" s="13" t="str">
        <f aca="false">IF(AC31=0,"",(AL31-AM31)*HoursPerDay)</f>
        <v/>
      </c>
      <c r="Y31" s="13" t="str">
        <f aca="false">IF(AC31=0,"",X31-N($T31))</f>
        <v/>
      </c>
      <c r="Z31" s="12" t="str">
        <f aca="false">IF(AC31=0,"",IF(Y31&gt;0,"Yes","No"))</f>
        <v/>
      </c>
      <c r="AA31" s="12" t="str">
        <f aca="false">IF(AC31=0,"",IF(NOT(CFY_Ready),"Paste CFY EH export",IF(Y31&gt;0,"ACCRUE "&amp;TEXT(Y31,"0.##")&amp;" hrs ("&amp;TEXT(Y31/HoursPerDay,"0.##")&amp;" days)"&amp;IF(AO31=0," - no Bonus Leave line in EH yet",""),IF(Y31&lt;0,"CHECK - posted "&amp;TEXT(-Y31,"0.##")&amp;" hrs more than policy",IF(AND(N31&gt;0,AO31=0,U31=0),"CHECK - policy says "&amp;TEXT(M31,"0.##")&amp;" hrs to date but nothing in EH",IF(N31&gt;0,"OK","-"))))))</f>
        <v/>
      </c>
      <c r="AB31" s="13" t="str">
        <f aca="false">IF(OR(AC31=0,S31=""),"",AM31*HoursPerDay-S31)</f>
        <v/>
      </c>
      <c r="AC31" s="12" t="n">
        <f aca="false">IF(OR(LEN($A31&amp;$B31)=0,$F31=""),0,1)</f>
        <v>0</v>
      </c>
      <c r="AD31" s="10" t="str">
        <f aca="false">IF(AC31=0,"",IF($I31&lt;&gt;"",$I31,$F31))</f>
        <v/>
      </c>
      <c r="AE31" s="10" t="str">
        <f aca="false">IF(AC31=0,"",IF(AND($G31&lt;&gt;"",$H31&lt;&gt;"",$G31&lt;&gt;$H31),MAX($G31,$H31),""))</f>
        <v/>
      </c>
      <c r="AF31" s="12" t="str">
        <f aca="false">IF(AC31=0,"",IF(AE31="",AG31,IF(IF($G31&lt;$H31,"Part-Time","Full-Time")="Full-Time","FT",IF(AND(IF($G31&lt;$H31,"Part-Time","Full-Time")="Part-Time",OR($O31="",N($O31)&gt;=PT_MinHours)),"PT","None"))))</f>
        <v/>
      </c>
      <c r="AG31" s="12" t="str">
        <f aca="false">IF(AC31=0,"",IF($C31="Full-Time","FT",IF(AND($C31="Part-Time",OR($O31="",N($O31)&gt;=PT_MinHours)),"PT","None")))</f>
        <v/>
      </c>
      <c r="AH31" s="12" t="str">
        <f aca="false">IF(AC31=0,"",IF(AsOfDate&lt;AD31,-1,12*(YEAR(AsOfDate)-YEAR(AD31))+MONTH(AsOfDate)-MONTH(AD31)-IF(DAY(AsOfDate)&lt;MIN(DAY(AD31),DAY(EOMONTH(AsOfDate,0))),1,0)))</f>
        <v/>
      </c>
      <c r="AI31" s="12" t="str">
        <f aca="false">IF(AC31=0,"",IF(OR(AE31="",AE31&gt;AsOfDate),AH31,IF((AE31-1)&lt;AD31,-1,12*(YEAR((AE31-1))-YEAR(AD31))+MONTH((AE31-1))-MONTH(AD31)-IF(DAY((AE31-1))&lt;MIN(DAY(AD31),DAY(EOMONTH((AE31-1),0))),1,0))))</f>
        <v/>
      </c>
      <c r="AJ31" s="12" t="str">
        <f aca="false">IF(AC31=0,"",IF(PFYDate&lt;AD31,-1,12*(YEAR(PFYDate)-YEAR(AD31))+MONTH(PFYDate)-MONTH(AD31)-IF(DAY(PFYDate)&lt;MIN(DAY(AD31),DAY(EOMONTH(PFYDate,0))),1,0)))</f>
        <v/>
      </c>
      <c r="AK31" s="12" t="str">
        <f aca="false">IF(AC31=0,"",IF(OR(AE31="",AE31&gt;PFYDate),AJ31,IF((AE31-1)&lt;AD31,-1,12*(YEAR((AE31-1))-YEAR(AD31))+MONTH((AE31-1))-MONTH(AD31)-IF(DAY((AE31-1))&lt;MIN(DAY(AD31),DAY(EOMONTH((AE31-1),0))),1,0))))</f>
        <v/>
      </c>
      <c r="AL31" s="12" t="str">
        <f aca="false">IF(AC31=0,"",IF(AF31="FT",IF(AI31&lt;FT_First,0,IF(AI31&lt;FT_Y5,1+INT((AI31-FT_First)/FT_Int1),FT_PreY5+FT_PerYear*INT((AI31-FT_Y5)/12)+FT_AnnivDays+INT(MOD(AI31-FT_Y5,12)/FT_Int2))),IF(AF31="PT",IF(AI31&lt;PT_First,0,1+INT((AI31-PT_First)/PT_Int)),0))+IF(OR(AE31="",AE31&gt;AsOfDate),0,IF(AG31="FT",IF(AH31&lt;FT_First,0,IF(AH31&lt;FT_Y5,1+INT((AH31-FT_First)/FT_Int1),FT_PreY5+FT_PerYear*INT((AH31-FT_Y5)/12)+FT_AnnivDays+INT(MOD(AH31-FT_Y5,12)/FT_Int2))),IF(AG31="PT",IF(AH31&lt;PT_First,0,1+INT((AH31-PT_First)/PT_Int)),0))-IF(AG31="FT",IF(AI31&lt;FT_First,0,IF(AI31&lt;FT_Y5,1+INT((AI31-FT_First)/FT_Int1),FT_PreY5+FT_PerYear*INT((AI31-FT_Y5)/12)+FT_AnnivDays+INT(MOD(AI31-FT_Y5,12)/FT_Int2))),IF(AG31="PT",IF(AI31&lt;PT_First,0,1+INT((AI31-PT_First)/PT_Int)),0))))</f>
        <v/>
      </c>
      <c r="AM31" s="12" t="str">
        <f aca="false">IF(AC31=0,"",IF(AF31="FT",IF(AK31&lt;FT_First,0,IF(AK31&lt;FT_Y5,1+INT((AK31-FT_First)/FT_Int1),FT_PreY5+FT_PerYear*INT((AK31-FT_Y5)/12)+FT_AnnivDays+INT(MOD(AK31-FT_Y5,12)/FT_Int2))),IF(AF31="PT",IF(AK31&lt;PT_First,0,1+INT((AK31-PT_First)/PT_Int)),0))+IF(OR(AE31="",AE31&gt;PFYDate),0,IF(AG31="FT",IF(AJ31&lt;FT_First,0,IF(AJ31&lt;FT_Y5,1+INT((AJ31-FT_First)/FT_Int1),FT_PreY5+FT_PerYear*INT((AJ31-FT_Y5)/12)+FT_AnnivDays+INT(MOD(AJ31-FT_Y5,12)/FT_Int2))),IF(AG31="PT",IF(AJ31&lt;PT_First,0,1+INT((AJ31-PT_First)/PT_Int)),0))-IF(AG31="FT",IF(AK31&lt;FT_First,0,IF(AK31&lt;FT_Y5,1+INT((AK31-FT_First)/FT_Int1),FT_PreY5+FT_PerYear*INT((AK31-FT_Y5)/12)+FT_AnnivDays+INT(MOD(AK31-FT_Y5,12)/FT_Int2))),IF(AG31="PT",IF(AK31&lt;PT_First,0,1+INT((AK31-PT_First)/PT_Int)),0))))</f>
        <v/>
      </c>
      <c r="AN31" s="12" t="str">
        <f aca="false">IF(AC31=0,"",IF(AG31="FT",IF(AH31&lt;FT_First,FT_First,IF(AH31&lt;FT_Y5,MIN(FT_Y5,FT_First+FT_Int1*(INT((AH31-FT_First)/FT_Int1)+1)),FT_Y5+12*INT((AH31-FT_Y5)/12)+FT_Int2*(INT(MOD(AH31-FT_Y5,12)/FT_Int2)+1))),IF(AG31="PT",IF(AH31&lt;PT_First,PT_First,PT_First+PT_Int*(INT((AH31-PT_First)/PT_Int)+1)),"")))</f>
        <v/>
      </c>
      <c r="AO31" s="12" t="str">
        <f aca="false">IF(AC31=0,"",IF(NOT(CFY_Ready),0,COUNTIFS(INDEX(CFY_Data,0,CFY_ColFirst),$A31,INDEX(CFY_Data,0,CFY_ColSur),$B31,INDEX(CFY_Data,0,CFY_ColCat),BonusCat)))</f>
        <v/>
      </c>
    </row>
    <row r="32" customFormat="false" ht="15" hidden="false" customHeight="false" outlineLevel="0" collapsed="false">
      <c r="A32" s="15"/>
      <c r="B32" s="15"/>
      <c r="C32" s="15"/>
      <c r="D32" s="16"/>
      <c r="E32" s="10" t="str">
        <f aca="false">IF(OR(AC32=0,$D32=""),"",DATE(YEAR(AsOfDate)+IF(DATE(YEAR(AsOfDate),MONTH($D32),DAY($D32))&lt;=AsOfDate,1,0),MONTH($D32),DAY($D32)))</f>
        <v/>
      </c>
      <c r="F32" s="16"/>
      <c r="G32" s="16"/>
      <c r="H32" s="16"/>
      <c r="I32" s="16"/>
      <c r="J32" s="10" t="str">
        <f aca="false">IF(AC32=0,"",DATE(YEAR(AsOfDate)+IF(DATE(YEAR(AsOfDate),MONTH($F32),DAY($F32))&lt;=AsOfDate,1,0),MONTH($F32),DAY($F32)))</f>
        <v/>
      </c>
      <c r="K32" s="11" t="str">
        <f aca="false">IF(AC32=0,"",ROUND((AsOfDate-$F32)/365.25,1))</f>
        <v/>
      </c>
      <c r="L32" s="12" t="str">
        <f aca="false">IF(AC32=0,"",IF(AsOfDate&lt;AD32,"-",DATEDIF(AD32,AsOfDate,"y")&amp;"y "&amp;DATEDIF(AD32,AsOfDate,"ym")&amp;"m "&amp;DATEDIF(AD32,AsOfDate,"md")&amp;"d"))</f>
        <v/>
      </c>
      <c r="M32" s="13" t="str">
        <f aca="false">IF(AC32=0,"",N32*HoursPerDay)</f>
        <v/>
      </c>
      <c r="N32" s="13" t="str">
        <f aca="false">IF(AC32=0,"",AL32)</f>
        <v/>
      </c>
      <c r="O32" s="17"/>
      <c r="P32" s="12" t="str">
        <f aca="false">IF(AC32=0,"",IF(AE32="","",IF($G32&lt;$H32,"Part-Time to Full-Time","Full-Time to Part-Time")&amp;" on "&amp;TEXT(AE32,"dd/mm/yyyy")&amp;IF(AE32&gt;AsOfDate," (future)",IF(AF32=AG32,"",IF(AG32="None"," - STOPPED accruing",IF(AF32="None"," - now qualifying"," - pathway changed"))))))</f>
        <v/>
      </c>
      <c r="Q32" s="12" t="str">
        <f aca="false">IF(AC32=0,"",IF(AG32="None",IF(N32&gt;0,"No longer accruing","Not eligible - "&amp;IF(AND($C32="Part-Time",N($O32)&lt;PT_MinHours,$O32&lt;&gt;""),"under "&amp;PT_MinHours&amp;" hrs",$C32)),IF(N32&gt;0,"Yes - accruing","Not yet - from "&amp;TEXT(R32,"dd/mm/yyyy"))))</f>
        <v/>
      </c>
      <c r="R32" s="10" t="str">
        <f aca="false">IF(AC32=0,"",IF(AG32="None","",EDATE(AD32,AN32)))</f>
        <v/>
      </c>
      <c r="S32" s="13" t="str">
        <f aca="false">IF(AC32=0,"",IF(NOT(PFY_Ready),"",SUMIFS(INDEX(PFY_Data,0,PFY_ColBal),INDEX(PFY_Data,0,PFY_ColFirst),$A32,INDEX(PFY_Data,0,PFY_ColSur),$B32,INDEX(PFY_Data,0,PFY_ColCat),BonusCat)))</f>
        <v/>
      </c>
      <c r="T32" s="17"/>
      <c r="U32" s="13" t="str">
        <f aca="false">IF(AC32=0,"",IF(NOT(CFY_Ready),"",SUMIFS(INDEX(CFY_Data,0,CFY_ColBal),INDEX(CFY_Data,0,CFY_ColFirst),$A32,INDEX(CFY_Data,0,CFY_ColSur),$B32,INDEX(CFY_Data,0,CFY_ColCat),BonusCat)))</f>
        <v/>
      </c>
      <c r="V32" s="13" t="str">
        <f aca="false">IF(AC32=0,"",IF(OR(NOT(CFY_Ready),CFY_ColAppr=0),"",SUMIFS(INDEX(CFY_Data,0,CFY_ColAppr),INDEX(CFY_Data,0,CFY_ColFirst),$A32,INDEX(CFY_Data,0,CFY_ColSur),$B32,INDEX(CFY_Data,0,CFY_ColCat),BonusCat)))</f>
        <v/>
      </c>
      <c r="W32" s="13" t="str">
        <f aca="false">IF(OR(AC32=0,S32="",U32=""),"",MAX(0,S32+N($T32)-U32))</f>
        <v/>
      </c>
      <c r="X32" s="13" t="str">
        <f aca="false">IF(AC32=0,"",(AL32-AM32)*HoursPerDay)</f>
        <v/>
      </c>
      <c r="Y32" s="13" t="str">
        <f aca="false">IF(AC32=0,"",X32-N($T32))</f>
        <v/>
      </c>
      <c r="Z32" s="12" t="str">
        <f aca="false">IF(AC32=0,"",IF(Y32&gt;0,"Yes","No"))</f>
        <v/>
      </c>
      <c r="AA32" s="12" t="str">
        <f aca="false">IF(AC32=0,"",IF(NOT(CFY_Ready),"Paste CFY EH export",IF(Y32&gt;0,"ACCRUE "&amp;TEXT(Y32,"0.##")&amp;" hrs ("&amp;TEXT(Y32/HoursPerDay,"0.##")&amp;" days)"&amp;IF(AO32=0," - no Bonus Leave line in EH yet",""),IF(Y32&lt;0,"CHECK - posted "&amp;TEXT(-Y32,"0.##")&amp;" hrs more than policy",IF(AND(N32&gt;0,AO32=0,U32=0),"CHECK - policy says "&amp;TEXT(M32,"0.##")&amp;" hrs to date but nothing in EH",IF(N32&gt;0,"OK","-"))))))</f>
        <v/>
      </c>
      <c r="AB32" s="13" t="str">
        <f aca="false">IF(OR(AC32=0,S32=""),"",AM32*HoursPerDay-S32)</f>
        <v/>
      </c>
      <c r="AC32" s="12" t="n">
        <f aca="false">IF(OR(LEN($A32&amp;$B32)=0,$F32=""),0,1)</f>
        <v>0</v>
      </c>
      <c r="AD32" s="10" t="str">
        <f aca="false">IF(AC32=0,"",IF($I32&lt;&gt;"",$I32,$F32))</f>
        <v/>
      </c>
      <c r="AE32" s="10" t="str">
        <f aca="false">IF(AC32=0,"",IF(AND($G32&lt;&gt;"",$H32&lt;&gt;"",$G32&lt;&gt;$H32),MAX($G32,$H32),""))</f>
        <v/>
      </c>
      <c r="AF32" s="12" t="str">
        <f aca="false">IF(AC32=0,"",IF(AE32="",AG32,IF(IF($G32&lt;$H32,"Part-Time","Full-Time")="Full-Time","FT",IF(AND(IF($G32&lt;$H32,"Part-Time","Full-Time")="Part-Time",OR($O32="",N($O32)&gt;=PT_MinHours)),"PT","None"))))</f>
        <v/>
      </c>
      <c r="AG32" s="12" t="str">
        <f aca="false">IF(AC32=0,"",IF($C32="Full-Time","FT",IF(AND($C32="Part-Time",OR($O32="",N($O32)&gt;=PT_MinHours)),"PT","None")))</f>
        <v/>
      </c>
      <c r="AH32" s="12" t="str">
        <f aca="false">IF(AC32=0,"",IF(AsOfDate&lt;AD32,-1,12*(YEAR(AsOfDate)-YEAR(AD32))+MONTH(AsOfDate)-MONTH(AD32)-IF(DAY(AsOfDate)&lt;MIN(DAY(AD32),DAY(EOMONTH(AsOfDate,0))),1,0)))</f>
        <v/>
      </c>
      <c r="AI32" s="12" t="str">
        <f aca="false">IF(AC32=0,"",IF(OR(AE32="",AE32&gt;AsOfDate),AH32,IF((AE32-1)&lt;AD32,-1,12*(YEAR((AE32-1))-YEAR(AD32))+MONTH((AE32-1))-MONTH(AD32)-IF(DAY((AE32-1))&lt;MIN(DAY(AD32),DAY(EOMONTH((AE32-1),0))),1,0))))</f>
        <v/>
      </c>
      <c r="AJ32" s="12" t="str">
        <f aca="false">IF(AC32=0,"",IF(PFYDate&lt;AD32,-1,12*(YEAR(PFYDate)-YEAR(AD32))+MONTH(PFYDate)-MONTH(AD32)-IF(DAY(PFYDate)&lt;MIN(DAY(AD32),DAY(EOMONTH(PFYDate,0))),1,0)))</f>
        <v/>
      </c>
      <c r="AK32" s="12" t="str">
        <f aca="false">IF(AC32=0,"",IF(OR(AE32="",AE32&gt;PFYDate),AJ32,IF((AE32-1)&lt;AD32,-1,12*(YEAR((AE32-1))-YEAR(AD32))+MONTH((AE32-1))-MONTH(AD32)-IF(DAY((AE32-1))&lt;MIN(DAY(AD32),DAY(EOMONTH((AE32-1),0))),1,0))))</f>
        <v/>
      </c>
      <c r="AL32" s="12" t="str">
        <f aca="false">IF(AC32=0,"",IF(AF32="FT",IF(AI32&lt;FT_First,0,IF(AI32&lt;FT_Y5,1+INT((AI32-FT_First)/FT_Int1),FT_PreY5+FT_PerYear*INT((AI32-FT_Y5)/12)+FT_AnnivDays+INT(MOD(AI32-FT_Y5,12)/FT_Int2))),IF(AF32="PT",IF(AI32&lt;PT_First,0,1+INT((AI32-PT_First)/PT_Int)),0))+IF(OR(AE32="",AE32&gt;AsOfDate),0,IF(AG32="FT",IF(AH32&lt;FT_First,0,IF(AH32&lt;FT_Y5,1+INT((AH32-FT_First)/FT_Int1),FT_PreY5+FT_PerYear*INT((AH32-FT_Y5)/12)+FT_AnnivDays+INT(MOD(AH32-FT_Y5,12)/FT_Int2))),IF(AG32="PT",IF(AH32&lt;PT_First,0,1+INT((AH32-PT_First)/PT_Int)),0))-IF(AG32="FT",IF(AI32&lt;FT_First,0,IF(AI32&lt;FT_Y5,1+INT((AI32-FT_First)/FT_Int1),FT_PreY5+FT_PerYear*INT((AI32-FT_Y5)/12)+FT_AnnivDays+INT(MOD(AI32-FT_Y5,12)/FT_Int2))),IF(AG32="PT",IF(AI32&lt;PT_First,0,1+INT((AI32-PT_First)/PT_Int)),0))))</f>
        <v/>
      </c>
      <c r="AM32" s="12" t="str">
        <f aca="false">IF(AC32=0,"",IF(AF32="FT",IF(AK32&lt;FT_First,0,IF(AK32&lt;FT_Y5,1+INT((AK32-FT_First)/FT_Int1),FT_PreY5+FT_PerYear*INT((AK32-FT_Y5)/12)+FT_AnnivDays+INT(MOD(AK32-FT_Y5,12)/FT_Int2))),IF(AF32="PT",IF(AK32&lt;PT_First,0,1+INT((AK32-PT_First)/PT_Int)),0))+IF(OR(AE32="",AE32&gt;PFYDate),0,IF(AG32="FT",IF(AJ32&lt;FT_First,0,IF(AJ32&lt;FT_Y5,1+INT((AJ32-FT_First)/FT_Int1),FT_PreY5+FT_PerYear*INT((AJ32-FT_Y5)/12)+FT_AnnivDays+INT(MOD(AJ32-FT_Y5,12)/FT_Int2))),IF(AG32="PT",IF(AJ32&lt;PT_First,0,1+INT((AJ32-PT_First)/PT_Int)),0))-IF(AG32="FT",IF(AK32&lt;FT_First,0,IF(AK32&lt;FT_Y5,1+INT((AK32-FT_First)/FT_Int1),FT_PreY5+FT_PerYear*INT((AK32-FT_Y5)/12)+FT_AnnivDays+INT(MOD(AK32-FT_Y5,12)/FT_Int2))),IF(AG32="PT",IF(AK32&lt;PT_First,0,1+INT((AK32-PT_First)/PT_Int)),0))))</f>
        <v/>
      </c>
      <c r="AN32" s="12" t="str">
        <f aca="false">IF(AC32=0,"",IF(AG32="FT",IF(AH32&lt;FT_First,FT_First,IF(AH32&lt;FT_Y5,MIN(FT_Y5,FT_First+FT_Int1*(INT((AH32-FT_First)/FT_Int1)+1)),FT_Y5+12*INT((AH32-FT_Y5)/12)+FT_Int2*(INT(MOD(AH32-FT_Y5,12)/FT_Int2)+1))),IF(AG32="PT",IF(AH32&lt;PT_First,PT_First,PT_First+PT_Int*(INT((AH32-PT_First)/PT_Int)+1)),"")))</f>
        <v/>
      </c>
      <c r="AO32" s="12" t="str">
        <f aca="false">IF(AC32=0,"",IF(NOT(CFY_Ready),0,COUNTIFS(INDEX(CFY_Data,0,CFY_ColFirst),$A32,INDEX(CFY_Data,0,CFY_ColSur),$B32,INDEX(CFY_Data,0,CFY_ColCat),BonusCat)))</f>
        <v/>
      </c>
    </row>
    <row r="33" customFormat="false" ht="15" hidden="false" customHeight="false" outlineLevel="0" collapsed="false">
      <c r="A33" s="15"/>
      <c r="B33" s="15"/>
      <c r="C33" s="15"/>
      <c r="D33" s="16"/>
      <c r="E33" s="10" t="str">
        <f aca="false">IF(OR(AC33=0,$D33=""),"",DATE(YEAR(AsOfDate)+IF(DATE(YEAR(AsOfDate),MONTH($D33),DAY($D33))&lt;=AsOfDate,1,0),MONTH($D33),DAY($D33)))</f>
        <v/>
      </c>
      <c r="F33" s="16"/>
      <c r="G33" s="16"/>
      <c r="H33" s="16"/>
      <c r="I33" s="16"/>
      <c r="J33" s="10" t="str">
        <f aca="false">IF(AC33=0,"",DATE(YEAR(AsOfDate)+IF(DATE(YEAR(AsOfDate),MONTH($F33),DAY($F33))&lt;=AsOfDate,1,0),MONTH($F33),DAY($F33)))</f>
        <v/>
      </c>
      <c r="K33" s="11" t="str">
        <f aca="false">IF(AC33=0,"",ROUND((AsOfDate-$F33)/365.25,1))</f>
        <v/>
      </c>
      <c r="L33" s="12" t="str">
        <f aca="false">IF(AC33=0,"",IF(AsOfDate&lt;AD33,"-",DATEDIF(AD33,AsOfDate,"y")&amp;"y "&amp;DATEDIF(AD33,AsOfDate,"ym")&amp;"m "&amp;DATEDIF(AD33,AsOfDate,"md")&amp;"d"))</f>
        <v/>
      </c>
      <c r="M33" s="13" t="str">
        <f aca="false">IF(AC33=0,"",N33*HoursPerDay)</f>
        <v/>
      </c>
      <c r="N33" s="13" t="str">
        <f aca="false">IF(AC33=0,"",AL33)</f>
        <v/>
      </c>
      <c r="O33" s="17"/>
      <c r="P33" s="12" t="str">
        <f aca="false">IF(AC33=0,"",IF(AE33="","",IF($G33&lt;$H33,"Part-Time to Full-Time","Full-Time to Part-Time")&amp;" on "&amp;TEXT(AE33,"dd/mm/yyyy")&amp;IF(AE33&gt;AsOfDate," (future)",IF(AF33=AG33,"",IF(AG33="None"," - STOPPED accruing",IF(AF33="None"," - now qualifying"," - pathway changed"))))))</f>
        <v/>
      </c>
      <c r="Q33" s="12" t="str">
        <f aca="false">IF(AC33=0,"",IF(AG33="None",IF(N33&gt;0,"No longer accruing","Not eligible - "&amp;IF(AND($C33="Part-Time",N($O33)&lt;PT_MinHours,$O33&lt;&gt;""),"under "&amp;PT_MinHours&amp;" hrs",$C33)),IF(N33&gt;0,"Yes - accruing","Not yet - from "&amp;TEXT(R33,"dd/mm/yyyy"))))</f>
        <v/>
      </c>
      <c r="R33" s="10" t="str">
        <f aca="false">IF(AC33=0,"",IF(AG33="None","",EDATE(AD33,AN33)))</f>
        <v/>
      </c>
      <c r="S33" s="13" t="str">
        <f aca="false">IF(AC33=0,"",IF(NOT(PFY_Ready),"",SUMIFS(INDEX(PFY_Data,0,PFY_ColBal),INDEX(PFY_Data,0,PFY_ColFirst),$A33,INDEX(PFY_Data,0,PFY_ColSur),$B33,INDEX(PFY_Data,0,PFY_ColCat),BonusCat)))</f>
        <v/>
      </c>
      <c r="T33" s="17"/>
      <c r="U33" s="13" t="str">
        <f aca="false">IF(AC33=0,"",IF(NOT(CFY_Ready),"",SUMIFS(INDEX(CFY_Data,0,CFY_ColBal),INDEX(CFY_Data,0,CFY_ColFirst),$A33,INDEX(CFY_Data,0,CFY_ColSur),$B33,INDEX(CFY_Data,0,CFY_ColCat),BonusCat)))</f>
        <v/>
      </c>
      <c r="V33" s="13" t="str">
        <f aca="false">IF(AC33=0,"",IF(OR(NOT(CFY_Ready),CFY_ColAppr=0),"",SUMIFS(INDEX(CFY_Data,0,CFY_ColAppr),INDEX(CFY_Data,0,CFY_ColFirst),$A33,INDEX(CFY_Data,0,CFY_ColSur),$B33,INDEX(CFY_Data,0,CFY_ColCat),BonusCat)))</f>
        <v/>
      </c>
      <c r="W33" s="13" t="str">
        <f aca="false">IF(OR(AC33=0,S33="",U33=""),"",MAX(0,S33+N($T33)-U33))</f>
        <v/>
      </c>
      <c r="X33" s="13" t="str">
        <f aca="false">IF(AC33=0,"",(AL33-AM33)*HoursPerDay)</f>
        <v/>
      </c>
      <c r="Y33" s="13" t="str">
        <f aca="false">IF(AC33=0,"",X33-N($T33))</f>
        <v/>
      </c>
      <c r="Z33" s="12" t="str">
        <f aca="false">IF(AC33=0,"",IF(Y33&gt;0,"Yes","No"))</f>
        <v/>
      </c>
      <c r="AA33" s="12" t="str">
        <f aca="false">IF(AC33=0,"",IF(NOT(CFY_Ready),"Paste CFY EH export",IF(Y33&gt;0,"ACCRUE "&amp;TEXT(Y33,"0.##")&amp;" hrs ("&amp;TEXT(Y33/HoursPerDay,"0.##")&amp;" days)"&amp;IF(AO33=0," - no Bonus Leave line in EH yet",""),IF(Y33&lt;0,"CHECK - posted "&amp;TEXT(-Y33,"0.##")&amp;" hrs more than policy",IF(AND(N33&gt;0,AO33=0,U33=0),"CHECK - policy says "&amp;TEXT(M33,"0.##")&amp;" hrs to date but nothing in EH",IF(N33&gt;0,"OK","-"))))))</f>
        <v/>
      </c>
      <c r="AB33" s="13" t="str">
        <f aca="false">IF(OR(AC33=0,S33=""),"",AM33*HoursPerDay-S33)</f>
        <v/>
      </c>
      <c r="AC33" s="12" t="n">
        <f aca="false">IF(OR(LEN($A33&amp;$B33)=0,$F33=""),0,1)</f>
        <v>0</v>
      </c>
      <c r="AD33" s="10" t="str">
        <f aca="false">IF(AC33=0,"",IF($I33&lt;&gt;"",$I33,$F33))</f>
        <v/>
      </c>
      <c r="AE33" s="10" t="str">
        <f aca="false">IF(AC33=0,"",IF(AND($G33&lt;&gt;"",$H33&lt;&gt;"",$G33&lt;&gt;$H33),MAX($G33,$H33),""))</f>
        <v/>
      </c>
      <c r="AF33" s="12" t="str">
        <f aca="false">IF(AC33=0,"",IF(AE33="",AG33,IF(IF($G33&lt;$H33,"Part-Time","Full-Time")="Full-Time","FT",IF(AND(IF($G33&lt;$H33,"Part-Time","Full-Time")="Part-Time",OR($O33="",N($O33)&gt;=PT_MinHours)),"PT","None"))))</f>
        <v/>
      </c>
      <c r="AG33" s="12" t="str">
        <f aca="false">IF(AC33=0,"",IF($C33="Full-Time","FT",IF(AND($C33="Part-Time",OR($O33="",N($O33)&gt;=PT_MinHours)),"PT","None")))</f>
        <v/>
      </c>
      <c r="AH33" s="12" t="str">
        <f aca="false">IF(AC33=0,"",IF(AsOfDate&lt;AD33,-1,12*(YEAR(AsOfDate)-YEAR(AD33))+MONTH(AsOfDate)-MONTH(AD33)-IF(DAY(AsOfDate)&lt;MIN(DAY(AD33),DAY(EOMONTH(AsOfDate,0))),1,0)))</f>
        <v/>
      </c>
      <c r="AI33" s="12" t="str">
        <f aca="false">IF(AC33=0,"",IF(OR(AE33="",AE33&gt;AsOfDate),AH33,IF((AE33-1)&lt;AD33,-1,12*(YEAR((AE33-1))-YEAR(AD33))+MONTH((AE33-1))-MONTH(AD33)-IF(DAY((AE33-1))&lt;MIN(DAY(AD33),DAY(EOMONTH((AE33-1),0))),1,0))))</f>
        <v/>
      </c>
      <c r="AJ33" s="12" t="str">
        <f aca="false">IF(AC33=0,"",IF(PFYDate&lt;AD33,-1,12*(YEAR(PFYDate)-YEAR(AD33))+MONTH(PFYDate)-MONTH(AD33)-IF(DAY(PFYDate)&lt;MIN(DAY(AD33),DAY(EOMONTH(PFYDate,0))),1,0)))</f>
        <v/>
      </c>
      <c r="AK33" s="12" t="str">
        <f aca="false">IF(AC33=0,"",IF(OR(AE33="",AE33&gt;PFYDate),AJ33,IF((AE33-1)&lt;AD33,-1,12*(YEAR((AE33-1))-YEAR(AD33))+MONTH((AE33-1))-MONTH(AD33)-IF(DAY((AE33-1))&lt;MIN(DAY(AD33),DAY(EOMONTH((AE33-1),0))),1,0))))</f>
        <v/>
      </c>
      <c r="AL33" s="12" t="str">
        <f aca="false">IF(AC33=0,"",IF(AF33="FT",IF(AI33&lt;FT_First,0,IF(AI33&lt;FT_Y5,1+INT((AI33-FT_First)/FT_Int1),FT_PreY5+FT_PerYear*INT((AI33-FT_Y5)/12)+FT_AnnivDays+INT(MOD(AI33-FT_Y5,12)/FT_Int2))),IF(AF33="PT",IF(AI33&lt;PT_First,0,1+INT((AI33-PT_First)/PT_Int)),0))+IF(OR(AE33="",AE33&gt;AsOfDate),0,IF(AG33="FT",IF(AH33&lt;FT_First,0,IF(AH33&lt;FT_Y5,1+INT((AH33-FT_First)/FT_Int1),FT_PreY5+FT_PerYear*INT((AH33-FT_Y5)/12)+FT_AnnivDays+INT(MOD(AH33-FT_Y5,12)/FT_Int2))),IF(AG33="PT",IF(AH33&lt;PT_First,0,1+INT((AH33-PT_First)/PT_Int)),0))-IF(AG33="FT",IF(AI33&lt;FT_First,0,IF(AI33&lt;FT_Y5,1+INT((AI33-FT_First)/FT_Int1),FT_PreY5+FT_PerYear*INT((AI33-FT_Y5)/12)+FT_AnnivDays+INT(MOD(AI33-FT_Y5,12)/FT_Int2))),IF(AG33="PT",IF(AI33&lt;PT_First,0,1+INT((AI33-PT_First)/PT_Int)),0))))</f>
        <v/>
      </c>
      <c r="AM33" s="12" t="str">
        <f aca="false">IF(AC33=0,"",IF(AF33="FT",IF(AK33&lt;FT_First,0,IF(AK33&lt;FT_Y5,1+INT((AK33-FT_First)/FT_Int1),FT_PreY5+FT_PerYear*INT((AK33-FT_Y5)/12)+FT_AnnivDays+INT(MOD(AK33-FT_Y5,12)/FT_Int2))),IF(AF33="PT",IF(AK33&lt;PT_First,0,1+INT((AK33-PT_First)/PT_Int)),0))+IF(OR(AE33="",AE33&gt;PFYDate),0,IF(AG33="FT",IF(AJ33&lt;FT_First,0,IF(AJ33&lt;FT_Y5,1+INT((AJ33-FT_First)/FT_Int1),FT_PreY5+FT_PerYear*INT((AJ33-FT_Y5)/12)+FT_AnnivDays+INT(MOD(AJ33-FT_Y5,12)/FT_Int2))),IF(AG33="PT",IF(AJ33&lt;PT_First,0,1+INT((AJ33-PT_First)/PT_Int)),0))-IF(AG33="FT",IF(AK33&lt;FT_First,0,IF(AK33&lt;FT_Y5,1+INT((AK33-FT_First)/FT_Int1),FT_PreY5+FT_PerYear*INT((AK33-FT_Y5)/12)+FT_AnnivDays+INT(MOD(AK33-FT_Y5,12)/FT_Int2))),IF(AG33="PT",IF(AK33&lt;PT_First,0,1+INT((AK33-PT_First)/PT_Int)),0))))</f>
        <v/>
      </c>
      <c r="AN33" s="12" t="str">
        <f aca="false">IF(AC33=0,"",IF(AG33="FT",IF(AH33&lt;FT_First,FT_First,IF(AH33&lt;FT_Y5,MIN(FT_Y5,FT_First+FT_Int1*(INT((AH33-FT_First)/FT_Int1)+1)),FT_Y5+12*INT((AH33-FT_Y5)/12)+FT_Int2*(INT(MOD(AH33-FT_Y5,12)/FT_Int2)+1))),IF(AG33="PT",IF(AH33&lt;PT_First,PT_First,PT_First+PT_Int*(INT((AH33-PT_First)/PT_Int)+1)),"")))</f>
        <v/>
      </c>
      <c r="AO33" s="12" t="str">
        <f aca="false">IF(AC33=0,"",IF(NOT(CFY_Ready),0,COUNTIFS(INDEX(CFY_Data,0,CFY_ColFirst),$A33,INDEX(CFY_Data,0,CFY_ColSur),$B33,INDEX(CFY_Data,0,CFY_ColCat),BonusCat)))</f>
        <v/>
      </c>
    </row>
    <row r="34" customFormat="false" ht="15" hidden="false" customHeight="false" outlineLevel="0" collapsed="false">
      <c r="A34" s="15"/>
      <c r="B34" s="15"/>
      <c r="C34" s="15"/>
      <c r="D34" s="16"/>
      <c r="E34" s="10" t="str">
        <f aca="false">IF(OR(AC34=0,$D34=""),"",DATE(YEAR(AsOfDate)+IF(DATE(YEAR(AsOfDate),MONTH($D34),DAY($D34))&lt;=AsOfDate,1,0),MONTH($D34),DAY($D34)))</f>
        <v/>
      </c>
      <c r="F34" s="16"/>
      <c r="G34" s="16"/>
      <c r="H34" s="16"/>
      <c r="I34" s="16"/>
      <c r="J34" s="10" t="str">
        <f aca="false">IF(AC34=0,"",DATE(YEAR(AsOfDate)+IF(DATE(YEAR(AsOfDate),MONTH($F34),DAY($F34))&lt;=AsOfDate,1,0),MONTH($F34),DAY($F34)))</f>
        <v/>
      </c>
      <c r="K34" s="11" t="str">
        <f aca="false">IF(AC34=0,"",ROUND((AsOfDate-$F34)/365.25,1))</f>
        <v/>
      </c>
      <c r="L34" s="12" t="str">
        <f aca="false">IF(AC34=0,"",IF(AsOfDate&lt;AD34,"-",DATEDIF(AD34,AsOfDate,"y")&amp;"y "&amp;DATEDIF(AD34,AsOfDate,"ym")&amp;"m "&amp;DATEDIF(AD34,AsOfDate,"md")&amp;"d"))</f>
        <v/>
      </c>
      <c r="M34" s="13" t="str">
        <f aca="false">IF(AC34=0,"",N34*HoursPerDay)</f>
        <v/>
      </c>
      <c r="N34" s="13" t="str">
        <f aca="false">IF(AC34=0,"",AL34)</f>
        <v/>
      </c>
      <c r="O34" s="17"/>
      <c r="P34" s="12" t="str">
        <f aca="false">IF(AC34=0,"",IF(AE34="","",IF($G34&lt;$H34,"Part-Time to Full-Time","Full-Time to Part-Time")&amp;" on "&amp;TEXT(AE34,"dd/mm/yyyy")&amp;IF(AE34&gt;AsOfDate," (future)",IF(AF34=AG34,"",IF(AG34="None"," - STOPPED accruing",IF(AF34="None"," - now qualifying"," - pathway changed"))))))</f>
        <v/>
      </c>
      <c r="Q34" s="12" t="str">
        <f aca="false">IF(AC34=0,"",IF(AG34="None",IF(N34&gt;0,"No longer accruing","Not eligible - "&amp;IF(AND($C34="Part-Time",N($O34)&lt;PT_MinHours,$O34&lt;&gt;""),"under "&amp;PT_MinHours&amp;" hrs",$C34)),IF(N34&gt;0,"Yes - accruing","Not yet - from "&amp;TEXT(R34,"dd/mm/yyyy"))))</f>
        <v/>
      </c>
      <c r="R34" s="10" t="str">
        <f aca="false">IF(AC34=0,"",IF(AG34="None","",EDATE(AD34,AN34)))</f>
        <v/>
      </c>
      <c r="S34" s="13" t="str">
        <f aca="false">IF(AC34=0,"",IF(NOT(PFY_Ready),"",SUMIFS(INDEX(PFY_Data,0,PFY_ColBal),INDEX(PFY_Data,0,PFY_ColFirst),$A34,INDEX(PFY_Data,0,PFY_ColSur),$B34,INDEX(PFY_Data,0,PFY_ColCat),BonusCat)))</f>
        <v/>
      </c>
      <c r="T34" s="17"/>
      <c r="U34" s="13" t="str">
        <f aca="false">IF(AC34=0,"",IF(NOT(CFY_Ready),"",SUMIFS(INDEX(CFY_Data,0,CFY_ColBal),INDEX(CFY_Data,0,CFY_ColFirst),$A34,INDEX(CFY_Data,0,CFY_ColSur),$B34,INDEX(CFY_Data,0,CFY_ColCat),BonusCat)))</f>
        <v/>
      </c>
      <c r="V34" s="13" t="str">
        <f aca="false">IF(AC34=0,"",IF(OR(NOT(CFY_Ready),CFY_ColAppr=0),"",SUMIFS(INDEX(CFY_Data,0,CFY_ColAppr),INDEX(CFY_Data,0,CFY_ColFirst),$A34,INDEX(CFY_Data,0,CFY_ColSur),$B34,INDEX(CFY_Data,0,CFY_ColCat),BonusCat)))</f>
        <v/>
      </c>
      <c r="W34" s="13" t="str">
        <f aca="false">IF(OR(AC34=0,S34="",U34=""),"",MAX(0,S34+N($T34)-U34))</f>
        <v/>
      </c>
      <c r="X34" s="13" t="str">
        <f aca="false">IF(AC34=0,"",(AL34-AM34)*HoursPerDay)</f>
        <v/>
      </c>
      <c r="Y34" s="13" t="str">
        <f aca="false">IF(AC34=0,"",X34-N($T34))</f>
        <v/>
      </c>
      <c r="Z34" s="12" t="str">
        <f aca="false">IF(AC34=0,"",IF(Y34&gt;0,"Yes","No"))</f>
        <v/>
      </c>
      <c r="AA34" s="12" t="str">
        <f aca="false">IF(AC34=0,"",IF(NOT(CFY_Ready),"Paste CFY EH export",IF(Y34&gt;0,"ACCRUE "&amp;TEXT(Y34,"0.##")&amp;" hrs ("&amp;TEXT(Y34/HoursPerDay,"0.##")&amp;" days)"&amp;IF(AO34=0," - no Bonus Leave line in EH yet",""),IF(Y34&lt;0,"CHECK - posted "&amp;TEXT(-Y34,"0.##")&amp;" hrs more than policy",IF(AND(N34&gt;0,AO34=0,U34=0),"CHECK - policy says "&amp;TEXT(M34,"0.##")&amp;" hrs to date but nothing in EH",IF(N34&gt;0,"OK","-"))))))</f>
        <v/>
      </c>
      <c r="AB34" s="13" t="str">
        <f aca="false">IF(OR(AC34=0,S34=""),"",AM34*HoursPerDay-S34)</f>
        <v/>
      </c>
      <c r="AC34" s="12" t="n">
        <f aca="false">IF(OR(LEN($A34&amp;$B34)=0,$F34=""),0,1)</f>
        <v>0</v>
      </c>
      <c r="AD34" s="10" t="str">
        <f aca="false">IF(AC34=0,"",IF($I34&lt;&gt;"",$I34,$F34))</f>
        <v/>
      </c>
      <c r="AE34" s="10" t="str">
        <f aca="false">IF(AC34=0,"",IF(AND($G34&lt;&gt;"",$H34&lt;&gt;"",$G34&lt;&gt;$H34),MAX($G34,$H34),""))</f>
        <v/>
      </c>
      <c r="AF34" s="12" t="str">
        <f aca="false">IF(AC34=0,"",IF(AE34="",AG34,IF(IF($G34&lt;$H34,"Part-Time","Full-Time")="Full-Time","FT",IF(AND(IF($G34&lt;$H34,"Part-Time","Full-Time")="Part-Time",OR($O34="",N($O34)&gt;=PT_MinHours)),"PT","None"))))</f>
        <v/>
      </c>
      <c r="AG34" s="12" t="str">
        <f aca="false">IF(AC34=0,"",IF($C34="Full-Time","FT",IF(AND($C34="Part-Time",OR($O34="",N($O34)&gt;=PT_MinHours)),"PT","None")))</f>
        <v/>
      </c>
      <c r="AH34" s="12" t="str">
        <f aca="false">IF(AC34=0,"",IF(AsOfDate&lt;AD34,-1,12*(YEAR(AsOfDate)-YEAR(AD34))+MONTH(AsOfDate)-MONTH(AD34)-IF(DAY(AsOfDate)&lt;MIN(DAY(AD34),DAY(EOMONTH(AsOfDate,0))),1,0)))</f>
        <v/>
      </c>
      <c r="AI34" s="12" t="str">
        <f aca="false">IF(AC34=0,"",IF(OR(AE34="",AE34&gt;AsOfDate),AH34,IF((AE34-1)&lt;AD34,-1,12*(YEAR((AE34-1))-YEAR(AD34))+MONTH((AE34-1))-MONTH(AD34)-IF(DAY((AE34-1))&lt;MIN(DAY(AD34),DAY(EOMONTH((AE34-1),0))),1,0))))</f>
        <v/>
      </c>
      <c r="AJ34" s="12" t="str">
        <f aca="false">IF(AC34=0,"",IF(PFYDate&lt;AD34,-1,12*(YEAR(PFYDate)-YEAR(AD34))+MONTH(PFYDate)-MONTH(AD34)-IF(DAY(PFYDate)&lt;MIN(DAY(AD34),DAY(EOMONTH(PFYDate,0))),1,0)))</f>
        <v/>
      </c>
      <c r="AK34" s="12" t="str">
        <f aca="false">IF(AC34=0,"",IF(OR(AE34="",AE34&gt;PFYDate),AJ34,IF((AE34-1)&lt;AD34,-1,12*(YEAR((AE34-1))-YEAR(AD34))+MONTH((AE34-1))-MONTH(AD34)-IF(DAY((AE34-1))&lt;MIN(DAY(AD34),DAY(EOMONTH((AE34-1),0))),1,0))))</f>
        <v/>
      </c>
      <c r="AL34" s="12" t="str">
        <f aca="false">IF(AC34=0,"",IF(AF34="FT",IF(AI34&lt;FT_First,0,IF(AI34&lt;FT_Y5,1+INT((AI34-FT_First)/FT_Int1),FT_PreY5+FT_PerYear*INT((AI34-FT_Y5)/12)+FT_AnnivDays+INT(MOD(AI34-FT_Y5,12)/FT_Int2))),IF(AF34="PT",IF(AI34&lt;PT_First,0,1+INT((AI34-PT_First)/PT_Int)),0))+IF(OR(AE34="",AE34&gt;AsOfDate),0,IF(AG34="FT",IF(AH34&lt;FT_First,0,IF(AH34&lt;FT_Y5,1+INT((AH34-FT_First)/FT_Int1),FT_PreY5+FT_PerYear*INT((AH34-FT_Y5)/12)+FT_AnnivDays+INT(MOD(AH34-FT_Y5,12)/FT_Int2))),IF(AG34="PT",IF(AH34&lt;PT_First,0,1+INT((AH34-PT_First)/PT_Int)),0))-IF(AG34="FT",IF(AI34&lt;FT_First,0,IF(AI34&lt;FT_Y5,1+INT((AI34-FT_First)/FT_Int1),FT_PreY5+FT_PerYear*INT((AI34-FT_Y5)/12)+FT_AnnivDays+INT(MOD(AI34-FT_Y5,12)/FT_Int2))),IF(AG34="PT",IF(AI34&lt;PT_First,0,1+INT((AI34-PT_First)/PT_Int)),0))))</f>
        <v/>
      </c>
      <c r="AM34" s="12" t="str">
        <f aca="false">IF(AC34=0,"",IF(AF34="FT",IF(AK34&lt;FT_First,0,IF(AK34&lt;FT_Y5,1+INT((AK34-FT_First)/FT_Int1),FT_PreY5+FT_PerYear*INT((AK34-FT_Y5)/12)+FT_AnnivDays+INT(MOD(AK34-FT_Y5,12)/FT_Int2))),IF(AF34="PT",IF(AK34&lt;PT_First,0,1+INT((AK34-PT_First)/PT_Int)),0))+IF(OR(AE34="",AE34&gt;PFYDate),0,IF(AG34="FT",IF(AJ34&lt;FT_First,0,IF(AJ34&lt;FT_Y5,1+INT((AJ34-FT_First)/FT_Int1),FT_PreY5+FT_PerYear*INT((AJ34-FT_Y5)/12)+FT_AnnivDays+INT(MOD(AJ34-FT_Y5,12)/FT_Int2))),IF(AG34="PT",IF(AJ34&lt;PT_First,0,1+INT((AJ34-PT_First)/PT_Int)),0))-IF(AG34="FT",IF(AK34&lt;FT_First,0,IF(AK34&lt;FT_Y5,1+INT((AK34-FT_First)/FT_Int1),FT_PreY5+FT_PerYear*INT((AK34-FT_Y5)/12)+FT_AnnivDays+INT(MOD(AK34-FT_Y5,12)/FT_Int2))),IF(AG34="PT",IF(AK34&lt;PT_First,0,1+INT((AK34-PT_First)/PT_Int)),0))))</f>
        <v/>
      </c>
      <c r="AN34" s="12" t="str">
        <f aca="false">IF(AC34=0,"",IF(AG34="FT",IF(AH34&lt;FT_First,FT_First,IF(AH34&lt;FT_Y5,MIN(FT_Y5,FT_First+FT_Int1*(INT((AH34-FT_First)/FT_Int1)+1)),FT_Y5+12*INT((AH34-FT_Y5)/12)+FT_Int2*(INT(MOD(AH34-FT_Y5,12)/FT_Int2)+1))),IF(AG34="PT",IF(AH34&lt;PT_First,PT_First,PT_First+PT_Int*(INT((AH34-PT_First)/PT_Int)+1)),"")))</f>
        <v/>
      </c>
      <c r="AO34" s="12" t="str">
        <f aca="false">IF(AC34=0,"",IF(NOT(CFY_Ready),0,COUNTIFS(INDEX(CFY_Data,0,CFY_ColFirst),$A34,INDEX(CFY_Data,0,CFY_ColSur),$B34,INDEX(CFY_Data,0,CFY_ColCat),BonusCat)))</f>
        <v/>
      </c>
    </row>
    <row r="35" customFormat="false" ht="15" hidden="false" customHeight="false" outlineLevel="0" collapsed="false">
      <c r="A35" s="15"/>
      <c r="B35" s="15"/>
      <c r="C35" s="15"/>
      <c r="D35" s="16"/>
      <c r="E35" s="10" t="str">
        <f aca="false">IF(OR(AC35=0,$D35=""),"",DATE(YEAR(AsOfDate)+IF(DATE(YEAR(AsOfDate),MONTH($D35),DAY($D35))&lt;=AsOfDate,1,0),MONTH($D35),DAY($D35)))</f>
        <v/>
      </c>
      <c r="F35" s="16"/>
      <c r="G35" s="16"/>
      <c r="H35" s="16"/>
      <c r="I35" s="16"/>
      <c r="J35" s="10" t="str">
        <f aca="false">IF(AC35=0,"",DATE(YEAR(AsOfDate)+IF(DATE(YEAR(AsOfDate),MONTH($F35),DAY($F35))&lt;=AsOfDate,1,0),MONTH($F35),DAY($F35)))</f>
        <v/>
      </c>
      <c r="K35" s="11" t="str">
        <f aca="false">IF(AC35=0,"",ROUND((AsOfDate-$F35)/365.25,1))</f>
        <v/>
      </c>
      <c r="L35" s="12" t="str">
        <f aca="false">IF(AC35=0,"",IF(AsOfDate&lt;AD35,"-",DATEDIF(AD35,AsOfDate,"y")&amp;"y "&amp;DATEDIF(AD35,AsOfDate,"ym")&amp;"m "&amp;DATEDIF(AD35,AsOfDate,"md")&amp;"d"))</f>
        <v/>
      </c>
      <c r="M35" s="13" t="str">
        <f aca="false">IF(AC35=0,"",N35*HoursPerDay)</f>
        <v/>
      </c>
      <c r="N35" s="13" t="str">
        <f aca="false">IF(AC35=0,"",AL35)</f>
        <v/>
      </c>
      <c r="O35" s="17"/>
      <c r="P35" s="12" t="str">
        <f aca="false">IF(AC35=0,"",IF(AE35="","",IF($G35&lt;$H35,"Part-Time to Full-Time","Full-Time to Part-Time")&amp;" on "&amp;TEXT(AE35,"dd/mm/yyyy")&amp;IF(AE35&gt;AsOfDate," (future)",IF(AF35=AG35,"",IF(AG35="None"," - STOPPED accruing",IF(AF35="None"," - now qualifying"," - pathway changed"))))))</f>
        <v/>
      </c>
      <c r="Q35" s="12" t="str">
        <f aca="false">IF(AC35=0,"",IF(AG35="None",IF(N35&gt;0,"No longer accruing","Not eligible - "&amp;IF(AND($C35="Part-Time",N($O35)&lt;PT_MinHours,$O35&lt;&gt;""),"under "&amp;PT_MinHours&amp;" hrs",$C35)),IF(N35&gt;0,"Yes - accruing","Not yet - from "&amp;TEXT(R35,"dd/mm/yyyy"))))</f>
        <v/>
      </c>
      <c r="R35" s="10" t="str">
        <f aca="false">IF(AC35=0,"",IF(AG35="None","",EDATE(AD35,AN35)))</f>
        <v/>
      </c>
      <c r="S35" s="13" t="str">
        <f aca="false">IF(AC35=0,"",IF(NOT(PFY_Ready),"",SUMIFS(INDEX(PFY_Data,0,PFY_ColBal),INDEX(PFY_Data,0,PFY_ColFirst),$A35,INDEX(PFY_Data,0,PFY_ColSur),$B35,INDEX(PFY_Data,0,PFY_ColCat),BonusCat)))</f>
        <v/>
      </c>
      <c r="T35" s="17"/>
      <c r="U35" s="13" t="str">
        <f aca="false">IF(AC35=0,"",IF(NOT(CFY_Ready),"",SUMIFS(INDEX(CFY_Data,0,CFY_ColBal),INDEX(CFY_Data,0,CFY_ColFirst),$A35,INDEX(CFY_Data,0,CFY_ColSur),$B35,INDEX(CFY_Data,0,CFY_ColCat),BonusCat)))</f>
        <v/>
      </c>
      <c r="V35" s="13" t="str">
        <f aca="false">IF(AC35=0,"",IF(OR(NOT(CFY_Ready),CFY_ColAppr=0),"",SUMIFS(INDEX(CFY_Data,0,CFY_ColAppr),INDEX(CFY_Data,0,CFY_ColFirst),$A35,INDEX(CFY_Data,0,CFY_ColSur),$B35,INDEX(CFY_Data,0,CFY_ColCat),BonusCat)))</f>
        <v/>
      </c>
      <c r="W35" s="13" t="str">
        <f aca="false">IF(OR(AC35=0,S35="",U35=""),"",MAX(0,S35+N($T35)-U35))</f>
        <v/>
      </c>
      <c r="X35" s="13" t="str">
        <f aca="false">IF(AC35=0,"",(AL35-AM35)*HoursPerDay)</f>
        <v/>
      </c>
      <c r="Y35" s="13" t="str">
        <f aca="false">IF(AC35=0,"",X35-N($T35))</f>
        <v/>
      </c>
      <c r="Z35" s="12" t="str">
        <f aca="false">IF(AC35=0,"",IF(Y35&gt;0,"Yes","No"))</f>
        <v/>
      </c>
      <c r="AA35" s="12" t="str">
        <f aca="false">IF(AC35=0,"",IF(NOT(CFY_Ready),"Paste CFY EH export",IF(Y35&gt;0,"ACCRUE "&amp;TEXT(Y35,"0.##")&amp;" hrs ("&amp;TEXT(Y35/HoursPerDay,"0.##")&amp;" days)"&amp;IF(AO35=0," - no Bonus Leave line in EH yet",""),IF(Y35&lt;0,"CHECK - posted "&amp;TEXT(-Y35,"0.##")&amp;" hrs more than policy",IF(AND(N35&gt;0,AO35=0,U35=0),"CHECK - policy says "&amp;TEXT(M35,"0.##")&amp;" hrs to date but nothing in EH",IF(N35&gt;0,"OK","-"))))))</f>
        <v/>
      </c>
      <c r="AB35" s="13" t="str">
        <f aca="false">IF(OR(AC35=0,S35=""),"",AM35*HoursPerDay-S35)</f>
        <v/>
      </c>
      <c r="AC35" s="12" t="n">
        <f aca="false">IF(OR(LEN($A35&amp;$B35)=0,$F35=""),0,1)</f>
        <v>0</v>
      </c>
      <c r="AD35" s="10" t="str">
        <f aca="false">IF(AC35=0,"",IF($I35&lt;&gt;"",$I35,$F35))</f>
        <v/>
      </c>
      <c r="AE35" s="10" t="str">
        <f aca="false">IF(AC35=0,"",IF(AND($G35&lt;&gt;"",$H35&lt;&gt;"",$G35&lt;&gt;$H35),MAX($G35,$H35),""))</f>
        <v/>
      </c>
      <c r="AF35" s="12" t="str">
        <f aca="false">IF(AC35=0,"",IF(AE35="",AG35,IF(IF($G35&lt;$H35,"Part-Time","Full-Time")="Full-Time","FT",IF(AND(IF($G35&lt;$H35,"Part-Time","Full-Time")="Part-Time",OR($O35="",N($O35)&gt;=PT_MinHours)),"PT","None"))))</f>
        <v/>
      </c>
      <c r="AG35" s="12" t="str">
        <f aca="false">IF(AC35=0,"",IF($C35="Full-Time","FT",IF(AND($C35="Part-Time",OR($O35="",N($O35)&gt;=PT_MinHours)),"PT","None")))</f>
        <v/>
      </c>
      <c r="AH35" s="12" t="str">
        <f aca="false">IF(AC35=0,"",IF(AsOfDate&lt;AD35,-1,12*(YEAR(AsOfDate)-YEAR(AD35))+MONTH(AsOfDate)-MONTH(AD35)-IF(DAY(AsOfDate)&lt;MIN(DAY(AD35),DAY(EOMONTH(AsOfDate,0))),1,0)))</f>
        <v/>
      </c>
      <c r="AI35" s="12" t="str">
        <f aca="false">IF(AC35=0,"",IF(OR(AE35="",AE35&gt;AsOfDate),AH35,IF((AE35-1)&lt;AD35,-1,12*(YEAR((AE35-1))-YEAR(AD35))+MONTH((AE35-1))-MONTH(AD35)-IF(DAY((AE35-1))&lt;MIN(DAY(AD35),DAY(EOMONTH((AE35-1),0))),1,0))))</f>
        <v/>
      </c>
      <c r="AJ35" s="12" t="str">
        <f aca="false">IF(AC35=0,"",IF(PFYDate&lt;AD35,-1,12*(YEAR(PFYDate)-YEAR(AD35))+MONTH(PFYDate)-MONTH(AD35)-IF(DAY(PFYDate)&lt;MIN(DAY(AD35),DAY(EOMONTH(PFYDate,0))),1,0)))</f>
        <v/>
      </c>
      <c r="AK35" s="12" t="str">
        <f aca="false">IF(AC35=0,"",IF(OR(AE35="",AE35&gt;PFYDate),AJ35,IF((AE35-1)&lt;AD35,-1,12*(YEAR((AE35-1))-YEAR(AD35))+MONTH((AE35-1))-MONTH(AD35)-IF(DAY((AE35-1))&lt;MIN(DAY(AD35),DAY(EOMONTH((AE35-1),0))),1,0))))</f>
        <v/>
      </c>
      <c r="AL35" s="12" t="str">
        <f aca="false">IF(AC35=0,"",IF(AF35="FT",IF(AI35&lt;FT_First,0,IF(AI35&lt;FT_Y5,1+INT((AI35-FT_First)/FT_Int1),FT_PreY5+FT_PerYear*INT((AI35-FT_Y5)/12)+FT_AnnivDays+INT(MOD(AI35-FT_Y5,12)/FT_Int2))),IF(AF35="PT",IF(AI35&lt;PT_First,0,1+INT((AI35-PT_First)/PT_Int)),0))+IF(OR(AE35="",AE35&gt;AsOfDate),0,IF(AG35="FT",IF(AH35&lt;FT_First,0,IF(AH35&lt;FT_Y5,1+INT((AH35-FT_First)/FT_Int1),FT_PreY5+FT_PerYear*INT((AH35-FT_Y5)/12)+FT_AnnivDays+INT(MOD(AH35-FT_Y5,12)/FT_Int2))),IF(AG35="PT",IF(AH35&lt;PT_First,0,1+INT((AH35-PT_First)/PT_Int)),0))-IF(AG35="FT",IF(AI35&lt;FT_First,0,IF(AI35&lt;FT_Y5,1+INT((AI35-FT_First)/FT_Int1),FT_PreY5+FT_PerYear*INT((AI35-FT_Y5)/12)+FT_AnnivDays+INT(MOD(AI35-FT_Y5,12)/FT_Int2))),IF(AG35="PT",IF(AI35&lt;PT_First,0,1+INT((AI35-PT_First)/PT_Int)),0))))</f>
        <v/>
      </c>
      <c r="AM35" s="12" t="str">
        <f aca="false">IF(AC35=0,"",IF(AF35="FT",IF(AK35&lt;FT_First,0,IF(AK35&lt;FT_Y5,1+INT((AK35-FT_First)/FT_Int1),FT_PreY5+FT_PerYear*INT((AK35-FT_Y5)/12)+FT_AnnivDays+INT(MOD(AK35-FT_Y5,12)/FT_Int2))),IF(AF35="PT",IF(AK35&lt;PT_First,0,1+INT((AK35-PT_First)/PT_Int)),0))+IF(OR(AE35="",AE35&gt;PFYDate),0,IF(AG35="FT",IF(AJ35&lt;FT_First,0,IF(AJ35&lt;FT_Y5,1+INT((AJ35-FT_First)/FT_Int1),FT_PreY5+FT_PerYear*INT((AJ35-FT_Y5)/12)+FT_AnnivDays+INT(MOD(AJ35-FT_Y5,12)/FT_Int2))),IF(AG35="PT",IF(AJ35&lt;PT_First,0,1+INT((AJ35-PT_First)/PT_Int)),0))-IF(AG35="FT",IF(AK35&lt;FT_First,0,IF(AK35&lt;FT_Y5,1+INT((AK35-FT_First)/FT_Int1),FT_PreY5+FT_PerYear*INT((AK35-FT_Y5)/12)+FT_AnnivDays+INT(MOD(AK35-FT_Y5,12)/FT_Int2))),IF(AG35="PT",IF(AK35&lt;PT_First,0,1+INT((AK35-PT_First)/PT_Int)),0))))</f>
        <v/>
      </c>
      <c r="AN35" s="12" t="str">
        <f aca="false">IF(AC35=0,"",IF(AG35="FT",IF(AH35&lt;FT_First,FT_First,IF(AH35&lt;FT_Y5,MIN(FT_Y5,FT_First+FT_Int1*(INT((AH35-FT_First)/FT_Int1)+1)),FT_Y5+12*INT((AH35-FT_Y5)/12)+FT_Int2*(INT(MOD(AH35-FT_Y5,12)/FT_Int2)+1))),IF(AG35="PT",IF(AH35&lt;PT_First,PT_First,PT_First+PT_Int*(INT((AH35-PT_First)/PT_Int)+1)),"")))</f>
        <v/>
      </c>
      <c r="AO35" s="12" t="str">
        <f aca="false">IF(AC35=0,"",IF(NOT(CFY_Ready),0,COUNTIFS(INDEX(CFY_Data,0,CFY_ColFirst),$A35,INDEX(CFY_Data,0,CFY_ColSur),$B35,INDEX(CFY_Data,0,CFY_ColCat),BonusCat)))</f>
        <v/>
      </c>
    </row>
    <row r="36" customFormat="false" ht="15" hidden="false" customHeight="false" outlineLevel="0" collapsed="false">
      <c r="A36" s="15"/>
      <c r="B36" s="15"/>
      <c r="C36" s="15"/>
      <c r="D36" s="16"/>
      <c r="E36" s="10" t="str">
        <f aca="false">IF(OR(AC36=0,$D36=""),"",DATE(YEAR(AsOfDate)+IF(DATE(YEAR(AsOfDate),MONTH($D36),DAY($D36))&lt;=AsOfDate,1,0),MONTH($D36),DAY($D36)))</f>
        <v/>
      </c>
      <c r="F36" s="16"/>
      <c r="G36" s="16"/>
      <c r="H36" s="16"/>
      <c r="I36" s="16"/>
      <c r="J36" s="10" t="str">
        <f aca="false">IF(AC36=0,"",DATE(YEAR(AsOfDate)+IF(DATE(YEAR(AsOfDate),MONTH($F36),DAY($F36))&lt;=AsOfDate,1,0),MONTH($F36),DAY($F36)))</f>
        <v/>
      </c>
      <c r="K36" s="11" t="str">
        <f aca="false">IF(AC36=0,"",ROUND((AsOfDate-$F36)/365.25,1))</f>
        <v/>
      </c>
      <c r="L36" s="12" t="str">
        <f aca="false">IF(AC36=0,"",IF(AsOfDate&lt;AD36,"-",DATEDIF(AD36,AsOfDate,"y")&amp;"y "&amp;DATEDIF(AD36,AsOfDate,"ym")&amp;"m "&amp;DATEDIF(AD36,AsOfDate,"md")&amp;"d"))</f>
        <v/>
      </c>
      <c r="M36" s="13" t="str">
        <f aca="false">IF(AC36=0,"",N36*HoursPerDay)</f>
        <v/>
      </c>
      <c r="N36" s="13" t="str">
        <f aca="false">IF(AC36=0,"",AL36)</f>
        <v/>
      </c>
      <c r="O36" s="17"/>
      <c r="P36" s="12" t="str">
        <f aca="false">IF(AC36=0,"",IF(AE36="","",IF($G36&lt;$H36,"Part-Time to Full-Time","Full-Time to Part-Time")&amp;" on "&amp;TEXT(AE36,"dd/mm/yyyy")&amp;IF(AE36&gt;AsOfDate," (future)",IF(AF36=AG36,"",IF(AG36="None"," - STOPPED accruing",IF(AF36="None"," - now qualifying"," - pathway changed"))))))</f>
        <v/>
      </c>
      <c r="Q36" s="12" t="str">
        <f aca="false">IF(AC36=0,"",IF(AG36="None",IF(N36&gt;0,"No longer accruing","Not eligible - "&amp;IF(AND($C36="Part-Time",N($O36)&lt;PT_MinHours,$O36&lt;&gt;""),"under "&amp;PT_MinHours&amp;" hrs",$C36)),IF(N36&gt;0,"Yes - accruing","Not yet - from "&amp;TEXT(R36,"dd/mm/yyyy"))))</f>
        <v/>
      </c>
      <c r="R36" s="10" t="str">
        <f aca="false">IF(AC36=0,"",IF(AG36="None","",EDATE(AD36,AN36)))</f>
        <v/>
      </c>
      <c r="S36" s="13" t="str">
        <f aca="false">IF(AC36=0,"",IF(NOT(PFY_Ready),"",SUMIFS(INDEX(PFY_Data,0,PFY_ColBal),INDEX(PFY_Data,0,PFY_ColFirst),$A36,INDEX(PFY_Data,0,PFY_ColSur),$B36,INDEX(PFY_Data,0,PFY_ColCat),BonusCat)))</f>
        <v/>
      </c>
      <c r="T36" s="17"/>
      <c r="U36" s="13" t="str">
        <f aca="false">IF(AC36=0,"",IF(NOT(CFY_Ready),"",SUMIFS(INDEX(CFY_Data,0,CFY_ColBal),INDEX(CFY_Data,0,CFY_ColFirst),$A36,INDEX(CFY_Data,0,CFY_ColSur),$B36,INDEX(CFY_Data,0,CFY_ColCat),BonusCat)))</f>
        <v/>
      </c>
      <c r="V36" s="13" t="str">
        <f aca="false">IF(AC36=0,"",IF(OR(NOT(CFY_Ready),CFY_ColAppr=0),"",SUMIFS(INDEX(CFY_Data,0,CFY_ColAppr),INDEX(CFY_Data,0,CFY_ColFirst),$A36,INDEX(CFY_Data,0,CFY_ColSur),$B36,INDEX(CFY_Data,0,CFY_ColCat),BonusCat)))</f>
        <v/>
      </c>
      <c r="W36" s="13" t="str">
        <f aca="false">IF(OR(AC36=0,S36="",U36=""),"",MAX(0,S36+N($T36)-U36))</f>
        <v/>
      </c>
      <c r="X36" s="13" t="str">
        <f aca="false">IF(AC36=0,"",(AL36-AM36)*HoursPerDay)</f>
        <v/>
      </c>
      <c r="Y36" s="13" t="str">
        <f aca="false">IF(AC36=0,"",X36-N($T36))</f>
        <v/>
      </c>
      <c r="Z36" s="12" t="str">
        <f aca="false">IF(AC36=0,"",IF(Y36&gt;0,"Yes","No"))</f>
        <v/>
      </c>
      <c r="AA36" s="12" t="str">
        <f aca="false">IF(AC36=0,"",IF(NOT(CFY_Ready),"Paste CFY EH export",IF(Y36&gt;0,"ACCRUE "&amp;TEXT(Y36,"0.##")&amp;" hrs ("&amp;TEXT(Y36/HoursPerDay,"0.##")&amp;" days)"&amp;IF(AO36=0," - no Bonus Leave line in EH yet",""),IF(Y36&lt;0,"CHECK - posted "&amp;TEXT(-Y36,"0.##")&amp;" hrs more than policy",IF(AND(N36&gt;0,AO36=0,U36=0),"CHECK - policy says "&amp;TEXT(M36,"0.##")&amp;" hrs to date but nothing in EH",IF(N36&gt;0,"OK","-"))))))</f>
        <v/>
      </c>
      <c r="AB36" s="13" t="str">
        <f aca="false">IF(OR(AC36=0,S36=""),"",AM36*HoursPerDay-S36)</f>
        <v/>
      </c>
      <c r="AC36" s="12" t="n">
        <f aca="false">IF(OR(LEN($A36&amp;$B36)=0,$F36=""),0,1)</f>
        <v>0</v>
      </c>
      <c r="AD36" s="10" t="str">
        <f aca="false">IF(AC36=0,"",IF($I36&lt;&gt;"",$I36,$F36))</f>
        <v/>
      </c>
      <c r="AE36" s="10" t="str">
        <f aca="false">IF(AC36=0,"",IF(AND($G36&lt;&gt;"",$H36&lt;&gt;"",$G36&lt;&gt;$H36),MAX($G36,$H36),""))</f>
        <v/>
      </c>
      <c r="AF36" s="12" t="str">
        <f aca="false">IF(AC36=0,"",IF(AE36="",AG36,IF(IF($G36&lt;$H36,"Part-Time","Full-Time")="Full-Time","FT",IF(AND(IF($G36&lt;$H36,"Part-Time","Full-Time")="Part-Time",OR($O36="",N($O36)&gt;=PT_MinHours)),"PT","None"))))</f>
        <v/>
      </c>
      <c r="AG36" s="12" t="str">
        <f aca="false">IF(AC36=0,"",IF($C36="Full-Time","FT",IF(AND($C36="Part-Time",OR($O36="",N($O36)&gt;=PT_MinHours)),"PT","None")))</f>
        <v/>
      </c>
      <c r="AH36" s="12" t="str">
        <f aca="false">IF(AC36=0,"",IF(AsOfDate&lt;AD36,-1,12*(YEAR(AsOfDate)-YEAR(AD36))+MONTH(AsOfDate)-MONTH(AD36)-IF(DAY(AsOfDate)&lt;MIN(DAY(AD36),DAY(EOMONTH(AsOfDate,0))),1,0)))</f>
        <v/>
      </c>
      <c r="AI36" s="12" t="str">
        <f aca="false">IF(AC36=0,"",IF(OR(AE36="",AE36&gt;AsOfDate),AH36,IF((AE36-1)&lt;AD36,-1,12*(YEAR((AE36-1))-YEAR(AD36))+MONTH((AE36-1))-MONTH(AD36)-IF(DAY((AE36-1))&lt;MIN(DAY(AD36),DAY(EOMONTH((AE36-1),0))),1,0))))</f>
        <v/>
      </c>
      <c r="AJ36" s="12" t="str">
        <f aca="false">IF(AC36=0,"",IF(PFYDate&lt;AD36,-1,12*(YEAR(PFYDate)-YEAR(AD36))+MONTH(PFYDate)-MONTH(AD36)-IF(DAY(PFYDate)&lt;MIN(DAY(AD36),DAY(EOMONTH(PFYDate,0))),1,0)))</f>
        <v/>
      </c>
      <c r="AK36" s="12" t="str">
        <f aca="false">IF(AC36=0,"",IF(OR(AE36="",AE36&gt;PFYDate),AJ36,IF((AE36-1)&lt;AD36,-1,12*(YEAR((AE36-1))-YEAR(AD36))+MONTH((AE36-1))-MONTH(AD36)-IF(DAY((AE36-1))&lt;MIN(DAY(AD36),DAY(EOMONTH((AE36-1),0))),1,0))))</f>
        <v/>
      </c>
      <c r="AL36" s="12" t="str">
        <f aca="false">IF(AC36=0,"",IF(AF36="FT",IF(AI36&lt;FT_First,0,IF(AI36&lt;FT_Y5,1+INT((AI36-FT_First)/FT_Int1),FT_PreY5+FT_PerYear*INT((AI36-FT_Y5)/12)+FT_AnnivDays+INT(MOD(AI36-FT_Y5,12)/FT_Int2))),IF(AF36="PT",IF(AI36&lt;PT_First,0,1+INT((AI36-PT_First)/PT_Int)),0))+IF(OR(AE36="",AE36&gt;AsOfDate),0,IF(AG36="FT",IF(AH36&lt;FT_First,0,IF(AH36&lt;FT_Y5,1+INT((AH36-FT_First)/FT_Int1),FT_PreY5+FT_PerYear*INT((AH36-FT_Y5)/12)+FT_AnnivDays+INT(MOD(AH36-FT_Y5,12)/FT_Int2))),IF(AG36="PT",IF(AH36&lt;PT_First,0,1+INT((AH36-PT_First)/PT_Int)),0))-IF(AG36="FT",IF(AI36&lt;FT_First,0,IF(AI36&lt;FT_Y5,1+INT((AI36-FT_First)/FT_Int1),FT_PreY5+FT_PerYear*INT((AI36-FT_Y5)/12)+FT_AnnivDays+INT(MOD(AI36-FT_Y5,12)/FT_Int2))),IF(AG36="PT",IF(AI36&lt;PT_First,0,1+INT((AI36-PT_First)/PT_Int)),0))))</f>
        <v/>
      </c>
      <c r="AM36" s="12" t="str">
        <f aca="false">IF(AC36=0,"",IF(AF36="FT",IF(AK36&lt;FT_First,0,IF(AK36&lt;FT_Y5,1+INT((AK36-FT_First)/FT_Int1),FT_PreY5+FT_PerYear*INT((AK36-FT_Y5)/12)+FT_AnnivDays+INT(MOD(AK36-FT_Y5,12)/FT_Int2))),IF(AF36="PT",IF(AK36&lt;PT_First,0,1+INT((AK36-PT_First)/PT_Int)),0))+IF(OR(AE36="",AE36&gt;PFYDate),0,IF(AG36="FT",IF(AJ36&lt;FT_First,0,IF(AJ36&lt;FT_Y5,1+INT((AJ36-FT_First)/FT_Int1),FT_PreY5+FT_PerYear*INT((AJ36-FT_Y5)/12)+FT_AnnivDays+INT(MOD(AJ36-FT_Y5,12)/FT_Int2))),IF(AG36="PT",IF(AJ36&lt;PT_First,0,1+INT((AJ36-PT_First)/PT_Int)),0))-IF(AG36="FT",IF(AK36&lt;FT_First,0,IF(AK36&lt;FT_Y5,1+INT((AK36-FT_First)/FT_Int1),FT_PreY5+FT_PerYear*INT((AK36-FT_Y5)/12)+FT_AnnivDays+INT(MOD(AK36-FT_Y5,12)/FT_Int2))),IF(AG36="PT",IF(AK36&lt;PT_First,0,1+INT((AK36-PT_First)/PT_Int)),0))))</f>
        <v/>
      </c>
      <c r="AN36" s="12" t="str">
        <f aca="false">IF(AC36=0,"",IF(AG36="FT",IF(AH36&lt;FT_First,FT_First,IF(AH36&lt;FT_Y5,MIN(FT_Y5,FT_First+FT_Int1*(INT((AH36-FT_First)/FT_Int1)+1)),FT_Y5+12*INT((AH36-FT_Y5)/12)+FT_Int2*(INT(MOD(AH36-FT_Y5,12)/FT_Int2)+1))),IF(AG36="PT",IF(AH36&lt;PT_First,PT_First,PT_First+PT_Int*(INT((AH36-PT_First)/PT_Int)+1)),"")))</f>
        <v/>
      </c>
      <c r="AO36" s="12" t="str">
        <f aca="false">IF(AC36=0,"",IF(NOT(CFY_Ready),0,COUNTIFS(INDEX(CFY_Data,0,CFY_ColFirst),$A36,INDEX(CFY_Data,0,CFY_ColSur),$B36,INDEX(CFY_Data,0,CFY_ColCat),BonusCat)))</f>
        <v/>
      </c>
    </row>
    <row r="37" customFormat="false" ht="15" hidden="false" customHeight="false" outlineLevel="0" collapsed="false">
      <c r="A37" s="15"/>
      <c r="B37" s="15"/>
      <c r="C37" s="15"/>
      <c r="D37" s="16"/>
      <c r="E37" s="10" t="str">
        <f aca="false">IF(OR(AC37=0,$D37=""),"",DATE(YEAR(AsOfDate)+IF(DATE(YEAR(AsOfDate),MONTH($D37),DAY($D37))&lt;=AsOfDate,1,0),MONTH($D37),DAY($D37)))</f>
        <v/>
      </c>
      <c r="F37" s="16"/>
      <c r="G37" s="16"/>
      <c r="H37" s="16"/>
      <c r="I37" s="16"/>
      <c r="J37" s="10" t="str">
        <f aca="false">IF(AC37=0,"",DATE(YEAR(AsOfDate)+IF(DATE(YEAR(AsOfDate),MONTH($F37),DAY($F37))&lt;=AsOfDate,1,0),MONTH($F37),DAY($F37)))</f>
        <v/>
      </c>
      <c r="K37" s="11" t="str">
        <f aca="false">IF(AC37=0,"",ROUND((AsOfDate-$F37)/365.25,1))</f>
        <v/>
      </c>
      <c r="L37" s="12" t="str">
        <f aca="false">IF(AC37=0,"",IF(AsOfDate&lt;AD37,"-",DATEDIF(AD37,AsOfDate,"y")&amp;"y "&amp;DATEDIF(AD37,AsOfDate,"ym")&amp;"m "&amp;DATEDIF(AD37,AsOfDate,"md")&amp;"d"))</f>
        <v/>
      </c>
      <c r="M37" s="13" t="str">
        <f aca="false">IF(AC37=0,"",N37*HoursPerDay)</f>
        <v/>
      </c>
      <c r="N37" s="13" t="str">
        <f aca="false">IF(AC37=0,"",AL37)</f>
        <v/>
      </c>
      <c r="O37" s="17"/>
      <c r="P37" s="12" t="str">
        <f aca="false">IF(AC37=0,"",IF(AE37="","",IF($G37&lt;$H37,"Part-Time to Full-Time","Full-Time to Part-Time")&amp;" on "&amp;TEXT(AE37,"dd/mm/yyyy")&amp;IF(AE37&gt;AsOfDate," (future)",IF(AF37=AG37,"",IF(AG37="None"," - STOPPED accruing",IF(AF37="None"," - now qualifying"," - pathway changed"))))))</f>
        <v/>
      </c>
      <c r="Q37" s="12" t="str">
        <f aca="false">IF(AC37=0,"",IF(AG37="None",IF(N37&gt;0,"No longer accruing","Not eligible - "&amp;IF(AND($C37="Part-Time",N($O37)&lt;PT_MinHours,$O37&lt;&gt;""),"under "&amp;PT_MinHours&amp;" hrs",$C37)),IF(N37&gt;0,"Yes - accruing","Not yet - from "&amp;TEXT(R37,"dd/mm/yyyy"))))</f>
        <v/>
      </c>
      <c r="R37" s="10" t="str">
        <f aca="false">IF(AC37=0,"",IF(AG37="None","",EDATE(AD37,AN37)))</f>
        <v/>
      </c>
      <c r="S37" s="13" t="str">
        <f aca="false">IF(AC37=0,"",IF(NOT(PFY_Ready),"",SUMIFS(INDEX(PFY_Data,0,PFY_ColBal),INDEX(PFY_Data,0,PFY_ColFirst),$A37,INDEX(PFY_Data,0,PFY_ColSur),$B37,INDEX(PFY_Data,0,PFY_ColCat),BonusCat)))</f>
        <v/>
      </c>
      <c r="T37" s="17"/>
      <c r="U37" s="13" t="str">
        <f aca="false">IF(AC37=0,"",IF(NOT(CFY_Ready),"",SUMIFS(INDEX(CFY_Data,0,CFY_ColBal),INDEX(CFY_Data,0,CFY_ColFirst),$A37,INDEX(CFY_Data,0,CFY_ColSur),$B37,INDEX(CFY_Data,0,CFY_ColCat),BonusCat)))</f>
        <v/>
      </c>
      <c r="V37" s="13" t="str">
        <f aca="false">IF(AC37=0,"",IF(OR(NOT(CFY_Ready),CFY_ColAppr=0),"",SUMIFS(INDEX(CFY_Data,0,CFY_ColAppr),INDEX(CFY_Data,0,CFY_ColFirst),$A37,INDEX(CFY_Data,0,CFY_ColSur),$B37,INDEX(CFY_Data,0,CFY_ColCat),BonusCat)))</f>
        <v/>
      </c>
      <c r="W37" s="13" t="str">
        <f aca="false">IF(OR(AC37=0,S37="",U37=""),"",MAX(0,S37+N($T37)-U37))</f>
        <v/>
      </c>
      <c r="X37" s="13" t="str">
        <f aca="false">IF(AC37=0,"",(AL37-AM37)*HoursPerDay)</f>
        <v/>
      </c>
      <c r="Y37" s="13" t="str">
        <f aca="false">IF(AC37=0,"",X37-N($T37))</f>
        <v/>
      </c>
      <c r="Z37" s="12" t="str">
        <f aca="false">IF(AC37=0,"",IF(Y37&gt;0,"Yes","No"))</f>
        <v/>
      </c>
      <c r="AA37" s="12" t="str">
        <f aca="false">IF(AC37=0,"",IF(NOT(CFY_Ready),"Paste CFY EH export",IF(Y37&gt;0,"ACCRUE "&amp;TEXT(Y37,"0.##")&amp;" hrs ("&amp;TEXT(Y37/HoursPerDay,"0.##")&amp;" days)"&amp;IF(AO37=0," - no Bonus Leave line in EH yet",""),IF(Y37&lt;0,"CHECK - posted "&amp;TEXT(-Y37,"0.##")&amp;" hrs more than policy",IF(AND(N37&gt;0,AO37=0,U37=0),"CHECK - policy says "&amp;TEXT(M37,"0.##")&amp;" hrs to date but nothing in EH",IF(N37&gt;0,"OK","-"))))))</f>
        <v/>
      </c>
      <c r="AB37" s="13" t="str">
        <f aca="false">IF(OR(AC37=0,S37=""),"",AM37*HoursPerDay-S37)</f>
        <v/>
      </c>
      <c r="AC37" s="12" t="n">
        <f aca="false">IF(OR(LEN($A37&amp;$B37)=0,$F37=""),0,1)</f>
        <v>0</v>
      </c>
      <c r="AD37" s="10" t="str">
        <f aca="false">IF(AC37=0,"",IF($I37&lt;&gt;"",$I37,$F37))</f>
        <v/>
      </c>
      <c r="AE37" s="10" t="str">
        <f aca="false">IF(AC37=0,"",IF(AND($G37&lt;&gt;"",$H37&lt;&gt;"",$G37&lt;&gt;$H37),MAX($G37,$H37),""))</f>
        <v/>
      </c>
      <c r="AF37" s="12" t="str">
        <f aca="false">IF(AC37=0,"",IF(AE37="",AG37,IF(IF($G37&lt;$H37,"Part-Time","Full-Time")="Full-Time","FT",IF(AND(IF($G37&lt;$H37,"Part-Time","Full-Time")="Part-Time",OR($O37="",N($O37)&gt;=PT_MinHours)),"PT","None"))))</f>
        <v/>
      </c>
      <c r="AG37" s="12" t="str">
        <f aca="false">IF(AC37=0,"",IF($C37="Full-Time","FT",IF(AND($C37="Part-Time",OR($O37="",N($O37)&gt;=PT_MinHours)),"PT","None")))</f>
        <v/>
      </c>
      <c r="AH37" s="12" t="str">
        <f aca="false">IF(AC37=0,"",IF(AsOfDate&lt;AD37,-1,12*(YEAR(AsOfDate)-YEAR(AD37))+MONTH(AsOfDate)-MONTH(AD37)-IF(DAY(AsOfDate)&lt;MIN(DAY(AD37),DAY(EOMONTH(AsOfDate,0))),1,0)))</f>
        <v/>
      </c>
      <c r="AI37" s="12" t="str">
        <f aca="false">IF(AC37=0,"",IF(OR(AE37="",AE37&gt;AsOfDate),AH37,IF((AE37-1)&lt;AD37,-1,12*(YEAR((AE37-1))-YEAR(AD37))+MONTH((AE37-1))-MONTH(AD37)-IF(DAY((AE37-1))&lt;MIN(DAY(AD37),DAY(EOMONTH((AE37-1),0))),1,0))))</f>
        <v/>
      </c>
      <c r="AJ37" s="12" t="str">
        <f aca="false">IF(AC37=0,"",IF(PFYDate&lt;AD37,-1,12*(YEAR(PFYDate)-YEAR(AD37))+MONTH(PFYDate)-MONTH(AD37)-IF(DAY(PFYDate)&lt;MIN(DAY(AD37),DAY(EOMONTH(PFYDate,0))),1,0)))</f>
        <v/>
      </c>
      <c r="AK37" s="12" t="str">
        <f aca="false">IF(AC37=0,"",IF(OR(AE37="",AE37&gt;PFYDate),AJ37,IF((AE37-1)&lt;AD37,-1,12*(YEAR((AE37-1))-YEAR(AD37))+MONTH((AE37-1))-MONTH(AD37)-IF(DAY((AE37-1))&lt;MIN(DAY(AD37),DAY(EOMONTH((AE37-1),0))),1,0))))</f>
        <v/>
      </c>
      <c r="AL37" s="12" t="str">
        <f aca="false">IF(AC37=0,"",IF(AF37="FT",IF(AI37&lt;FT_First,0,IF(AI37&lt;FT_Y5,1+INT((AI37-FT_First)/FT_Int1),FT_PreY5+FT_PerYear*INT((AI37-FT_Y5)/12)+FT_AnnivDays+INT(MOD(AI37-FT_Y5,12)/FT_Int2))),IF(AF37="PT",IF(AI37&lt;PT_First,0,1+INT((AI37-PT_First)/PT_Int)),0))+IF(OR(AE37="",AE37&gt;AsOfDate),0,IF(AG37="FT",IF(AH37&lt;FT_First,0,IF(AH37&lt;FT_Y5,1+INT((AH37-FT_First)/FT_Int1),FT_PreY5+FT_PerYear*INT((AH37-FT_Y5)/12)+FT_AnnivDays+INT(MOD(AH37-FT_Y5,12)/FT_Int2))),IF(AG37="PT",IF(AH37&lt;PT_First,0,1+INT((AH37-PT_First)/PT_Int)),0))-IF(AG37="FT",IF(AI37&lt;FT_First,0,IF(AI37&lt;FT_Y5,1+INT((AI37-FT_First)/FT_Int1),FT_PreY5+FT_PerYear*INT((AI37-FT_Y5)/12)+FT_AnnivDays+INT(MOD(AI37-FT_Y5,12)/FT_Int2))),IF(AG37="PT",IF(AI37&lt;PT_First,0,1+INT((AI37-PT_First)/PT_Int)),0))))</f>
        <v/>
      </c>
      <c r="AM37" s="12" t="str">
        <f aca="false">IF(AC37=0,"",IF(AF37="FT",IF(AK37&lt;FT_First,0,IF(AK37&lt;FT_Y5,1+INT((AK37-FT_First)/FT_Int1),FT_PreY5+FT_PerYear*INT((AK37-FT_Y5)/12)+FT_AnnivDays+INT(MOD(AK37-FT_Y5,12)/FT_Int2))),IF(AF37="PT",IF(AK37&lt;PT_First,0,1+INT((AK37-PT_First)/PT_Int)),0))+IF(OR(AE37="",AE37&gt;PFYDate),0,IF(AG37="FT",IF(AJ37&lt;FT_First,0,IF(AJ37&lt;FT_Y5,1+INT((AJ37-FT_First)/FT_Int1),FT_PreY5+FT_PerYear*INT((AJ37-FT_Y5)/12)+FT_AnnivDays+INT(MOD(AJ37-FT_Y5,12)/FT_Int2))),IF(AG37="PT",IF(AJ37&lt;PT_First,0,1+INT((AJ37-PT_First)/PT_Int)),0))-IF(AG37="FT",IF(AK37&lt;FT_First,0,IF(AK37&lt;FT_Y5,1+INT((AK37-FT_First)/FT_Int1),FT_PreY5+FT_PerYear*INT((AK37-FT_Y5)/12)+FT_AnnivDays+INT(MOD(AK37-FT_Y5,12)/FT_Int2))),IF(AG37="PT",IF(AK37&lt;PT_First,0,1+INT((AK37-PT_First)/PT_Int)),0))))</f>
        <v/>
      </c>
      <c r="AN37" s="12" t="str">
        <f aca="false">IF(AC37=0,"",IF(AG37="FT",IF(AH37&lt;FT_First,FT_First,IF(AH37&lt;FT_Y5,MIN(FT_Y5,FT_First+FT_Int1*(INT((AH37-FT_First)/FT_Int1)+1)),FT_Y5+12*INT((AH37-FT_Y5)/12)+FT_Int2*(INT(MOD(AH37-FT_Y5,12)/FT_Int2)+1))),IF(AG37="PT",IF(AH37&lt;PT_First,PT_First,PT_First+PT_Int*(INT((AH37-PT_First)/PT_Int)+1)),"")))</f>
        <v/>
      </c>
      <c r="AO37" s="12" t="str">
        <f aca="false">IF(AC37=0,"",IF(NOT(CFY_Ready),0,COUNTIFS(INDEX(CFY_Data,0,CFY_ColFirst),$A37,INDEX(CFY_Data,0,CFY_ColSur),$B37,INDEX(CFY_Data,0,CFY_ColCat),BonusCat)))</f>
        <v/>
      </c>
    </row>
    <row r="38" customFormat="false" ht="15" hidden="false" customHeight="false" outlineLevel="0" collapsed="false">
      <c r="A38" s="15"/>
      <c r="B38" s="15"/>
      <c r="C38" s="15"/>
      <c r="D38" s="16"/>
      <c r="E38" s="10" t="str">
        <f aca="false">IF(OR(AC38=0,$D38=""),"",DATE(YEAR(AsOfDate)+IF(DATE(YEAR(AsOfDate),MONTH($D38),DAY($D38))&lt;=AsOfDate,1,0),MONTH($D38),DAY($D38)))</f>
        <v/>
      </c>
      <c r="F38" s="16"/>
      <c r="G38" s="16"/>
      <c r="H38" s="16"/>
      <c r="I38" s="16"/>
      <c r="J38" s="10" t="str">
        <f aca="false">IF(AC38=0,"",DATE(YEAR(AsOfDate)+IF(DATE(YEAR(AsOfDate),MONTH($F38),DAY($F38))&lt;=AsOfDate,1,0),MONTH($F38),DAY($F38)))</f>
        <v/>
      </c>
      <c r="K38" s="11" t="str">
        <f aca="false">IF(AC38=0,"",ROUND((AsOfDate-$F38)/365.25,1))</f>
        <v/>
      </c>
      <c r="L38" s="12" t="str">
        <f aca="false">IF(AC38=0,"",IF(AsOfDate&lt;AD38,"-",DATEDIF(AD38,AsOfDate,"y")&amp;"y "&amp;DATEDIF(AD38,AsOfDate,"ym")&amp;"m "&amp;DATEDIF(AD38,AsOfDate,"md")&amp;"d"))</f>
        <v/>
      </c>
      <c r="M38" s="13" t="str">
        <f aca="false">IF(AC38=0,"",N38*HoursPerDay)</f>
        <v/>
      </c>
      <c r="N38" s="13" t="str">
        <f aca="false">IF(AC38=0,"",AL38)</f>
        <v/>
      </c>
      <c r="O38" s="17"/>
      <c r="P38" s="12" t="str">
        <f aca="false">IF(AC38=0,"",IF(AE38="","",IF($G38&lt;$H38,"Part-Time to Full-Time","Full-Time to Part-Time")&amp;" on "&amp;TEXT(AE38,"dd/mm/yyyy")&amp;IF(AE38&gt;AsOfDate," (future)",IF(AF38=AG38,"",IF(AG38="None"," - STOPPED accruing",IF(AF38="None"," - now qualifying"," - pathway changed"))))))</f>
        <v/>
      </c>
      <c r="Q38" s="12" t="str">
        <f aca="false">IF(AC38=0,"",IF(AG38="None",IF(N38&gt;0,"No longer accruing","Not eligible - "&amp;IF(AND($C38="Part-Time",N($O38)&lt;PT_MinHours,$O38&lt;&gt;""),"under "&amp;PT_MinHours&amp;" hrs",$C38)),IF(N38&gt;0,"Yes - accruing","Not yet - from "&amp;TEXT(R38,"dd/mm/yyyy"))))</f>
        <v/>
      </c>
      <c r="R38" s="10" t="str">
        <f aca="false">IF(AC38=0,"",IF(AG38="None","",EDATE(AD38,AN38)))</f>
        <v/>
      </c>
      <c r="S38" s="13" t="str">
        <f aca="false">IF(AC38=0,"",IF(NOT(PFY_Ready),"",SUMIFS(INDEX(PFY_Data,0,PFY_ColBal),INDEX(PFY_Data,0,PFY_ColFirst),$A38,INDEX(PFY_Data,0,PFY_ColSur),$B38,INDEX(PFY_Data,0,PFY_ColCat),BonusCat)))</f>
        <v/>
      </c>
      <c r="T38" s="17"/>
      <c r="U38" s="13" t="str">
        <f aca="false">IF(AC38=0,"",IF(NOT(CFY_Ready),"",SUMIFS(INDEX(CFY_Data,0,CFY_ColBal),INDEX(CFY_Data,0,CFY_ColFirst),$A38,INDEX(CFY_Data,0,CFY_ColSur),$B38,INDEX(CFY_Data,0,CFY_ColCat),BonusCat)))</f>
        <v/>
      </c>
      <c r="V38" s="13" t="str">
        <f aca="false">IF(AC38=0,"",IF(OR(NOT(CFY_Ready),CFY_ColAppr=0),"",SUMIFS(INDEX(CFY_Data,0,CFY_ColAppr),INDEX(CFY_Data,0,CFY_ColFirst),$A38,INDEX(CFY_Data,0,CFY_ColSur),$B38,INDEX(CFY_Data,0,CFY_ColCat),BonusCat)))</f>
        <v/>
      </c>
      <c r="W38" s="13" t="str">
        <f aca="false">IF(OR(AC38=0,S38="",U38=""),"",MAX(0,S38+N($T38)-U38))</f>
        <v/>
      </c>
      <c r="X38" s="13" t="str">
        <f aca="false">IF(AC38=0,"",(AL38-AM38)*HoursPerDay)</f>
        <v/>
      </c>
      <c r="Y38" s="13" t="str">
        <f aca="false">IF(AC38=0,"",X38-N($T38))</f>
        <v/>
      </c>
      <c r="Z38" s="12" t="str">
        <f aca="false">IF(AC38=0,"",IF(Y38&gt;0,"Yes","No"))</f>
        <v/>
      </c>
      <c r="AA38" s="12" t="str">
        <f aca="false">IF(AC38=0,"",IF(NOT(CFY_Ready),"Paste CFY EH export",IF(Y38&gt;0,"ACCRUE "&amp;TEXT(Y38,"0.##")&amp;" hrs ("&amp;TEXT(Y38/HoursPerDay,"0.##")&amp;" days)"&amp;IF(AO38=0," - no Bonus Leave line in EH yet",""),IF(Y38&lt;0,"CHECK - posted "&amp;TEXT(-Y38,"0.##")&amp;" hrs more than policy",IF(AND(N38&gt;0,AO38=0,U38=0),"CHECK - policy says "&amp;TEXT(M38,"0.##")&amp;" hrs to date but nothing in EH",IF(N38&gt;0,"OK","-"))))))</f>
        <v/>
      </c>
      <c r="AB38" s="13" t="str">
        <f aca="false">IF(OR(AC38=0,S38=""),"",AM38*HoursPerDay-S38)</f>
        <v/>
      </c>
      <c r="AC38" s="12" t="n">
        <f aca="false">IF(OR(LEN($A38&amp;$B38)=0,$F38=""),0,1)</f>
        <v>0</v>
      </c>
      <c r="AD38" s="10" t="str">
        <f aca="false">IF(AC38=0,"",IF($I38&lt;&gt;"",$I38,$F38))</f>
        <v/>
      </c>
      <c r="AE38" s="10" t="str">
        <f aca="false">IF(AC38=0,"",IF(AND($G38&lt;&gt;"",$H38&lt;&gt;"",$G38&lt;&gt;$H38),MAX($G38,$H38),""))</f>
        <v/>
      </c>
      <c r="AF38" s="12" t="str">
        <f aca="false">IF(AC38=0,"",IF(AE38="",AG38,IF(IF($G38&lt;$H38,"Part-Time","Full-Time")="Full-Time","FT",IF(AND(IF($G38&lt;$H38,"Part-Time","Full-Time")="Part-Time",OR($O38="",N($O38)&gt;=PT_MinHours)),"PT","None"))))</f>
        <v/>
      </c>
      <c r="AG38" s="12" t="str">
        <f aca="false">IF(AC38=0,"",IF($C38="Full-Time","FT",IF(AND($C38="Part-Time",OR($O38="",N($O38)&gt;=PT_MinHours)),"PT","None")))</f>
        <v/>
      </c>
      <c r="AH38" s="12" t="str">
        <f aca="false">IF(AC38=0,"",IF(AsOfDate&lt;AD38,-1,12*(YEAR(AsOfDate)-YEAR(AD38))+MONTH(AsOfDate)-MONTH(AD38)-IF(DAY(AsOfDate)&lt;MIN(DAY(AD38),DAY(EOMONTH(AsOfDate,0))),1,0)))</f>
        <v/>
      </c>
      <c r="AI38" s="12" t="str">
        <f aca="false">IF(AC38=0,"",IF(OR(AE38="",AE38&gt;AsOfDate),AH38,IF((AE38-1)&lt;AD38,-1,12*(YEAR((AE38-1))-YEAR(AD38))+MONTH((AE38-1))-MONTH(AD38)-IF(DAY((AE38-1))&lt;MIN(DAY(AD38),DAY(EOMONTH((AE38-1),0))),1,0))))</f>
        <v/>
      </c>
      <c r="AJ38" s="12" t="str">
        <f aca="false">IF(AC38=0,"",IF(PFYDate&lt;AD38,-1,12*(YEAR(PFYDate)-YEAR(AD38))+MONTH(PFYDate)-MONTH(AD38)-IF(DAY(PFYDate)&lt;MIN(DAY(AD38),DAY(EOMONTH(PFYDate,0))),1,0)))</f>
        <v/>
      </c>
      <c r="AK38" s="12" t="str">
        <f aca="false">IF(AC38=0,"",IF(OR(AE38="",AE38&gt;PFYDate),AJ38,IF((AE38-1)&lt;AD38,-1,12*(YEAR((AE38-1))-YEAR(AD38))+MONTH((AE38-1))-MONTH(AD38)-IF(DAY((AE38-1))&lt;MIN(DAY(AD38),DAY(EOMONTH((AE38-1),0))),1,0))))</f>
        <v/>
      </c>
      <c r="AL38" s="12" t="str">
        <f aca="false">IF(AC38=0,"",IF(AF38="FT",IF(AI38&lt;FT_First,0,IF(AI38&lt;FT_Y5,1+INT((AI38-FT_First)/FT_Int1),FT_PreY5+FT_PerYear*INT((AI38-FT_Y5)/12)+FT_AnnivDays+INT(MOD(AI38-FT_Y5,12)/FT_Int2))),IF(AF38="PT",IF(AI38&lt;PT_First,0,1+INT((AI38-PT_First)/PT_Int)),0))+IF(OR(AE38="",AE38&gt;AsOfDate),0,IF(AG38="FT",IF(AH38&lt;FT_First,0,IF(AH38&lt;FT_Y5,1+INT((AH38-FT_First)/FT_Int1),FT_PreY5+FT_PerYear*INT((AH38-FT_Y5)/12)+FT_AnnivDays+INT(MOD(AH38-FT_Y5,12)/FT_Int2))),IF(AG38="PT",IF(AH38&lt;PT_First,0,1+INT((AH38-PT_First)/PT_Int)),0))-IF(AG38="FT",IF(AI38&lt;FT_First,0,IF(AI38&lt;FT_Y5,1+INT((AI38-FT_First)/FT_Int1),FT_PreY5+FT_PerYear*INT((AI38-FT_Y5)/12)+FT_AnnivDays+INT(MOD(AI38-FT_Y5,12)/FT_Int2))),IF(AG38="PT",IF(AI38&lt;PT_First,0,1+INT((AI38-PT_First)/PT_Int)),0))))</f>
        <v/>
      </c>
      <c r="AM38" s="12" t="str">
        <f aca="false">IF(AC38=0,"",IF(AF38="FT",IF(AK38&lt;FT_First,0,IF(AK38&lt;FT_Y5,1+INT((AK38-FT_First)/FT_Int1),FT_PreY5+FT_PerYear*INT((AK38-FT_Y5)/12)+FT_AnnivDays+INT(MOD(AK38-FT_Y5,12)/FT_Int2))),IF(AF38="PT",IF(AK38&lt;PT_First,0,1+INT((AK38-PT_First)/PT_Int)),0))+IF(OR(AE38="",AE38&gt;PFYDate),0,IF(AG38="FT",IF(AJ38&lt;FT_First,0,IF(AJ38&lt;FT_Y5,1+INT((AJ38-FT_First)/FT_Int1),FT_PreY5+FT_PerYear*INT((AJ38-FT_Y5)/12)+FT_AnnivDays+INT(MOD(AJ38-FT_Y5,12)/FT_Int2))),IF(AG38="PT",IF(AJ38&lt;PT_First,0,1+INT((AJ38-PT_First)/PT_Int)),0))-IF(AG38="FT",IF(AK38&lt;FT_First,0,IF(AK38&lt;FT_Y5,1+INT((AK38-FT_First)/FT_Int1),FT_PreY5+FT_PerYear*INT((AK38-FT_Y5)/12)+FT_AnnivDays+INT(MOD(AK38-FT_Y5,12)/FT_Int2))),IF(AG38="PT",IF(AK38&lt;PT_First,0,1+INT((AK38-PT_First)/PT_Int)),0))))</f>
        <v/>
      </c>
      <c r="AN38" s="12" t="str">
        <f aca="false">IF(AC38=0,"",IF(AG38="FT",IF(AH38&lt;FT_First,FT_First,IF(AH38&lt;FT_Y5,MIN(FT_Y5,FT_First+FT_Int1*(INT((AH38-FT_First)/FT_Int1)+1)),FT_Y5+12*INT((AH38-FT_Y5)/12)+FT_Int2*(INT(MOD(AH38-FT_Y5,12)/FT_Int2)+1))),IF(AG38="PT",IF(AH38&lt;PT_First,PT_First,PT_First+PT_Int*(INT((AH38-PT_First)/PT_Int)+1)),"")))</f>
        <v/>
      </c>
      <c r="AO38" s="12" t="str">
        <f aca="false">IF(AC38=0,"",IF(NOT(CFY_Ready),0,COUNTIFS(INDEX(CFY_Data,0,CFY_ColFirst),$A38,INDEX(CFY_Data,0,CFY_ColSur),$B38,INDEX(CFY_Data,0,CFY_ColCat),BonusCat)))</f>
        <v/>
      </c>
    </row>
    <row r="39" customFormat="false" ht="15" hidden="false" customHeight="false" outlineLevel="0" collapsed="false">
      <c r="A39" s="15"/>
      <c r="B39" s="15"/>
      <c r="C39" s="15"/>
      <c r="D39" s="16"/>
      <c r="E39" s="10" t="str">
        <f aca="false">IF(OR(AC39=0,$D39=""),"",DATE(YEAR(AsOfDate)+IF(DATE(YEAR(AsOfDate),MONTH($D39),DAY($D39))&lt;=AsOfDate,1,0),MONTH($D39),DAY($D39)))</f>
        <v/>
      </c>
      <c r="F39" s="16"/>
      <c r="G39" s="16"/>
      <c r="H39" s="16"/>
      <c r="I39" s="16"/>
      <c r="J39" s="10" t="str">
        <f aca="false">IF(AC39=0,"",DATE(YEAR(AsOfDate)+IF(DATE(YEAR(AsOfDate),MONTH($F39),DAY($F39))&lt;=AsOfDate,1,0),MONTH($F39),DAY($F39)))</f>
        <v/>
      </c>
      <c r="K39" s="11" t="str">
        <f aca="false">IF(AC39=0,"",ROUND((AsOfDate-$F39)/365.25,1))</f>
        <v/>
      </c>
      <c r="L39" s="12" t="str">
        <f aca="false">IF(AC39=0,"",IF(AsOfDate&lt;AD39,"-",DATEDIF(AD39,AsOfDate,"y")&amp;"y "&amp;DATEDIF(AD39,AsOfDate,"ym")&amp;"m "&amp;DATEDIF(AD39,AsOfDate,"md")&amp;"d"))</f>
        <v/>
      </c>
      <c r="M39" s="13" t="str">
        <f aca="false">IF(AC39=0,"",N39*HoursPerDay)</f>
        <v/>
      </c>
      <c r="N39" s="13" t="str">
        <f aca="false">IF(AC39=0,"",AL39)</f>
        <v/>
      </c>
      <c r="O39" s="17"/>
      <c r="P39" s="12" t="str">
        <f aca="false">IF(AC39=0,"",IF(AE39="","",IF($G39&lt;$H39,"Part-Time to Full-Time","Full-Time to Part-Time")&amp;" on "&amp;TEXT(AE39,"dd/mm/yyyy")&amp;IF(AE39&gt;AsOfDate," (future)",IF(AF39=AG39,"",IF(AG39="None"," - STOPPED accruing",IF(AF39="None"," - now qualifying"," - pathway changed"))))))</f>
        <v/>
      </c>
      <c r="Q39" s="12" t="str">
        <f aca="false">IF(AC39=0,"",IF(AG39="None",IF(N39&gt;0,"No longer accruing","Not eligible - "&amp;IF(AND($C39="Part-Time",N($O39)&lt;PT_MinHours,$O39&lt;&gt;""),"under "&amp;PT_MinHours&amp;" hrs",$C39)),IF(N39&gt;0,"Yes - accruing","Not yet - from "&amp;TEXT(R39,"dd/mm/yyyy"))))</f>
        <v/>
      </c>
      <c r="R39" s="10" t="str">
        <f aca="false">IF(AC39=0,"",IF(AG39="None","",EDATE(AD39,AN39)))</f>
        <v/>
      </c>
      <c r="S39" s="13" t="str">
        <f aca="false">IF(AC39=0,"",IF(NOT(PFY_Ready),"",SUMIFS(INDEX(PFY_Data,0,PFY_ColBal),INDEX(PFY_Data,0,PFY_ColFirst),$A39,INDEX(PFY_Data,0,PFY_ColSur),$B39,INDEX(PFY_Data,0,PFY_ColCat),BonusCat)))</f>
        <v/>
      </c>
      <c r="T39" s="17"/>
      <c r="U39" s="13" t="str">
        <f aca="false">IF(AC39=0,"",IF(NOT(CFY_Ready),"",SUMIFS(INDEX(CFY_Data,0,CFY_ColBal),INDEX(CFY_Data,0,CFY_ColFirst),$A39,INDEX(CFY_Data,0,CFY_ColSur),$B39,INDEX(CFY_Data,0,CFY_ColCat),BonusCat)))</f>
        <v/>
      </c>
      <c r="V39" s="13" t="str">
        <f aca="false">IF(AC39=0,"",IF(OR(NOT(CFY_Ready),CFY_ColAppr=0),"",SUMIFS(INDEX(CFY_Data,0,CFY_ColAppr),INDEX(CFY_Data,0,CFY_ColFirst),$A39,INDEX(CFY_Data,0,CFY_ColSur),$B39,INDEX(CFY_Data,0,CFY_ColCat),BonusCat)))</f>
        <v/>
      </c>
      <c r="W39" s="13" t="str">
        <f aca="false">IF(OR(AC39=0,S39="",U39=""),"",MAX(0,S39+N($T39)-U39))</f>
        <v/>
      </c>
      <c r="X39" s="13" t="str">
        <f aca="false">IF(AC39=0,"",(AL39-AM39)*HoursPerDay)</f>
        <v/>
      </c>
      <c r="Y39" s="13" t="str">
        <f aca="false">IF(AC39=0,"",X39-N($T39))</f>
        <v/>
      </c>
      <c r="Z39" s="12" t="str">
        <f aca="false">IF(AC39=0,"",IF(Y39&gt;0,"Yes","No"))</f>
        <v/>
      </c>
      <c r="AA39" s="12" t="str">
        <f aca="false">IF(AC39=0,"",IF(NOT(CFY_Ready),"Paste CFY EH export",IF(Y39&gt;0,"ACCRUE "&amp;TEXT(Y39,"0.##")&amp;" hrs ("&amp;TEXT(Y39/HoursPerDay,"0.##")&amp;" days)"&amp;IF(AO39=0," - no Bonus Leave line in EH yet",""),IF(Y39&lt;0,"CHECK - posted "&amp;TEXT(-Y39,"0.##")&amp;" hrs more than policy",IF(AND(N39&gt;0,AO39=0,U39=0),"CHECK - policy says "&amp;TEXT(M39,"0.##")&amp;" hrs to date but nothing in EH",IF(N39&gt;0,"OK","-"))))))</f>
        <v/>
      </c>
      <c r="AB39" s="13" t="str">
        <f aca="false">IF(OR(AC39=0,S39=""),"",AM39*HoursPerDay-S39)</f>
        <v/>
      </c>
      <c r="AC39" s="12" t="n">
        <f aca="false">IF(OR(LEN($A39&amp;$B39)=0,$F39=""),0,1)</f>
        <v>0</v>
      </c>
      <c r="AD39" s="10" t="str">
        <f aca="false">IF(AC39=0,"",IF($I39&lt;&gt;"",$I39,$F39))</f>
        <v/>
      </c>
      <c r="AE39" s="10" t="str">
        <f aca="false">IF(AC39=0,"",IF(AND($G39&lt;&gt;"",$H39&lt;&gt;"",$G39&lt;&gt;$H39),MAX($G39,$H39),""))</f>
        <v/>
      </c>
      <c r="AF39" s="12" t="str">
        <f aca="false">IF(AC39=0,"",IF(AE39="",AG39,IF(IF($G39&lt;$H39,"Part-Time","Full-Time")="Full-Time","FT",IF(AND(IF($G39&lt;$H39,"Part-Time","Full-Time")="Part-Time",OR($O39="",N($O39)&gt;=PT_MinHours)),"PT","None"))))</f>
        <v/>
      </c>
      <c r="AG39" s="12" t="str">
        <f aca="false">IF(AC39=0,"",IF($C39="Full-Time","FT",IF(AND($C39="Part-Time",OR($O39="",N($O39)&gt;=PT_MinHours)),"PT","None")))</f>
        <v/>
      </c>
      <c r="AH39" s="12" t="str">
        <f aca="false">IF(AC39=0,"",IF(AsOfDate&lt;AD39,-1,12*(YEAR(AsOfDate)-YEAR(AD39))+MONTH(AsOfDate)-MONTH(AD39)-IF(DAY(AsOfDate)&lt;MIN(DAY(AD39),DAY(EOMONTH(AsOfDate,0))),1,0)))</f>
        <v/>
      </c>
      <c r="AI39" s="12" t="str">
        <f aca="false">IF(AC39=0,"",IF(OR(AE39="",AE39&gt;AsOfDate),AH39,IF((AE39-1)&lt;AD39,-1,12*(YEAR((AE39-1))-YEAR(AD39))+MONTH((AE39-1))-MONTH(AD39)-IF(DAY((AE39-1))&lt;MIN(DAY(AD39),DAY(EOMONTH((AE39-1),0))),1,0))))</f>
        <v/>
      </c>
      <c r="AJ39" s="12" t="str">
        <f aca="false">IF(AC39=0,"",IF(PFYDate&lt;AD39,-1,12*(YEAR(PFYDate)-YEAR(AD39))+MONTH(PFYDate)-MONTH(AD39)-IF(DAY(PFYDate)&lt;MIN(DAY(AD39),DAY(EOMONTH(PFYDate,0))),1,0)))</f>
        <v/>
      </c>
      <c r="AK39" s="12" t="str">
        <f aca="false">IF(AC39=0,"",IF(OR(AE39="",AE39&gt;PFYDate),AJ39,IF((AE39-1)&lt;AD39,-1,12*(YEAR((AE39-1))-YEAR(AD39))+MONTH((AE39-1))-MONTH(AD39)-IF(DAY((AE39-1))&lt;MIN(DAY(AD39),DAY(EOMONTH((AE39-1),0))),1,0))))</f>
        <v/>
      </c>
      <c r="AL39" s="12" t="str">
        <f aca="false">IF(AC39=0,"",IF(AF39="FT",IF(AI39&lt;FT_First,0,IF(AI39&lt;FT_Y5,1+INT((AI39-FT_First)/FT_Int1),FT_PreY5+FT_PerYear*INT((AI39-FT_Y5)/12)+FT_AnnivDays+INT(MOD(AI39-FT_Y5,12)/FT_Int2))),IF(AF39="PT",IF(AI39&lt;PT_First,0,1+INT((AI39-PT_First)/PT_Int)),0))+IF(OR(AE39="",AE39&gt;AsOfDate),0,IF(AG39="FT",IF(AH39&lt;FT_First,0,IF(AH39&lt;FT_Y5,1+INT((AH39-FT_First)/FT_Int1),FT_PreY5+FT_PerYear*INT((AH39-FT_Y5)/12)+FT_AnnivDays+INT(MOD(AH39-FT_Y5,12)/FT_Int2))),IF(AG39="PT",IF(AH39&lt;PT_First,0,1+INT((AH39-PT_First)/PT_Int)),0))-IF(AG39="FT",IF(AI39&lt;FT_First,0,IF(AI39&lt;FT_Y5,1+INT((AI39-FT_First)/FT_Int1),FT_PreY5+FT_PerYear*INT((AI39-FT_Y5)/12)+FT_AnnivDays+INT(MOD(AI39-FT_Y5,12)/FT_Int2))),IF(AG39="PT",IF(AI39&lt;PT_First,0,1+INT((AI39-PT_First)/PT_Int)),0))))</f>
        <v/>
      </c>
      <c r="AM39" s="12" t="str">
        <f aca="false">IF(AC39=0,"",IF(AF39="FT",IF(AK39&lt;FT_First,0,IF(AK39&lt;FT_Y5,1+INT((AK39-FT_First)/FT_Int1),FT_PreY5+FT_PerYear*INT((AK39-FT_Y5)/12)+FT_AnnivDays+INT(MOD(AK39-FT_Y5,12)/FT_Int2))),IF(AF39="PT",IF(AK39&lt;PT_First,0,1+INT((AK39-PT_First)/PT_Int)),0))+IF(OR(AE39="",AE39&gt;PFYDate),0,IF(AG39="FT",IF(AJ39&lt;FT_First,0,IF(AJ39&lt;FT_Y5,1+INT((AJ39-FT_First)/FT_Int1),FT_PreY5+FT_PerYear*INT((AJ39-FT_Y5)/12)+FT_AnnivDays+INT(MOD(AJ39-FT_Y5,12)/FT_Int2))),IF(AG39="PT",IF(AJ39&lt;PT_First,0,1+INT((AJ39-PT_First)/PT_Int)),0))-IF(AG39="FT",IF(AK39&lt;FT_First,0,IF(AK39&lt;FT_Y5,1+INT((AK39-FT_First)/FT_Int1),FT_PreY5+FT_PerYear*INT((AK39-FT_Y5)/12)+FT_AnnivDays+INT(MOD(AK39-FT_Y5,12)/FT_Int2))),IF(AG39="PT",IF(AK39&lt;PT_First,0,1+INT((AK39-PT_First)/PT_Int)),0))))</f>
        <v/>
      </c>
      <c r="AN39" s="12" t="str">
        <f aca="false">IF(AC39=0,"",IF(AG39="FT",IF(AH39&lt;FT_First,FT_First,IF(AH39&lt;FT_Y5,MIN(FT_Y5,FT_First+FT_Int1*(INT((AH39-FT_First)/FT_Int1)+1)),FT_Y5+12*INT((AH39-FT_Y5)/12)+FT_Int2*(INT(MOD(AH39-FT_Y5,12)/FT_Int2)+1))),IF(AG39="PT",IF(AH39&lt;PT_First,PT_First,PT_First+PT_Int*(INT((AH39-PT_First)/PT_Int)+1)),"")))</f>
        <v/>
      </c>
      <c r="AO39" s="12" t="str">
        <f aca="false">IF(AC39=0,"",IF(NOT(CFY_Ready),0,COUNTIFS(INDEX(CFY_Data,0,CFY_ColFirst),$A39,INDEX(CFY_Data,0,CFY_ColSur),$B39,INDEX(CFY_Data,0,CFY_ColCat),BonusCat)))</f>
        <v/>
      </c>
    </row>
    <row r="40" customFormat="false" ht="15" hidden="false" customHeight="false" outlineLevel="0" collapsed="false">
      <c r="A40" s="15"/>
      <c r="B40" s="15"/>
      <c r="C40" s="15"/>
      <c r="D40" s="16"/>
      <c r="E40" s="10" t="str">
        <f aca="false">IF(OR(AC40=0,$D40=""),"",DATE(YEAR(AsOfDate)+IF(DATE(YEAR(AsOfDate),MONTH($D40),DAY($D40))&lt;=AsOfDate,1,0),MONTH($D40),DAY($D40)))</f>
        <v/>
      </c>
      <c r="F40" s="16"/>
      <c r="G40" s="16"/>
      <c r="H40" s="16"/>
      <c r="I40" s="16"/>
      <c r="J40" s="10" t="str">
        <f aca="false">IF(AC40=0,"",DATE(YEAR(AsOfDate)+IF(DATE(YEAR(AsOfDate),MONTH($F40),DAY($F40))&lt;=AsOfDate,1,0),MONTH($F40),DAY($F40)))</f>
        <v/>
      </c>
      <c r="K40" s="11" t="str">
        <f aca="false">IF(AC40=0,"",ROUND((AsOfDate-$F40)/365.25,1))</f>
        <v/>
      </c>
      <c r="L40" s="12" t="str">
        <f aca="false">IF(AC40=0,"",IF(AsOfDate&lt;AD40,"-",DATEDIF(AD40,AsOfDate,"y")&amp;"y "&amp;DATEDIF(AD40,AsOfDate,"ym")&amp;"m "&amp;DATEDIF(AD40,AsOfDate,"md")&amp;"d"))</f>
        <v/>
      </c>
      <c r="M40" s="13" t="str">
        <f aca="false">IF(AC40=0,"",N40*HoursPerDay)</f>
        <v/>
      </c>
      <c r="N40" s="13" t="str">
        <f aca="false">IF(AC40=0,"",AL40)</f>
        <v/>
      </c>
      <c r="O40" s="17"/>
      <c r="P40" s="12" t="str">
        <f aca="false">IF(AC40=0,"",IF(AE40="","",IF($G40&lt;$H40,"Part-Time to Full-Time","Full-Time to Part-Time")&amp;" on "&amp;TEXT(AE40,"dd/mm/yyyy")&amp;IF(AE40&gt;AsOfDate," (future)",IF(AF40=AG40,"",IF(AG40="None"," - STOPPED accruing",IF(AF40="None"," - now qualifying"," - pathway changed"))))))</f>
        <v/>
      </c>
      <c r="Q40" s="12" t="str">
        <f aca="false">IF(AC40=0,"",IF(AG40="None",IF(N40&gt;0,"No longer accruing","Not eligible - "&amp;IF(AND($C40="Part-Time",N($O40)&lt;PT_MinHours,$O40&lt;&gt;""),"under "&amp;PT_MinHours&amp;" hrs",$C40)),IF(N40&gt;0,"Yes - accruing","Not yet - from "&amp;TEXT(R40,"dd/mm/yyyy"))))</f>
        <v/>
      </c>
      <c r="R40" s="10" t="str">
        <f aca="false">IF(AC40=0,"",IF(AG40="None","",EDATE(AD40,AN40)))</f>
        <v/>
      </c>
      <c r="S40" s="13" t="str">
        <f aca="false">IF(AC40=0,"",IF(NOT(PFY_Ready),"",SUMIFS(INDEX(PFY_Data,0,PFY_ColBal),INDEX(PFY_Data,0,PFY_ColFirst),$A40,INDEX(PFY_Data,0,PFY_ColSur),$B40,INDEX(PFY_Data,0,PFY_ColCat),BonusCat)))</f>
        <v/>
      </c>
      <c r="T40" s="17"/>
      <c r="U40" s="13" t="str">
        <f aca="false">IF(AC40=0,"",IF(NOT(CFY_Ready),"",SUMIFS(INDEX(CFY_Data,0,CFY_ColBal),INDEX(CFY_Data,0,CFY_ColFirst),$A40,INDEX(CFY_Data,0,CFY_ColSur),$B40,INDEX(CFY_Data,0,CFY_ColCat),BonusCat)))</f>
        <v/>
      </c>
      <c r="V40" s="13" t="str">
        <f aca="false">IF(AC40=0,"",IF(OR(NOT(CFY_Ready),CFY_ColAppr=0),"",SUMIFS(INDEX(CFY_Data,0,CFY_ColAppr),INDEX(CFY_Data,0,CFY_ColFirst),$A40,INDEX(CFY_Data,0,CFY_ColSur),$B40,INDEX(CFY_Data,0,CFY_ColCat),BonusCat)))</f>
        <v/>
      </c>
      <c r="W40" s="13" t="str">
        <f aca="false">IF(OR(AC40=0,S40="",U40=""),"",MAX(0,S40+N($T40)-U40))</f>
        <v/>
      </c>
      <c r="X40" s="13" t="str">
        <f aca="false">IF(AC40=0,"",(AL40-AM40)*HoursPerDay)</f>
        <v/>
      </c>
      <c r="Y40" s="13" t="str">
        <f aca="false">IF(AC40=0,"",X40-N($T40))</f>
        <v/>
      </c>
      <c r="Z40" s="12" t="str">
        <f aca="false">IF(AC40=0,"",IF(Y40&gt;0,"Yes","No"))</f>
        <v/>
      </c>
      <c r="AA40" s="12" t="str">
        <f aca="false">IF(AC40=0,"",IF(NOT(CFY_Ready),"Paste CFY EH export",IF(Y40&gt;0,"ACCRUE "&amp;TEXT(Y40,"0.##")&amp;" hrs ("&amp;TEXT(Y40/HoursPerDay,"0.##")&amp;" days)"&amp;IF(AO40=0," - no Bonus Leave line in EH yet",""),IF(Y40&lt;0,"CHECK - posted "&amp;TEXT(-Y40,"0.##")&amp;" hrs more than policy",IF(AND(N40&gt;0,AO40=0,U40=0),"CHECK - policy says "&amp;TEXT(M40,"0.##")&amp;" hrs to date but nothing in EH",IF(N40&gt;0,"OK","-"))))))</f>
        <v/>
      </c>
      <c r="AB40" s="13" t="str">
        <f aca="false">IF(OR(AC40=0,S40=""),"",AM40*HoursPerDay-S40)</f>
        <v/>
      </c>
      <c r="AC40" s="12" t="n">
        <f aca="false">IF(OR(LEN($A40&amp;$B40)=0,$F40=""),0,1)</f>
        <v>0</v>
      </c>
      <c r="AD40" s="10" t="str">
        <f aca="false">IF(AC40=0,"",IF($I40&lt;&gt;"",$I40,$F40))</f>
        <v/>
      </c>
      <c r="AE40" s="10" t="str">
        <f aca="false">IF(AC40=0,"",IF(AND($G40&lt;&gt;"",$H40&lt;&gt;"",$G40&lt;&gt;$H40),MAX($G40,$H40),""))</f>
        <v/>
      </c>
      <c r="AF40" s="12" t="str">
        <f aca="false">IF(AC40=0,"",IF(AE40="",AG40,IF(IF($G40&lt;$H40,"Part-Time","Full-Time")="Full-Time","FT",IF(AND(IF($G40&lt;$H40,"Part-Time","Full-Time")="Part-Time",OR($O40="",N($O40)&gt;=PT_MinHours)),"PT","None"))))</f>
        <v/>
      </c>
      <c r="AG40" s="12" t="str">
        <f aca="false">IF(AC40=0,"",IF($C40="Full-Time","FT",IF(AND($C40="Part-Time",OR($O40="",N($O40)&gt;=PT_MinHours)),"PT","None")))</f>
        <v/>
      </c>
      <c r="AH40" s="12" t="str">
        <f aca="false">IF(AC40=0,"",IF(AsOfDate&lt;AD40,-1,12*(YEAR(AsOfDate)-YEAR(AD40))+MONTH(AsOfDate)-MONTH(AD40)-IF(DAY(AsOfDate)&lt;MIN(DAY(AD40),DAY(EOMONTH(AsOfDate,0))),1,0)))</f>
        <v/>
      </c>
      <c r="AI40" s="12" t="str">
        <f aca="false">IF(AC40=0,"",IF(OR(AE40="",AE40&gt;AsOfDate),AH40,IF((AE40-1)&lt;AD40,-1,12*(YEAR((AE40-1))-YEAR(AD40))+MONTH((AE40-1))-MONTH(AD40)-IF(DAY((AE40-1))&lt;MIN(DAY(AD40),DAY(EOMONTH((AE40-1),0))),1,0))))</f>
        <v/>
      </c>
      <c r="AJ40" s="12" t="str">
        <f aca="false">IF(AC40=0,"",IF(PFYDate&lt;AD40,-1,12*(YEAR(PFYDate)-YEAR(AD40))+MONTH(PFYDate)-MONTH(AD40)-IF(DAY(PFYDate)&lt;MIN(DAY(AD40),DAY(EOMONTH(PFYDate,0))),1,0)))</f>
        <v/>
      </c>
      <c r="AK40" s="12" t="str">
        <f aca="false">IF(AC40=0,"",IF(OR(AE40="",AE40&gt;PFYDate),AJ40,IF((AE40-1)&lt;AD40,-1,12*(YEAR((AE40-1))-YEAR(AD40))+MONTH((AE40-1))-MONTH(AD40)-IF(DAY((AE40-1))&lt;MIN(DAY(AD40),DAY(EOMONTH((AE40-1),0))),1,0))))</f>
        <v/>
      </c>
      <c r="AL40" s="12" t="str">
        <f aca="false">IF(AC40=0,"",IF(AF40="FT",IF(AI40&lt;FT_First,0,IF(AI40&lt;FT_Y5,1+INT((AI40-FT_First)/FT_Int1),FT_PreY5+FT_PerYear*INT((AI40-FT_Y5)/12)+FT_AnnivDays+INT(MOD(AI40-FT_Y5,12)/FT_Int2))),IF(AF40="PT",IF(AI40&lt;PT_First,0,1+INT((AI40-PT_First)/PT_Int)),0))+IF(OR(AE40="",AE40&gt;AsOfDate),0,IF(AG40="FT",IF(AH40&lt;FT_First,0,IF(AH40&lt;FT_Y5,1+INT((AH40-FT_First)/FT_Int1),FT_PreY5+FT_PerYear*INT((AH40-FT_Y5)/12)+FT_AnnivDays+INT(MOD(AH40-FT_Y5,12)/FT_Int2))),IF(AG40="PT",IF(AH40&lt;PT_First,0,1+INT((AH40-PT_First)/PT_Int)),0))-IF(AG40="FT",IF(AI40&lt;FT_First,0,IF(AI40&lt;FT_Y5,1+INT((AI40-FT_First)/FT_Int1),FT_PreY5+FT_PerYear*INT((AI40-FT_Y5)/12)+FT_AnnivDays+INT(MOD(AI40-FT_Y5,12)/FT_Int2))),IF(AG40="PT",IF(AI40&lt;PT_First,0,1+INT((AI40-PT_First)/PT_Int)),0))))</f>
        <v/>
      </c>
      <c r="AM40" s="12" t="str">
        <f aca="false">IF(AC40=0,"",IF(AF40="FT",IF(AK40&lt;FT_First,0,IF(AK40&lt;FT_Y5,1+INT((AK40-FT_First)/FT_Int1),FT_PreY5+FT_PerYear*INT((AK40-FT_Y5)/12)+FT_AnnivDays+INT(MOD(AK40-FT_Y5,12)/FT_Int2))),IF(AF40="PT",IF(AK40&lt;PT_First,0,1+INT((AK40-PT_First)/PT_Int)),0))+IF(OR(AE40="",AE40&gt;PFYDate),0,IF(AG40="FT",IF(AJ40&lt;FT_First,0,IF(AJ40&lt;FT_Y5,1+INT((AJ40-FT_First)/FT_Int1),FT_PreY5+FT_PerYear*INT((AJ40-FT_Y5)/12)+FT_AnnivDays+INT(MOD(AJ40-FT_Y5,12)/FT_Int2))),IF(AG40="PT",IF(AJ40&lt;PT_First,0,1+INT((AJ40-PT_First)/PT_Int)),0))-IF(AG40="FT",IF(AK40&lt;FT_First,0,IF(AK40&lt;FT_Y5,1+INT((AK40-FT_First)/FT_Int1),FT_PreY5+FT_PerYear*INT((AK40-FT_Y5)/12)+FT_AnnivDays+INT(MOD(AK40-FT_Y5,12)/FT_Int2))),IF(AG40="PT",IF(AK40&lt;PT_First,0,1+INT((AK40-PT_First)/PT_Int)),0))))</f>
        <v/>
      </c>
      <c r="AN40" s="12" t="str">
        <f aca="false">IF(AC40=0,"",IF(AG40="FT",IF(AH40&lt;FT_First,FT_First,IF(AH40&lt;FT_Y5,MIN(FT_Y5,FT_First+FT_Int1*(INT((AH40-FT_First)/FT_Int1)+1)),FT_Y5+12*INT((AH40-FT_Y5)/12)+FT_Int2*(INT(MOD(AH40-FT_Y5,12)/FT_Int2)+1))),IF(AG40="PT",IF(AH40&lt;PT_First,PT_First,PT_First+PT_Int*(INT((AH40-PT_First)/PT_Int)+1)),"")))</f>
        <v/>
      </c>
      <c r="AO40" s="12" t="str">
        <f aca="false">IF(AC40=0,"",IF(NOT(CFY_Ready),0,COUNTIFS(INDEX(CFY_Data,0,CFY_ColFirst),$A40,INDEX(CFY_Data,0,CFY_ColSur),$B40,INDEX(CFY_Data,0,CFY_ColCat),BonusCat)))</f>
        <v/>
      </c>
    </row>
    <row r="41" customFormat="false" ht="15" hidden="false" customHeight="false" outlineLevel="0" collapsed="false">
      <c r="A41" s="15"/>
      <c r="B41" s="15"/>
      <c r="C41" s="15"/>
      <c r="D41" s="16"/>
      <c r="E41" s="10" t="str">
        <f aca="false">IF(OR(AC41=0,$D41=""),"",DATE(YEAR(AsOfDate)+IF(DATE(YEAR(AsOfDate),MONTH($D41),DAY($D41))&lt;=AsOfDate,1,0),MONTH($D41),DAY($D41)))</f>
        <v/>
      </c>
      <c r="F41" s="16"/>
      <c r="G41" s="16"/>
      <c r="H41" s="16"/>
      <c r="I41" s="16"/>
      <c r="J41" s="10" t="str">
        <f aca="false">IF(AC41=0,"",DATE(YEAR(AsOfDate)+IF(DATE(YEAR(AsOfDate),MONTH($F41),DAY($F41))&lt;=AsOfDate,1,0),MONTH($F41),DAY($F41)))</f>
        <v/>
      </c>
      <c r="K41" s="11" t="str">
        <f aca="false">IF(AC41=0,"",ROUND((AsOfDate-$F41)/365.25,1))</f>
        <v/>
      </c>
      <c r="L41" s="12" t="str">
        <f aca="false">IF(AC41=0,"",IF(AsOfDate&lt;AD41,"-",DATEDIF(AD41,AsOfDate,"y")&amp;"y "&amp;DATEDIF(AD41,AsOfDate,"ym")&amp;"m "&amp;DATEDIF(AD41,AsOfDate,"md")&amp;"d"))</f>
        <v/>
      </c>
      <c r="M41" s="13" t="str">
        <f aca="false">IF(AC41=0,"",N41*HoursPerDay)</f>
        <v/>
      </c>
      <c r="N41" s="13" t="str">
        <f aca="false">IF(AC41=0,"",AL41)</f>
        <v/>
      </c>
      <c r="O41" s="17"/>
      <c r="P41" s="12" t="str">
        <f aca="false">IF(AC41=0,"",IF(AE41="","",IF($G41&lt;$H41,"Part-Time to Full-Time","Full-Time to Part-Time")&amp;" on "&amp;TEXT(AE41,"dd/mm/yyyy")&amp;IF(AE41&gt;AsOfDate," (future)",IF(AF41=AG41,"",IF(AG41="None"," - STOPPED accruing",IF(AF41="None"," - now qualifying"," - pathway changed"))))))</f>
        <v/>
      </c>
      <c r="Q41" s="12" t="str">
        <f aca="false">IF(AC41=0,"",IF(AG41="None",IF(N41&gt;0,"No longer accruing","Not eligible - "&amp;IF(AND($C41="Part-Time",N($O41)&lt;PT_MinHours,$O41&lt;&gt;""),"under "&amp;PT_MinHours&amp;" hrs",$C41)),IF(N41&gt;0,"Yes - accruing","Not yet - from "&amp;TEXT(R41,"dd/mm/yyyy"))))</f>
        <v/>
      </c>
      <c r="R41" s="10" t="str">
        <f aca="false">IF(AC41=0,"",IF(AG41="None","",EDATE(AD41,AN41)))</f>
        <v/>
      </c>
      <c r="S41" s="13" t="str">
        <f aca="false">IF(AC41=0,"",IF(NOT(PFY_Ready),"",SUMIFS(INDEX(PFY_Data,0,PFY_ColBal),INDEX(PFY_Data,0,PFY_ColFirst),$A41,INDEX(PFY_Data,0,PFY_ColSur),$B41,INDEX(PFY_Data,0,PFY_ColCat),BonusCat)))</f>
        <v/>
      </c>
      <c r="T41" s="17"/>
      <c r="U41" s="13" t="str">
        <f aca="false">IF(AC41=0,"",IF(NOT(CFY_Ready),"",SUMIFS(INDEX(CFY_Data,0,CFY_ColBal),INDEX(CFY_Data,0,CFY_ColFirst),$A41,INDEX(CFY_Data,0,CFY_ColSur),$B41,INDEX(CFY_Data,0,CFY_ColCat),BonusCat)))</f>
        <v/>
      </c>
      <c r="V41" s="13" t="str">
        <f aca="false">IF(AC41=0,"",IF(OR(NOT(CFY_Ready),CFY_ColAppr=0),"",SUMIFS(INDEX(CFY_Data,0,CFY_ColAppr),INDEX(CFY_Data,0,CFY_ColFirst),$A41,INDEX(CFY_Data,0,CFY_ColSur),$B41,INDEX(CFY_Data,0,CFY_ColCat),BonusCat)))</f>
        <v/>
      </c>
      <c r="W41" s="13" t="str">
        <f aca="false">IF(OR(AC41=0,S41="",U41=""),"",MAX(0,S41+N($T41)-U41))</f>
        <v/>
      </c>
      <c r="X41" s="13" t="str">
        <f aca="false">IF(AC41=0,"",(AL41-AM41)*HoursPerDay)</f>
        <v/>
      </c>
      <c r="Y41" s="13" t="str">
        <f aca="false">IF(AC41=0,"",X41-N($T41))</f>
        <v/>
      </c>
      <c r="Z41" s="12" t="str">
        <f aca="false">IF(AC41=0,"",IF(Y41&gt;0,"Yes","No"))</f>
        <v/>
      </c>
      <c r="AA41" s="12" t="str">
        <f aca="false">IF(AC41=0,"",IF(NOT(CFY_Ready),"Paste CFY EH export",IF(Y41&gt;0,"ACCRUE "&amp;TEXT(Y41,"0.##")&amp;" hrs ("&amp;TEXT(Y41/HoursPerDay,"0.##")&amp;" days)"&amp;IF(AO41=0," - no Bonus Leave line in EH yet",""),IF(Y41&lt;0,"CHECK - posted "&amp;TEXT(-Y41,"0.##")&amp;" hrs more than policy",IF(AND(N41&gt;0,AO41=0,U41=0),"CHECK - policy says "&amp;TEXT(M41,"0.##")&amp;" hrs to date but nothing in EH",IF(N41&gt;0,"OK","-"))))))</f>
        <v/>
      </c>
      <c r="AB41" s="13" t="str">
        <f aca="false">IF(OR(AC41=0,S41=""),"",AM41*HoursPerDay-S41)</f>
        <v/>
      </c>
      <c r="AC41" s="12" t="n">
        <f aca="false">IF(OR(LEN($A41&amp;$B41)=0,$F41=""),0,1)</f>
        <v>0</v>
      </c>
      <c r="AD41" s="10" t="str">
        <f aca="false">IF(AC41=0,"",IF($I41&lt;&gt;"",$I41,$F41))</f>
        <v/>
      </c>
      <c r="AE41" s="10" t="str">
        <f aca="false">IF(AC41=0,"",IF(AND($G41&lt;&gt;"",$H41&lt;&gt;"",$G41&lt;&gt;$H41),MAX($G41,$H41),""))</f>
        <v/>
      </c>
      <c r="AF41" s="12" t="str">
        <f aca="false">IF(AC41=0,"",IF(AE41="",AG41,IF(IF($G41&lt;$H41,"Part-Time","Full-Time")="Full-Time","FT",IF(AND(IF($G41&lt;$H41,"Part-Time","Full-Time")="Part-Time",OR($O41="",N($O41)&gt;=PT_MinHours)),"PT","None"))))</f>
        <v/>
      </c>
      <c r="AG41" s="12" t="str">
        <f aca="false">IF(AC41=0,"",IF($C41="Full-Time","FT",IF(AND($C41="Part-Time",OR($O41="",N($O41)&gt;=PT_MinHours)),"PT","None")))</f>
        <v/>
      </c>
      <c r="AH41" s="12" t="str">
        <f aca="false">IF(AC41=0,"",IF(AsOfDate&lt;AD41,-1,12*(YEAR(AsOfDate)-YEAR(AD41))+MONTH(AsOfDate)-MONTH(AD41)-IF(DAY(AsOfDate)&lt;MIN(DAY(AD41),DAY(EOMONTH(AsOfDate,0))),1,0)))</f>
        <v/>
      </c>
      <c r="AI41" s="12" t="str">
        <f aca="false">IF(AC41=0,"",IF(OR(AE41="",AE41&gt;AsOfDate),AH41,IF((AE41-1)&lt;AD41,-1,12*(YEAR((AE41-1))-YEAR(AD41))+MONTH((AE41-1))-MONTH(AD41)-IF(DAY((AE41-1))&lt;MIN(DAY(AD41),DAY(EOMONTH((AE41-1),0))),1,0))))</f>
        <v/>
      </c>
      <c r="AJ41" s="12" t="str">
        <f aca="false">IF(AC41=0,"",IF(PFYDate&lt;AD41,-1,12*(YEAR(PFYDate)-YEAR(AD41))+MONTH(PFYDate)-MONTH(AD41)-IF(DAY(PFYDate)&lt;MIN(DAY(AD41),DAY(EOMONTH(PFYDate,0))),1,0)))</f>
        <v/>
      </c>
      <c r="AK41" s="12" t="str">
        <f aca="false">IF(AC41=0,"",IF(OR(AE41="",AE41&gt;PFYDate),AJ41,IF((AE41-1)&lt;AD41,-1,12*(YEAR((AE41-1))-YEAR(AD41))+MONTH((AE41-1))-MONTH(AD41)-IF(DAY((AE41-1))&lt;MIN(DAY(AD41),DAY(EOMONTH((AE41-1),0))),1,0))))</f>
        <v/>
      </c>
      <c r="AL41" s="12" t="str">
        <f aca="false">IF(AC41=0,"",IF(AF41="FT",IF(AI41&lt;FT_First,0,IF(AI41&lt;FT_Y5,1+INT((AI41-FT_First)/FT_Int1),FT_PreY5+FT_PerYear*INT((AI41-FT_Y5)/12)+FT_AnnivDays+INT(MOD(AI41-FT_Y5,12)/FT_Int2))),IF(AF41="PT",IF(AI41&lt;PT_First,0,1+INT((AI41-PT_First)/PT_Int)),0))+IF(OR(AE41="",AE41&gt;AsOfDate),0,IF(AG41="FT",IF(AH41&lt;FT_First,0,IF(AH41&lt;FT_Y5,1+INT((AH41-FT_First)/FT_Int1),FT_PreY5+FT_PerYear*INT((AH41-FT_Y5)/12)+FT_AnnivDays+INT(MOD(AH41-FT_Y5,12)/FT_Int2))),IF(AG41="PT",IF(AH41&lt;PT_First,0,1+INT((AH41-PT_First)/PT_Int)),0))-IF(AG41="FT",IF(AI41&lt;FT_First,0,IF(AI41&lt;FT_Y5,1+INT((AI41-FT_First)/FT_Int1),FT_PreY5+FT_PerYear*INT((AI41-FT_Y5)/12)+FT_AnnivDays+INT(MOD(AI41-FT_Y5,12)/FT_Int2))),IF(AG41="PT",IF(AI41&lt;PT_First,0,1+INT((AI41-PT_First)/PT_Int)),0))))</f>
        <v/>
      </c>
      <c r="AM41" s="12" t="str">
        <f aca="false">IF(AC41=0,"",IF(AF41="FT",IF(AK41&lt;FT_First,0,IF(AK41&lt;FT_Y5,1+INT((AK41-FT_First)/FT_Int1),FT_PreY5+FT_PerYear*INT((AK41-FT_Y5)/12)+FT_AnnivDays+INT(MOD(AK41-FT_Y5,12)/FT_Int2))),IF(AF41="PT",IF(AK41&lt;PT_First,0,1+INT((AK41-PT_First)/PT_Int)),0))+IF(OR(AE41="",AE41&gt;PFYDate),0,IF(AG41="FT",IF(AJ41&lt;FT_First,0,IF(AJ41&lt;FT_Y5,1+INT((AJ41-FT_First)/FT_Int1),FT_PreY5+FT_PerYear*INT((AJ41-FT_Y5)/12)+FT_AnnivDays+INT(MOD(AJ41-FT_Y5,12)/FT_Int2))),IF(AG41="PT",IF(AJ41&lt;PT_First,0,1+INT((AJ41-PT_First)/PT_Int)),0))-IF(AG41="FT",IF(AK41&lt;FT_First,0,IF(AK41&lt;FT_Y5,1+INT((AK41-FT_First)/FT_Int1),FT_PreY5+FT_PerYear*INT((AK41-FT_Y5)/12)+FT_AnnivDays+INT(MOD(AK41-FT_Y5,12)/FT_Int2))),IF(AG41="PT",IF(AK41&lt;PT_First,0,1+INT((AK41-PT_First)/PT_Int)),0))))</f>
        <v/>
      </c>
      <c r="AN41" s="12" t="str">
        <f aca="false">IF(AC41=0,"",IF(AG41="FT",IF(AH41&lt;FT_First,FT_First,IF(AH41&lt;FT_Y5,MIN(FT_Y5,FT_First+FT_Int1*(INT((AH41-FT_First)/FT_Int1)+1)),FT_Y5+12*INT((AH41-FT_Y5)/12)+FT_Int2*(INT(MOD(AH41-FT_Y5,12)/FT_Int2)+1))),IF(AG41="PT",IF(AH41&lt;PT_First,PT_First,PT_First+PT_Int*(INT((AH41-PT_First)/PT_Int)+1)),"")))</f>
        <v/>
      </c>
      <c r="AO41" s="12" t="str">
        <f aca="false">IF(AC41=0,"",IF(NOT(CFY_Ready),0,COUNTIFS(INDEX(CFY_Data,0,CFY_ColFirst),$A41,INDEX(CFY_Data,0,CFY_ColSur),$B41,INDEX(CFY_Data,0,CFY_ColCat),BonusCat)))</f>
        <v/>
      </c>
    </row>
    <row r="42" customFormat="false" ht="15" hidden="false" customHeight="false" outlineLevel="0" collapsed="false">
      <c r="A42" s="15"/>
      <c r="B42" s="15"/>
      <c r="C42" s="15"/>
      <c r="D42" s="16"/>
      <c r="E42" s="10" t="str">
        <f aca="false">IF(OR(AC42=0,$D42=""),"",DATE(YEAR(AsOfDate)+IF(DATE(YEAR(AsOfDate),MONTH($D42),DAY($D42))&lt;=AsOfDate,1,0),MONTH($D42),DAY($D42)))</f>
        <v/>
      </c>
      <c r="F42" s="16"/>
      <c r="G42" s="16"/>
      <c r="H42" s="16"/>
      <c r="I42" s="16"/>
      <c r="J42" s="10" t="str">
        <f aca="false">IF(AC42=0,"",DATE(YEAR(AsOfDate)+IF(DATE(YEAR(AsOfDate),MONTH($F42),DAY($F42))&lt;=AsOfDate,1,0),MONTH($F42),DAY($F42)))</f>
        <v/>
      </c>
      <c r="K42" s="11" t="str">
        <f aca="false">IF(AC42=0,"",ROUND((AsOfDate-$F42)/365.25,1))</f>
        <v/>
      </c>
      <c r="L42" s="12" t="str">
        <f aca="false">IF(AC42=0,"",IF(AsOfDate&lt;AD42,"-",DATEDIF(AD42,AsOfDate,"y")&amp;"y "&amp;DATEDIF(AD42,AsOfDate,"ym")&amp;"m "&amp;DATEDIF(AD42,AsOfDate,"md")&amp;"d"))</f>
        <v/>
      </c>
      <c r="M42" s="13" t="str">
        <f aca="false">IF(AC42=0,"",N42*HoursPerDay)</f>
        <v/>
      </c>
      <c r="N42" s="13" t="str">
        <f aca="false">IF(AC42=0,"",AL42)</f>
        <v/>
      </c>
      <c r="O42" s="17"/>
      <c r="P42" s="12" t="str">
        <f aca="false">IF(AC42=0,"",IF(AE42="","",IF($G42&lt;$H42,"Part-Time to Full-Time","Full-Time to Part-Time")&amp;" on "&amp;TEXT(AE42,"dd/mm/yyyy")&amp;IF(AE42&gt;AsOfDate," (future)",IF(AF42=AG42,"",IF(AG42="None"," - STOPPED accruing",IF(AF42="None"," - now qualifying"," - pathway changed"))))))</f>
        <v/>
      </c>
      <c r="Q42" s="12" t="str">
        <f aca="false">IF(AC42=0,"",IF(AG42="None",IF(N42&gt;0,"No longer accruing","Not eligible - "&amp;IF(AND($C42="Part-Time",N($O42)&lt;PT_MinHours,$O42&lt;&gt;""),"under "&amp;PT_MinHours&amp;" hrs",$C42)),IF(N42&gt;0,"Yes - accruing","Not yet - from "&amp;TEXT(R42,"dd/mm/yyyy"))))</f>
        <v/>
      </c>
      <c r="R42" s="10" t="str">
        <f aca="false">IF(AC42=0,"",IF(AG42="None","",EDATE(AD42,AN42)))</f>
        <v/>
      </c>
      <c r="S42" s="13" t="str">
        <f aca="false">IF(AC42=0,"",IF(NOT(PFY_Ready),"",SUMIFS(INDEX(PFY_Data,0,PFY_ColBal),INDEX(PFY_Data,0,PFY_ColFirst),$A42,INDEX(PFY_Data,0,PFY_ColSur),$B42,INDEX(PFY_Data,0,PFY_ColCat),BonusCat)))</f>
        <v/>
      </c>
      <c r="T42" s="17"/>
      <c r="U42" s="13" t="str">
        <f aca="false">IF(AC42=0,"",IF(NOT(CFY_Ready),"",SUMIFS(INDEX(CFY_Data,0,CFY_ColBal),INDEX(CFY_Data,0,CFY_ColFirst),$A42,INDEX(CFY_Data,0,CFY_ColSur),$B42,INDEX(CFY_Data,0,CFY_ColCat),BonusCat)))</f>
        <v/>
      </c>
      <c r="V42" s="13" t="str">
        <f aca="false">IF(AC42=0,"",IF(OR(NOT(CFY_Ready),CFY_ColAppr=0),"",SUMIFS(INDEX(CFY_Data,0,CFY_ColAppr),INDEX(CFY_Data,0,CFY_ColFirst),$A42,INDEX(CFY_Data,0,CFY_ColSur),$B42,INDEX(CFY_Data,0,CFY_ColCat),BonusCat)))</f>
        <v/>
      </c>
      <c r="W42" s="13" t="str">
        <f aca="false">IF(OR(AC42=0,S42="",U42=""),"",MAX(0,S42+N($T42)-U42))</f>
        <v/>
      </c>
      <c r="X42" s="13" t="str">
        <f aca="false">IF(AC42=0,"",(AL42-AM42)*HoursPerDay)</f>
        <v/>
      </c>
      <c r="Y42" s="13" t="str">
        <f aca="false">IF(AC42=0,"",X42-N($T42))</f>
        <v/>
      </c>
      <c r="Z42" s="12" t="str">
        <f aca="false">IF(AC42=0,"",IF(Y42&gt;0,"Yes","No"))</f>
        <v/>
      </c>
      <c r="AA42" s="12" t="str">
        <f aca="false">IF(AC42=0,"",IF(NOT(CFY_Ready),"Paste CFY EH export",IF(Y42&gt;0,"ACCRUE "&amp;TEXT(Y42,"0.##")&amp;" hrs ("&amp;TEXT(Y42/HoursPerDay,"0.##")&amp;" days)"&amp;IF(AO42=0," - no Bonus Leave line in EH yet",""),IF(Y42&lt;0,"CHECK - posted "&amp;TEXT(-Y42,"0.##")&amp;" hrs more than policy",IF(AND(N42&gt;0,AO42=0,U42=0),"CHECK - policy says "&amp;TEXT(M42,"0.##")&amp;" hrs to date but nothing in EH",IF(N42&gt;0,"OK","-"))))))</f>
        <v/>
      </c>
      <c r="AB42" s="13" t="str">
        <f aca="false">IF(OR(AC42=0,S42=""),"",AM42*HoursPerDay-S42)</f>
        <v/>
      </c>
      <c r="AC42" s="12" t="n">
        <f aca="false">IF(OR(LEN($A42&amp;$B42)=0,$F42=""),0,1)</f>
        <v>0</v>
      </c>
      <c r="AD42" s="10" t="str">
        <f aca="false">IF(AC42=0,"",IF($I42&lt;&gt;"",$I42,$F42))</f>
        <v/>
      </c>
      <c r="AE42" s="10" t="str">
        <f aca="false">IF(AC42=0,"",IF(AND($G42&lt;&gt;"",$H42&lt;&gt;"",$G42&lt;&gt;$H42),MAX($G42,$H42),""))</f>
        <v/>
      </c>
      <c r="AF42" s="12" t="str">
        <f aca="false">IF(AC42=0,"",IF(AE42="",AG42,IF(IF($G42&lt;$H42,"Part-Time","Full-Time")="Full-Time","FT",IF(AND(IF($G42&lt;$H42,"Part-Time","Full-Time")="Part-Time",OR($O42="",N($O42)&gt;=PT_MinHours)),"PT","None"))))</f>
        <v/>
      </c>
      <c r="AG42" s="12" t="str">
        <f aca="false">IF(AC42=0,"",IF($C42="Full-Time","FT",IF(AND($C42="Part-Time",OR($O42="",N($O42)&gt;=PT_MinHours)),"PT","None")))</f>
        <v/>
      </c>
      <c r="AH42" s="12" t="str">
        <f aca="false">IF(AC42=0,"",IF(AsOfDate&lt;AD42,-1,12*(YEAR(AsOfDate)-YEAR(AD42))+MONTH(AsOfDate)-MONTH(AD42)-IF(DAY(AsOfDate)&lt;MIN(DAY(AD42),DAY(EOMONTH(AsOfDate,0))),1,0)))</f>
        <v/>
      </c>
      <c r="AI42" s="12" t="str">
        <f aca="false">IF(AC42=0,"",IF(OR(AE42="",AE42&gt;AsOfDate),AH42,IF((AE42-1)&lt;AD42,-1,12*(YEAR((AE42-1))-YEAR(AD42))+MONTH((AE42-1))-MONTH(AD42)-IF(DAY((AE42-1))&lt;MIN(DAY(AD42),DAY(EOMONTH((AE42-1),0))),1,0))))</f>
        <v/>
      </c>
      <c r="AJ42" s="12" t="str">
        <f aca="false">IF(AC42=0,"",IF(PFYDate&lt;AD42,-1,12*(YEAR(PFYDate)-YEAR(AD42))+MONTH(PFYDate)-MONTH(AD42)-IF(DAY(PFYDate)&lt;MIN(DAY(AD42),DAY(EOMONTH(PFYDate,0))),1,0)))</f>
        <v/>
      </c>
      <c r="AK42" s="12" t="str">
        <f aca="false">IF(AC42=0,"",IF(OR(AE42="",AE42&gt;PFYDate),AJ42,IF((AE42-1)&lt;AD42,-1,12*(YEAR((AE42-1))-YEAR(AD42))+MONTH((AE42-1))-MONTH(AD42)-IF(DAY((AE42-1))&lt;MIN(DAY(AD42),DAY(EOMONTH((AE42-1),0))),1,0))))</f>
        <v/>
      </c>
      <c r="AL42" s="12" t="str">
        <f aca="false">IF(AC42=0,"",IF(AF42="FT",IF(AI42&lt;FT_First,0,IF(AI42&lt;FT_Y5,1+INT((AI42-FT_First)/FT_Int1),FT_PreY5+FT_PerYear*INT((AI42-FT_Y5)/12)+FT_AnnivDays+INT(MOD(AI42-FT_Y5,12)/FT_Int2))),IF(AF42="PT",IF(AI42&lt;PT_First,0,1+INT((AI42-PT_First)/PT_Int)),0))+IF(OR(AE42="",AE42&gt;AsOfDate),0,IF(AG42="FT",IF(AH42&lt;FT_First,0,IF(AH42&lt;FT_Y5,1+INT((AH42-FT_First)/FT_Int1),FT_PreY5+FT_PerYear*INT((AH42-FT_Y5)/12)+FT_AnnivDays+INT(MOD(AH42-FT_Y5,12)/FT_Int2))),IF(AG42="PT",IF(AH42&lt;PT_First,0,1+INT((AH42-PT_First)/PT_Int)),0))-IF(AG42="FT",IF(AI42&lt;FT_First,0,IF(AI42&lt;FT_Y5,1+INT((AI42-FT_First)/FT_Int1),FT_PreY5+FT_PerYear*INT((AI42-FT_Y5)/12)+FT_AnnivDays+INT(MOD(AI42-FT_Y5,12)/FT_Int2))),IF(AG42="PT",IF(AI42&lt;PT_First,0,1+INT((AI42-PT_First)/PT_Int)),0))))</f>
        <v/>
      </c>
      <c r="AM42" s="12" t="str">
        <f aca="false">IF(AC42=0,"",IF(AF42="FT",IF(AK42&lt;FT_First,0,IF(AK42&lt;FT_Y5,1+INT((AK42-FT_First)/FT_Int1),FT_PreY5+FT_PerYear*INT((AK42-FT_Y5)/12)+FT_AnnivDays+INT(MOD(AK42-FT_Y5,12)/FT_Int2))),IF(AF42="PT",IF(AK42&lt;PT_First,0,1+INT((AK42-PT_First)/PT_Int)),0))+IF(OR(AE42="",AE42&gt;PFYDate),0,IF(AG42="FT",IF(AJ42&lt;FT_First,0,IF(AJ42&lt;FT_Y5,1+INT((AJ42-FT_First)/FT_Int1),FT_PreY5+FT_PerYear*INT((AJ42-FT_Y5)/12)+FT_AnnivDays+INT(MOD(AJ42-FT_Y5,12)/FT_Int2))),IF(AG42="PT",IF(AJ42&lt;PT_First,0,1+INT((AJ42-PT_First)/PT_Int)),0))-IF(AG42="FT",IF(AK42&lt;FT_First,0,IF(AK42&lt;FT_Y5,1+INT((AK42-FT_First)/FT_Int1),FT_PreY5+FT_PerYear*INT((AK42-FT_Y5)/12)+FT_AnnivDays+INT(MOD(AK42-FT_Y5,12)/FT_Int2))),IF(AG42="PT",IF(AK42&lt;PT_First,0,1+INT((AK42-PT_First)/PT_Int)),0))))</f>
        <v/>
      </c>
      <c r="AN42" s="12" t="str">
        <f aca="false">IF(AC42=0,"",IF(AG42="FT",IF(AH42&lt;FT_First,FT_First,IF(AH42&lt;FT_Y5,MIN(FT_Y5,FT_First+FT_Int1*(INT((AH42-FT_First)/FT_Int1)+1)),FT_Y5+12*INT((AH42-FT_Y5)/12)+FT_Int2*(INT(MOD(AH42-FT_Y5,12)/FT_Int2)+1))),IF(AG42="PT",IF(AH42&lt;PT_First,PT_First,PT_First+PT_Int*(INT((AH42-PT_First)/PT_Int)+1)),"")))</f>
        <v/>
      </c>
      <c r="AO42" s="12" t="str">
        <f aca="false">IF(AC42=0,"",IF(NOT(CFY_Ready),0,COUNTIFS(INDEX(CFY_Data,0,CFY_ColFirst),$A42,INDEX(CFY_Data,0,CFY_ColSur),$B42,INDEX(CFY_Data,0,CFY_ColCat),BonusCat)))</f>
        <v/>
      </c>
    </row>
    <row r="43" customFormat="false" ht="15" hidden="false" customHeight="false" outlineLevel="0" collapsed="false">
      <c r="A43" s="15"/>
      <c r="B43" s="15"/>
      <c r="C43" s="15"/>
      <c r="D43" s="16"/>
      <c r="E43" s="10" t="str">
        <f aca="false">IF(OR(AC43=0,$D43=""),"",DATE(YEAR(AsOfDate)+IF(DATE(YEAR(AsOfDate),MONTH($D43),DAY($D43))&lt;=AsOfDate,1,0),MONTH($D43),DAY($D43)))</f>
        <v/>
      </c>
      <c r="F43" s="16"/>
      <c r="G43" s="16"/>
      <c r="H43" s="16"/>
      <c r="I43" s="16"/>
      <c r="J43" s="10" t="str">
        <f aca="false">IF(AC43=0,"",DATE(YEAR(AsOfDate)+IF(DATE(YEAR(AsOfDate),MONTH($F43),DAY($F43))&lt;=AsOfDate,1,0),MONTH($F43),DAY($F43)))</f>
        <v/>
      </c>
      <c r="K43" s="11" t="str">
        <f aca="false">IF(AC43=0,"",ROUND((AsOfDate-$F43)/365.25,1))</f>
        <v/>
      </c>
      <c r="L43" s="12" t="str">
        <f aca="false">IF(AC43=0,"",IF(AsOfDate&lt;AD43,"-",DATEDIF(AD43,AsOfDate,"y")&amp;"y "&amp;DATEDIF(AD43,AsOfDate,"ym")&amp;"m "&amp;DATEDIF(AD43,AsOfDate,"md")&amp;"d"))</f>
        <v/>
      </c>
      <c r="M43" s="13" t="str">
        <f aca="false">IF(AC43=0,"",N43*HoursPerDay)</f>
        <v/>
      </c>
      <c r="N43" s="13" t="str">
        <f aca="false">IF(AC43=0,"",AL43)</f>
        <v/>
      </c>
      <c r="O43" s="17"/>
      <c r="P43" s="12" t="str">
        <f aca="false">IF(AC43=0,"",IF(AE43="","",IF($G43&lt;$H43,"Part-Time to Full-Time","Full-Time to Part-Time")&amp;" on "&amp;TEXT(AE43,"dd/mm/yyyy")&amp;IF(AE43&gt;AsOfDate," (future)",IF(AF43=AG43,"",IF(AG43="None"," - STOPPED accruing",IF(AF43="None"," - now qualifying"," - pathway changed"))))))</f>
        <v/>
      </c>
      <c r="Q43" s="12" t="str">
        <f aca="false">IF(AC43=0,"",IF(AG43="None",IF(N43&gt;0,"No longer accruing","Not eligible - "&amp;IF(AND($C43="Part-Time",N($O43)&lt;PT_MinHours,$O43&lt;&gt;""),"under "&amp;PT_MinHours&amp;" hrs",$C43)),IF(N43&gt;0,"Yes - accruing","Not yet - from "&amp;TEXT(R43,"dd/mm/yyyy"))))</f>
        <v/>
      </c>
      <c r="R43" s="10" t="str">
        <f aca="false">IF(AC43=0,"",IF(AG43="None","",EDATE(AD43,AN43)))</f>
        <v/>
      </c>
      <c r="S43" s="13" t="str">
        <f aca="false">IF(AC43=0,"",IF(NOT(PFY_Ready),"",SUMIFS(INDEX(PFY_Data,0,PFY_ColBal),INDEX(PFY_Data,0,PFY_ColFirst),$A43,INDEX(PFY_Data,0,PFY_ColSur),$B43,INDEX(PFY_Data,0,PFY_ColCat),BonusCat)))</f>
        <v/>
      </c>
      <c r="T43" s="17"/>
      <c r="U43" s="13" t="str">
        <f aca="false">IF(AC43=0,"",IF(NOT(CFY_Ready),"",SUMIFS(INDEX(CFY_Data,0,CFY_ColBal),INDEX(CFY_Data,0,CFY_ColFirst),$A43,INDEX(CFY_Data,0,CFY_ColSur),$B43,INDEX(CFY_Data,0,CFY_ColCat),BonusCat)))</f>
        <v/>
      </c>
      <c r="V43" s="13" t="str">
        <f aca="false">IF(AC43=0,"",IF(OR(NOT(CFY_Ready),CFY_ColAppr=0),"",SUMIFS(INDEX(CFY_Data,0,CFY_ColAppr),INDEX(CFY_Data,0,CFY_ColFirst),$A43,INDEX(CFY_Data,0,CFY_ColSur),$B43,INDEX(CFY_Data,0,CFY_ColCat),BonusCat)))</f>
        <v/>
      </c>
      <c r="W43" s="13" t="str">
        <f aca="false">IF(OR(AC43=0,S43="",U43=""),"",MAX(0,S43+N($T43)-U43))</f>
        <v/>
      </c>
      <c r="X43" s="13" t="str">
        <f aca="false">IF(AC43=0,"",(AL43-AM43)*HoursPerDay)</f>
        <v/>
      </c>
      <c r="Y43" s="13" t="str">
        <f aca="false">IF(AC43=0,"",X43-N($T43))</f>
        <v/>
      </c>
      <c r="Z43" s="12" t="str">
        <f aca="false">IF(AC43=0,"",IF(Y43&gt;0,"Yes","No"))</f>
        <v/>
      </c>
      <c r="AA43" s="12" t="str">
        <f aca="false">IF(AC43=0,"",IF(NOT(CFY_Ready),"Paste CFY EH export",IF(Y43&gt;0,"ACCRUE "&amp;TEXT(Y43,"0.##")&amp;" hrs ("&amp;TEXT(Y43/HoursPerDay,"0.##")&amp;" days)"&amp;IF(AO43=0," - no Bonus Leave line in EH yet",""),IF(Y43&lt;0,"CHECK - posted "&amp;TEXT(-Y43,"0.##")&amp;" hrs more than policy",IF(AND(N43&gt;0,AO43=0,U43=0),"CHECK - policy says "&amp;TEXT(M43,"0.##")&amp;" hrs to date but nothing in EH",IF(N43&gt;0,"OK","-"))))))</f>
        <v/>
      </c>
      <c r="AB43" s="13" t="str">
        <f aca="false">IF(OR(AC43=0,S43=""),"",AM43*HoursPerDay-S43)</f>
        <v/>
      </c>
      <c r="AC43" s="12" t="n">
        <f aca="false">IF(OR(LEN($A43&amp;$B43)=0,$F43=""),0,1)</f>
        <v>0</v>
      </c>
      <c r="AD43" s="10" t="str">
        <f aca="false">IF(AC43=0,"",IF($I43&lt;&gt;"",$I43,$F43))</f>
        <v/>
      </c>
      <c r="AE43" s="10" t="str">
        <f aca="false">IF(AC43=0,"",IF(AND($G43&lt;&gt;"",$H43&lt;&gt;"",$G43&lt;&gt;$H43),MAX($G43,$H43),""))</f>
        <v/>
      </c>
      <c r="AF43" s="12" t="str">
        <f aca="false">IF(AC43=0,"",IF(AE43="",AG43,IF(IF($G43&lt;$H43,"Part-Time","Full-Time")="Full-Time","FT",IF(AND(IF($G43&lt;$H43,"Part-Time","Full-Time")="Part-Time",OR($O43="",N($O43)&gt;=PT_MinHours)),"PT","None"))))</f>
        <v/>
      </c>
      <c r="AG43" s="12" t="str">
        <f aca="false">IF(AC43=0,"",IF($C43="Full-Time","FT",IF(AND($C43="Part-Time",OR($O43="",N($O43)&gt;=PT_MinHours)),"PT","None")))</f>
        <v/>
      </c>
      <c r="AH43" s="12" t="str">
        <f aca="false">IF(AC43=0,"",IF(AsOfDate&lt;AD43,-1,12*(YEAR(AsOfDate)-YEAR(AD43))+MONTH(AsOfDate)-MONTH(AD43)-IF(DAY(AsOfDate)&lt;MIN(DAY(AD43),DAY(EOMONTH(AsOfDate,0))),1,0)))</f>
        <v/>
      </c>
      <c r="AI43" s="12" t="str">
        <f aca="false">IF(AC43=0,"",IF(OR(AE43="",AE43&gt;AsOfDate),AH43,IF((AE43-1)&lt;AD43,-1,12*(YEAR((AE43-1))-YEAR(AD43))+MONTH((AE43-1))-MONTH(AD43)-IF(DAY((AE43-1))&lt;MIN(DAY(AD43),DAY(EOMONTH((AE43-1),0))),1,0))))</f>
        <v/>
      </c>
      <c r="AJ43" s="12" t="str">
        <f aca="false">IF(AC43=0,"",IF(PFYDate&lt;AD43,-1,12*(YEAR(PFYDate)-YEAR(AD43))+MONTH(PFYDate)-MONTH(AD43)-IF(DAY(PFYDate)&lt;MIN(DAY(AD43),DAY(EOMONTH(PFYDate,0))),1,0)))</f>
        <v/>
      </c>
      <c r="AK43" s="12" t="str">
        <f aca="false">IF(AC43=0,"",IF(OR(AE43="",AE43&gt;PFYDate),AJ43,IF((AE43-1)&lt;AD43,-1,12*(YEAR((AE43-1))-YEAR(AD43))+MONTH((AE43-1))-MONTH(AD43)-IF(DAY((AE43-1))&lt;MIN(DAY(AD43),DAY(EOMONTH((AE43-1),0))),1,0))))</f>
        <v/>
      </c>
      <c r="AL43" s="12" t="str">
        <f aca="false">IF(AC43=0,"",IF(AF43="FT",IF(AI43&lt;FT_First,0,IF(AI43&lt;FT_Y5,1+INT((AI43-FT_First)/FT_Int1),FT_PreY5+FT_PerYear*INT((AI43-FT_Y5)/12)+FT_AnnivDays+INT(MOD(AI43-FT_Y5,12)/FT_Int2))),IF(AF43="PT",IF(AI43&lt;PT_First,0,1+INT((AI43-PT_First)/PT_Int)),0))+IF(OR(AE43="",AE43&gt;AsOfDate),0,IF(AG43="FT",IF(AH43&lt;FT_First,0,IF(AH43&lt;FT_Y5,1+INT((AH43-FT_First)/FT_Int1),FT_PreY5+FT_PerYear*INT((AH43-FT_Y5)/12)+FT_AnnivDays+INT(MOD(AH43-FT_Y5,12)/FT_Int2))),IF(AG43="PT",IF(AH43&lt;PT_First,0,1+INT((AH43-PT_First)/PT_Int)),0))-IF(AG43="FT",IF(AI43&lt;FT_First,0,IF(AI43&lt;FT_Y5,1+INT((AI43-FT_First)/FT_Int1),FT_PreY5+FT_PerYear*INT((AI43-FT_Y5)/12)+FT_AnnivDays+INT(MOD(AI43-FT_Y5,12)/FT_Int2))),IF(AG43="PT",IF(AI43&lt;PT_First,0,1+INT((AI43-PT_First)/PT_Int)),0))))</f>
        <v/>
      </c>
      <c r="AM43" s="12" t="str">
        <f aca="false">IF(AC43=0,"",IF(AF43="FT",IF(AK43&lt;FT_First,0,IF(AK43&lt;FT_Y5,1+INT((AK43-FT_First)/FT_Int1),FT_PreY5+FT_PerYear*INT((AK43-FT_Y5)/12)+FT_AnnivDays+INT(MOD(AK43-FT_Y5,12)/FT_Int2))),IF(AF43="PT",IF(AK43&lt;PT_First,0,1+INT((AK43-PT_First)/PT_Int)),0))+IF(OR(AE43="",AE43&gt;PFYDate),0,IF(AG43="FT",IF(AJ43&lt;FT_First,0,IF(AJ43&lt;FT_Y5,1+INT((AJ43-FT_First)/FT_Int1),FT_PreY5+FT_PerYear*INT((AJ43-FT_Y5)/12)+FT_AnnivDays+INT(MOD(AJ43-FT_Y5,12)/FT_Int2))),IF(AG43="PT",IF(AJ43&lt;PT_First,0,1+INT((AJ43-PT_First)/PT_Int)),0))-IF(AG43="FT",IF(AK43&lt;FT_First,0,IF(AK43&lt;FT_Y5,1+INT((AK43-FT_First)/FT_Int1),FT_PreY5+FT_PerYear*INT((AK43-FT_Y5)/12)+FT_AnnivDays+INT(MOD(AK43-FT_Y5,12)/FT_Int2))),IF(AG43="PT",IF(AK43&lt;PT_First,0,1+INT((AK43-PT_First)/PT_Int)),0))))</f>
        <v/>
      </c>
      <c r="AN43" s="12" t="str">
        <f aca="false">IF(AC43=0,"",IF(AG43="FT",IF(AH43&lt;FT_First,FT_First,IF(AH43&lt;FT_Y5,MIN(FT_Y5,FT_First+FT_Int1*(INT((AH43-FT_First)/FT_Int1)+1)),FT_Y5+12*INT((AH43-FT_Y5)/12)+FT_Int2*(INT(MOD(AH43-FT_Y5,12)/FT_Int2)+1))),IF(AG43="PT",IF(AH43&lt;PT_First,PT_First,PT_First+PT_Int*(INT((AH43-PT_First)/PT_Int)+1)),"")))</f>
        <v/>
      </c>
      <c r="AO43" s="12" t="str">
        <f aca="false">IF(AC43=0,"",IF(NOT(CFY_Ready),0,COUNTIFS(INDEX(CFY_Data,0,CFY_ColFirst),$A43,INDEX(CFY_Data,0,CFY_ColSur),$B43,INDEX(CFY_Data,0,CFY_ColCat),BonusCat)))</f>
        <v/>
      </c>
    </row>
    <row r="44" customFormat="false" ht="15" hidden="false" customHeight="false" outlineLevel="0" collapsed="false">
      <c r="A44" s="15"/>
      <c r="B44" s="15"/>
      <c r="C44" s="15"/>
      <c r="D44" s="16"/>
      <c r="E44" s="10" t="str">
        <f aca="false">IF(OR(AC44=0,$D44=""),"",DATE(YEAR(AsOfDate)+IF(DATE(YEAR(AsOfDate),MONTH($D44),DAY($D44))&lt;=AsOfDate,1,0),MONTH($D44),DAY($D44)))</f>
        <v/>
      </c>
      <c r="F44" s="16"/>
      <c r="G44" s="16"/>
      <c r="H44" s="16"/>
      <c r="I44" s="16"/>
      <c r="J44" s="10" t="str">
        <f aca="false">IF(AC44=0,"",DATE(YEAR(AsOfDate)+IF(DATE(YEAR(AsOfDate),MONTH($F44),DAY($F44))&lt;=AsOfDate,1,0),MONTH($F44),DAY($F44)))</f>
        <v/>
      </c>
      <c r="K44" s="11" t="str">
        <f aca="false">IF(AC44=0,"",ROUND((AsOfDate-$F44)/365.25,1))</f>
        <v/>
      </c>
      <c r="L44" s="12" t="str">
        <f aca="false">IF(AC44=0,"",IF(AsOfDate&lt;AD44,"-",DATEDIF(AD44,AsOfDate,"y")&amp;"y "&amp;DATEDIF(AD44,AsOfDate,"ym")&amp;"m "&amp;DATEDIF(AD44,AsOfDate,"md")&amp;"d"))</f>
        <v/>
      </c>
      <c r="M44" s="13" t="str">
        <f aca="false">IF(AC44=0,"",N44*HoursPerDay)</f>
        <v/>
      </c>
      <c r="N44" s="13" t="str">
        <f aca="false">IF(AC44=0,"",AL44)</f>
        <v/>
      </c>
      <c r="O44" s="17"/>
      <c r="P44" s="12" t="str">
        <f aca="false">IF(AC44=0,"",IF(AE44="","",IF($G44&lt;$H44,"Part-Time to Full-Time","Full-Time to Part-Time")&amp;" on "&amp;TEXT(AE44,"dd/mm/yyyy")&amp;IF(AE44&gt;AsOfDate," (future)",IF(AF44=AG44,"",IF(AG44="None"," - STOPPED accruing",IF(AF44="None"," - now qualifying"," - pathway changed"))))))</f>
        <v/>
      </c>
      <c r="Q44" s="12" t="str">
        <f aca="false">IF(AC44=0,"",IF(AG44="None",IF(N44&gt;0,"No longer accruing","Not eligible - "&amp;IF(AND($C44="Part-Time",N($O44)&lt;PT_MinHours,$O44&lt;&gt;""),"under "&amp;PT_MinHours&amp;" hrs",$C44)),IF(N44&gt;0,"Yes - accruing","Not yet - from "&amp;TEXT(R44,"dd/mm/yyyy"))))</f>
        <v/>
      </c>
      <c r="R44" s="10" t="str">
        <f aca="false">IF(AC44=0,"",IF(AG44="None","",EDATE(AD44,AN44)))</f>
        <v/>
      </c>
      <c r="S44" s="13" t="str">
        <f aca="false">IF(AC44=0,"",IF(NOT(PFY_Ready),"",SUMIFS(INDEX(PFY_Data,0,PFY_ColBal),INDEX(PFY_Data,0,PFY_ColFirst),$A44,INDEX(PFY_Data,0,PFY_ColSur),$B44,INDEX(PFY_Data,0,PFY_ColCat),BonusCat)))</f>
        <v/>
      </c>
      <c r="T44" s="17"/>
      <c r="U44" s="13" t="str">
        <f aca="false">IF(AC44=0,"",IF(NOT(CFY_Ready),"",SUMIFS(INDEX(CFY_Data,0,CFY_ColBal),INDEX(CFY_Data,0,CFY_ColFirst),$A44,INDEX(CFY_Data,0,CFY_ColSur),$B44,INDEX(CFY_Data,0,CFY_ColCat),BonusCat)))</f>
        <v/>
      </c>
      <c r="V44" s="13" t="str">
        <f aca="false">IF(AC44=0,"",IF(OR(NOT(CFY_Ready),CFY_ColAppr=0),"",SUMIFS(INDEX(CFY_Data,0,CFY_ColAppr),INDEX(CFY_Data,0,CFY_ColFirst),$A44,INDEX(CFY_Data,0,CFY_ColSur),$B44,INDEX(CFY_Data,0,CFY_ColCat),BonusCat)))</f>
        <v/>
      </c>
      <c r="W44" s="13" t="str">
        <f aca="false">IF(OR(AC44=0,S44="",U44=""),"",MAX(0,S44+N($T44)-U44))</f>
        <v/>
      </c>
      <c r="X44" s="13" t="str">
        <f aca="false">IF(AC44=0,"",(AL44-AM44)*HoursPerDay)</f>
        <v/>
      </c>
      <c r="Y44" s="13" t="str">
        <f aca="false">IF(AC44=0,"",X44-N($T44))</f>
        <v/>
      </c>
      <c r="Z44" s="12" t="str">
        <f aca="false">IF(AC44=0,"",IF(Y44&gt;0,"Yes","No"))</f>
        <v/>
      </c>
      <c r="AA44" s="12" t="str">
        <f aca="false">IF(AC44=0,"",IF(NOT(CFY_Ready),"Paste CFY EH export",IF(Y44&gt;0,"ACCRUE "&amp;TEXT(Y44,"0.##")&amp;" hrs ("&amp;TEXT(Y44/HoursPerDay,"0.##")&amp;" days)"&amp;IF(AO44=0," - no Bonus Leave line in EH yet",""),IF(Y44&lt;0,"CHECK - posted "&amp;TEXT(-Y44,"0.##")&amp;" hrs more than policy",IF(AND(N44&gt;0,AO44=0,U44=0),"CHECK - policy says "&amp;TEXT(M44,"0.##")&amp;" hrs to date but nothing in EH",IF(N44&gt;0,"OK","-"))))))</f>
        <v/>
      </c>
      <c r="AB44" s="13" t="str">
        <f aca="false">IF(OR(AC44=0,S44=""),"",AM44*HoursPerDay-S44)</f>
        <v/>
      </c>
      <c r="AC44" s="12" t="n">
        <f aca="false">IF(OR(LEN($A44&amp;$B44)=0,$F44=""),0,1)</f>
        <v>0</v>
      </c>
      <c r="AD44" s="10" t="str">
        <f aca="false">IF(AC44=0,"",IF($I44&lt;&gt;"",$I44,$F44))</f>
        <v/>
      </c>
      <c r="AE44" s="10" t="str">
        <f aca="false">IF(AC44=0,"",IF(AND($G44&lt;&gt;"",$H44&lt;&gt;"",$G44&lt;&gt;$H44),MAX($G44,$H44),""))</f>
        <v/>
      </c>
      <c r="AF44" s="12" t="str">
        <f aca="false">IF(AC44=0,"",IF(AE44="",AG44,IF(IF($G44&lt;$H44,"Part-Time","Full-Time")="Full-Time","FT",IF(AND(IF($G44&lt;$H44,"Part-Time","Full-Time")="Part-Time",OR($O44="",N($O44)&gt;=PT_MinHours)),"PT","None"))))</f>
        <v/>
      </c>
      <c r="AG44" s="12" t="str">
        <f aca="false">IF(AC44=0,"",IF($C44="Full-Time","FT",IF(AND($C44="Part-Time",OR($O44="",N($O44)&gt;=PT_MinHours)),"PT","None")))</f>
        <v/>
      </c>
      <c r="AH44" s="12" t="str">
        <f aca="false">IF(AC44=0,"",IF(AsOfDate&lt;AD44,-1,12*(YEAR(AsOfDate)-YEAR(AD44))+MONTH(AsOfDate)-MONTH(AD44)-IF(DAY(AsOfDate)&lt;MIN(DAY(AD44),DAY(EOMONTH(AsOfDate,0))),1,0)))</f>
        <v/>
      </c>
      <c r="AI44" s="12" t="str">
        <f aca="false">IF(AC44=0,"",IF(OR(AE44="",AE44&gt;AsOfDate),AH44,IF((AE44-1)&lt;AD44,-1,12*(YEAR((AE44-1))-YEAR(AD44))+MONTH((AE44-1))-MONTH(AD44)-IF(DAY((AE44-1))&lt;MIN(DAY(AD44),DAY(EOMONTH((AE44-1),0))),1,0))))</f>
        <v/>
      </c>
      <c r="AJ44" s="12" t="str">
        <f aca="false">IF(AC44=0,"",IF(PFYDate&lt;AD44,-1,12*(YEAR(PFYDate)-YEAR(AD44))+MONTH(PFYDate)-MONTH(AD44)-IF(DAY(PFYDate)&lt;MIN(DAY(AD44),DAY(EOMONTH(PFYDate,0))),1,0)))</f>
        <v/>
      </c>
      <c r="AK44" s="12" t="str">
        <f aca="false">IF(AC44=0,"",IF(OR(AE44="",AE44&gt;PFYDate),AJ44,IF((AE44-1)&lt;AD44,-1,12*(YEAR((AE44-1))-YEAR(AD44))+MONTH((AE44-1))-MONTH(AD44)-IF(DAY((AE44-1))&lt;MIN(DAY(AD44),DAY(EOMONTH((AE44-1),0))),1,0))))</f>
        <v/>
      </c>
      <c r="AL44" s="12" t="str">
        <f aca="false">IF(AC44=0,"",IF(AF44="FT",IF(AI44&lt;FT_First,0,IF(AI44&lt;FT_Y5,1+INT((AI44-FT_First)/FT_Int1),FT_PreY5+FT_PerYear*INT((AI44-FT_Y5)/12)+FT_AnnivDays+INT(MOD(AI44-FT_Y5,12)/FT_Int2))),IF(AF44="PT",IF(AI44&lt;PT_First,0,1+INT((AI44-PT_First)/PT_Int)),0))+IF(OR(AE44="",AE44&gt;AsOfDate),0,IF(AG44="FT",IF(AH44&lt;FT_First,0,IF(AH44&lt;FT_Y5,1+INT((AH44-FT_First)/FT_Int1),FT_PreY5+FT_PerYear*INT((AH44-FT_Y5)/12)+FT_AnnivDays+INT(MOD(AH44-FT_Y5,12)/FT_Int2))),IF(AG44="PT",IF(AH44&lt;PT_First,0,1+INT((AH44-PT_First)/PT_Int)),0))-IF(AG44="FT",IF(AI44&lt;FT_First,0,IF(AI44&lt;FT_Y5,1+INT((AI44-FT_First)/FT_Int1),FT_PreY5+FT_PerYear*INT((AI44-FT_Y5)/12)+FT_AnnivDays+INT(MOD(AI44-FT_Y5,12)/FT_Int2))),IF(AG44="PT",IF(AI44&lt;PT_First,0,1+INT((AI44-PT_First)/PT_Int)),0))))</f>
        <v/>
      </c>
      <c r="AM44" s="12" t="str">
        <f aca="false">IF(AC44=0,"",IF(AF44="FT",IF(AK44&lt;FT_First,0,IF(AK44&lt;FT_Y5,1+INT((AK44-FT_First)/FT_Int1),FT_PreY5+FT_PerYear*INT((AK44-FT_Y5)/12)+FT_AnnivDays+INT(MOD(AK44-FT_Y5,12)/FT_Int2))),IF(AF44="PT",IF(AK44&lt;PT_First,0,1+INT((AK44-PT_First)/PT_Int)),0))+IF(OR(AE44="",AE44&gt;PFYDate),0,IF(AG44="FT",IF(AJ44&lt;FT_First,0,IF(AJ44&lt;FT_Y5,1+INT((AJ44-FT_First)/FT_Int1),FT_PreY5+FT_PerYear*INT((AJ44-FT_Y5)/12)+FT_AnnivDays+INT(MOD(AJ44-FT_Y5,12)/FT_Int2))),IF(AG44="PT",IF(AJ44&lt;PT_First,0,1+INT((AJ44-PT_First)/PT_Int)),0))-IF(AG44="FT",IF(AK44&lt;FT_First,0,IF(AK44&lt;FT_Y5,1+INT((AK44-FT_First)/FT_Int1),FT_PreY5+FT_PerYear*INT((AK44-FT_Y5)/12)+FT_AnnivDays+INT(MOD(AK44-FT_Y5,12)/FT_Int2))),IF(AG44="PT",IF(AK44&lt;PT_First,0,1+INT((AK44-PT_First)/PT_Int)),0))))</f>
        <v/>
      </c>
      <c r="AN44" s="12" t="str">
        <f aca="false">IF(AC44=0,"",IF(AG44="FT",IF(AH44&lt;FT_First,FT_First,IF(AH44&lt;FT_Y5,MIN(FT_Y5,FT_First+FT_Int1*(INT((AH44-FT_First)/FT_Int1)+1)),FT_Y5+12*INT((AH44-FT_Y5)/12)+FT_Int2*(INT(MOD(AH44-FT_Y5,12)/FT_Int2)+1))),IF(AG44="PT",IF(AH44&lt;PT_First,PT_First,PT_First+PT_Int*(INT((AH44-PT_First)/PT_Int)+1)),"")))</f>
        <v/>
      </c>
      <c r="AO44" s="12" t="str">
        <f aca="false">IF(AC44=0,"",IF(NOT(CFY_Ready),0,COUNTIFS(INDEX(CFY_Data,0,CFY_ColFirst),$A44,INDEX(CFY_Data,0,CFY_ColSur),$B44,INDEX(CFY_Data,0,CFY_ColCat),BonusCat)))</f>
        <v/>
      </c>
    </row>
    <row r="45" customFormat="false" ht="15" hidden="false" customHeight="false" outlineLevel="0" collapsed="false">
      <c r="A45" s="15"/>
      <c r="B45" s="15"/>
      <c r="C45" s="15"/>
      <c r="D45" s="16"/>
      <c r="E45" s="10" t="str">
        <f aca="false">IF(OR(AC45=0,$D45=""),"",DATE(YEAR(AsOfDate)+IF(DATE(YEAR(AsOfDate),MONTH($D45),DAY($D45))&lt;=AsOfDate,1,0),MONTH($D45),DAY($D45)))</f>
        <v/>
      </c>
      <c r="F45" s="16"/>
      <c r="G45" s="16"/>
      <c r="H45" s="16"/>
      <c r="I45" s="16"/>
      <c r="J45" s="10" t="str">
        <f aca="false">IF(AC45=0,"",DATE(YEAR(AsOfDate)+IF(DATE(YEAR(AsOfDate),MONTH($F45),DAY($F45))&lt;=AsOfDate,1,0),MONTH($F45),DAY($F45)))</f>
        <v/>
      </c>
      <c r="K45" s="11" t="str">
        <f aca="false">IF(AC45=0,"",ROUND((AsOfDate-$F45)/365.25,1))</f>
        <v/>
      </c>
      <c r="L45" s="12" t="str">
        <f aca="false">IF(AC45=0,"",IF(AsOfDate&lt;AD45,"-",DATEDIF(AD45,AsOfDate,"y")&amp;"y "&amp;DATEDIF(AD45,AsOfDate,"ym")&amp;"m "&amp;DATEDIF(AD45,AsOfDate,"md")&amp;"d"))</f>
        <v/>
      </c>
      <c r="M45" s="13" t="str">
        <f aca="false">IF(AC45=0,"",N45*HoursPerDay)</f>
        <v/>
      </c>
      <c r="N45" s="13" t="str">
        <f aca="false">IF(AC45=0,"",AL45)</f>
        <v/>
      </c>
      <c r="O45" s="17"/>
      <c r="P45" s="12" t="str">
        <f aca="false">IF(AC45=0,"",IF(AE45="","",IF($G45&lt;$H45,"Part-Time to Full-Time","Full-Time to Part-Time")&amp;" on "&amp;TEXT(AE45,"dd/mm/yyyy")&amp;IF(AE45&gt;AsOfDate," (future)",IF(AF45=AG45,"",IF(AG45="None"," - STOPPED accruing",IF(AF45="None"," - now qualifying"," - pathway changed"))))))</f>
        <v/>
      </c>
      <c r="Q45" s="12" t="str">
        <f aca="false">IF(AC45=0,"",IF(AG45="None",IF(N45&gt;0,"No longer accruing","Not eligible - "&amp;IF(AND($C45="Part-Time",N($O45)&lt;PT_MinHours,$O45&lt;&gt;""),"under "&amp;PT_MinHours&amp;" hrs",$C45)),IF(N45&gt;0,"Yes - accruing","Not yet - from "&amp;TEXT(R45,"dd/mm/yyyy"))))</f>
        <v/>
      </c>
      <c r="R45" s="10" t="str">
        <f aca="false">IF(AC45=0,"",IF(AG45="None","",EDATE(AD45,AN45)))</f>
        <v/>
      </c>
      <c r="S45" s="13" t="str">
        <f aca="false">IF(AC45=0,"",IF(NOT(PFY_Ready),"",SUMIFS(INDEX(PFY_Data,0,PFY_ColBal),INDEX(PFY_Data,0,PFY_ColFirst),$A45,INDEX(PFY_Data,0,PFY_ColSur),$B45,INDEX(PFY_Data,0,PFY_ColCat),BonusCat)))</f>
        <v/>
      </c>
      <c r="T45" s="17"/>
      <c r="U45" s="13" t="str">
        <f aca="false">IF(AC45=0,"",IF(NOT(CFY_Ready),"",SUMIFS(INDEX(CFY_Data,0,CFY_ColBal),INDEX(CFY_Data,0,CFY_ColFirst),$A45,INDEX(CFY_Data,0,CFY_ColSur),$B45,INDEX(CFY_Data,0,CFY_ColCat),BonusCat)))</f>
        <v/>
      </c>
      <c r="V45" s="13" t="str">
        <f aca="false">IF(AC45=0,"",IF(OR(NOT(CFY_Ready),CFY_ColAppr=0),"",SUMIFS(INDEX(CFY_Data,0,CFY_ColAppr),INDEX(CFY_Data,0,CFY_ColFirst),$A45,INDEX(CFY_Data,0,CFY_ColSur),$B45,INDEX(CFY_Data,0,CFY_ColCat),BonusCat)))</f>
        <v/>
      </c>
      <c r="W45" s="13" t="str">
        <f aca="false">IF(OR(AC45=0,S45="",U45=""),"",MAX(0,S45+N($T45)-U45))</f>
        <v/>
      </c>
      <c r="X45" s="13" t="str">
        <f aca="false">IF(AC45=0,"",(AL45-AM45)*HoursPerDay)</f>
        <v/>
      </c>
      <c r="Y45" s="13" t="str">
        <f aca="false">IF(AC45=0,"",X45-N($T45))</f>
        <v/>
      </c>
      <c r="Z45" s="12" t="str">
        <f aca="false">IF(AC45=0,"",IF(Y45&gt;0,"Yes","No"))</f>
        <v/>
      </c>
      <c r="AA45" s="12" t="str">
        <f aca="false">IF(AC45=0,"",IF(NOT(CFY_Ready),"Paste CFY EH export",IF(Y45&gt;0,"ACCRUE "&amp;TEXT(Y45,"0.##")&amp;" hrs ("&amp;TEXT(Y45/HoursPerDay,"0.##")&amp;" days)"&amp;IF(AO45=0," - no Bonus Leave line in EH yet",""),IF(Y45&lt;0,"CHECK - posted "&amp;TEXT(-Y45,"0.##")&amp;" hrs more than policy",IF(AND(N45&gt;0,AO45=0,U45=0),"CHECK - policy says "&amp;TEXT(M45,"0.##")&amp;" hrs to date but nothing in EH",IF(N45&gt;0,"OK","-"))))))</f>
        <v/>
      </c>
      <c r="AB45" s="13" t="str">
        <f aca="false">IF(OR(AC45=0,S45=""),"",AM45*HoursPerDay-S45)</f>
        <v/>
      </c>
      <c r="AC45" s="12" t="n">
        <f aca="false">IF(OR(LEN($A45&amp;$B45)=0,$F45=""),0,1)</f>
        <v>0</v>
      </c>
      <c r="AD45" s="10" t="str">
        <f aca="false">IF(AC45=0,"",IF($I45&lt;&gt;"",$I45,$F45))</f>
        <v/>
      </c>
      <c r="AE45" s="10" t="str">
        <f aca="false">IF(AC45=0,"",IF(AND($G45&lt;&gt;"",$H45&lt;&gt;"",$G45&lt;&gt;$H45),MAX($G45,$H45),""))</f>
        <v/>
      </c>
      <c r="AF45" s="12" t="str">
        <f aca="false">IF(AC45=0,"",IF(AE45="",AG45,IF(IF($G45&lt;$H45,"Part-Time","Full-Time")="Full-Time","FT",IF(AND(IF($G45&lt;$H45,"Part-Time","Full-Time")="Part-Time",OR($O45="",N($O45)&gt;=PT_MinHours)),"PT","None"))))</f>
        <v/>
      </c>
      <c r="AG45" s="12" t="str">
        <f aca="false">IF(AC45=0,"",IF($C45="Full-Time","FT",IF(AND($C45="Part-Time",OR($O45="",N($O45)&gt;=PT_MinHours)),"PT","None")))</f>
        <v/>
      </c>
      <c r="AH45" s="12" t="str">
        <f aca="false">IF(AC45=0,"",IF(AsOfDate&lt;AD45,-1,12*(YEAR(AsOfDate)-YEAR(AD45))+MONTH(AsOfDate)-MONTH(AD45)-IF(DAY(AsOfDate)&lt;MIN(DAY(AD45),DAY(EOMONTH(AsOfDate,0))),1,0)))</f>
        <v/>
      </c>
      <c r="AI45" s="12" t="str">
        <f aca="false">IF(AC45=0,"",IF(OR(AE45="",AE45&gt;AsOfDate),AH45,IF((AE45-1)&lt;AD45,-1,12*(YEAR((AE45-1))-YEAR(AD45))+MONTH((AE45-1))-MONTH(AD45)-IF(DAY((AE45-1))&lt;MIN(DAY(AD45),DAY(EOMONTH((AE45-1),0))),1,0))))</f>
        <v/>
      </c>
      <c r="AJ45" s="12" t="str">
        <f aca="false">IF(AC45=0,"",IF(PFYDate&lt;AD45,-1,12*(YEAR(PFYDate)-YEAR(AD45))+MONTH(PFYDate)-MONTH(AD45)-IF(DAY(PFYDate)&lt;MIN(DAY(AD45),DAY(EOMONTH(PFYDate,0))),1,0)))</f>
        <v/>
      </c>
      <c r="AK45" s="12" t="str">
        <f aca="false">IF(AC45=0,"",IF(OR(AE45="",AE45&gt;PFYDate),AJ45,IF((AE45-1)&lt;AD45,-1,12*(YEAR((AE45-1))-YEAR(AD45))+MONTH((AE45-1))-MONTH(AD45)-IF(DAY((AE45-1))&lt;MIN(DAY(AD45),DAY(EOMONTH((AE45-1),0))),1,0))))</f>
        <v/>
      </c>
      <c r="AL45" s="12" t="str">
        <f aca="false">IF(AC45=0,"",IF(AF45="FT",IF(AI45&lt;FT_First,0,IF(AI45&lt;FT_Y5,1+INT((AI45-FT_First)/FT_Int1),FT_PreY5+FT_PerYear*INT((AI45-FT_Y5)/12)+FT_AnnivDays+INT(MOD(AI45-FT_Y5,12)/FT_Int2))),IF(AF45="PT",IF(AI45&lt;PT_First,0,1+INT((AI45-PT_First)/PT_Int)),0))+IF(OR(AE45="",AE45&gt;AsOfDate),0,IF(AG45="FT",IF(AH45&lt;FT_First,0,IF(AH45&lt;FT_Y5,1+INT((AH45-FT_First)/FT_Int1),FT_PreY5+FT_PerYear*INT((AH45-FT_Y5)/12)+FT_AnnivDays+INT(MOD(AH45-FT_Y5,12)/FT_Int2))),IF(AG45="PT",IF(AH45&lt;PT_First,0,1+INT((AH45-PT_First)/PT_Int)),0))-IF(AG45="FT",IF(AI45&lt;FT_First,0,IF(AI45&lt;FT_Y5,1+INT((AI45-FT_First)/FT_Int1),FT_PreY5+FT_PerYear*INT((AI45-FT_Y5)/12)+FT_AnnivDays+INT(MOD(AI45-FT_Y5,12)/FT_Int2))),IF(AG45="PT",IF(AI45&lt;PT_First,0,1+INT((AI45-PT_First)/PT_Int)),0))))</f>
        <v/>
      </c>
      <c r="AM45" s="12" t="str">
        <f aca="false">IF(AC45=0,"",IF(AF45="FT",IF(AK45&lt;FT_First,0,IF(AK45&lt;FT_Y5,1+INT((AK45-FT_First)/FT_Int1),FT_PreY5+FT_PerYear*INT((AK45-FT_Y5)/12)+FT_AnnivDays+INT(MOD(AK45-FT_Y5,12)/FT_Int2))),IF(AF45="PT",IF(AK45&lt;PT_First,0,1+INT((AK45-PT_First)/PT_Int)),0))+IF(OR(AE45="",AE45&gt;PFYDate),0,IF(AG45="FT",IF(AJ45&lt;FT_First,0,IF(AJ45&lt;FT_Y5,1+INT((AJ45-FT_First)/FT_Int1),FT_PreY5+FT_PerYear*INT((AJ45-FT_Y5)/12)+FT_AnnivDays+INT(MOD(AJ45-FT_Y5,12)/FT_Int2))),IF(AG45="PT",IF(AJ45&lt;PT_First,0,1+INT((AJ45-PT_First)/PT_Int)),0))-IF(AG45="FT",IF(AK45&lt;FT_First,0,IF(AK45&lt;FT_Y5,1+INT((AK45-FT_First)/FT_Int1),FT_PreY5+FT_PerYear*INT((AK45-FT_Y5)/12)+FT_AnnivDays+INT(MOD(AK45-FT_Y5,12)/FT_Int2))),IF(AG45="PT",IF(AK45&lt;PT_First,0,1+INT((AK45-PT_First)/PT_Int)),0))))</f>
        <v/>
      </c>
      <c r="AN45" s="12" t="str">
        <f aca="false">IF(AC45=0,"",IF(AG45="FT",IF(AH45&lt;FT_First,FT_First,IF(AH45&lt;FT_Y5,MIN(FT_Y5,FT_First+FT_Int1*(INT((AH45-FT_First)/FT_Int1)+1)),FT_Y5+12*INT((AH45-FT_Y5)/12)+FT_Int2*(INT(MOD(AH45-FT_Y5,12)/FT_Int2)+1))),IF(AG45="PT",IF(AH45&lt;PT_First,PT_First,PT_First+PT_Int*(INT((AH45-PT_First)/PT_Int)+1)),"")))</f>
        <v/>
      </c>
      <c r="AO45" s="12" t="str">
        <f aca="false">IF(AC45=0,"",IF(NOT(CFY_Ready),0,COUNTIFS(INDEX(CFY_Data,0,CFY_ColFirst),$A45,INDEX(CFY_Data,0,CFY_ColSur),$B45,INDEX(CFY_Data,0,CFY_ColCat),BonusCat)))</f>
        <v/>
      </c>
    </row>
    <row r="46" customFormat="false" ht="15" hidden="false" customHeight="false" outlineLevel="0" collapsed="false">
      <c r="A46" s="15"/>
      <c r="B46" s="15"/>
      <c r="C46" s="15"/>
      <c r="D46" s="16"/>
      <c r="E46" s="10" t="str">
        <f aca="false">IF(OR(AC46=0,$D46=""),"",DATE(YEAR(AsOfDate)+IF(DATE(YEAR(AsOfDate),MONTH($D46),DAY($D46))&lt;=AsOfDate,1,0),MONTH($D46),DAY($D46)))</f>
        <v/>
      </c>
      <c r="F46" s="16"/>
      <c r="G46" s="16"/>
      <c r="H46" s="16"/>
      <c r="I46" s="16"/>
      <c r="J46" s="10" t="str">
        <f aca="false">IF(AC46=0,"",DATE(YEAR(AsOfDate)+IF(DATE(YEAR(AsOfDate),MONTH($F46),DAY($F46))&lt;=AsOfDate,1,0),MONTH($F46),DAY($F46)))</f>
        <v/>
      </c>
      <c r="K46" s="11" t="str">
        <f aca="false">IF(AC46=0,"",ROUND((AsOfDate-$F46)/365.25,1))</f>
        <v/>
      </c>
      <c r="L46" s="12" t="str">
        <f aca="false">IF(AC46=0,"",IF(AsOfDate&lt;AD46,"-",DATEDIF(AD46,AsOfDate,"y")&amp;"y "&amp;DATEDIF(AD46,AsOfDate,"ym")&amp;"m "&amp;DATEDIF(AD46,AsOfDate,"md")&amp;"d"))</f>
        <v/>
      </c>
      <c r="M46" s="13" t="str">
        <f aca="false">IF(AC46=0,"",N46*HoursPerDay)</f>
        <v/>
      </c>
      <c r="N46" s="13" t="str">
        <f aca="false">IF(AC46=0,"",AL46)</f>
        <v/>
      </c>
      <c r="O46" s="17"/>
      <c r="P46" s="12" t="str">
        <f aca="false">IF(AC46=0,"",IF(AE46="","",IF($G46&lt;$H46,"Part-Time to Full-Time","Full-Time to Part-Time")&amp;" on "&amp;TEXT(AE46,"dd/mm/yyyy")&amp;IF(AE46&gt;AsOfDate," (future)",IF(AF46=AG46,"",IF(AG46="None"," - STOPPED accruing",IF(AF46="None"," - now qualifying"," - pathway changed"))))))</f>
        <v/>
      </c>
      <c r="Q46" s="12" t="str">
        <f aca="false">IF(AC46=0,"",IF(AG46="None",IF(N46&gt;0,"No longer accruing","Not eligible - "&amp;IF(AND($C46="Part-Time",N($O46)&lt;PT_MinHours,$O46&lt;&gt;""),"under "&amp;PT_MinHours&amp;" hrs",$C46)),IF(N46&gt;0,"Yes - accruing","Not yet - from "&amp;TEXT(R46,"dd/mm/yyyy"))))</f>
        <v/>
      </c>
      <c r="R46" s="10" t="str">
        <f aca="false">IF(AC46=0,"",IF(AG46="None","",EDATE(AD46,AN46)))</f>
        <v/>
      </c>
      <c r="S46" s="13" t="str">
        <f aca="false">IF(AC46=0,"",IF(NOT(PFY_Ready),"",SUMIFS(INDEX(PFY_Data,0,PFY_ColBal),INDEX(PFY_Data,0,PFY_ColFirst),$A46,INDEX(PFY_Data,0,PFY_ColSur),$B46,INDEX(PFY_Data,0,PFY_ColCat),BonusCat)))</f>
        <v/>
      </c>
      <c r="T46" s="17"/>
      <c r="U46" s="13" t="str">
        <f aca="false">IF(AC46=0,"",IF(NOT(CFY_Ready),"",SUMIFS(INDEX(CFY_Data,0,CFY_ColBal),INDEX(CFY_Data,0,CFY_ColFirst),$A46,INDEX(CFY_Data,0,CFY_ColSur),$B46,INDEX(CFY_Data,0,CFY_ColCat),BonusCat)))</f>
        <v/>
      </c>
      <c r="V46" s="13" t="str">
        <f aca="false">IF(AC46=0,"",IF(OR(NOT(CFY_Ready),CFY_ColAppr=0),"",SUMIFS(INDEX(CFY_Data,0,CFY_ColAppr),INDEX(CFY_Data,0,CFY_ColFirst),$A46,INDEX(CFY_Data,0,CFY_ColSur),$B46,INDEX(CFY_Data,0,CFY_ColCat),BonusCat)))</f>
        <v/>
      </c>
      <c r="W46" s="13" t="str">
        <f aca="false">IF(OR(AC46=0,S46="",U46=""),"",MAX(0,S46+N($T46)-U46))</f>
        <v/>
      </c>
      <c r="X46" s="13" t="str">
        <f aca="false">IF(AC46=0,"",(AL46-AM46)*HoursPerDay)</f>
        <v/>
      </c>
      <c r="Y46" s="13" t="str">
        <f aca="false">IF(AC46=0,"",X46-N($T46))</f>
        <v/>
      </c>
      <c r="Z46" s="12" t="str">
        <f aca="false">IF(AC46=0,"",IF(Y46&gt;0,"Yes","No"))</f>
        <v/>
      </c>
      <c r="AA46" s="12" t="str">
        <f aca="false">IF(AC46=0,"",IF(NOT(CFY_Ready),"Paste CFY EH export",IF(Y46&gt;0,"ACCRUE "&amp;TEXT(Y46,"0.##")&amp;" hrs ("&amp;TEXT(Y46/HoursPerDay,"0.##")&amp;" days)"&amp;IF(AO46=0," - no Bonus Leave line in EH yet",""),IF(Y46&lt;0,"CHECK - posted "&amp;TEXT(-Y46,"0.##")&amp;" hrs more than policy",IF(AND(N46&gt;0,AO46=0,U46=0),"CHECK - policy says "&amp;TEXT(M46,"0.##")&amp;" hrs to date but nothing in EH",IF(N46&gt;0,"OK","-"))))))</f>
        <v/>
      </c>
      <c r="AB46" s="13" t="str">
        <f aca="false">IF(OR(AC46=0,S46=""),"",AM46*HoursPerDay-S46)</f>
        <v/>
      </c>
      <c r="AC46" s="12" t="n">
        <f aca="false">IF(OR(LEN($A46&amp;$B46)=0,$F46=""),0,1)</f>
        <v>0</v>
      </c>
      <c r="AD46" s="10" t="str">
        <f aca="false">IF(AC46=0,"",IF($I46&lt;&gt;"",$I46,$F46))</f>
        <v/>
      </c>
      <c r="AE46" s="10" t="str">
        <f aca="false">IF(AC46=0,"",IF(AND($G46&lt;&gt;"",$H46&lt;&gt;"",$G46&lt;&gt;$H46),MAX($G46,$H46),""))</f>
        <v/>
      </c>
      <c r="AF46" s="12" t="str">
        <f aca="false">IF(AC46=0,"",IF(AE46="",AG46,IF(IF($G46&lt;$H46,"Part-Time","Full-Time")="Full-Time","FT",IF(AND(IF($G46&lt;$H46,"Part-Time","Full-Time")="Part-Time",OR($O46="",N($O46)&gt;=PT_MinHours)),"PT","None"))))</f>
        <v/>
      </c>
      <c r="AG46" s="12" t="str">
        <f aca="false">IF(AC46=0,"",IF($C46="Full-Time","FT",IF(AND($C46="Part-Time",OR($O46="",N($O46)&gt;=PT_MinHours)),"PT","None")))</f>
        <v/>
      </c>
      <c r="AH46" s="12" t="str">
        <f aca="false">IF(AC46=0,"",IF(AsOfDate&lt;AD46,-1,12*(YEAR(AsOfDate)-YEAR(AD46))+MONTH(AsOfDate)-MONTH(AD46)-IF(DAY(AsOfDate)&lt;MIN(DAY(AD46),DAY(EOMONTH(AsOfDate,0))),1,0)))</f>
        <v/>
      </c>
      <c r="AI46" s="12" t="str">
        <f aca="false">IF(AC46=0,"",IF(OR(AE46="",AE46&gt;AsOfDate),AH46,IF((AE46-1)&lt;AD46,-1,12*(YEAR((AE46-1))-YEAR(AD46))+MONTH((AE46-1))-MONTH(AD46)-IF(DAY((AE46-1))&lt;MIN(DAY(AD46),DAY(EOMONTH((AE46-1),0))),1,0))))</f>
        <v/>
      </c>
      <c r="AJ46" s="12" t="str">
        <f aca="false">IF(AC46=0,"",IF(PFYDate&lt;AD46,-1,12*(YEAR(PFYDate)-YEAR(AD46))+MONTH(PFYDate)-MONTH(AD46)-IF(DAY(PFYDate)&lt;MIN(DAY(AD46),DAY(EOMONTH(PFYDate,0))),1,0)))</f>
        <v/>
      </c>
      <c r="AK46" s="12" t="str">
        <f aca="false">IF(AC46=0,"",IF(OR(AE46="",AE46&gt;PFYDate),AJ46,IF((AE46-1)&lt;AD46,-1,12*(YEAR((AE46-1))-YEAR(AD46))+MONTH((AE46-1))-MONTH(AD46)-IF(DAY((AE46-1))&lt;MIN(DAY(AD46),DAY(EOMONTH((AE46-1),0))),1,0))))</f>
        <v/>
      </c>
      <c r="AL46" s="12" t="str">
        <f aca="false">IF(AC46=0,"",IF(AF46="FT",IF(AI46&lt;FT_First,0,IF(AI46&lt;FT_Y5,1+INT((AI46-FT_First)/FT_Int1),FT_PreY5+FT_PerYear*INT((AI46-FT_Y5)/12)+FT_AnnivDays+INT(MOD(AI46-FT_Y5,12)/FT_Int2))),IF(AF46="PT",IF(AI46&lt;PT_First,0,1+INT((AI46-PT_First)/PT_Int)),0))+IF(OR(AE46="",AE46&gt;AsOfDate),0,IF(AG46="FT",IF(AH46&lt;FT_First,0,IF(AH46&lt;FT_Y5,1+INT((AH46-FT_First)/FT_Int1),FT_PreY5+FT_PerYear*INT((AH46-FT_Y5)/12)+FT_AnnivDays+INT(MOD(AH46-FT_Y5,12)/FT_Int2))),IF(AG46="PT",IF(AH46&lt;PT_First,0,1+INT((AH46-PT_First)/PT_Int)),0))-IF(AG46="FT",IF(AI46&lt;FT_First,0,IF(AI46&lt;FT_Y5,1+INT((AI46-FT_First)/FT_Int1),FT_PreY5+FT_PerYear*INT((AI46-FT_Y5)/12)+FT_AnnivDays+INT(MOD(AI46-FT_Y5,12)/FT_Int2))),IF(AG46="PT",IF(AI46&lt;PT_First,0,1+INT((AI46-PT_First)/PT_Int)),0))))</f>
        <v/>
      </c>
      <c r="AM46" s="12" t="str">
        <f aca="false">IF(AC46=0,"",IF(AF46="FT",IF(AK46&lt;FT_First,0,IF(AK46&lt;FT_Y5,1+INT((AK46-FT_First)/FT_Int1),FT_PreY5+FT_PerYear*INT((AK46-FT_Y5)/12)+FT_AnnivDays+INT(MOD(AK46-FT_Y5,12)/FT_Int2))),IF(AF46="PT",IF(AK46&lt;PT_First,0,1+INT((AK46-PT_First)/PT_Int)),0))+IF(OR(AE46="",AE46&gt;PFYDate),0,IF(AG46="FT",IF(AJ46&lt;FT_First,0,IF(AJ46&lt;FT_Y5,1+INT((AJ46-FT_First)/FT_Int1),FT_PreY5+FT_PerYear*INT((AJ46-FT_Y5)/12)+FT_AnnivDays+INT(MOD(AJ46-FT_Y5,12)/FT_Int2))),IF(AG46="PT",IF(AJ46&lt;PT_First,0,1+INT((AJ46-PT_First)/PT_Int)),0))-IF(AG46="FT",IF(AK46&lt;FT_First,0,IF(AK46&lt;FT_Y5,1+INT((AK46-FT_First)/FT_Int1),FT_PreY5+FT_PerYear*INT((AK46-FT_Y5)/12)+FT_AnnivDays+INT(MOD(AK46-FT_Y5,12)/FT_Int2))),IF(AG46="PT",IF(AK46&lt;PT_First,0,1+INT((AK46-PT_First)/PT_Int)),0))))</f>
        <v/>
      </c>
      <c r="AN46" s="12" t="str">
        <f aca="false">IF(AC46=0,"",IF(AG46="FT",IF(AH46&lt;FT_First,FT_First,IF(AH46&lt;FT_Y5,MIN(FT_Y5,FT_First+FT_Int1*(INT((AH46-FT_First)/FT_Int1)+1)),FT_Y5+12*INT((AH46-FT_Y5)/12)+FT_Int2*(INT(MOD(AH46-FT_Y5,12)/FT_Int2)+1))),IF(AG46="PT",IF(AH46&lt;PT_First,PT_First,PT_First+PT_Int*(INT((AH46-PT_First)/PT_Int)+1)),"")))</f>
        <v/>
      </c>
      <c r="AO46" s="12" t="str">
        <f aca="false">IF(AC46=0,"",IF(NOT(CFY_Ready),0,COUNTIFS(INDEX(CFY_Data,0,CFY_ColFirst),$A46,INDEX(CFY_Data,0,CFY_ColSur),$B46,INDEX(CFY_Data,0,CFY_ColCat),BonusCat)))</f>
        <v/>
      </c>
    </row>
    <row r="47" customFormat="false" ht="15" hidden="false" customHeight="false" outlineLevel="0" collapsed="false">
      <c r="A47" s="15"/>
      <c r="B47" s="15"/>
      <c r="C47" s="15"/>
      <c r="D47" s="16"/>
      <c r="E47" s="10" t="str">
        <f aca="false">IF(OR(AC47=0,$D47=""),"",DATE(YEAR(AsOfDate)+IF(DATE(YEAR(AsOfDate),MONTH($D47),DAY($D47))&lt;=AsOfDate,1,0),MONTH($D47),DAY($D47)))</f>
        <v/>
      </c>
      <c r="F47" s="16"/>
      <c r="G47" s="16"/>
      <c r="H47" s="16"/>
      <c r="I47" s="16"/>
      <c r="J47" s="10" t="str">
        <f aca="false">IF(AC47=0,"",DATE(YEAR(AsOfDate)+IF(DATE(YEAR(AsOfDate),MONTH($F47),DAY($F47))&lt;=AsOfDate,1,0),MONTH($F47),DAY($F47)))</f>
        <v/>
      </c>
      <c r="K47" s="11" t="str">
        <f aca="false">IF(AC47=0,"",ROUND((AsOfDate-$F47)/365.25,1))</f>
        <v/>
      </c>
      <c r="L47" s="12" t="str">
        <f aca="false">IF(AC47=0,"",IF(AsOfDate&lt;AD47,"-",DATEDIF(AD47,AsOfDate,"y")&amp;"y "&amp;DATEDIF(AD47,AsOfDate,"ym")&amp;"m "&amp;DATEDIF(AD47,AsOfDate,"md")&amp;"d"))</f>
        <v/>
      </c>
      <c r="M47" s="13" t="str">
        <f aca="false">IF(AC47=0,"",N47*HoursPerDay)</f>
        <v/>
      </c>
      <c r="N47" s="13" t="str">
        <f aca="false">IF(AC47=0,"",AL47)</f>
        <v/>
      </c>
      <c r="O47" s="17"/>
      <c r="P47" s="12" t="str">
        <f aca="false">IF(AC47=0,"",IF(AE47="","",IF($G47&lt;$H47,"Part-Time to Full-Time","Full-Time to Part-Time")&amp;" on "&amp;TEXT(AE47,"dd/mm/yyyy")&amp;IF(AE47&gt;AsOfDate," (future)",IF(AF47=AG47,"",IF(AG47="None"," - STOPPED accruing",IF(AF47="None"," - now qualifying"," - pathway changed"))))))</f>
        <v/>
      </c>
      <c r="Q47" s="12" t="str">
        <f aca="false">IF(AC47=0,"",IF(AG47="None",IF(N47&gt;0,"No longer accruing","Not eligible - "&amp;IF(AND($C47="Part-Time",N($O47)&lt;PT_MinHours,$O47&lt;&gt;""),"under "&amp;PT_MinHours&amp;" hrs",$C47)),IF(N47&gt;0,"Yes - accruing","Not yet - from "&amp;TEXT(R47,"dd/mm/yyyy"))))</f>
        <v/>
      </c>
      <c r="R47" s="10" t="str">
        <f aca="false">IF(AC47=0,"",IF(AG47="None","",EDATE(AD47,AN47)))</f>
        <v/>
      </c>
      <c r="S47" s="13" t="str">
        <f aca="false">IF(AC47=0,"",IF(NOT(PFY_Ready),"",SUMIFS(INDEX(PFY_Data,0,PFY_ColBal),INDEX(PFY_Data,0,PFY_ColFirst),$A47,INDEX(PFY_Data,0,PFY_ColSur),$B47,INDEX(PFY_Data,0,PFY_ColCat),BonusCat)))</f>
        <v/>
      </c>
      <c r="T47" s="17"/>
      <c r="U47" s="13" t="str">
        <f aca="false">IF(AC47=0,"",IF(NOT(CFY_Ready),"",SUMIFS(INDEX(CFY_Data,0,CFY_ColBal),INDEX(CFY_Data,0,CFY_ColFirst),$A47,INDEX(CFY_Data,0,CFY_ColSur),$B47,INDEX(CFY_Data,0,CFY_ColCat),BonusCat)))</f>
        <v/>
      </c>
      <c r="V47" s="13" t="str">
        <f aca="false">IF(AC47=0,"",IF(OR(NOT(CFY_Ready),CFY_ColAppr=0),"",SUMIFS(INDEX(CFY_Data,0,CFY_ColAppr),INDEX(CFY_Data,0,CFY_ColFirst),$A47,INDEX(CFY_Data,0,CFY_ColSur),$B47,INDEX(CFY_Data,0,CFY_ColCat),BonusCat)))</f>
        <v/>
      </c>
      <c r="W47" s="13" t="str">
        <f aca="false">IF(OR(AC47=0,S47="",U47=""),"",MAX(0,S47+N($T47)-U47))</f>
        <v/>
      </c>
      <c r="X47" s="13" t="str">
        <f aca="false">IF(AC47=0,"",(AL47-AM47)*HoursPerDay)</f>
        <v/>
      </c>
      <c r="Y47" s="13" t="str">
        <f aca="false">IF(AC47=0,"",X47-N($T47))</f>
        <v/>
      </c>
      <c r="Z47" s="12" t="str">
        <f aca="false">IF(AC47=0,"",IF(Y47&gt;0,"Yes","No"))</f>
        <v/>
      </c>
      <c r="AA47" s="12" t="str">
        <f aca="false">IF(AC47=0,"",IF(NOT(CFY_Ready),"Paste CFY EH export",IF(Y47&gt;0,"ACCRUE "&amp;TEXT(Y47,"0.##")&amp;" hrs ("&amp;TEXT(Y47/HoursPerDay,"0.##")&amp;" days)"&amp;IF(AO47=0," - no Bonus Leave line in EH yet",""),IF(Y47&lt;0,"CHECK - posted "&amp;TEXT(-Y47,"0.##")&amp;" hrs more than policy",IF(AND(N47&gt;0,AO47=0,U47=0),"CHECK - policy says "&amp;TEXT(M47,"0.##")&amp;" hrs to date but nothing in EH",IF(N47&gt;0,"OK","-"))))))</f>
        <v/>
      </c>
      <c r="AB47" s="13" t="str">
        <f aca="false">IF(OR(AC47=0,S47=""),"",AM47*HoursPerDay-S47)</f>
        <v/>
      </c>
      <c r="AC47" s="12" t="n">
        <f aca="false">IF(OR(LEN($A47&amp;$B47)=0,$F47=""),0,1)</f>
        <v>0</v>
      </c>
      <c r="AD47" s="10" t="str">
        <f aca="false">IF(AC47=0,"",IF($I47&lt;&gt;"",$I47,$F47))</f>
        <v/>
      </c>
      <c r="AE47" s="10" t="str">
        <f aca="false">IF(AC47=0,"",IF(AND($G47&lt;&gt;"",$H47&lt;&gt;"",$G47&lt;&gt;$H47),MAX($G47,$H47),""))</f>
        <v/>
      </c>
      <c r="AF47" s="12" t="str">
        <f aca="false">IF(AC47=0,"",IF(AE47="",AG47,IF(IF($G47&lt;$H47,"Part-Time","Full-Time")="Full-Time","FT",IF(AND(IF($G47&lt;$H47,"Part-Time","Full-Time")="Part-Time",OR($O47="",N($O47)&gt;=PT_MinHours)),"PT","None"))))</f>
        <v/>
      </c>
      <c r="AG47" s="12" t="str">
        <f aca="false">IF(AC47=0,"",IF($C47="Full-Time","FT",IF(AND($C47="Part-Time",OR($O47="",N($O47)&gt;=PT_MinHours)),"PT","None")))</f>
        <v/>
      </c>
      <c r="AH47" s="12" t="str">
        <f aca="false">IF(AC47=0,"",IF(AsOfDate&lt;AD47,-1,12*(YEAR(AsOfDate)-YEAR(AD47))+MONTH(AsOfDate)-MONTH(AD47)-IF(DAY(AsOfDate)&lt;MIN(DAY(AD47),DAY(EOMONTH(AsOfDate,0))),1,0)))</f>
        <v/>
      </c>
      <c r="AI47" s="12" t="str">
        <f aca="false">IF(AC47=0,"",IF(OR(AE47="",AE47&gt;AsOfDate),AH47,IF((AE47-1)&lt;AD47,-1,12*(YEAR((AE47-1))-YEAR(AD47))+MONTH((AE47-1))-MONTH(AD47)-IF(DAY((AE47-1))&lt;MIN(DAY(AD47),DAY(EOMONTH((AE47-1),0))),1,0))))</f>
        <v/>
      </c>
      <c r="AJ47" s="12" t="str">
        <f aca="false">IF(AC47=0,"",IF(PFYDate&lt;AD47,-1,12*(YEAR(PFYDate)-YEAR(AD47))+MONTH(PFYDate)-MONTH(AD47)-IF(DAY(PFYDate)&lt;MIN(DAY(AD47),DAY(EOMONTH(PFYDate,0))),1,0)))</f>
        <v/>
      </c>
      <c r="AK47" s="12" t="str">
        <f aca="false">IF(AC47=0,"",IF(OR(AE47="",AE47&gt;PFYDate),AJ47,IF((AE47-1)&lt;AD47,-1,12*(YEAR((AE47-1))-YEAR(AD47))+MONTH((AE47-1))-MONTH(AD47)-IF(DAY((AE47-1))&lt;MIN(DAY(AD47),DAY(EOMONTH((AE47-1),0))),1,0))))</f>
        <v/>
      </c>
      <c r="AL47" s="12" t="str">
        <f aca="false">IF(AC47=0,"",IF(AF47="FT",IF(AI47&lt;FT_First,0,IF(AI47&lt;FT_Y5,1+INT((AI47-FT_First)/FT_Int1),FT_PreY5+FT_PerYear*INT((AI47-FT_Y5)/12)+FT_AnnivDays+INT(MOD(AI47-FT_Y5,12)/FT_Int2))),IF(AF47="PT",IF(AI47&lt;PT_First,0,1+INT((AI47-PT_First)/PT_Int)),0))+IF(OR(AE47="",AE47&gt;AsOfDate),0,IF(AG47="FT",IF(AH47&lt;FT_First,0,IF(AH47&lt;FT_Y5,1+INT((AH47-FT_First)/FT_Int1),FT_PreY5+FT_PerYear*INT((AH47-FT_Y5)/12)+FT_AnnivDays+INT(MOD(AH47-FT_Y5,12)/FT_Int2))),IF(AG47="PT",IF(AH47&lt;PT_First,0,1+INT((AH47-PT_First)/PT_Int)),0))-IF(AG47="FT",IF(AI47&lt;FT_First,0,IF(AI47&lt;FT_Y5,1+INT((AI47-FT_First)/FT_Int1),FT_PreY5+FT_PerYear*INT((AI47-FT_Y5)/12)+FT_AnnivDays+INT(MOD(AI47-FT_Y5,12)/FT_Int2))),IF(AG47="PT",IF(AI47&lt;PT_First,0,1+INT((AI47-PT_First)/PT_Int)),0))))</f>
        <v/>
      </c>
      <c r="AM47" s="12" t="str">
        <f aca="false">IF(AC47=0,"",IF(AF47="FT",IF(AK47&lt;FT_First,0,IF(AK47&lt;FT_Y5,1+INT((AK47-FT_First)/FT_Int1),FT_PreY5+FT_PerYear*INT((AK47-FT_Y5)/12)+FT_AnnivDays+INT(MOD(AK47-FT_Y5,12)/FT_Int2))),IF(AF47="PT",IF(AK47&lt;PT_First,0,1+INT((AK47-PT_First)/PT_Int)),0))+IF(OR(AE47="",AE47&gt;PFYDate),0,IF(AG47="FT",IF(AJ47&lt;FT_First,0,IF(AJ47&lt;FT_Y5,1+INT((AJ47-FT_First)/FT_Int1),FT_PreY5+FT_PerYear*INT((AJ47-FT_Y5)/12)+FT_AnnivDays+INT(MOD(AJ47-FT_Y5,12)/FT_Int2))),IF(AG47="PT",IF(AJ47&lt;PT_First,0,1+INT((AJ47-PT_First)/PT_Int)),0))-IF(AG47="FT",IF(AK47&lt;FT_First,0,IF(AK47&lt;FT_Y5,1+INT((AK47-FT_First)/FT_Int1),FT_PreY5+FT_PerYear*INT((AK47-FT_Y5)/12)+FT_AnnivDays+INT(MOD(AK47-FT_Y5,12)/FT_Int2))),IF(AG47="PT",IF(AK47&lt;PT_First,0,1+INT((AK47-PT_First)/PT_Int)),0))))</f>
        <v/>
      </c>
      <c r="AN47" s="12" t="str">
        <f aca="false">IF(AC47=0,"",IF(AG47="FT",IF(AH47&lt;FT_First,FT_First,IF(AH47&lt;FT_Y5,MIN(FT_Y5,FT_First+FT_Int1*(INT((AH47-FT_First)/FT_Int1)+1)),FT_Y5+12*INT((AH47-FT_Y5)/12)+FT_Int2*(INT(MOD(AH47-FT_Y5,12)/FT_Int2)+1))),IF(AG47="PT",IF(AH47&lt;PT_First,PT_First,PT_First+PT_Int*(INT((AH47-PT_First)/PT_Int)+1)),"")))</f>
        <v/>
      </c>
      <c r="AO47" s="12" t="str">
        <f aca="false">IF(AC47=0,"",IF(NOT(CFY_Ready),0,COUNTIFS(INDEX(CFY_Data,0,CFY_ColFirst),$A47,INDEX(CFY_Data,0,CFY_ColSur),$B47,INDEX(CFY_Data,0,CFY_ColCat),BonusCat)))</f>
        <v/>
      </c>
    </row>
    <row r="48" customFormat="false" ht="15" hidden="false" customHeight="false" outlineLevel="0" collapsed="false">
      <c r="A48" s="15"/>
      <c r="B48" s="15"/>
      <c r="C48" s="15"/>
      <c r="D48" s="16"/>
      <c r="E48" s="10" t="str">
        <f aca="false">IF(OR(AC48=0,$D48=""),"",DATE(YEAR(AsOfDate)+IF(DATE(YEAR(AsOfDate),MONTH($D48),DAY($D48))&lt;=AsOfDate,1,0),MONTH($D48),DAY($D48)))</f>
        <v/>
      </c>
      <c r="F48" s="16"/>
      <c r="G48" s="16"/>
      <c r="H48" s="16"/>
      <c r="I48" s="16"/>
      <c r="J48" s="10" t="str">
        <f aca="false">IF(AC48=0,"",DATE(YEAR(AsOfDate)+IF(DATE(YEAR(AsOfDate),MONTH($F48),DAY($F48))&lt;=AsOfDate,1,0),MONTH($F48),DAY($F48)))</f>
        <v/>
      </c>
      <c r="K48" s="11" t="str">
        <f aca="false">IF(AC48=0,"",ROUND((AsOfDate-$F48)/365.25,1))</f>
        <v/>
      </c>
      <c r="L48" s="12" t="str">
        <f aca="false">IF(AC48=0,"",IF(AsOfDate&lt;AD48,"-",DATEDIF(AD48,AsOfDate,"y")&amp;"y "&amp;DATEDIF(AD48,AsOfDate,"ym")&amp;"m "&amp;DATEDIF(AD48,AsOfDate,"md")&amp;"d"))</f>
        <v/>
      </c>
      <c r="M48" s="13" t="str">
        <f aca="false">IF(AC48=0,"",N48*HoursPerDay)</f>
        <v/>
      </c>
      <c r="N48" s="13" t="str">
        <f aca="false">IF(AC48=0,"",AL48)</f>
        <v/>
      </c>
      <c r="O48" s="17"/>
      <c r="P48" s="12" t="str">
        <f aca="false">IF(AC48=0,"",IF(AE48="","",IF($G48&lt;$H48,"Part-Time to Full-Time","Full-Time to Part-Time")&amp;" on "&amp;TEXT(AE48,"dd/mm/yyyy")&amp;IF(AE48&gt;AsOfDate," (future)",IF(AF48=AG48,"",IF(AG48="None"," - STOPPED accruing",IF(AF48="None"," - now qualifying"," - pathway changed"))))))</f>
        <v/>
      </c>
      <c r="Q48" s="12" t="str">
        <f aca="false">IF(AC48=0,"",IF(AG48="None",IF(N48&gt;0,"No longer accruing","Not eligible - "&amp;IF(AND($C48="Part-Time",N($O48)&lt;PT_MinHours,$O48&lt;&gt;""),"under "&amp;PT_MinHours&amp;" hrs",$C48)),IF(N48&gt;0,"Yes - accruing","Not yet - from "&amp;TEXT(R48,"dd/mm/yyyy"))))</f>
        <v/>
      </c>
      <c r="R48" s="10" t="str">
        <f aca="false">IF(AC48=0,"",IF(AG48="None","",EDATE(AD48,AN48)))</f>
        <v/>
      </c>
      <c r="S48" s="13" t="str">
        <f aca="false">IF(AC48=0,"",IF(NOT(PFY_Ready),"",SUMIFS(INDEX(PFY_Data,0,PFY_ColBal),INDEX(PFY_Data,0,PFY_ColFirst),$A48,INDEX(PFY_Data,0,PFY_ColSur),$B48,INDEX(PFY_Data,0,PFY_ColCat),BonusCat)))</f>
        <v/>
      </c>
      <c r="T48" s="17"/>
      <c r="U48" s="13" t="str">
        <f aca="false">IF(AC48=0,"",IF(NOT(CFY_Ready),"",SUMIFS(INDEX(CFY_Data,0,CFY_ColBal),INDEX(CFY_Data,0,CFY_ColFirst),$A48,INDEX(CFY_Data,0,CFY_ColSur),$B48,INDEX(CFY_Data,0,CFY_ColCat),BonusCat)))</f>
        <v/>
      </c>
      <c r="V48" s="13" t="str">
        <f aca="false">IF(AC48=0,"",IF(OR(NOT(CFY_Ready),CFY_ColAppr=0),"",SUMIFS(INDEX(CFY_Data,0,CFY_ColAppr),INDEX(CFY_Data,0,CFY_ColFirst),$A48,INDEX(CFY_Data,0,CFY_ColSur),$B48,INDEX(CFY_Data,0,CFY_ColCat),BonusCat)))</f>
        <v/>
      </c>
      <c r="W48" s="13" t="str">
        <f aca="false">IF(OR(AC48=0,S48="",U48=""),"",MAX(0,S48+N($T48)-U48))</f>
        <v/>
      </c>
      <c r="X48" s="13" t="str">
        <f aca="false">IF(AC48=0,"",(AL48-AM48)*HoursPerDay)</f>
        <v/>
      </c>
      <c r="Y48" s="13" t="str">
        <f aca="false">IF(AC48=0,"",X48-N($T48))</f>
        <v/>
      </c>
      <c r="Z48" s="12" t="str">
        <f aca="false">IF(AC48=0,"",IF(Y48&gt;0,"Yes","No"))</f>
        <v/>
      </c>
      <c r="AA48" s="12" t="str">
        <f aca="false">IF(AC48=0,"",IF(NOT(CFY_Ready),"Paste CFY EH export",IF(Y48&gt;0,"ACCRUE "&amp;TEXT(Y48,"0.##")&amp;" hrs ("&amp;TEXT(Y48/HoursPerDay,"0.##")&amp;" days)"&amp;IF(AO48=0," - no Bonus Leave line in EH yet",""),IF(Y48&lt;0,"CHECK - posted "&amp;TEXT(-Y48,"0.##")&amp;" hrs more than policy",IF(AND(N48&gt;0,AO48=0,U48=0),"CHECK - policy says "&amp;TEXT(M48,"0.##")&amp;" hrs to date but nothing in EH",IF(N48&gt;0,"OK","-"))))))</f>
        <v/>
      </c>
      <c r="AB48" s="13" t="str">
        <f aca="false">IF(OR(AC48=0,S48=""),"",AM48*HoursPerDay-S48)</f>
        <v/>
      </c>
      <c r="AC48" s="12" t="n">
        <f aca="false">IF(OR(LEN($A48&amp;$B48)=0,$F48=""),0,1)</f>
        <v>0</v>
      </c>
      <c r="AD48" s="10" t="str">
        <f aca="false">IF(AC48=0,"",IF($I48&lt;&gt;"",$I48,$F48))</f>
        <v/>
      </c>
      <c r="AE48" s="10" t="str">
        <f aca="false">IF(AC48=0,"",IF(AND($G48&lt;&gt;"",$H48&lt;&gt;"",$G48&lt;&gt;$H48),MAX($G48,$H48),""))</f>
        <v/>
      </c>
      <c r="AF48" s="12" t="str">
        <f aca="false">IF(AC48=0,"",IF(AE48="",AG48,IF(IF($G48&lt;$H48,"Part-Time","Full-Time")="Full-Time","FT",IF(AND(IF($G48&lt;$H48,"Part-Time","Full-Time")="Part-Time",OR($O48="",N($O48)&gt;=PT_MinHours)),"PT","None"))))</f>
        <v/>
      </c>
      <c r="AG48" s="12" t="str">
        <f aca="false">IF(AC48=0,"",IF($C48="Full-Time","FT",IF(AND($C48="Part-Time",OR($O48="",N($O48)&gt;=PT_MinHours)),"PT","None")))</f>
        <v/>
      </c>
      <c r="AH48" s="12" t="str">
        <f aca="false">IF(AC48=0,"",IF(AsOfDate&lt;AD48,-1,12*(YEAR(AsOfDate)-YEAR(AD48))+MONTH(AsOfDate)-MONTH(AD48)-IF(DAY(AsOfDate)&lt;MIN(DAY(AD48),DAY(EOMONTH(AsOfDate,0))),1,0)))</f>
        <v/>
      </c>
      <c r="AI48" s="12" t="str">
        <f aca="false">IF(AC48=0,"",IF(OR(AE48="",AE48&gt;AsOfDate),AH48,IF((AE48-1)&lt;AD48,-1,12*(YEAR((AE48-1))-YEAR(AD48))+MONTH((AE48-1))-MONTH(AD48)-IF(DAY((AE48-1))&lt;MIN(DAY(AD48),DAY(EOMONTH((AE48-1),0))),1,0))))</f>
        <v/>
      </c>
      <c r="AJ48" s="12" t="str">
        <f aca="false">IF(AC48=0,"",IF(PFYDate&lt;AD48,-1,12*(YEAR(PFYDate)-YEAR(AD48))+MONTH(PFYDate)-MONTH(AD48)-IF(DAY(PFYDate)&lt;MIN(DAY(AD48),DAY(EOMONTH(PFYDate,0))),1,0)))</f>
        <v/>
      </c>
      <c r="AK48" s="12" t="str">
        <f aca="false">IF(AC48=0,"",IF(OR(AE48="",AE48&gt;PFYDate),AJ48,IF((AE48-1)&lt;AD48,-1,12*(YEAR((AE48-1))-YEAR(AD48))+MONTH((AE48-1))-MONTH(AD48)-IF(DAY((AE48-1))&lt;MIN(DAY(AD48),DAY(EOMONTH((AE48-1),0))),1,0))))</f>
        <v/>
      </c>
      <c r="AL48" s="12" t="str">
        <f aca="false">IF(AC48=0,"",IF(AF48="FT",IF(AI48&lt;FT_First,0,IF(AI48&lt;FT_Y5,1+INT((AI48-FT_First)/FT_Int1),FT_PreY5+FT_PerYear*INT((AI48-FT_Y5)/12)+FT_AnnivDays+INT(MOD(AI48-FT_Y5,12)/FT_Int2))),IF(AF48="PT",IF(AI48&lt;PT_First,0,1+INT((AI48-PT_First)/PT_Int)),0))+IF(OR(AE48="",AE48&gt;AsOfDate),0,IF(AG48="FT",IF(AH48&lt;FT_First,0,IF(AH48&lt;FT_Y5,1+INT((AH48-FT_First)/FT_Int1),FT_PreY5+FT_PerYear*INT((AH48-FT_Y5)/12)+FT_AnnivDays+INT(MOD(AH48-FT_Y5,12)/FT_Int2))),IF(AG48="PT",IF(AH48&lt;PT_First,0,1+INT((AH48-PT_First)/PT_Int)),0))-IF(AG48="FT",IF(AI48&lt;FT_First,0,IF(AI48&lt;FT_Y5,1+INT((AI48-FT_First)/FT_Int1),FT_PreY5+FT_PerYear*INT((AI48-FT_Y5)/12)+FT_AnnivDays+INT(MOD(AI48-FT_Y5,12)/FT_Int2))),IF(AG48="PT",IF(AI48&lt;PT_First,0,1+INT((AI48-PT_First)/PT_Int)),0))))</f>
        <v/>
      </c>
      <c r="AM48" s="12" t="str">
        <f aca="false">IF(AC48=0,"",IF(AF48="FT",IF(AK48&lt;FT_First,0,IF(AK48&lt;FT_Y5,1+INT((AK48-FT_First)/FT_Int1),FT_PreY5+FT_PerYear*INT((AK48-FT_Y5)/12)+FT_AnnivDays+INT(MOD(AK48-FT_Y5,12)/FT_Int2))),IF(AF48="PT",IF(AK48&lt;PT_First,0,1+INT((AK48-PT_First)/PT_Int)),0))+IF(OR(AE48="",AE48&gt;PFYDate),0,IF(AG48="FT",IF(AJ48&lt;FT_First,0,IF(AJ48&lt;FT_Y5,1+INT((AJ48-FT_First)/FT_Int1),FT_PreY5+FT_PerYear*INT((AJ48-FT_Y5)/12)+FT_AnnivDays+INT(MOD(AJ48-FT_Y5,12)/FT_Int2))),IF(AG48="PT",IF(AJ48&lt;PT_First,0,1+INT((AJ48-PT_First)/PT_Int)),0))-IF(AG48="FT",IF(AK48&lt;FT_First,0,IF(AK48&lt;FT_Y5,1+INT((AK48-FT_First)/FT_Int1),FT_PreY5+FT_PerYear*INT((AK48-FT_Y5)/12)+FT_AnnivDays+INT(MOD(AK48-FT_Y5,12)/FT_Int2))),IF(AG48="PT",IF(AK48&lt;PT_First,0,1+INT((AK48-PT_First)/PT_Int)),0))))</f>
        <v/>
      </c>
      <c r="AN48" s="12" t="str">
        <f aca="false">IF(AC48=0,"",IF(AG48="FT",IF(AH48&lt;FT_First,FT_First,IF(AH48&lt;FT_Y5,MIN(FT_Y5,FT_First+FT_Int1*(INT((AH48-FT_First)/FT_Int1)+1)),FT_Y5+12*INT((AH48-FT_Y5)/12)+FT_Int2*(INT(MOD(AH48-FT_Y5,12)/FT_Int2)+1))),IF(AG48="PT",IF(AH48&lt;PT_First,PT_First,PT_First+PT_Int*(INT((AH48-PT_First)/PT_Int)+1)),"")))</f>
        <v/>
      </c>
      <c r="AO48" s="12" t="str">
        <f aca="false">IF(AC48=0,"",IF(NOT(CFY_Ready),0,COUNTIFS(INDEX(CFY_Data,0,CFY_ColFirst),$A48,INDEX(CFY_Data,0,CFY_ColSur),$B48,INDEX(CFY_Data,0,CFY_ColCat),BonusCat)))</f>
        <v/>
      </c>
    </row>
    <row r="49" customFormat="false" ht="15" hidden="false" customHeight="false" outlineLevel="0" collapsed="false">
      <c r="A49" s="15"/>
      <c r="B49" s="15"/>
      <c r="C49" s="15"/>
      <c r="D49" s="16"/>
      <c r="E49" s="10" t="str">
        <f aca="false">IF(OR(AC49=0,$D49=""),"",DATE(YEAR(AsOfDate)+IF(DATE(YEAR(AsOfDate),MONTH($D49),DAY($D49))&lt;=AsOfDate,1,0),MONTH($D49),DAY($D49)))</f>
        <v/>
      </c>
      <c r="F49" s="16"/>
      <c r="G49" s="16"/>
      <c r="H49" s="16"/>
      <c r="I49" s="16"/>
      <c r="J49" s="10" t="str">
        <f aca="false">IF(AC49=0,"",DATE(YEAR(AsOfDate)+IF(DATE(YEAR(AsOfDate),MONTH($F49),DAY($F49))&lt;=AsOfDate,1,0),MONTH($F49),DAY($F49)))</f>
        <v/>
      </c>
      <c r="K49" s="11" t="str">
        <f aca="false">IF(AC49=0,"",ROUND((AsOfDate-$F49)/365.25,1))</f>
        <v/>
      </c>
      <c r="L49" s="12" t="str">
        <f aca="false">IF(AC49=0,"",IF(AsOfDate&lt;AD49,"-",DATEDIF(AD49,AsOfDate,"y")&amp;"y "&amp;DATEDIF(AD49,AsOfDate,"ym")&amp;"m "&amp;DATEDIF(AD49,AsOfDate,"md")&amp;"d"))</f>
        <v/>
      </c>
      <c r="M49" s="13" t="str">
        <f aca="false">IF(AC49=0,"",N49*HoursPerDay)</f>
        <v/>
      </c>
      <c r="N49" s="13" t="str">
        <f aca="false">IF(AC49=0,"",AL49)</f>
        <v/>
      </c>
      <c r="O49" s="17"/>
      <c r="P49" s="12" t="str">
        <f aca="false">IF(AC49=0,"",IF(AE49="","",IF($G49&lt;$H49,"Part-Time to Full-Time","Full-Time to Part-Time")&amp;" on "&amp;TEXT(AE49,"dd/mm/yyyy")&amp;IF(AE49&gt;AsOfDate," (future)",IF(AF49=AG49,"",IF(AG49="None"," - STOPPED accruing",IF(AF49="None"," - now qualifying"," - pathway changed"))))))</f>
        <v/>
      </c>
      <c r="Q49" s="12" t="str">
        <f aca="false">IF(AC49=0,"",IF(AG49="None",IF(N49&gt;0,"No longer accruing","Not eligible - "&amp;IF(AND($C49="Part-Time",N($O49)&lt;PT_MinHours,$O49&lt;&gt;""),"under "&amp;PT_MinHours&amp;" hrs",$C49)),IF(N49&gt;0,"Yes - accruing","Not yet - from "&amp;TEXT(R49,"dd/mm/yyyy"))))</f>
        <v/>
      </c>
      <c r="R49" s="10" t="str">
        <f aca="false">IF(AC49=0,"",IF(AG49="None","",EDATE(AD49,AN49)))</f>
        <v/>
      </c>
      <c r="S49" s="13" t="str">
        <f aca="false">IF(AC49=0,"",IF(NOT(PFY_Ready),"",SUMIFS(INDEX(PFY_Data,0,PFY_ColBal),INDEX(PFY_Data,0,PFY_ColFirst),$A49,INDEX(PFY_Data,0,PFY_ColSur),$B49,INDEX(PFY_Data,0,PFY_ColCat),BonusCat)))</f>
        <v/>
      </c>
      <c r="T49" s="17"/>
      <c r="U49" s="13" t="str">
        <f aca="false">IF(AC49=0,"",IF(NOT(CFY_Ready),"",SUMIFS(INDEX(CFY_Data,0,CFY_ColBal),INDEX(CFY_Data,0,CFY_ColFirst),$A49,INDEX(CFY_Data,0,CFY_ColSur),$B49,INDEX(CFY_Data,0,CFY_ColCat),BonusCat)))</f>
        <v/>
      </c>
      <c r="V49" s="13" t="str">
        <f aca="false">IF(AC49=0,"",IF(OR(NOT(CFY_Ready),CFY_ColAppr=0),"",SUMIFS(INDEX(CFY_Data,0,CFY_ColAppr),INDEX(CFY_Data,0,CFY_ColFirst),$A49,INDEX(CFY_Data,0,CFY_ColSur),$B49,INDEX(CFY_Data,0,CFY_ColCat),BonusCat)))</f>
        <v/>
      </c>
      <c r="W49" s="13" t="str">
        <f aca="false">IF(OR(AC49=0,S49="",U49=""),"",MAX(0,S49+N($T49)-U49))</f>
        <v/>
      </c>
      <c r="X49" s="13" t="str">
        <f aca="false">IF(AC49=0,"",(AL49-AM49)*HoursPerDay)</f>
        <v/>
      </c>
      <c r="Y49" s="13" t="str">
        <f aca="false">IF(AC49=0,"",X49-N($T49))</f>
        <v/>
      </c>
      <c r="Z49" s="12" t="str">
        <f aca="false">IF(AC49=0,"",IF(Y49&gt;0,"Yes","No"))</f>
        <v/>
      </c>
      <c r="AA49" s="12" t="str">
        <f aca="false">IF(AC49=0,"",IF(NOT(CFY_Ready),"Paste CFY EH export",IF(Y49&gt;0,"ACCRUE "&amp;TEXT(Y49,"0.##")&amp;" hrs ("&amp;TEXT(Y49/HoursPerDay,"0.##")&amp;" days)"&amp;IF(AO49=0," - no Bonus Leave line in EH yet",""),IF(Y49&lt;0,"CHECK - posted "&amp;TEXT(-Y49,"0.##")&amp;" hrs more than policy",IF(AND(N49&gt;0,AO49=0,U49=0),"CHECK - policy says "&amp;TEXT(M49,"0.##")&amp;" hrs to date but nothing in EH",IF(N49&gt;0,"OK","-"))))))</f>
        <v/>
      </c>
      <c r="AB49" s="13" t="str">
        <f aca="false">IF(OR(AC49=0,S49=""),"",AM49*HoursPerDay-S49)</f>
        <v/>
      </c>
      <c r="AC49" s="12" t="n">
        <f aca="false">IF(OR(LEN($A49&amp;$B49)=0,$F49=""),0,1)</f>
        <v>0</v>
      </c>
      <c r="AD49" s="10" t="str">
        <f aca="false">IF(AC49=0,"",IF($I49&lt;&gt;"",$I49,$F49))</f>
        <v/>
      </c>
      <c r="AE49" s="10" t="str">
        <f aca="false">IF(AC49=0,"",IF(AND($G49&lt;&gt;"",$H49&lt;&gt;"",$G49&lt;&gt;$H49),MAX($G49,$H49),""))</f>
        <v/>
      </c>
      <c r="AF49" s="12" t="str">
        <f aca="false">IF(AC49=0,"",IF(AE49="",AG49,IF(IF($G49&lt;$H49,"Part-Time","Full-Time")="Full-Time","FT",IF(AND(IF($G49&lt;$H49,"Part-Time","Full-Time")="Part-Time",OR($O49="",N($O49)&gt;=PT_MinHours)),"PT","None"))))</f>
        <v/>
      </c>
      <c r="AG49" s="12" t="str">
        <f aca="false">IF(AC49=0,"",IF($C49="Full-Time","FT",IF(AND($C49="Part-Time",OR($O49="",N($O49)&gt;=PT_MinHours)),"PT","None")))</f>
        <v/>
      </c>
      <c r="AH49" s="12" t="str">
        <f aca="false">IF(AC49=0,"",IF(AsOfDate&lt;AD49,-1,12*(YEAR(AsOfDate)-YEAR(AD49))+MONTH(AsOfDate)-MONTH(AD49)-IF(DAY(AsOfDate)&lt;MIN(DAY(AD49),DAY(EOMONTH(AsOfDate,0))),1,0)))</f>
        <v/>
      </c>
      <c r="AI49" s="12" t="str">
        <f aca="false">IF(AC49=0,"",IF(OR(AE49="",AE49&gt;AsOfDate),AH49,IF((AE49-1)&lt;AD49,-1,12*(YEAR((AE49-1))-YEAR(AD49))+MONTH((AE49-1))-MONTH(AD49)-IF(DAY((AE49-1))&lt;MIN(DAY(AD49),DAY(EOMONTH((AE49-1),0))),1,0))))</f>
        <v/>
      </c>
      <c r="AJ49" s="12" t="str">
        <f aca="false">IF(AC49=0,"",IF(PFYDate&lt;AD49,-1,12*(YEAR(PFYDate)-YEAR(AD49))+MONTH(PFYDate)-MONTH(AD49)-IF(DAY(PFYDate)&lt;MIN(DAY(AD49),DAY(EOMONTH(PFYDate,0))),1,0)))</f>
        <v/>
      </c>
      <c r="AK49" s="12" t="str">
        <f aca="false">IF(AC49=0,"",IF(OR(AE49="",AE49&gt;PFYDate),AJ49,IF((AE49-1)&lt;AD49,-1,12*(YEAR((AE49-1))-YEAR(AD49))+MONTH((AE49-1))-MONTH(AD49)-IF(DAY((AE49-1))&lt;MIN(DAY(AD49),DAY(EOMONTH((AE49-1),0))),1,0))))</f>
        <v/>
      </c>
      <c r="AL49" s="12" t="str">
        <f aca="false">IF(AC49=0,"",IF(AF49="FT",IF(AI49&lt;FT_First,0,IF(AI49&lt;FT_Y5,1+INT((AI49-FT_First)/FT_Int1),FT_PreY5+FT_PerYear*INT((AI49-FT_Y5)/12)+FT_AnnivDays+INT(MOD(AI49-FT_Y5,12)/FT_Int2))),IF(AF49="PT",IF(AI49&lt;PT_First,0,1+INT((AI49-PT_First)/PT_Int)),0))+IF(OR(AE49="",AE49&gt;AsOfDate),0,IF(AG49="FT",IF(AH49&lt;FT_First,0,IF(AH49&lt;FT_Y5,1+INT((AH49-FT_First)/FT_Int1),FT_PreY5+FT_PerYear*INT((AH49-FT_Y5)/12)+FT_AnnivDays+INT(MOD(AH49-FT_Y5,12)/FT_Int2))),IF(AG49="PT",IF(AH49&lt;PT_First,0,1+INT((AH49-PT_First)/PT_Int)),0))-IF(AG49="FT",IF(AI49&lt;FT_First,0,IF(AI49&lt;FT_Y5,1+INT((AI49-FT_First)/FT_Int1),FT_PreY5+FT_PerYear*INT((AI49-FT_Y5)/12)+FT_AnnivDays+INT(MOD(AI49-FT_Y5,12)/FT_Int2))),IF(AG49="PT",IF(AI49&lt;PT_First,0,1+INT((AI49-PT_First)/PT_Int)),0))))</f>
        <v/>
      </c>
      <c r="AM49" s="12" t="str">
        <f aca="false">IF(AC49=0,"",IF(AF49="FT",IF(AK49&lt;FT_First,0,IF(AK49&lt;FT_Y5,1+INT((AK49-FT_First)/FT_Int1),FT_PreY5+FT_PerYear*INT((AK49-FT_Y5)/12)+FT_AnnivDays+INT(MOD(AK49-FT_Y5,12)/FT_Int2))),IF(AF49="PT",IF(AK49&lt;PT_First,0,1+INT((AK49-PT_First)/PT_Int)),0))+IF(OR(AE49="",AE49&gt;PFYDate),0,IF(AG49="FT",IF(AJ49&lt;FT_First,0,IF(AJ49&lt;FT_Y5,1+INT((AJ49-FT_First)/FT_Int1),FT_PreY5+FT_PerYear*INT((AJ49-FT_Y5)/12)+FT_AnnivDays+INT(MOD(AJ49-FT_Y5,12)/FT_Int2))),IF(AG49="PT",IF(AJ49&lt;PT_First,0,1+INT((AJ49-PT_First)/PT_Int)),0))-IF(AG49="FT",IF(AK49&lt;FT_First,0,IF(AK49&lt;FT_Y5,1+INT((AK49-FT_First)/FT_Int1),FT_PreY5+FT_PerYear*INT((AK49-FT_Y5)/12)+FT_AnnivDays+INT(MOD(AK49-FT_Y5,12)/FT_Int2))),IF(AG49="PT",IF(AK49&lt;PT_First,0,1+INT((AK49-PT_First)/PT_Int)),0))))</f>
        <v/>
      </c>
      <c r="AN49" s="12" t="str">
        <f aca="false">IF(AC49=0,"",IF(AG49="FT",IF(AH49&lt;FT_First,FT_First,IF(AH49&lt;FT_Y5,MIN(FT_Y5,FT_First+FT_Int1*(INT((AH49-FT_First)/FT_Int1)+1)),FT_Y5+12*INT((AH49-FT_Y5)/12)+FT_Int2*(INT(MOD(AH49-FT_Y5,12)/FT_Int2)+1))),IF(AG49="PT",IF(AH49&lt;PT_First,PT_First,PT_First+PT_Int*(INT((AH49-PT_First)/PT_Int)+1)),"")))</f>
        <v/>
      </c>
      <c r="AO49" s="12" t="str">
        <f aca="false">IF(AC49=0,"",IF(NOT(CFY_Ready),0,COUNTIFS(INDEX(CFY_Data,0,CFY_ColFirst),$A49,INDEX(CFY_Data,0,CFY_ColSur),$B49,INDEX(CFY_Data,0,CFY_ColCat),BonusCat)))</f>
        <v/>
      </c>
    </row>
    <row r="50" customFormat="false" ht="15" hidden="false" customHeight="false" outlineLevel="0" collapsed="false">
      <c r="A50" s="15"/>
      <c r="B50" s="15"/>
      <c r="C50" s="15"/>
      <c r="D50" s="16"/>
      <c r="E50" s="10" t="str">
        <f aca="false">IF(OR(AC50=0,$D50=""),"",DATE(YEAR(AsOfDate)+IF(DATE(YEAR(AsOfDate),MONTH($D50),DAY($D50))&lt;=AsOfDate,1,0),MONTH($D50),DAY($D50)))</f>
        <v/>
      </c>
      <c r="F50" s="16"/>
      <c r="G50" s="16"/>
      <c r="H50" s="16"/>
      <c r="I50" s="16"/>
      <c r="J50" s="10" t="str">
        <f aca="false">IF(AC50=0,"",DATE(YEAR(AsOfDate)+IF(DATE(YEAR(AsOfDate),MONTH($F50),DAY($F50))&lt;=AsOfDate,1,0),MONTH($F50),DAY($F50)))</f>
        <v/>
      </c>
      <c r="K50" s="11" t="str">
        <f aca="false">IF(AC50=0,"",ROUND((AsOfDate-$F50)/365.25,1))</f>
        <v/>
      </c>
      <c r="L50" s="12" t="str">
        <f aca="false">IF(AC50=0,"",IF(AsOfDate&lt;AD50,"-",DATEDIF(AD50,AsOfDate,"y")&amp;"y "&amp;DATEDIF(AD50,AsOfDate,"ym")&amp;"m "&amp;DATEDIF(AD50,AsOfDate,"md")&amp;"d"))</f>
        <v/>
      </c>
      <c r="M50" s="13" t="str">
        <f aca="false">IF(AC50=0,"",N50*HoursPerDay)</f>
        <v/>
      </c>
      <c r="N50" s="13" t="str">
        <f aca="false">IF(AC50=0,"",AL50)</f>
        <v/>
      </c>
      <c r="O50" s="17"/>
      <c r="P50" s="12" t="str">
        <f aca="false">IF(AC50=0,"",IF(AE50="","",IF($G50&lt;$H50,"Part-Time to Full-Time","Full-Time to Part-Time")&amp;" on "&amp;TEXT(AE50,"dd/mm/yyyy")&amp;IF(AE50&gt;AsOfDate," (future)",IF(AF50=AG50,"",IF(AG50="None"," - STOPPED accruing",IF(AF50="None"," - now qualifying"," - pathway changed"))))))</f>
        <v/>
      </c>
      <c r="Q50" s="12" t="str">
        <f aca="false">IF(AC50=0,"",IF(AG50="None",IF(N50&gt;0,"No longer accruing","Not eligible - "&amp;IF(AND($C50="Part-Time",N($O50)&lt;PT_MinHours,$O50&lt;&gt;""),"under "&amp;PT_MinHours&amp;" hrs",$C50)),IF(N50&gt;0,"Yes - accruing","Not yet - from "&amp;TEXT(R50,"dd/mm/yyyy"))))</f>
        <v/>
      </c>
      <c r="R50" s="10" t="str">
        <f aca="false">IF(AC50=0,"",IF(AG50="None","",EDATE(AD50,AN50)))</f>
        <v/>
      </c>
      <c r="S50" s="13" t="str">
        <f aca="false">IF(AC50=0,"",IF(NOT(PFY_Ready),"",SUMIFS(INDEX(PFY_Data,0,PFY_ColBal),INDEX(PFY_Data,0,PFY_ColFirst),$A50,INDEX(PFY_Data,0,PFY_ColSur),$B50,INDEX(PFY_Data,0,PFY_ColCat),BonusCat)))</f>
        <v/>
      </c>
      <c r="T50" s="17"/>
      <c r="U50" s="13" t="str">
        <f aca="false">IF(AC50=0,"",IF(NOT(CFY_Ready),"",SUMIFS(INDEX(CFY_Data,0,CFY_ColBal),INDEX(CFY_Data,0,CFY_ColFirst),$A50,INDEX(CFY_Data,0,CFY_ColSur),$B50,INDEX(CFY_Data,0,CFY_ColCat),BonusCat)))</f>
        <v/>
      </c>
      <c r="V50" s="13" t="str">
        <f aca="false">IF(AC50=0,"",IF(OR(NOT(CFY_Ready),CFY_ColAppr=0),"",SUMIFS(INDEX(CFY_Data,0,CFY_ColAppr),INDEX(CFY_Data,0,CFY_ColFirst),$A50,INDEX(CFY_Data,0,CFY_ColSur),$B50,INDEX(CFY_Data,0,CFY_ColCat),BonusCat)))</f>
        <v/>
      </c>
      <c r="W50" s="13" t="str">
        <f aca="false">IF(OR(AC50=0,S50="",U50=""),"",MAX(0,S50+N($T50)-U50))</f>
        <v/>
      </c>
      <c r="X50" s="13" t="str">
        <f aca="false">IF(AC50=0,"",(AL50-AM50)*HoursPerDay)</f>
        <v/>
      </c>
      <c r="Y50" s="13" t="str">
        <f aca="false">IF(AC50=0,"",X50-N($T50))</f>
        <v/>
      </c>
      <c r="Z50" s="12" t="str">
        <f aca="false">IF(AC50=0,"",IF(Y50&gt;0,"Yes","No"))</f>
        <v/>
      </c>
      <c r="AA50" s="12" t="str">
        <f aca="false">IF(AC50=0,"",IF(NOT(CFY_Ready),"Paste CFY EH export",IF(Y50&gt;0,"ACCRUE "&amp;TEXT(Y50,"0.##")&amp;" hrs ("&amp;TEXT(Y50/HoursPerDay,"0.##")&amp;" days)"&amp;IF(AO50=0," - no Bonus Leave line in EH yet",""),IF(Y50&lt;0,"CHECK - posted "&amp;TEXT(-Y50,"0.##")&amp;" hrs more than policy",IF(AND(N50&gt;0,AO50=0,U50=0),"CHECK - policy says "&amp;TEXT(M50,"0.##")&amp;" hrs to date but nothing in EH",IF(N50&gt;0,"OK","-"))))))</f>
        <v/>
      </c>
      <c r="AB50" s="13" t="str">
        <f aca="false">IF(OR(AC50=0,S50=""),"",AM50*HoursPerDay-S50)</f>
        <v/>
      </c>
      <c r="AC50" s="12" t="n">
        <f aca="false">IF(OR(LEN($A50&amp;$B50)=0,$F50=""),0,1)</f>
        <v>0</v>
      </c>
      <c r="AD50" s="10" t="str">
        <f aca="false">IF(AC50=0,"",IF($I50&lt;&gt;"",$I50,$F50))</f>
        <v/>
      </c>
      <c r="AE50" s="10" t="str">
        <f aca="false">IF(AC50=0,"",IF(AND($G50&lt;&gt;"",$H50&lt;&gt;"",$G50&lt;&gt;$H50),MAX($G50,$H50),""))</f>
        <v/>
      </c>
      <c r="AF50" s="12" t="str">
        <f aca="false">IF(AC50=0,"",IF(AE50="",AG50,IF(IF($G50&lt;$H50,"Part-Time","Full-Time")="Full-Time","FT",IF(AND(IF($G50&lt;$H50,"Part-Time","Full-Time")="Part-Time",OR($O50="",N($O50)&gt;=PT_MinHours)),"PT","None"))))</f>
        <v/>
      </c>
      <c r="AG50" s="12" t="str">
        <f aca="false">IF(AC50=0,"",IF($C50="Full-Time","FT",IF(AND($C50="Part-Time",OR($O50="",N($O50)&gt;=PT_MinHours)),"PT","None")))</f>
        <v/>
      </c>
      <c r="AH50" s="12" t="str">
        <f aca="false">IF(AC50=0,"",IF(AsOfDate&lt;AD50,-1,12*(YEAR(AsOfDate)-YEAR(AD50))+MONTH(AsOfDate)-MONTH(AD50)-IF(DAY(AsOfDate)&lt;MIN(DAY(AD50),DAY(EOMONTH(AsOfDate,0))),1,0)))</f>
        <v/>
      </c>
      <c r="AI50" s="12" t="str">
        <f aca="false">IF(AC50=0,"",IF(OR(AE50="",AE50&gt;AsOfDate),AH50,IF((AE50-1)&lt;AD50,-1,12*(YEAR((AE50-1))-YEAR(AD50))+MONTH((AE50-1))-MONTH(AD50)-IF(DAY((AE50-1))&lt;MIN(DAY(AD50),DAY(EOMONTH((AE50-1),0))),1,0))))</f>
        <v/>
      </c>
      <c r="AJ50" s="12" t="str">
        <f aca="false">IF(AC50=0,"",IF(PFYDate&lt;AD50,-1,12*(YEAR(PFYDate)-YEAR(AD50))+MONTH(PFYDate)-MONTH(AD50)-IF(DAY(PFYDate)&lt;MIN(DAY(AD50),DAY(EOMONTH(PFYDate,0))),1,0)))</f>
        <v/>
      </c>
      <c r="AK50" s="12" t="str">
        <f aca="false">IF(AC50=0,"",IF(OR(AE50="",AE50&gt;PFYDate),AJ50,IF((AE50-1)&lt;AD50,-1,12*(YEAR((AE50-1))-YEAR(AD50))+MONTH((AE50-1))-MONTH(AD50)-IF(DAY((AE50-1))&lt;MIN(DAY(AD50),DAY(EOMONTH((AE50-1),0))),1,0))))</f>
        <v/>
      </c>
      <c r="AL50" s="12" t="str">
        <f aca="false">IF(AC50=0,"",IF(AF50="FT",IF(AI50&lt;FT_First,0,IF(AI50&lt;FT_Y5,1+INT((AI50-FT_First)/FT_Int1),FT_PreY5+FT_PerYear*INT((AI50-FT_Y5)/12)+FT_AnnivDays+INT(MOD(AI50-FT_Y5,12)/FT_Int2))),IF(AF50="PT",IF(AI50&lt;PT_First,0,1+INT((AI50-PT_First)/PT_Int)),0))+IF(OR(AE50="",AE50&gt;AsOfDate),0,IF(AG50="FT",IF(AH50&lt;FT_First,0,IF(AH50&lt;FT_Y5,1+INT((AH50-FT_First)/FT_Int1),FT_PreY5+FT_PerYear*INT((AH50-FT_Y5)/12)+FT_AnnivDays+INT(MOD(AH50-FT_Y5,12)/FT_Int2))),IF(AG50="PT",IF(AH50&lt;PT_First,0,1+INT((AH50-PT_First)/PT_Int)),0))-IF(AG50="FT",IF(AI50&lt;FT_First,0,IF(AI50&lt;FT_Y5,1+INT((AI50-FT_First)/FT_Int1),FT_PreY5+FT_PerYear*INT((AI50-FT_Y5)/12)+FT_AnnivDays+INT(MOD(AI50-FT_Y5,12)/FT_Int2))),IF(AG50="PT",IF(AI50&lt;PT_First,0,1+INT((AI50-PT_First)/PT_Int)),0))))</f>
        <v/>
      </c>
      <c r="AM50" s="12" t="str">
        <f aca="false">IF(AC50=0,"",IF(AF50="FT",IF(AK50&lt;FT_First,0,IF(AK50&lt;FT_Y5,1+INT((AK50-FT_First)/FT_Int1),FT_PreY5+FT_PerYear*INT((AK50-FT_Y5)/12)+FT_AnnivDays+INT(MOD(AK50-FT_Y5,12)/FT_Int2))),IF(AF50="PT",IF(AK50&lt;PT_First,0,1+INT((AK50-PT_First)/PT_Int)),0))+IF(OR(AE50="",AE50&gt;PFYDate),0,IF(AG50="FT",IF(AJ50&lt;FT_First,0,IF(AJ50&lt;FT_Y5,1+INT((AJ50-FT_First)/FT_Int1),FT_PreY5+FT_PerYear*INT((AJ50-FT_Y5)/12)+FT_AnnivDays+INT(MOD(AJ50-FT_Y5,12)/FT_Int2))),IF(AG50="PT",IF(AJ50&lt;PT_First,0,1+INT((AJ50-PT_First)/PT_Int)),0))-IF(AG50="FT",IF(AK50&lt;FT_First,0,IF(AK50&lt;FT_Y5,1+INT((AK50-FT_First)/FT_Int1),FT_PreY5+FT_PerYear*INT((AK50-FT_Y5)/12)+FT_AnnivDays+INT(MOD(AK50-FT_Y5,12)/FT_Int2))),IF(AG50="PT",IF(AK50&lt;PT_First,0,1+INT((AK50-PT_First)/PT_Int)),0))))</f>
        <v/>
      </c>
      <c r="AN50" s="12" t="str">
        <f aca="false">IF(AC50=0,"",IF(AG50="FT",IF(AH50&lt;FT_First,FT_First,IF(AH50&lt;FT_Y5,MIN(FT_Y5,FT_First+FT_Int1*(INT((AH50-FT_First)/FT_Int1)+1)),FT_Y5+12*INT((AH50-FT_Y5)/12)+FT_Int2*(INT(MOD(AH50-FT_Y5,12)/FT_Int2)+1))),IF(AG50="PT",IF(AH50&lt;PT_First,PT_First,PT_First+PT_Int*(INT((AH50-PT_First)/PT_Int)+1)),"")))</f>
        <v/>
      </c>
      <c r="AO50" s="12" t="str">
        <f aca="false">IF(AC50=0,"",IF(NOT(CFY_Ready),0,COUNTIFS(INDEX(CFY_Data,0,CFY_ColFirst),$A50,INDEX(CFY_Data,0,CFY_ColSur),$B50,INDEX(CFY_Data,0,CFY_ColCat),BonusCat)))</f>
        <v/>
      </c>
    </row>
    <row r="51" customFormat="false" ht="15" hidden="false" customHeight="false" outlineLevel="0" collapsed="false">
      <c r="A51" s="15"/>
      <c r="B51" s="15"/>
      <c r="C51" s="15"/>
      <c r="D51" s="16"/>
      <c r="E51" s="10" t="str">
        <f aca="false">IF(OR(AC51=0,$D51=""),"",DATE(YEAR(AsOfDate)+IF(DATE(YEAR(AsOfDate),MONTH($D51),DAY($D51))&lt;=AsOfDate,1,0),MONTH($D51),DAY($D51)))</f>
        <v/>
      </c>
      <c r="F51" s="16"/>
      <c r="G51" s="16"/>
      <c r="H51" s="16"/>
      <c r="I51" s="16"/>
      <c r="J51" s="10" t="str">
        <f aca="false">IF(AC51=0,"",DATE(YEAR(AsOfDate)+IF(DATE(YEAR(AsOfDate),MONTH($F51),DAY($F51))&lt;=AsOfDate,1,0),MONTH($F51),DAY($F51)))</f>
        <v/>
      </c>
      <c r="K51" s="11" t="str">
        <f aca="false">IF(AC51=0,"",ROUND((AsOfDate-$F51)/365.25,1))</f>
        <v/>
      </c>
      <c r="L51" s="12" t="str">
        <f aca="false">IF(AC51=0,"",IF(AsOfDate&lt;AD51,"-",DATEDIF(AD51,AsOfDate,"y")&amp;"y "&amp;DATEDIF(AD51,AsOfDate,"ym")&amp;"m "&amp;DATEDIF(AD51,AsOfDate,"md")&amp;"d"))</f>
        <v/>
      </c>
      <c r="M51" s="13" t="str">
        <f aca="false">IF(AC51=0,"",N51*HoursPerDay)</f>
        <v/>
      </c>
      <c r="N51" s="13" t="str">
        <f aca="false">IF(AC51=0,"",AL51)</f>
        <v/>
      </c>
      <c r="O51" s="17"/>
      <c r="P51" s="12" t="str">
        <f aca="false">IF(AC51=0,"",IF(AE51="","",IF($G51&lt;$H51,"Part-Time to Full-Time","Full-Time to Part-Time")&amp;" on "&amp;TEXT(AE51,"dd/mm/yyyy")&amp;IF(AE51&gt;AsOfDate," (future)",IF(AF51=AG51,"",IF(AG51="None"," - STOPPED accruing",IF(AF51="None"," - now qualifying"," - pathway changed"))))))</f>
        <v/>
      </c>
      <c r="Q51" s="12" t="str">
        <f aca="false">IF(AC51=0,"",IF(AG51="None",IF(N51&gt;0,"No longer accruing","Not eligible - "&amp;IF(AND($C51="Part-Time",N($O51)&lt;PT_MinHours,$O51&lt;&gt;""),"under "&amp;PT_MinHours&amp;" hrs",$C51)),IF(N51&gt;0,"Yes - accruing","Not yet - from "&amp;TEXT(R51,"dd/mm/yyyy"))))</f>
        <v/>
      </c>
      <c r="R51" s="10" t="str">
        <f aca="false">IF(AC51=0,"",IF(AG51="None","",EDATE(AD51,AN51)))</f>
        <v/>
      </c>
      <c r="S51" s="13" t="str">
        <f aca="false">IF(AC51=0,"",IF(NOT(PFY_Ready),"",SUMIFS(INDEX(PFY_Data,0,PFY_ColBal),INDEX(PFY_Data,0,PFY_ColFirst),$A51,INDEX(PFY_Data,0,PFY_ColSur),$B51,INDEX(PFY_Data,0,PFY_ColCat),BonusCat)))</f>
        <v/>
      </c>
      <c r="T51" s="17"/>
      <c r="U51" s="13" t="str">
        <f aca="false">IF(AC51=0,"",IF(NOT(CFY_Ready),"",SUMIFS(INDEX(CFY_Data,0,CFY_ColBal),INDEX(CFY_Data,0,CFY_ColFirst),$A51,INDEX(CFY_Data,0,CFY_ColSur),$B51,INDEX(CFY_Data,0,CFY_ColCat),BonusCat)))</f>
        <v/>
      </c>
      <c r="V51" s="13" t="str">
        <f aca="false">IF(AC51=0,"",IF(OR(NOT(CFY_Ready),CFY_ColAppr=0),"",SUMIFS(INDEX(CFY_Data,0,CFY_ColAppr),INDEX(CFY_Data,0,CFY_ColFirst),$A51,INDEX(CFY_Data,0,CFY_ColSur),$B51,INDEX(CFY_Data,0,CFY_ColCat),BonusCat)))</f>
        <v/>
      </c>
      <c r="W51" s="13" t="str">
        <f aca="false">IF(OR(AC51=0,S51="",U51=""),"",MAX(0,S51+N($T51)-U51))</f>
        <v/>
      </c>
      <c r="X51" s="13" t="str">
        <f aca="false">IF(AC51=0,"",(AL51-AM51)*HoursPerDay)</f>
        <v/>
      </c>
      <c r="Y51" s="13" t="str">
        <f aca="false">IF(AC51=0,"",X51-N($T51))</f>
        <v/>
      </c>
      <c r="Z51" s="12" t="str">
        <f aca="false">IF(AC51=0,"",IF(Y51&gt;0,"Yes","No"))</f>
        <v/>
      </c>
      <c r="AA51" s="12" t="str">
        <f aca="false">IF(AC51=0,"",IF(NOT(CFY_Ready),"Paste CFY EH export",IF(Y51&gt;0,"ACCRUE "&amp;TEXT(Y51,"0.##")&amp;" hrs ("&amp;TEXT(Y51/HoursPerDay,"0.##")&amp;" days)"&amp;IF(AO51=0," - no Bonus Leave line in EH yet",""),IF(Y51&lt;0,"CHECK - posted "&amp;TEXT(-Y51,"0.##")&amp;" hrs more than policy",IF(AND(N51&gt;0,AO51=0,U51=0),"CHECK - policy says "&amp;TEXT(M51,"0.##")&amp;" hrs to date but nothing in EH",IF(N51&gt;0,"OK","-"))))))</f>
        <v/>
      </c>
      <c r="AB51" s="13" t="str">
        <f aca="false">IF(OR(AC51=0,S51=""),"",AM51*HoursPerDay-S51)</f>
        <v/>
      </c>
      <c r="AC51" s="12" t="n">
        <f aca="false">IF(OR(LEN($A51&amp;$B51)=0,$F51=""),0,1)</f>
        <v>0</v>
      </c>
      <c r="AD51" s="10" t="str">
        <f aca="false">IF(AC51=0,"",IF($I51&lt;&gt;"",$I51,$F51))</f>
        <v/>
      </c>
      <c r="AE51" s="10" t="str">
        <f aca="false">IF(AC51=0,"",IF(AND($G51&lt;&gt;"",$H51&lt;&gt;"",$G51&lt;&gt;$H51),MAX($G51,$H51),""))</f>
        <v/>
      </c>
      <c r="AF51" s="12" t="str">
        <f aca="false">IF(AC51=0,"",IF(AE51="",AG51,IF(IF($G51&lt;$H51,"Part-Time","Full-Time")="Full-Time","FT",IF(AND(IF($G51&lt;$H51,"Part-Time","Full-Time")="Part-Time",OR($O51="",N($O51)&gt;=PT_MinHours)),"PT","None"))))</f>
        <v/>
      </c>
      <c r="AG51" s="12" t="str">
        <f aca="false">IF(AC51=0,"",IF($C51="Full-Time","FT",IF(AND($C51="Part-Time",OR($O51="",N($O51)&gt;=PT_MinHours)),"PT","None")))</f>
        <v/>
      </c>
      <c r="AH51" s="12" t="str">
        <f aca="false">IF(AC51=0,"",IF(AsOfDate&lt;AD51,-1,12*(YEAR(AsOfDate)-YEAR(AD51))+MONTH(AsOfDate)-MONTH(AD51)-IF(DAY(AsOfDate)&lt;MIN(DAY(AD51),DAY(EOMONTH(AsOfDate,0))),1,0)))</f>
        <v/>
      </c>
      <c r="AI51" s="12" t="str">
        <f aca="false">IF(AC51=0,"",IF(OR(AE51="",AE51&gt;AsOfDate),AH51,IF((AE51-1)&lt;AD51,-1,12*(YEAR((AE51-1))-YEAR(AD51))+MONTH((AE51-1))-MONTH(AD51)-IF(DAY((AE51-1))&lt;MIN(DAY(AD51),DAY(EOMONTH((AE51-1),0))),1,0))))</f>
        <v/>
      </c>
      <c r="AJ51" s="12" t="str">
        <f aca="false">IF(AC51=0,"",IF(PFYDate&lt;AD51,-1,12*(YEAR(PFYDate)-YEAR(AD51))+MONTH(PFYDate)-MONTH(AD51)-IF(DAY(PFYDate)&lt;MIN(DAY(AD51),DAY(EOMONTH(PFYDate,0))),1,0)))</f>
        <v/>
      </c>
      <c r="AK51" s="12" t="str">
        <f aca="false">IF(AC51=0,"",IF(OR(AE51="",AE51&gt;PFYDate),AJ51,IF((AE51-1)&lt;AD51,-1,12*(YEAR((AE51-1))-YEAR(AD51))+MONTH((AE51-1))-MONTH(AD51)-IF(DAY((AE51-1))&lt;MIN(DAY(AD51),DAY(EOMONTH((AE51-1),0))),1,0))))</f>
        <v/>
      </c>
      <c r="AL51" s="12" t="str">
        <f aca="false">IF(AC51=0,"",IF(AF51="FT",IF(AI51&lt;FT_First,0,IF(AI51&lt;FT_Y5,1+INT((AI51-FT_First)/FT_Int1),FT_PreY5+FT_PerYear*INT((AI51-FT_Y5)/12)+FT_AnnivDays+INT(MOD(AI51-FT_Y5,12)/FT_Int2))),IF(AF51="PT",IF(AI51&lt;PT_First,0,1+INT((AI51-PT_First)/PT_Int)),0))+IF(OR(AE51="",AE51&gt;AsOfDate),0,IF(AG51="FT",IF(AH51&lt;FT_First,0,IF(AH51&lt;FT_Y5,1+INT((AH51-FT_First)/FT_Int1),FT_PreY5+FT_PerYear*INT((AH51-FT_Y5)/12)+FT_AnnivDays+INT(MOD(AH51-FT_Y5,12)/FT_Int2))),IF(AG51="PT",IF(AH51&lt;PT_First,0,1+INT((AH51-PT_First)/PT_Int)),0))-IF(AG51="FT",IF(AI51&lt;FT_First,0,IF(AI51&lt;FT_Y5,1+INT((AI51-FT_First)/FT_Int1),FT_PreY5+FT_PerYear*INT((AI51-FT_Y5)/12)+FT_AnnivDays+INT(MOD(AI51-FT_Y5,12)/FT_Int2))),IF(AG51="PT",IF(AI51&lt;PT_First,0,1+INT((AI51-PT_First)/PT_Int)),0))))</f>
        <v/>
      </c>
      <c r="AM51" s="12" t="str">
        <f aca="false">IF(AC51=0,"",IF(AF51="FT",IF(AK51&lt;FT_First,0,IF(AK51&lt;FT_Y5,1+INT((AK51-FT_First)/FT_Int1),FT_PreY5+FT_PerYear*INT((AK51-FT_Y5)/12)+FT_AnnivDays+INT(MOD(AK51-FT_Y5,12)/FT_Int2))),IF(AF51="PT",IF(AK51&lt;PT_First,0,1+INT((AK51-PT_First)/PT_Int)),0))+IF(OR(AE51="",AE51&gt;PFYDate),0,IF(AG51="FT",IF(AJ51&lt;FT_First,0,IF(AJ51&lt;FT_Y5,1+INT((AJ51-FT_First)/FT_Int1),FT_PreY5+FT_PerYear*INT((AJ51-FT_Y5)/12)+FT_AnnivDays+INT(MOD(AJ51-FT_Y5,12)/FT_Int2))),IF(AG51="PT",IF(AJ51&lt;PT_First,0,1+INT((AJ51-PT_First)/PT_Int)),0))-IF(AG51="FT",IF(AK51&lt;FT_First,0,IF(AK51&lt;FT_Y5,1+INT((AK51-FT_First)/FT_Int1),FT_PreY5+FT_PerYear*INT((AK51-FT_Y5)/12)+FT_AnnivDays+INT(MOD(AK51-FT_Y5,12)/FT_Int2))),IF(AG51="PT",IF(AK51&lt;PT_First,0,1+INT((AK51-PT_First)/PT_Int)),0))))</f>
        <v/>
      </c>
      <c r="AN51" s="12" t="str">
        <f aca="false">IF(AC51=0,"",IF(AG51="FT",IF(AH51&lt;FT_First,FT_First,IF(AH51&lt;FT_Y5,MIN(FT_Y5,FT_First+FT_Int1*(INT((AH51-FT_First)/FT_Int1)+1)),FT_Y5+12*INT((AH51-FT_Y5)/12)+FT_Int2*(INT(MOD(AH51-FT_Y5,12)/FT_Int2)+1))),IF(AG51="PT",IF(AH51&lt;PT_First,PT_First,PT_First+PT_Int*(INT((AH51-PT_First)/PT_Int)+1)),"")))</f>
        <v/>
      </c>
      <c r="AO51" s="12" t="str">
        <f aca="false">IF(AC51=0,"",IF(NOT(CFY_Ready),0,COUNTIFS(INDEX(CFY_Data,0,CFY_ColFirst),$A51,INDEX(CFY_Data,0,CFY_ColSur),$B51,INDEX(CFY_Data,0,CFY_ColCat),BonusCat)))</f>
        <v/>
      </c>
    </row>
    <row r="52" customFormat="false" ht="15" hidden="false" customHeight="false" outlineLevel="0" collapsed="false">
      <c r="A52" s="15"/>
      <c r="B52" s="15"/>
      <c r="C52" s="15"/>
      <c r="D52" s="16"/>
      <c r="E52" s="10" t="str">
        <f aca="false">IF(OR(AC52=0,$D52=""),"",DATE(YEAR(AsOfDate)+IF(DATE(YEAR(AsOfDate),MONTH($D52),DAY($D52))&lt;=AsOfDate,1,0),MONTH($D52),DAY($D52)))</f>
        <v/>
      </c>
      <c r="F52" s="16"/>
      <c r="G52" s="16"/>
      <c r="H52" s="16"/>
      <c r="I52" s="16"/>
      <c r="J52" s="10" t="str">
        <f aca="false">IF(AC52=0,"",DATE(YEAR(AsOfDate)+IF(DATE(YEAR(AsOfDate),MONTH($F52),DAY($F52))&lt;=AsOfDate,1,0),MONTH($F52),DAY($F52)))</f>
        <v/>
      </c>
      <c r="K52" s="11" t="str">
        <f aca="false">IF(AC52=0,"",ROUND((AsOfDate-$F52)/365.25,1))</f>
        <v/>
      </c>
      <c r="L52" s="12" t="str">
        <f aca="false">IF(AC52=0,"",IF(AsOfDate&lt;AD52,"-",DATEDIF(AD52,AsOfDate,"y")&amp;"y "&amp;DATEDIF(AD52,AsOfDate,"ym")&amp;"m "&amp;DATEDIF(AD52,AsOfDate,"md")&amp;"d"))</f>
        <v/>
      </c>
      <c r="M52" s="13" t="str">
        <f aca="false">IF(AC52=0,"",N52*HoursPerDay)</f>
        <v/>
      </c>
      <c r="N52" s="13" t="str">
        <f aca="false">IF(AC52=0,"",AL52)</f>
        <v/>
      </c>
      <c r="O52" s="17"/>
      <c r="P52" s="12" t="str">
        <f aca="false">IF(AC52=0,"",IF(AE52="","",IF($G52&lt;$H52,"Part-Time to Full-Time","Full-Time to Part-Time")&amp;" on "&amp;TEXT(AE52,"dd/mm/yyyy")&amp;IF(AE52&gt;AsOfDate," (future)",IF(AF52=AG52,"",IF(AG52="None"," - STOPPED accruing",IF(AF52="None"," - now qualifying"," - pathway changed"))))))</f>
        <v/>
      </c>
      <c r="Q52" s="12" t="str">
        <f aca="false">IF(AC52=0,"",IF(AG52="None",IF(N52&gt;0,"No longer accruing","Not eligible - "&amp;IF(AND($C52="Part-Time",N($O52)&lt;PT_MinHours,$O52&lt;&gt;""),"under "&amp;PT_MinHours&amp;" hrs",$C52)),IF(N52&gt;0,"Yes - accruing","Not yet - from "&amp;TEXT(R52,"dd/mm/yyyy"))))</f>
        <v/>
      </c>
      <c r="R52" s="10" t="str">
        <f aca="false">IF(AC52=0,"",IF(AG52="None","",EDATE(AD52,AN52)))</f>
        <v/>
      </c>
      <c r="S52" s="13" t="str">
        <f aca="false">IF(AC52=0,"",IF(NOT(PFY_Ready),"",SUMIFS(INDEX(PFY_Data,0,PFY_ColBal),INDEX(PFY_Data,0,PFY_ColFirst),$A52,INDEX(PFY_Data,0,PFY_ColSur),$B52,INDEX(PFY_Data,0,PFY_ColCat),BonusCat)))</f>
        <v/>
      </c>
      <c r="T52" s="17"/>
      <c r="U52" s="13" t="str">
        <f aca="false">IF(AC52=0,"",IF(NOT(CFY_Ready),"",SUMIFS(INDEX(CFY_Data,0,CFY_ColBal),INDEX(CFY_Data,0,CFY_ColFirst),$A52,INDEX(CFY_Data,0,CFY_ColSur),$B52,INDEX(CFY_Data,0,CFY_ColCat),BonusCat)))</f>
        <v/>
      </c>
      <c r="V52" s="13" t="str">
        <f aca="false">IF(AC52=0,"",IF(OR(NOT(CFY_Ready),CFY_ColAppr=0),"",SUMIFS(INDEX(CFY_Data,0,CFY_ColAppr),INDEX(CFY_Data,0,CFY_ColFirst),$A52,INDEX(CFY_Data,0,CFY_ColSur),$B52,INDEX(CFY_Data,0,CFY_ColCat),BonusCat)))</f>
        <v/>
      </c>
      <c r="W52" s="13" t="str">
        <f aca="false">IF(OR(AC52=0,S52="",U52=""),"",MAX(0,S52+N($T52)-U52))</f>
        <v/>
      </c>
      <c r="X52" s="13" t="str">
        <f aca="false">IF(AC52=0,"",(AL52-AM52)*HoursPerDay)</f>
        <v/>
      </c>
      <c r="Y52" s="13" t="str">
        <f aca="false">IF(AC52=0,"",X52-N($T52))</f>
        <v/>
      </c>
      <c r="Z52" s="12" t="str">
        <f aca="false">IF(AC52=0,"",IF(Y52&gt;0,"Yes","No"))</f>
        <v/>
      </c>
      <c r="AA52" s="12" t="str">
        <f aca="false">IF(AC52=0,"",IF(NOT(CFY_Ready),"Paste CFY EH export",IF(Y52&gt;0,"ACCRUE "&amp;TEXT(Y52,"0.##")&amp;" hrs ("&amp;TEXT(Y52/HoursPerDay,"0.##")&amp;" days)"&amp;IF(AO52=0," - no Bonus Leave line in EH yet",""),IF(Y52&lt;0,"CHECK - posted "&amp;TEXT(-Y52,"0.##")&amp;" hrs more than policy",IF(AND(N52&gt;0,AO52=0,U52=0),"CHECK - policy says "&amp;TEXT(M52,"0.##")&amp;" hrs to date but nothing in EH",IF(N52&gt;0,"OK","-"))))))</f>
        <v/>
      </c>
      <c r="AB52" s="13" t="str">
        <f aca="false">IF(OR(AC52=0,S52=""),"",AM52*HoursPerDay-S52)</f>
        <v/>
      </c>
      <c r="AC52" s="12" t="n">
        <f aca="false">IF(OR(LEN($A52&amp;$B52)=0,$F52=""),0,1)</f>
        <v>0</v>
      </c>
      <c r="AD52" s="10" t="str">
        <f aca="false">IF(AC52=0,"",IF($I52&lt;&gt;"",$I52,$F52))</f>
        <v/>
      </c>
      <c r="AE52" s="10" t="str">
        <f aca="false">IF(AC52=0,"",IF(AND($G52&lt;&gt;"",$H52&lt;&gt;"",$G52&lt;&gt;$H52),MAX($G52,$H52),""))</f>
        <v/>
      </c>
      <c r="AF52" s="12" t="str">
        <f aca="false">IF(AC52=0,"",IF(AE52="",AG52,IF(IF($G52&lt;$H52,"Part-Time","Full-Time")="Full-Time","FT",IF(AND(IF($G52&lt;$H52,"Part-Time","Full-Time")="Part-Time",OR($O52="",N($O52)&gt;=PT_MinHours)),"PT","None"))))</f>
        <v/>
      </c>
      <c r="AG52" s="12" t="str">
        <f aca="false">IF(AC52=0,"",IF($C52="Full-Time","FT",IF(AND($C52="Part-Time",OR($O52="",N($O52)&gt;=PT_MinHours)),"PT","None")))</f>
        <v/>
      </c>
      <c r="AH52" s="12" t="str">
        <f aca="false">IF(AC52=0,"",IF(AsOfDate&lt;AD52,-1,12*(YEAR(AsOfDate)-YEAR(AD52))+MONTH(AsOfDate)-MONTH(AD52)-IF(DAY(AsOfDate)&lt;MIN(DAY(AD52),DAY(EOMONTH(AsOfDate,0))),1,0)))</f>
        <v/>
      </c>
      <c r="AI52" s="12" t="str">
        <f aca="false">IF(AC52=0,"",IF(OR(AE52="",AE52&gt;AsOfDate),AH52,IF((AE52-1)&lt;AD52,-1,12*(YEAR((AE52-1))-YEAR(AD52))+MONTH((AE52-1))-MONTH(AD52)-IF(DAY((AE52-1))&lt;MIN(DAY(AD52),DAY(EOMONTH((AE52-1),0))),1,0))))</f>
        <v/>
      </c>
      <c r="AJ52" s="12" t="str">
        <f aca="false">IF(AC52=0,"",IF(PFYDate&lt;AD52,-1,12*(YEAR(PFYDate)-YEAR(AD52))+MONTH(PFYDate)-MONTH(AD52)-IF(DAY(PFYDate)&lt;MIN(DAY(AD52),DAY(EOMONTH(PFYDate,0))),1,0)))</f>
        <v/>
      </c>
      <c r="AK52" s="12" t="str">
        <f aca="false">IF(AC52=0,"",IF(OR(AE52="",AE52&gt;PFYDate),AJ52,IF((AE52-1)&lt;AD52,-1,12*(YEAR((AE52-1))-YEAR(AD52))+MONTH((AE52-1))-MONTH(AD52)-IF(DAY((AE52-1))&lt;MIN(DAY(AD52),DAY(EOMONTH((AE52-1),0))),1,0))))</f>
        <v/>
      </c>
      <c r="AL52" s="12" t="str">
        <f aca="false">IF(AC52=0,"",IF(AF52="FT",IF(AI52&lt;FT_First,0,IF(AI52&lt;FT_Y5,1+INT((AI52-FT_First)/FT_Int1),FT_PreY5+FT_PerYear*INT((AI52-FT_Y5)/12)+FT_AnnivDays+INT(MOD(AI52-FT_Y5,12)/FT_Int2))),IF(AF52="PT",IF(AI52&lt;PT_First,0,1+INT((AI52-PT_First)/PT_Int)),0))+IF(OR(AE52="",AE52&gt;AsOfDate),0,IF(AG52="FT",IF(AH52&lt;FT_First,0,IF(AH52&lt;FT_Y5,1+INT((AH52-FT_First)/FT_Int1),FT_PreY5+FT_PerYear*INT((AH52-FT_Y5)/12)+FT_AnnivDays+INT(MOD(AH52-FT_Y5,12)/FT_Int2))),IF(AG52="PT",IF(AH52&lt;PT_First,0,1+INT((AH52-PT_First)/PT_Int)),0))-IF(AG52="FT",IF(AI52&lt;FT_First,0,IF(AI52&lt;FT_Y5,1+INT((AI52-FT_First)/FT_Int1),FT_PreY5+FT_PerYear*INT((AI52-FT_Y5)/12)+FT_AnnivDays+INT(MOD(AI52-FT_Y5,12)/FT_Int2))),IF(AG52="PT",IF(AI52&lt;PT_First,0,1+INT((AI52-PT_First)/PT_Int)),0))))</f>
        <v/>
      </c>
      <c r="AM52" s="12" t="str">
        <f aca="false">IF(AC52=0,"",IF(AF52="FT",IF(AK52&lt;FT_First,0,IF(AK52&lt;FT_Y5,1+INT((AK52-FT_First)/FT_Int1),FT_PreY5+FT_PerYear*INT((AK52-FT_Y5)/12)+FT_AnnivDays+INT(MOD(AK52-FT_Y5,12)/FT_Int2))),IF(AF52="PT",IF(AK52&lt;PT_First,0,1+INT((AK52-PT_First)/PT_Int)),0))+IF(OR(AE52="",AE52&gt;PFYDate),0,IF(AG52="FT",IF(AJ52&lt;FT_First,0,IF(AJ52&lt;FT_Y5,1+INT((AJ52-FT_First)/FT_Int1),FT_PreY5+FT_PerYear*INT((AJ52-FT_Y5)/12)+FT_AnnivDays+INT(MOD(AJ52-FT_Y5,12)/FT_Int2))),IF(AG52="PT",IF(AJ52&lt;PT_First,0,1+INT((AJ52-PT_First)/PT_Int)),0))-IF(AG52="FT",IF(AK52&lt;FT_First,0,IF(AK52&lt;FT_Y5,1+INT((AK52-FT_First)/FT_Int1),FT_PreY5+FT_PerYear*INT((AK52-FT_Y5)/12)+FT_AnnivDays+INT(MOD(AK52-FT_Y5,12)/FT_Int2))),IF(AG52="PT",IF(AK52&lt;PT_First,0,1+INT((AK52-PT_First)/PT_Int)),0))))</f>
        <v/>
      </c>
      <c r="AN52" s="12" t="str">
        <f aca="false">IF(AC52=0,"",IF(AG52="FT",IF(AH52&lt;FT_First,FT_First,IF(AH52&lt;FT_Y5,MIN(FT_Y5,FT_First+FT_Int1*(INT((AH52-FT_First)/FT_Int1)+1)),FT_Y5+12*INT((AH52-FT_Y5)/12)+FT_Int2*(INT(MOD(AH52-FT_Y5,12)/FT_Int2)+1))),IF(AG52="PT",IF(AH52&lt;PT_First,PT_First,PT_First+PT_Int*(INT((AH52-PT_First)/PT_Int)+1)),"")))</f>
        <v/>
      </c>
      <c r="AO52" s="12" t="str">
        <f aca="false">IF(AC52=0,"",IF(NOT(CFY_Ready),0,COUNTIFS(INDEX(CFY_Data,0,CFY_ColFirst),$A52,INDEX(CFY_Data,0,CFY_ColSur),$B52,INDEX(CFY_Data,0,CFY_ColCat),BonusCat)))</f>
        <v/>
      </c>
    </row>
    <row r="53" customFormat="false" ht="15" hidden="false" customHeight="false" outlineLevel="0" collapsed="false">
      <c r="A53" s="15"/>
      <c r="B53" s="15"/>
      <c r="C53" s="15"/>
      <c r="D53" s="16"/>
      <c r="E53" s="10" t="str">
        <f aca="false">IF(OR(AC53=0,$D53=""),"",DATE(YEAR(AsOfDate)+IF(DATE(YEAR(AsOfDate),MONTH($D53),DAY($D53))&lt;=AsOfDate,1,0),MONTH($D53),DAY($D53)))</f>
        <v/>
      </c>
      <c r="F53" s="16"/>
      <c r="G53" s="16"/>
      <c r="H53" s="16"/>
      <c r="I53" s="16"/>
      <c r="J53" s="10" t="str">
        <f aca="false">IF(AC53=0,"",DATE(YEAR(AsOfDate)+IF(DATE(YEAR(AsOfDate),MONTH($F53),DAY($F53))&lt;=AsOfDate,1,0),MONTH($F53),DAY($F53)))</f>
        <v/>
      </c>
      <c r="K53" s="11" t="str">
        <f aca="false">IF(AC53=0,"",ROUND((AsOfDate-$F53)/365.25,1))</f>
        <v/>
      </c>
      <c r="L53" s="12" t="str">
        <f aca="false">IF(AC53=0,"",IF(AsOfDate&lt;AD53,"-",DATEDIF(AD53,AsOfDate,"y")&amp;"y "&amp;DATEDIF(AD53,AsOfDate,"ym")&amp;"m "&amp;DATEDIF(AD53,AsOfDate,"md")&amp;"d"))</f>
        <v/>
      </c>
      <c r="M53" s="13" t="str">
        <f aca="false">IF(AC53=0,"",N53*HoursPerDay)</f>
        <v/>
      </c>
      <c r="N53" s="13" t="str">
        <f aca="false">IF(AC53=0,"",AL53)</f>
        <v/>
      </c>
      <c r="O53" s="17"/>
      <c r="P53" s="12" t="str">
        <f aca="false">IF(AC53=0,"",IF(AE53="","",IF($G53&lt;$H53,"Part-Time to Full-Time","Full-Time to Part-Time")&amp;" on "&amp;TEXT(AE53,"dd/mm/yyyy")&amp;IF(AE53&gt;AsOfDate," (future)",IF(AF53=AG53,"",IF(AG53="None"," - STOPPED accruing",IF(AF53="None"," - now qualifying"," - pathway changed"))))))</f>
        <v/>
      </c>
      <c r="Q53" s="12" t="str">
        <f aca="false">IF(AC53=0,"",IF(AG53="None",IF(N53&gt;0,"No longer accruing","Not eligible - "&amp;IF(AND($C53="Part-Time",N($O53)&lt;PT_MinHours,$O53&lt;&gt;""),"under "&amp;PT_MinHours&amp;" hrs",$C53)),IF(N53&gt;0,"Yes - accruing","Not yet - from "&amp;TEXT(R53,"dd/mm/yyyy"))))</f>
        <v/>
      </c>
      <c r="R53" s="10" t="str">
        <f aca="false">IF(AC53=0,"",IF(AG53="None","",EDATE(AD53,AN53)))</f>
        <v/>
      </c>
      <c r="S53" s="13" t="str">
        <f aca="false">IF(AC53=0,"",IF(NOT(PFY_Ready),"",SUMIFS(INDEX(PFY_Data,0,PFY_ColBal),INDEX(PFY_Data,0,PFY_ColFirst),$A53,INDEX(PFY_Data,0,PFY_ColSur),$B53,INDEX(PFY_Data,0,PFY_ColCat),BonusCat)))</f>
        <v/>
      </c>
      <c r="T53" s="17"/>
      <c r="U53" s="13" t="str">
        <f aca="false">IF(AC53=0,"",IF(NOT(CFY_Ready),"",SUMIFS(INDEX(CFY_Data,0,CFY_ColBal),INDEX(CFY_Data,0,CFY_ColFirst),$A53,INDEX(CFY_Data,0,CFY_ColSur),$B53,INDEX(CFY_Data,0,CFY_ColCat),BonusCat)))</f>
        <v/>
      </c>
      <c r="V53" s="13" t="str">
        <f aca="false">IF(AC53=0,"",IF(OR(NOT(CFY_Ready),CFY_ColAppr=0),"",SUMIFS(INDEX(CFY_Data,0,CFY_ColAppr),INDEX(CFY_Data,0,CFY_ColFirst),$A53,INDEX(CFY_Data,0,CFY_ColSur),$B53,INDEX(CFY_Data,0,CFY_ColCat),BonusCat)))</f>
        <v/>
      </c>
      <c r="W53" s="13" t="str">
        <f aca="false">IF(OR(AC53=0,S53="",U53=""),"",MAX(0,S53+N($T53)-U53))</f>
        <v/>
      </c>
      <c r="X53" s="13" t="str">
        <f aca="false">IF(AC53=0,"",(AL53-AM53)*HoursPerDay)</f>
        <v/>
      </c>
      <c r="Y53" s="13" t="str">
        <f aca="false">IF(AC53=0,"",X53-N($T53))</f>
        <v/>
      </c>
      <c r="Z53" s="12" t="str">
        <f aca="false">IF(AC53=0,"",IF(Y53&gt;0,"Yes","No"))</f>
        <v/>
      </c>
      <c r="AA53" s="12" t="str">
        <f aca="false">IF(AC53=0,"",IF(NOT(CFY_Ready),"Paste CFY EH export",IF(Y53&gt;0,"ACCRUE "&amp;TEXT(Y53,"0.##")&amp;" hrs ("&amp;TEXT(Y53/HoursPerDay,"0.##")&amp;" days)"&amp;IF(AO53=0," - no Bonus Leave line in EH yet",""),IF(Y53&lt;0,"CHECK - posted "&amp;TEXT(-Y53,"0.##")&amp;" hrs more than policy",IF(AND(N53&gt;0,AO53=0,U53=0),"CHECK - policy says "&amp;TEXT(M53,"0.##")&amp;" hrs to date but nothing in EH",IF(N53&gt;0,"OK","-"))))))</f>
        <v/>
      </c>
      <c r="AB53" s="13" t="str">
        <f aca="false">IF(OR(AC53=0,S53=""),"",AM53*HoursPerDay-S53)</f>
        <v/>
      </c>
      <c r="AC53" s="12" t="n">
        <f aca="false">IF(OR(LEN($A53&amp;$B53)=0,$F53=""),0,1)</f>
        <v>0</v>
      </c>
      <c r="AD53" s="10" t="str">
        <f aca="false">IF(AC53=0,"",IF($I53&lt;&gt;"",$I53,$F53))</f>
        <v/>
      </c>
      <c r="AE53" s="10" t="str">
        <f aca="false">IF(AC53=0,"",IF(AND($G53&lt;&gt;"",$H53&lt;&gt;"",$G53&lt;&gt;$H53),MAX($G53,$H53),""))</f>
        <v/>
      </c>
      <c r="AF53" s="12" t="str">
        <f aca="false">IF(AC53=0,"",IF(AE53="",AG53,IF(IF($G53&lt;$H53,"Part-Time","Full-Time")="Full-Time","FT",IF(AND(IF($G53&lt;$H53,"Part-Time","Full-Time")="Part-Time",OR($O53="",N($O53)&gt;=PT_MinHours)),"PT","None"))))</f>
        <v/>
      </c>
      <c r="AG53" s="12" t="str">
        <f aca="false">IF(AC53=0,"",IF($C53="Full-Time","FT",IF(AND($C53="Part-Time",OR($O53="",N($O53)&gt;=PT_MinHours)),"PT","None")))</f>
        <v/>
      </c>
      <c r="AH53" s="12" t="str">
        <f aca="false">IF(AC53=0,"",IF(AsOfDate&lt;AD53,-1,12*(YEAR(AsOfDate)-YEAR(AD53))+MONTH(AsOfDate)-MONTH(AD53)-IF(DAY(AsOfDate)&lt;MIN(DAY(AD53),DAY(EOMONTH(AsOfDate,0))),1,0)))</f>
        <v/>
      </c>
      <c r="AI53" s="12" t="str">
        <f aca="false">IF(AC53=0,"",IF(OR(AE53="",AE53&gt;AsOfDate),AH53,IF((AE53-1)&lt;AD53,-1,12*(YEAR((AE53-1))-YEAR(AD53))+MONTH((AE53-1))-MONTH(AD53)-IF(DAY((AE53-1))&lt;MIN(DAY(AD53),DAY(EOMONTH((AE53-1),0))),1,0))))</f>
        <v/>
      </c>
      <c r="AJ53" s="12" t="str">
        <f aca="false">IF(AC53=0,"",IF(PFYDate&lt;AD53,-1,12*(YEAR(PFYDate)-YEAR(AD53))+MONTH(PFYDate)-MONTH(AD53)-IF(DAY(PFYDate)&lt;MIN(DAY(AD53),DAY(EOMONTH(PFYDate,0))),1,0)))</f>
        <v/>
      </c>
      <c r="AK53" s="12" t="str">
        <f aca="false">IF(AC53=0,"",IF(OR(AE53="",AE53&gt;PFYDate),AJ53,IF((AE53-1)&lt;AD53,-1,12*(YEAR((AE53-1))-YEAR(AD53))+MONTH((AE53-1))-MONTH(AD53)-IF(DAY((AE53-1))&lt;MIN(DAY(AD53),DAY(EOMONTH((AE53-1),0))),1,0))))</f>
        <v/>
      </c>
      <c r="AL53" s="12" t="str">
        <f aca="false">IF(AC53=0,"",IF(AF53="FT",IF(AI53&lt;FT_First,0,IF(AI53&lt;FT_Y5,1+INT((AI53-FT_First)/FT_Int1),FT_PreY5+FT_PerYear*INT((AI53-FT_Y5)/12)+FT_AnnivDays+INT(MOD(AI53-FT_Y5,12)/FT_Int2))),IF(AF53="PT",IF(AI53&lt;PT_First,0,1+INT((AI53-PT_First)/PT_Int)),0))+IF(OR(AE53="",AE53&gt;AsOfDate),0,IF(AG53="FT",IF(AH53&lt;FT_First,0,IF(AH53&lt;FT_Y5,1+INT((AH53-FT_First)/FT_Int1),FT_PreY5+FT_PerYear*INT((AH53-FT_Y5)/12)+FT_AnnivDays+INT(MOD(AH53-FT_Y5,12)/FT_Int2))),IF(AG53="PT",IF(AH53&lt;PT_First,0,1+INT((AH53-PT_First)/PT_Int)),0))-IF(AG53="FT",IF(AI53&lt;FT_First,0,IF(AI53&lt;FT_Y5,1+INT((AI53-FT_First)/FT_Int1),FT_PreY5+FT_PerYear*INT((AI53-FT_Y5)/12)+FT_AnnivDays+INT(MOD(AI53-FT_Y5,12)/FT_Int2))),IF(AG53="PT",IF(AI53&lt;PT_First,0,1+INT((AI53-PT_First)/PT_Int)),0))))</f>
        <v/>
      </c>
      <c r="AM53" s="12" t="str">
        <f aca="false">IF(AC53=0,"",IF(AF53="FT",IF(AK53&lt;FT_First,0,IF(AK53&lt;FT_Y5,1+INT((AK53-FT_First)/FT_Int1),FT_PreY5+FT_PerYear*INT((AK53-FT_Y5)/12)+FT_AnnivDays+INT(MOD(AK53-FT_Y5,12)/FT_Int2))),IF(AF53="PT",IF(AK53&lt;PT_First,0,1+INT((AK53-PT_First)/PT_Int)),0))+IF(OR(AE53="",AE53&gt;PFYDate),0,IF(AG53="FT",IF(AJ53&lt;FT_First,0,IF(AJ53&lt;FT_Y5,1+INT((AJ53-FT_First)/FT_Int1),FT_PreY5+FT_PerYear*INT((AJ53-FT_Y5)/12)+FT_AnnivDays+INT(MOD(AJ53-FT_Y5,12)/FT_Int2))),IF(AG53="PT",IF(AJ53&lt;PT_First,0,1+INT((AJ53-PT_First)/PT_Int)),0))-IF(AG53="FT",IF(AK53&lt;FT_First,0,IF(AK53&lt;FT_Y5,1+INT((AK53-FT_First)/FT_Int1),FT_PreY5+FT_PerYear*INT((AK53-FT_Y5)/12)+FT_AnnivDays+INT(MOD(AK53-FT_Y5,12)/FT_Int2))),IF(AG53="PT",IF(AK53&lt;PT_First,0,1+INT((AK53-PT_First)/PT_Int)),0))))</f>
        <v/>
      </c>
      <c r="AN53" s="12" t="str">
        <f aca="false">IF(AC53=0,"",IF(AG53="FT",IF(AH53&lt;FT_First,FT_First,IF(AH53&lt;FT_Y5,MIN(FT_Y5,FT_First+FT_Int1*(INT((AH53-FT_First)/FT_Int1)+1)),FT_Y5+12*INT((AH53-FT_Y5)/12)+FT_Int2*(INT(MOD(AH53-FT_Y5,12)/FT_Int2)+1))),IF(AG53="PT",IF(AH53&lt;PT_First,PT_First,PT_First+PT_Int*(INT((AH53-PT_First)/PT_Int)+1)),"")))</f>
        <v/>
      </c>
      <c r="AO53" s="12" t="str">
        <f aca="false">IF(AC53=0,"",IF(NOT(CFY_Ready),0,COUNTIFS(INDEX(CFY_Data,0,CFY_ColFirst),$A53,INDEX(CFY_Data,0,CFY_ColSur),$B53,INDEX(CFY_Data,0,CFY_ColCat),BonusCat)))</f>
        <v/>
      </c>
    </row>
    <row r="54" customFormat="false" ht="15" hidden="false" customHeight="false" outlineLevel="0" collapsed="false">
      <c r="A54" s="15"/>
      <c r="B54" s="15"/>
      <c r="C54" s="15"/>
      <c r="D54" s="16"/>
      <c r="E54" s="10" t="str">
        <f aca="false">IF(OR(AC54=0,$D54=""),"",DATE(YEAR(AsOfDate)+IF(DATE(YEAR(AsOfDate),MONTH($D54),DAY($D54))&lt;=AsOfDate,1,0),MONTH($D54),DAY($D54)))</f>
        <v/>
      </c>
      <c r="F54" s="16"/>
      <c r="G54" s="16"/>
      <c r="H54" s="16"/>
      <c r="I54" s="16"/>
      <c r="J54" s="10" t="str">
        <f aca="false">IF(AC54=0,"",DATE(YEAR(AsOfDate)+IF(DATE(YEAR(AsOfDate),MONTH($F54),DAY($F54))&lt;=AsOfDate,1,0),MONTH($F54),DAY($F54)))</f>
        <v/>
      </c>
      <c r="K54" s="11" t="str">
        <f aca="false">IF(AC54=0,"",ROUND((AsOfDate-$F54)/365.25,1))</f>
        <v/>
      </c>
      <c r="L54" s="12" t="str">
        <f aca="false">IF(AC54=0,"",IF(AsOfDate&lt;AD54,"-",DATEDIF(AD54,AsOfDate,"y")&amp;"y "&amp;DATEDIF(AD54,AsOfDate,"ym")&amp;"m "&amp;DATEDIF(AD54,AsOfDate,"md")&amp;"d"))</f>
        <v/>
      </c>
      <c r="M54" s="13" t="str">
        <f aca="false">IF(AC54=0,"",N54*HoursPerDay)</f>
        <v/>
      </c>
      <c r="N54" s="13" t="str">
        <f aca="false">IF(AC54=0,"",AL54)</f>
        <v/>
      </c>
      <c r="O54" s="17"/>
      <c r="P54" s="12" t="str">
        <f aca="false">IF(AC54=0,"",IF(AE54="","",IF($G54&lt;$H54,"Part-Time to Full-Time","Full-Time to Part-Time")&amp;" on "&amp;TEXT(AE54,"dd/mm/yyyy")&amp;IF(AE54&gt;AsOfDate," (future)",IF(AF54=AG54,"",IF(AG54="None"," - STOPPED accruing",IF(AF54="None"," - now qualifying"," - pathway changed"))))))</f>
        <v/>
      </c>
      <c r="Q54" s="12" t="str">
        <f aca="false">IF(AC54=0,"",IF(AG54="None",IF(N54&gt;0,"No longer accruing","Not eligible - "&amp;IF(AND($C54="Part-Time",N($O54)&lt;PT_MinHours,$O54&lt;&gt;""),"under "&amp;PT_MinHours&amp;" hrs",$C54)),IF(N54&gt;0,"Yes - accruing","Not yet - from "&amp;TEXT(R54,"dd/mm/yyyy"))))</f>
        <v/>
      </c>
      <c r="R54" s="10" t="str">
        <f aca="false">IF(AC54=0,"",IF(AG54="None","",EDATE(AD54,AN54)))</f>
        <v/>
      </c>
      <c r="S54" s="13" t="str">
        <f aca="false">IF(AC54=0,"",IF(NOT(PFY_Ready),"",SUMIFS(INDEX(PFY_Data,0,PFY_ColBal),INDEX(PFY_Data,0,PFY_ColFirst),$A54,INDEX(PFY_Data,0,PFY_ColSur),$B54,INDEX(PFY_Data,0,PFY_ColCat),BonusCat)))</f>
        <v/>
      </c>
      <c r="T54" s="17"/>
      <c r="U54" s="13" t="str">
        <f aca="false">IF(AC54=0,"",IF(NOT(CFY_Ready),"",SUMIFS(INDEX(CFY_Data,0,CFY_ColBal),INDEX(CFY_Data,0,CFY_ColFirst),$A54,INDEX(CFY_Data,0,CFY_ColSur),$B54,INDEX(CFY_Data,0,CFY_ColCat),BonusCat)))</f>
        <v/>
      </c>
      <c r="V54" s="13" t="str">
        <f aca="false">IF(AC54=0,"",IF(OR(NOT(CFY_Ready),CFY_ColAppr=0),"",SUMIFS(INDEX(CFY_Data,0,CFY_ColAppr),INDEX(CFY_Data,0,CFY_ColFirst),$A54,INDEX(CFY_Data,0,CFY_ColSur),$B54,INDEX(CFY_Data,0,CFY_ColCat),BonusCat)))</f>
        <v/>
      </c>
      <c r="W54" s="13" t="str">
        <f aca="false">IF(OR(AC54=0,S54="",U54=""),"",MAX(0,S54+N($T54)-U54))</f>
        <v/>
      </c>
      <c r="X54" s="13" t="str">
        <f aca="false">IF(AC54=0,"",(AL54-AM54)*HoursPerDay)</f>
        <v/>
      </c>
      <c r="Y54" s="13" t="str">
        <f aca="false">IF(AC54=0,"",X54-N($T54))</f>
        <v/>
      </c>
      <c r="Z54" s="12" t="str">
        <f aca="false">IF(AC54=0,"",IF(Y54&gt;0,"Yes","No"))</f>
        <v/>
      </c>
      <c r="AA54" s="12" t="str">
        <f aca="false">IF(AC54=0,"",IF(NOT(CFY_Ready),"Paste CFY EH export",IF(Y54&gt;0,"ACCRUE "&amp;TEXT(Y54,"0.##")&amp;" hrs ("&amp;TEXT(Y54/HoursPerDay,"0.##")&amp;" days)"&amp;IF(AO54=0," - no Bonus Leave line in EH yet",""),IF(Y54&lt;0,"CHECK - posted "&amp;TEXT(-Y54,"0.##")&amp;" hrs more than policy",IF(AND(N54&gt;0,AO54=0,U54=0),"CHECK - policy says "&amp;TEXT(M54,"0.##")&amp;" hrs to date but nothing in EH",IF(N54&gt;0,"OK","-"))))))</f>
        <v/>
      </c>
      <c r="AB54" s="13" t="str">
        <f aca="false">IF(OR(AC54=0,S54=""),"",AM54*HoursPerDay-S54)</f>
        <v/>
      </c>
      <c r="AC54" s="12" t="n">
        <f aca="false">IF(OR(LEN($A54&amp;$B54)=0,$F54=""),0,1)</f>
        <v>0</v>
      </c>
      <c r="AD54" s="10" t="str">
        <f aca="false">IF(AC54=0,"",IF($I54&lt;&gt;"",$I54,$F54))</f>
        <v/>
      </c>
      <c r="AE54" s="10" t="str">
        <f aca="false">IF(AC54=0,"",IF(AND($G54&lt;&gt;"",$H54&lt;&gt;"",$G54&lt;&gt;$H54),MAX($G54,$H54),""))</f>
        <v/>
      </c>
      <c r="AF54" s="12" t="str">
        <f aca="false">IF(AC54=0,"",IF(AE54="",AG54,IF(IF($G54&lt;$H54,"Part-Time","Full-Time")="Full-Time","FT",IF(AND(IF($G54&lt;$H54,"Part-Time","Full-Time")="Part-Time",OR($O54="",N($O54)&gt;=PT_MinHours)),"PT","None"))))</f>
        <v/>
      </c>
      <c r="AG54" s="12" t="str">
        <f aca="false">IF(AC54=0,"",IF($C54="Full-Time","FT",IF(AND($C54="Part-Time",OR($O54="",N($O54)&gt;=PT_MinHours)),"PT","None")))</f>
        <v/>
      </c>
      <c r="AH54" s="12" t="str">
        <f aca="false">IF(AC54=0,"",IF(AsOfDate&lt;AD54,-1,12*(YEAR(AsOfDate)-YEAR(AD54))+MONTH(AsOfDate)-MONTH(AD54)-IF(DAY(AsOfDate)&lt;MIN(DAY(AD54),DAY(EOMONTH(AsOfDate,0))),1,0)))</f>
        <v/>
      </c>
      <c r="AI54" s="12" t="str">
        <f aca="false">IF(AC54=0,"",IF(OR(AE54="",AE54&gt;AsOfDate),AH54,IF((AE54-1)&lt;AD54,-1,12*(YEAR((AE54-1))-YEAR(AD54))+MONTH((AE54-1))-MONTH(AD54)-IF(DAY((AE54-1))&lt;MIN(DAY(AD54),DAY(EOMONTH((AE54-1),0))),1,0))))</f>
        <v/>
      </c>
      <c r="AJ54" s="12" t="str">
        <f aca="false">IF(AC54=0,"",IF(PFYDate&lt;AD54,-1,12*(YEAR(PFYDate)-YEAR(AD54))+MONTH(PFYDate)-MONTH(AD54)-IF(DAY(PFYDate)&lt;MIN(DAY(AD54),DAY(EOMONTH(PFYDate,0))),1,0)))</f>
        <v/>
      </c>
      <c r="AK54" s="12" t="str">
        <f aca="false">IF(AC54=0,"",IF(OR(AE54="",AE54&gt;PFYDate),AJ54,IF((AE54-1)&lt;AD54,-1,12*(YEAR((AE54-1))-YEAR(AD54))+MONTH((AE54-1))-MONTH(AD54)-IF(DAY((AE54-1))&lt;MIN(DAY(AD54),DAY(EOMONTH((AE54-1),0))),1,0))))</f>
        <v/>
      </c>
      <c r="AL54" s="12" t="str">
        <f aca="false">IF(AC54=0,"",IF(AF54="FT",IF(AI54&lt;FT_First,0,IF(AI54&lt;FT_Y5,1+INT((AI54-FT_First)/FT_Int1),FT_PreY5+FT_PerYear*INT((AI54-FT_Y5)/12)+FT_AnnivDays+INT(MOD(AI54-FT_Y5,12)/FT_Int2))),IF(AF54="PT",IF(AI54&lt;PT_First,0,1+INT((AI54-PT_First)/PT_Int)),0))+IF(OR(AE54="",AE54&gt;AsOfDate),0,IF(AG54="FT",IF(AH54&lt;FT_First,0,IF(AH54&lt;FT_Y5,1+INT((AH54-FT_First)/FT_Int1),FT_PreY5+FT_PerYear*INT((AH54-FT_Y5)/12)+FT_AnnivDays+INT(MOD(AH54-FT_Y5,12)/FT_Int2))),IF(AG54="PT",IF(AH54&lt;PT_First,0,1+INT((AH54-PT_First)/PT_Int)),0))-IF(AG54="FT",IF(AI54&lt;FT_First,0,IF(AI54&lt;FT_Y5,1+INT((AI54-FT_First)/FT_Int1),FT_PreY5+FT_PerYear*INT((AI54-FT_Y5)/12)+FT_AnnivDays+INT(MOD(AI54-FT_Y5,12)/FT_Int2))),IF(AG54="PT",IF(AI54&lt;PT_First,0,1+INT((AI54-PT_First)/PT_Int)),0))))</f>
        <v/>
      </c>
      <c r="AM54" s="12" t="str">
        <f aca="false">IF(AC54=0,"",IF(AF54="FT",IF(AK54&lt;FT_First,0,IF(AK54&lt;FT_Y5,1+INT((AK54-FT_First)/FT_Int1),FT_PreY5+FT_PerYear*INT((AK54-FT_Y5)/12)+FT_AnnivDays+INT(MOD(AK54-FT_Y5,12)/FT_Int2))),IF(AF54="PT",IF(AK54&lt;PT_First,0,1+INT((AK54-PT_First)/PT_Int)),0))+IF(OR(AE54="",AE54&gt;PFYDate),0,IF(AG54="FT",IF(AJ54&lt;FT_First,0,IF(AJ54&lt;FT_Y5,1+INT((AJ54-FT_First)/FT_Int1),FT_PreY5+FT_PerYear*INT((AJ54-FT_Y5)/12)+FT_AnnivDays+INT(MOD(AJ54-FT_Y5,12)/FT_Int2))),IF(AG54="PT",IF(AJ54&lt;PT_First,0,1+INT((AJ54-PT_First)/PT_Int)),0))-IF(AG54="FT",IF(AK54&lt;FT_First,0,IF(AK54&lt;FT_Y5,1+INT((AK54-FT_First)/FT_Int1),FT_PreY5+FT_PerYear*INT((AK54-FT_Y5)/12)+FT_AnnivDays+INT(MOD(AK54-FT_Y5,12)/FT_Int2))),IF(AG54="PT",IF(AK54&lt;PT_First,0,1+INT((AK54-PT_First)/PT_Int)),0))))</f>
        <v/>
      </c>
      <c r="AN54" s="12" t="str">
        <f aca="false">IF(AC54=0,"",IF(AG54="FT",IF(AH54&lt;FT_First,FT_First,IF(AH54&lt;FT_Y5,MIN(FT_Y5,FT_First+FT_Int1*(INT((AH54-FT_First)/FT_Int1)+1)),FT_Y5+12*INT((AH54-FT_Y5)/12)+FT_Int2*(INT(MOD(AH54-FT_Y5,12)/FT_Int2)+1))),IF(AG54="PT",IF(AH54&lt;PT_First,PT_First,PT_First+PT_Int*(INT((AH54-PT_First)/PT_Int)+1)),"")))</f>
        <v/>
      </c>
      <c r="AO54" s="12" t="str">
        <f aca="false">IF(AC54=0,"",IF(NOT(CFY_Ready),0,COUNTIFS(INDEX(CFY_Data,0,CFY_ColFirst),$A54,INDEX(CFY_Data,0,CFY_ColSur),$B54,INDEX(CFY_Data,0,CFY_ColCat),BonusCat)))</f>
        <v/>
      </c>
    </row>
    <row r="55" customFormat="false" ht="15" hidden="false" customHeight="false" outlineLevel="0" collapsed="false">
      <c r="A55" s="15"/>
      <c r="B55" s="15"/>
      <c r="C55" s="15"/>
      <c r="D55" s="16"/>
      <c r="E55" s="10" t="str">
        <f aca="false">IF(OR(AC55=0,$D55=""),"",DATE(YEAR(AsOfDate)+IF(DATE(YEAR(AsOfDate),MONTH($D55),DAY($D55))&lt;=AsOfDate,1,0),MONTH($D55),DAY($D55)))</f>
        <v/>
      </c>
      <c r="F55" s="16"/>
      <c r="G55" s="16"/>
      <c r="H55" s="16"/>
      <c r="I55" s="16"/>
      <c r="J55" s="10" t="str">
        <f aca="false">IF(AC55=0,"",DATE(YEAR(AsOfDate)+IF(DATE(YEAR(AsOfDate),MONTH($F55),DAY($F55))&lt;=AsOfDate,1,0),MONTH($F55),DAY($F55)))</f>
        <v/>
      </c>
      <c r="K55" s="11" t="str">
        <f aca="false">IF(AC55=0,"",ROUND((AsOfDate-$F55)/365.25,1))</f>
        <v/>
      </c>
      <c r="L55" s="12" t="str">
        <f aca="false">IF(AC55=0,"",IF(AsOfDate&lt;AD55,"-",DATEDIF(AD55,AsOfDate,"y")&amp;"y "&amp;DATEDIF(AD55,AsOfDate,"ym")&amp;"m "&amp;DATEDIF(AD55,AsOfDate,"md")&amp;"d"))</f>
        <v/>
      </c>
      <c r="M55" s="13" t="str">
        <f aca="false">IF(AC55=0,"",N55*HoursPerDay)</f>
        <v/>
      </c>
      <c r="N55" s="13" t="str">
        <f aca="false">IF(AC55=0,"",AL55)</f>
        <v/>
      </c>
      <c r="O55" s="17"/>
      <c r="P55" s="12" t="str">
        <f aca="false">IF(AC55=0,"",IF(AE55="","",IF($G55&lt;$H55,"Part-Time to Full-Time","Full-Time to Part-Time")&amp;" on "&amp;TEXT(AE55,"dd/mm/yyyy")&amp;IF(AE55&gt;AsOfDate," (future)",IF(AF55=AG55,"",IF(AG55="None"," - STOPPED accruing",IF(AF55="None"," - now qualifying"," - pathway changed"))))))</f>
        <v/>
      </c>
      <c r="Q55" s="12" t="str">
        <f aca="false">IF(AC55=0,"",IF(AG55="None",IF(N55&gt;0,"No longer accruing","Not eligible - "&amp;IF(AND($C55="Part-Time",N($O55)&lt;PT_MinHours,$O55&lt;&gt;""),"under "&amp;PT_MinHours&amp;" hrs",$C55)),IF(N55&gt;0,"Yes - accruing","Not yet - from "&amp;TEXT(R55,"dd/mm/yyyy"))))</f>
        <v/>
      </c>
      <c r="R55" s="10" t="str">
        <f aca="false">IF(AC55=0,"",IF(AG55="None","",EDATE(AD55,AN55)))</f>
        <v/>
      </c>
      <c r="S55" s="13" t="str">
        <f aca="false">IF(AC55=0,"",IF(NOT(PFY_Ready),"",SUMIFS(INDEX(PFY_Data,0,PFY_ColBal),INDEX(PFY_Data,0,PFY_ColFirst),$A55,INDEX(PFY_Data,0,PFY_ColSur),$B55,INDEX(PFY_Data,0,PFY_ColCat),BonusCat)))</f>
        <v/>
      </c>
      <c r="T55" s="17"/>
      <c r="U55" s="13" t="str">
        <f aca="false">IF(AC55=0,"",IF(NOT(CFY_Ready),"",SUMIFS(INDEX(CFY_Data,0,CFY_ColBal),INDEX(CFY_Data,0,CFY_ColFirst),$A55,INDEX(CFY_Data,0,CFY_ColSur),$B55,INDEX(CFY_Data,0,CFY_ColCat),BonusCat)))</f>
        <v/>
      </c>
      <c r="V55" s="13" t="str">
        <f aca="false">IF(AC55=0,"",IF(OR(NOT(CFY_Ready),CFY_ColAppr=0),"",SUMIFS(INDEX(CFY_Data,0,CFY_ColAppr),INDEX(CFY_Data,0,CFY_ColFirst),$A55,INDEX(CFY_Data,0,CFY_ColSur),$B55,INDEX(CFY_Data,0,CFY_ColCat),BonusCat)))</f>
        <v/>
      </c>
      <c r="W55" s="13" t="str">
        <f aca="false">IF(OR(AC55=0,S55="",U55=""),"",MAX(0,S55+N($T55)-U55))</f>
        <v/>
      </c>
      <c r="X55" s="13" t="str">
        <f aca="false">IF(AC55=0,"",(AL55-AM55)*HoursPerDay)</f>
        <v/>
      </c>
      <c r="Y55" s="13" t="str">
        <f aca="false">IF(AC55=0,"",X55-N($T55))</f>
        <v/>
      </c>
      <c r="Z55" s="12" t="str">
        <f aca="false">IF(AC55=0,"",IF(Y55&gt;0,"Yes","No"))</f>
        <v/>
      </c>
      <c r="AA55" s="12" t="str">
        <f aca="false">IF(AC55=0,"",IF(NOT(CFY_Ready),"Paste CFY EH export",IF(Y55&gt;0,"ACCRUE "&amp;TEXT(Y55,"0.##")&amp;" hrs ("&amp;TEXT(Y55/HoursPerDay,"0.##")&amp;" days)"&amp;IF(AO55=0," - no Bonus Leave line in EH yet",""),IF(Y55&lt;0,"CHECK - posted "&amp;TEXT(-Y55,"0.##")&amp;" hrs more than policy",IF(AND(N55&gt;0,AO55=0,U55=0),"CHECK - policy says "&amp;TEXT(M55,"0.##")&amp;" hrs to date but nothing in EH",IF(N55&gt;0,"OK","-"))))))</f>
        <v/>
      </c>
      <c r="AB55" s="13" t="str">
        <f aca="false">IF(OR(AC55=0,S55=""),"",AM55*HoursPerDay-S55)</f>
        <v/>
      </c>
      <c r="AC55" s="12" t="n">
        <f aca="false">IF(OR(LEN($A55&amp;$B55)=0,$F55=""),0,1)</f>
        <v>0</v>
      </c>
      <c r="AD55" s="10" t="str">
        <f aca="false">IF(AC55=0,"",IF($I55&lt;&gt;"",$I55,$F55))</f>
        <v/>
      </c>
      <c r="AE55" s="10" t="str">
        <f aca="false">IF(AC55=0,"",IF(AND($G55&lt;&gt;"",$H55&lt;&gt;"",$G55&lt;&gt;$H55),MAX($G55,$H55),""))</f>
        <v/>
      </c>
      <c r="AF55" s="12" t="str">
        <f aca="false">IF(AC55=0,"",IF(AE55="",AG55,IF(IF($G55&lt;$H55,"Part-Time","Full-Time")="Full-Time","FT",IF(AND(IF($G55&lt;$H55,"Part-Time","Full-Time")="Part-Time",OR($O55="",N($O55)&gt;=PT_MinHours)),"PT","None"))))</f>
        <v/>
      </c>
      <c r="AG55" s="12" t="str">
        <f aca="false">IF(AC55=0,"",IF($C55="Full-Time","FT",IF(AND($C55="Part-Time",OR($O55="",N($O55)&gt;=PT_MinHours)),"PT","None")))</f>
        <v/>
      </c>
      <c r="AH55" s="12" t="str">
        <f aca="false">IF(AC55=0,"",IF(AsOfDate&lt;AD55,-1,12*(YEAR(AsOfDate)-YEAR(AD55))+MONTH(AsOfDate)-MONTH(AD55)-IF(DAY(AsOfDate)&lt;MIN(DAY(AD55),DAY(EOMONTH(AsOfDate,0))),1,0)))</f>
        <v/>
      </c>
      <c r="AI55" s="12" t="str">
        <f aca="false">IF(AC55=0,"",IF(OR(AE55="",AE55&gt;AsOfDate),AH55,IF((AE55-1)&lt;AD55,-1,12*(YEAR((AE55-1))-YEAR(AD55))+MONTH((AE55-1))-MONTH(AD55)-IF(DAY((AE55-1))&lt;MIN(DAY(AD55),DAY(EOMONTH((AE55-1),0))),1,0))))</f>
        <v/>
      </c>
      <c r="AJ55" s="12" t="str">
        <f aca="false">IF(AC55=0,"",IF(PFYDate&lt;AD55,-1,12*(YEAR(PFYDate)-YEAR(AD55))+MONTH(PFYDate)-MONTH(AD55)-IF(DAY(PFYDate)&lt;MIN(DAY(AD55),DAY(EOMONTH(PFYDate,0))),1,0)))</f>
        <v/>
      </c>
      <c r="AK55" s="12" t="str">
        <f aca="false">IF(AC55=0,"",IF(OR(AE55="",AE55&gt;PFYDate),AJ55,IF((AE55-1)&lt;AD55,-1,12*(YEAR((AE55-1))-YEAR(AD55))+MONTH((AE55-1))-MONTH(AD55)-IF(DAY((AE55-1))&lt;MIN(DAY(AD55),DAY(EOMONTH((AE55-1),0))),1,0))))</f>
        <v/>
      </c>
      <c r="AL55" s="12" t="str">
        <f aca="false">IF(AC55=0,"",IF(AF55="FT",IF(AI55&lt;FT_First,0,IF(AI55&lt;FT_Y5,1+INT((AI55-FT_First)/FT_Int1),FT_PreY5+FT_PerYear*INT((AI55-FT_Y5)/12)+FT_AnnivDays+INT(MOD(AI55-FT_Y5,12)/FT_Int2))),IF(AF55="PT",IF(AI55&lt;PT_First,0,1+INT((AI55-PT_First)/PT_Int)),0))+IF(OR(AE55="",AE55&gt;AsOfDate),0,IF(AG55="FT",IF(AH55&lt;FT_First,0,IF(AH55&lt;FT_Y5,1+INT((AH55-FT_First)/FT_Int1),FT_PreY5+FT_PerYear*INT((AH55-FT_Y5)/12)+FT_AnnivDays+INT(MOD(AH55-FT_Y5,12)/FT_Int2))),IF(AG55="PT",IF(AH55&lt;PT_First,0,1+INT((AH55-PT_First)/PT_Int)),0))-IF(AG55="FT",IF(AI55&lt;FT_First,0,IF(AI55&lt;FT_Y5,1+INT((AI55-FT_First)/FT_Int1),FT_PreY5+FT_PerYear*INT((AI55-FT_Y5)/12)+FT_AnnivDays+INT(MOD(AI55-FT_Y5,12)/FT_Int2))),IF(AG55="PT",IF(AI55&lt;PT_First,0,1+INT((AI55-PT_First)/PT_Int)),0))))</f>
        <v/>
      </c>
      <c r="AM55" s="12" t="str">
        <f aca="false">IF(AC55=0,"",IF(AF55="FT",IF(AK55&lt;FT_First,0,IF(AK55&lt;FT_Y5,1+INT((AK55-FT_First)/FT_Int1),FT_PreY5+FT_PerYear*INT((AK55-FT_Y5)/12)+FT_AnnivDays+INT(MOD(AK55-FT_Y5,12)/FT_Int2))),IF(AF55="PT",IF(AK55&lt;PT_First,0,1+INT((AK55-PT_First)/PT_Int)),0))+IF(OR(AE55="",AE55&gt;PFYDate),0,IF(AG55="FT",IF(AJ55&lt;FT_First,0,IF(AJ55&lt;FT_Y5,1+INT((AJ55-FT_First)/FT_Int1),FT_PreY5+FT_PerYear*INT((AJ55-FT_Y5)/12)+FT_AnnivDays+INT(MOD(AJ55-FT_Y5,12)/FT_Int2))),IF(AG55="PT",IF(AJ55&lt;PT_First,0,1+INT((AJ55-PT_First)/PT_Int)),0))-IF(AG55="FT",IF(AK55&lt;FT_First,0,IF(AK55&lt;FT_Y5,1+INT((AK55-FT_First)/FT_Int1),FT_PreY5+FT_PerYear*INT((AK55-FT_Y5)/12)+FT_AnnivDays+INT(MOD(AK55-FT_Y5,12)/FT_Int2))),IF(AG55="PT",IF(AK55&lt;PT_First,0,1+INT((AK55-PT_First)/PT_Int)),0))))</f>
        <v/>
      </c>
      <c r="AN55" s="12" t="str">
        <f aca="false">IF(AC55=0,"",IF(AG55="FT",IF(AH55&lt;FT_First,FT_First,IF(AH55&lt;FT_Y5,MIN(FT_Y5,FT_First+FT_Int1*(INT((AH55-FT_First)/FT_Int1)+1)),FT_Y5+12*INT((AH55-FT_Y5)/12)+FT_Int2*(INT(MOD(AH55-FT_Y5,12)/FT_Int2)+1))),IF(AG55="PT",IF(AH55&lt;PT_First,PT_First,PT_First+PT_Int*(INT((AH55-PT_First)/PT_Int)+1)),"")))</f>
        <v/>
      </c>
      <c r="AO55" s="12" t="str">
        <f aca="false">IF(AC55=0,"",IF(NOT(CFY_Ready),0,COUNTIFS(INDEX(CFY_Data,0,CFY_ColFirst),$A55,INDEX(CFY_Data,0,CFY_ColSur),$B55,INDEX(CFY_Data,0,CFY_ColCat),BonusCat)))</f>
        <v/>
      </c>
    </row>
    <row r="56" customFormat="false" ht="15" hidden="false" customHeight="false" outlineLevel="0" collapsed="false">
      <c r="A56" s="15"/>
      <c r="B56" s="15"/>
      <c r="C56" s="15"/>
      <c r="D56" s="16"/>
      <c r="E56" s="10" t="str">
        <f aca="false">IF(OR(AC56=0,$D56=""),"",DATE(YEAR(AsOfDate)+IF(DATE(YEAR(AsOfDate),MONTH($D56),DAY($D56))&lt;=AsOfDate,1,0),MONTH($D56),DAY($D56)))</f>
        <v/>
      </c>
      <c r="F56" s="16"/>
      <c r="G56" s="16"/>
      <c r="H56" s="16"/>
      <c r="I56" s="16"/>
      <c r="J56" s="10" t="str">
        <f aca="false">IF(AC56=0,"",DATE(YEAR(AsOfDate)+IF(DATE(YEAR(AsOfDate),MONTH($F56),DAY($F56))&lt;=AsOfDate,1,0),MONTH($F56),DAY($F56)))</f>
        <v/>
      </c>
      <c r="K56" s="11" t="str">
        <f aca="false">IF(AC56=0,"",ROUND((AsOfDate-$F56)/365.25,1))</f>
        <v/>
      </c>
      <c r="L56" s="12" t="str">
        <f aca="false">IF(AC56=0,"",IF(AsOfDate&lt;AD56,"-",DATEDIF(AD56,AsOfDate,"y")&amp;"y "&amp;DATEDIF(AD56,AsOfDate,"ym")&amp;"m "&amp;DATEDIF(AD56,AsOfDate,"md")&amp;"d"))</f>
        <v/>
      </c>
      <c r="M56" s="13" t="str">
        <f aca="false">IF(AC56=0,"",N56*HoursPerDay)</f>
        <v/>
      </c>
      <c r="N56" s="13" t="str">
        <f aca="false">IF(AC56=0,"",AL56)</f>
        <v/>
      </c>
      <c r="O56" s="17"/>
      <c r="P56" s="12" t="str">
        <f aca="false">IF(AC56=0,"",IF(AE56="","",IF($G56&lt;$H56,"Part-Time to Full-Time","Full-Time to Part-Time")&amp;" on "&amp;TEXT(AE56,"dd/mm/yyyy")&amp;IF(AE56&gt;AsOfDate," (future)",IF(AF56=AG56,"",IF(AG56="None"," - STOPPED accruing",IF(AF56="None"," - now qualifying"," - pathway changed"))))))</f>
        <v/>
      </c>
      <c r="Q56" s="12" t="str">
        <f aca="false">IF(AC56=0,"",IF(AG56="None",IF(N56&gt;0,"No longer accruing","Not eligible - "&amp;IF(AND($C56="Part-Time",N($O56)&lt;PT_MinHours,$O56&lt;&gt;""),"under "&amp;PT_MinHours&amp;" hrs",$C56)),IF(N56&gt;0,"Yes - accruing","Not yet - from "&amp;TEXT(R56,"dd/mm/yyyy"))))</f>
        <v/>
      </c>
      <c r="R56" s="10" t="str">
        <f aca="false">IF(AC56=0,"",IF(AG56="None","",EDATE(AD56,AN56)))</f>
        <v/>
      </c>
      <c r="S56" s="13" t="str">
        <f aca="false">IF(AC56=0,"",IF(NOT(PFY_Ready),"",SUMIFS(INDEX(PFY_Data,0,PFY_ColBal),INDEX(PFY_Data,0,PFY_ColFirst),$A56,INDEX(PFY_Data,0,PFY_ColSur),$B56,INDEX(PFY_Data,0,PFY_ColCat),BonusCat)))</f>
        <v/>
      </c>
      <c r="T56" s="17"/>
      <c r="U56" s="13" t="str">
        <f aca="false">IF(AC56=0,"",IF(NOT(CFY_Ready),"",SUMIFS(INDEX(CFY_Data,0,CFY_ColBal),INDEX(CFY_Data,0,CFY_ColFirst),$A56,INDEX(CFY_Data,0,CFY_ColSur),$B56,INDEX(CFY_Data,0,CFY_ColCat),BonusCat)))</f>
        <v/>
      </c>
      <c r="V56" s="13" t="str">
        <f aca="false">IF(AC56=0,"",IF(OR(NOT(CFY_Ready),CFY_ColAppr=0),"",SUMIFS(INDEX(CFY_Data,0,CFY_ColAppr),INDEX(CFY_Data,0,CFY_ColFirst),$A56,INDEX(CFY_Data,0,CFY_ColSur),$B56,INDEX(CFY_Data,0,CFY_ColCat),BonusCat)))</f>
        <v/>
      </c>
      <c r="W56" s="13" t="str">
        <f aca="false">IF(OR(AC56=0,S56="",U56=""),"",MAX(0,S56+N($T56)-U56))</f>
        <v/>
      </c>
      <c r="X56" s="13" t="str">
        <f aca="false">IF(AC56=0,"",(AL56-AM56)*HoursPerDay)</f>
        <v/>
      </c>
      <c r="Y56" s="13" t="str">
        <f aca="false">IF(AC56=0,"",X56-N($T56))</f>
        <v/>
      </c>
      <c r="Z56" s="12" t="str">
        <f aca="false">IF(AC56=0,"",IF(Y56&gt;0,"Yes","No"))</f>
        <v/>
      </c>
      <c r="AA56" s="12" t="str">
        <f aca="false">IF(AC56=0,"",IF(NOT(CFY_Ready),"Paste CFY EH export",IF(Y56&gt;0,"ACCRUE "&amp;TEXT(Y56,"0.##")&amp;" hrs ("&amp;TEXT(Y56/HoursPerDay,"0.##")&amp;" days)"&amp;IF(AO56=0," - no Bonus Leave line in EH yet",""),IF(Y56&lt;0,"CHECK - posted "&amp;TEXT(-Y56,"0.##")&amp;" hrs more than policy",IF(AND(N56&gt;0,AO56=0,U56=0),"CHECK - policy says "&amp;TEXT(M56,"0.##")&amp;" hrs to date but nothing in EH",IF(N56&gt;0,"OK","-"))))))</f>
        <v/>
      </c>
      <c r="AB56" s="13" t="str">
        <f aca="false">IF(OR(AC56=0,S56=""),"",AM56*HoursPerDay-S56)</f>
        <v/>
      </c>
      <c r="AC56" s="12" t="n">
        <f aca="false">IF(OR(LEN($A56&amp;$B56)=0,$F56=""),0,1)</f>
        <v>0</v>
      </c>
      <c r="AD56" s="10" t="str">
        <f aca="false">IF(AC56=0,"",IF($I56&lt;&gt;"",$I56,$F56))</f>
        <v/>
      </c>
      <c r="AE56" s="10" t="str">
        <f aca="false">IF(AC56=0,"",IF(AND($G56&lt;&gt;"",$H56&lt;&gt;"",$G56&lt;&gt;$H56),MAX($G56,$H56),""))</f>
        <v/>
      </c>
      <c r="AF56" s="12" t="str">
        <f aca="false">IF(AC56=0,"",IF(AE56="",AG56,IF(IF($G56&lt;$H56,"Part-Time","Full-Time")="Full-Time","FT",IF(AND(IF($G56&lt;$H56,"Part-Time","Full-Time")="Part-Time",OR($O56="",N($O56)&gt;=PT_MinHours)),"PT","None"))))</f>
        <v/>
      </c>
      <c r="AG56" s="12" t="str">
        <f aca="false">IF(AC56=0,"",IF($C56="Full-Time","FT",IF(AND($C56="Part-Time",OR($O56="",N($O56)&gt;=PT_MinHours)),"PT","None")))</f>
        <v/>
      </c>
      <c r="AH56" s="12" t="str">
        <f aca="false">IF(AC56=0,"",IF(AsOfDate&lt;AD56,-1,12*(YEAR(AsOfDate)-YEAR(AD56))+MONTH(AsOfDate)-MONTH(AD56)-IF(DAY(AsOfDate)&lt;MIN(DAY(AD56),DAY(EOMONTH(AsOfDate,0))),1,0)))</f>
        <v/>
      </c>
      <c r="AI56" s="12" t="str">
        <f aca="false">IF(AC56=0,"",IF(OR(AE56="",AE56&gt;AsOfDate),AH56,IF((AE56-1)&lt;AD56,-1,12*(YEAR((AE56-1))-YEAR(AD56))+MONTH((AE56-1))-MONTH(AD56)-IF(DAY((AE56-1))&lt;MIN(DAY(AD56),DAY(EOMONTH((AE56-1),0))),1,0))))</f>
        <v/>
      </c>
      <c r="AJ56" s="12" t="str">
        <f aca="false">IF(AC56=0,"",IF(PFYDate&lt;AD56,-1,12*(YEAR(PFYDate)-YEAR(AD56))+MONTH(PFYDate)-MONTH(AD56)-IF(DAY(PFYDate)&lt;MIN(DAY(AD56),DAY(EOMONTH(PFYDate,0))),1,0)))</f>
        <v/>
      </c>
      <c r="AK56" s="12" t="str">
        <f aca="false">IF(AC56=0,"",IF(OR(AE56="",AE56&gt;PFYDate),AJ56,IF((AE56-1)&lt;AD56,-1,12*(YEAR((AE56-1))-YEAR(AD56))+MONTH((AE56-1))-MONTH(AD56)-IF(DAY((AE56-1))&lt;MIN(DAY(AD56),DAY(EOMONTH((AE56-1),0))),1,0))))</f>
        <v/>
      </c>
      <c r="AL56" s="12" t="str">
        <f aca="false">IF(AC56=0,"",IF(AF56="FT",IF(AI56&lt;FT_First,0,IF(AI56&lt;FT_Y5,1+INT((AI56-FT_First)/FT_Int1),FT_PreY5+FT_PerYear*INT((AI56-FT_Y5)/12)+FT_AnnivDays+INT(MOD(AI56-FT_Y5,12)/FT_Int2))),IF(AF56="PT",IF(AI56&lt;PT_First,0,1+INT((AI56-PT_First)/PT_Int)),0))+IF(OR(AE56="",AE56&gt;AsOfDate),0,IF(AG56="FT",IF(AH56&lt;FT_First,0,IF(AH56&lt;FT_Y5,1+INT((AH56-FT_First)/FT_Int1),FT_PreY5+FT_PerYear*INT((AH56-FT_Y5)/12)+FT_AnnivDays+INT(MOD(AH56-FT_Y5,12)/FT_Int2))),IF(AG56="PT",IF(AH56&lt;PT_First,0,1+INT((AH56-PT_First)/PT_Int)),0))-IF(AG56="FT",IF(AI56&lt;FT_First,0,IF(AI56&lt;FT_Y5,1+INT((AI56-FT_First)/FT_Int1),FT_PreY5+FT_PerYear*INT((AI56-FT_Y5)/12)+FT_AnnivDays+INT(MOD(AI56-FT_Y5,12)/FT_Int2))),IF(AG56="PT",IF(AI56&lt;PT_First,0,1+INT((AI56-PT_First)/PT_Int)),0))))</f>
        <v/>
      </c>
      <c r="AM56" s="12" t="str">
        <f aca="false">IF(AC56=0,"",IF(AF56="FT",IF(AK56&lt;FT_First,0,IF(AK56&lt;FT_Y5,1+INT((AK56-FT_First)/FT_Int1),FT_PreY5+FT_PerYear*INT((AK56-FT_Y5)/12)+FT_AnnivDays+INT(MOD(AK56-FT_Y5,12)/FT_Int2))),IF(AF56="PT",IF(AK56&lt;PT_First,0,1+INT((AK56-PT_First)/PT_Int)),0))+IF(OR(AE56="",AE56&gt;PFYDate),0,IF(AG56="FT",IF(AJ56&lt;FT_First,0,IF(AJ56&lt;FT_Y5,1+INT((AJ56-FT_First)/FT_Int1),FT_PreY5+FT_PerYear*INT((AJ56-FT_Y5)/12)+FT_AnnivDays+INT(MOD(AJ56-FT_Y5,12)/FT_Int2))),IF(AG56="PT",IF(AJ56&lt;PT_First,0,1+INT((AJ56-PT_First)/PT_Int)),0))-IF(AG56="FT",IF(AK56&lt;FT_First,0,IF(AK56&lt;FT_Y5,1+INT((AK56-FT_First)/FT_Int1),FT_PreY5+FT_PerYear*INT((AK56-FT_Y5)/12)+FT_AnnivDays+INT(MOD(AK56-FT_Y5,12)/FT_Int2))),IF(AG56="PT",IF(AK56&lt;PT_First,0,1+INT((AK56-PT_First)/PT_Int)),0))))</f>
        <v/>
      </c>
      <c r="AN56" s="12" t="str">
        <f aca="false">IF(AC56=0,"",IF(AG56="FT",IF(AH56&lt;FT_First,FT_First,IF(AH56&lt;FT_Y5,MIN(FT_Y5,FT_First+FT_Int1*(INT((AH56-FT_First)/FT_Int1)+1)),FT_Y5+12*INT((AH56-FT_Y5)/12)+FT_Int2*(INT(MOD(AH56-FT_Y5,12)/FT_Int2)+1))),IF(AG56="PT",IF(AH56&lt;PT_First,PT_First,PT_First+PT_Int*(INT((AH56-PT_First)/PT_Int)+1)),"")))</f>
        <v/>
      </c>
      <c r="AO56" s="12" t="str">
        <f aca="false">IF(AC56=0,"",IF(NOT(CFY_Ready),0,COUNTIFS(INDEX(CFY_Data,0,CFY_ColFirst),$A56,INDEX(CFY_Data,0,CFY_ColSur),$B56,INDEX(CFY_Data,0,CFY_ColCat),BonusCat)))</f>
        <v/>
      </c>
    </row>
    <row r="57" customFormat="false" ht="15" hidden="false" customHeight="false" outlineLevel="0" collapsed="false">
      <c r="A57" s="15"/>
      <c r="B57" s="15"/>
      <c r="C57" s="15"/>
      <c r="D57" s="16"/>
      <c r="E57" s="10" t="str">
        <f aca="false">IF(OR(AC57=0,$D57=""),"",DATE(YEAR(AsOfDate)+IF(DATE(YEAR(AsOfDate),MONTH($D57),DAY($D57))&lt;=AsOfDate,1,0),MONTH($D57),DAY($D57)))</f>
        <v/>
      </c>
      <c r="F57" s="16"/>
      <c r="G57" s="16"/>
      <c r="H57" s="16"/>
      <c r="I57" s="16"/>
      <c r="J57" s="10" t="str">
        <f aca="false">IF(AC57=0,"",DATE(YEAR(AsOfDate)+IF(DATE(YEAR(AsOfDate),MONTH($F57),DAY($F57))&lt;=AsOfDate,1,0),MONTH($F57),DAY($F57)))</f>
        <v/>
      </c>
      <c r="K57" s="11" t="str">
        <f aca="false">IF(AC57=0,"",ROUND((AsOfDate-$F57)/365.25,1))</f>
        <v/>
      </c>
      <c r="L57" s="12" t="str">
        <f aca="false">IF(AC57=0,"",IF(AsOfDate&lt;AD57,"-",DATEDIF(AD57,AsOfDate,"y")&amp;"y "&amp;DATEDIF(AD57,AsOfDate,"ym")&amp;"m "&amp;DATEDIF(AD57,AsOfDate,"md")&amp;"d"))</f>
        <v/>
      </c>
      <c r="M57" s="13" t="str">
        <f aca="false">IF(AC57=0,"",N57*HoursPerDay)</f>
        <v/>
      </c>
      <c r="N57" s="13" t="str">
        <f aca="false">IF(AC57=0,"",AL57)</f>
        <v/>
      </c>
      <c r="O57" s="17"/>
      <c r="P57" s="12" t="str">
        <f aca="false">IF(AC57=0,"",IF(AE57="","",IF($G57&lt;$H57,"Part-Time to Full-Time","Full-Time to Part-Time")&amp;" on "&amp;TEXT(AE57,"dd/mm/yyyy")&amp;IF(AE57&gt;AsOfDate," (future)",IF(AF57=AG57,"",IF(AG57="None"," - STOPPED accruing",IF(AF57="None"," - now qualifying"," - pathway changed"))))))</f>
        <v/>
      </c>
      <c r="Q57" s="12" t="str">
        <f aca="false">IF(AC57=0,"",IF(AG57="None",IF(N57&gt;0,"No longer accruing","Not eligible - "&amp;IF(AND($C57="Part-Time",N($O57)&lt;PT_MinHours,$O57&lt;&gt;""),"under "&amp;PT_MinHours&amp;" hrs",$C57)),IF(N57&gt;0,"Yes - accruing","Not yet - from "&amp;TEXT(R57,"dd/mm/yyyy"))))</f>
        <v/>
      </c>
      <c r="R57" s="10" t="str">
        <f aca="false">IF(AC57=0,"",IF(AG57="None","",EDATE(AD57,AN57)))</f>
        <v/>
      </c>
      <c r="S57" s="13" t="str">
        <f aca="false">IF(AC57=0,"",IF(NOT(PFY_Ready),"",SUMIFS(INDEX(PFY_Data,0,PFY_ColBal),INDEX(PFY_Data,0,PFY_ColFirst),$A57,INDEX(PFY_Data,0,PFY_ColSur),$B57,INDEX(PFY_Data,0,PFY_ColCat),BonusCat)))</f>
        <v/>
      </c>
      <c r="T57" s="17"/>
      <c r="U57" s="13" t="str">
        <f aca="false">IF(AC57=0,"",IF(NOT(CFY_Ready),"",SUMIFS(INDEX(CFY_Data,0,CFY_ColBal),INDEX(CFY_Data,0,CFY_ColFirst),$A57,INDEX(CFY_Data,0,CFY_ColSur),$B57,INDEX(CFY_Data,0,CFY_ColCat),BonusCat)))</f>
        <v/>
      </c>
      <c r="V57" s="13" t="str">
        <f aca="false">IF(AC57=0,"",IF(OR(NOT(CFY_Ready),CFY_ColAppr=0),"",SUMIFS(INDEX(CFY_Data,0,CFY_ColAppr),INDEX(CFY_Data,0,CFY_ColFirst),$A57,INDEX(CFY_Data,0,CFY_ColSur),$B57,INDEX(CFY_Data,0,CFY_ColCat),BonusCat)))</f>
        <v/>
      </c>
      <c r="W57" s="13" t="str">
        <f aca="false">IF(OR(AC57=0,S57="",U57=""),"",MAX(0,S57+N($T57)-U57))</f>
        <v/>
      </c>
      <c r="X57" s="13" t="str">
        <f aca="false">IF(AC57=0,"",(AL57-AM57)*HoursPerDay)</f>
        <v/>
      </c>
      <c r="Y57" s="13" t="str">
        <f aca="false">IF(AC57=0,"",X57-N($T57))</f>
        <v/>
      </c>
      <c r="Z57" s="12" t="str">
        <f aca="false">IF(AC57=0,"",IF(Y57&gt;0,"Yes","No"))</f>
        <v/>
      </c>
      <c r="AA57" s="12" t="str">
        <f aca="false">IF(AC57=0,"",IF(NOT(CFY_Ready),"Paste CFY EH export",IF(Y57&gt;0,"ACCRUE "&amp;TEXT(Y57,"0.##")&amp;" hrs ("&amp;TEXT(Y57/HoursPerDay,"0.##")&amp;" days)"&amp;IF(AO57=0," - no Bonus Leave line in EH yet",""),IF(Y57&lt;0,"CHECK - posted "&amp;TEXT(-Y57,"0.##")&amp;" hrs more than policy",IF(AND(N57&gt;0,AO57=0,U57=0),"CHECK - policy says "&amp;TEXT(M57,"0.##")&amp;" hrs to date but nothing in EH",IF(N57&gt;0,"OK","-"))))))</f>
        <v/>
      </c>
      <c r="AB57" s="13" t="str">
        <f aca="false">IF(OR(AC57=0,S57=""),"",AM57*HoursPerDay-S57)</f>
        <v/>
      </c>
      <c r="AC57" s="12" t="n">
        <f aca="false">IF(OR(LEN($A57&amp;$B57)=0,$F57=""),0,1)</f>
        <v>0</v>
      </c>
      <c r="AD57" s="10" t="str">
        <f aca="false">IF(AC57=0,"",IF($I57&lt;&gt;"",$I57,$F57))</f>
        <v/>
      </c>
      <c r="AE57" s="10" t="str">
        <f aca="false">IF(AC57=0,"",IF(AND($G57&lt;&gt;"",$H57&lt;&gt;"",$G57&lt;&gt;$H57),MAX($G57,$H57),""))</f>
        <v/>
      </c>
      <c r="AF57" s="12" t="str">
        <f aca="false">IF(AC57=0,"",IF(AE57="",AG57,IF(IF($G57&lt;$H57,"Part-Time","Full-Time")="Full-Time","FT",IF(AND(IF($G57&lt;$H57,"Part-Time","Full-Time")="Part-Time",OR($O57="",N($O57)&gt;=PT_MinHours)),"PT","None"))))</f>
        <v/>
      </c>
      <c r="AG57" s="12" t="str">
        <f aca="false">IF(AC57=0,"",IF($C57="Full-Time","FT",IF(AND($C57="Part-Time",OR($O57="",N($O57)&gt;=PT_MinHours)),"PT","None")))</f>
        <v/>
      </c>
      <c r="AH57" s="12" t="str">
        <f aca="false">IF(AC57=0,"",IF(AsOfDate&lt;AD57,-1,12*(YEAR(AsOfDate)-YEAR(AD57))+MONTH(AsOfDate)-MONTH(AD57)-IF(DAY(AsOfDate)&lt;MIN(DAY(AD57),DAY(EOMONTH(AsOfDate,0))),1,0)))</f>
        <v/>
      </c>
      <c r="AI57" s="12" t="str">
        <f aca="false">IF(AC57=0,"",IF(OR(AE57="",AE57&gt;AsOfDate),AH57,IF((AE57-1)&lt;AD57,-1,12*(YEAR((AE57-1))-YEAR(AD57))+MONTH((AE57-1))-MONTH(AD57)-IF(DAY((AE57-1))&lt;MIN(DAY(AD57),DAY(EOMONTH((AE57-1),0))),1,0))))</f>
        <v/>
      </c>
      <c r="AJ57" s="12" t="str">
        <f aca="false">IF(AC57=0,"",IF(PFYDate&lt;AD57,-1,12*(YEAR(PFYDate)-YEAR(AD57))+MONTH(PFYDate)-MONTH(AD57)-IF(DAY(PFYDate)&lt;MIN(DAY(AD57),DAY(EOMONTH(PFYDate,0))),1,0)))</f>
        <v/>
      </c>
      <c r="AK57" s="12" t="str">
        <f aca="false">IF(AC57=0,"",IF(OR(AE57="",AE57&gt;PFYDate),AJ57,IF((AE57-1)&lt;AD57,-1,12*(YEAR((AE57-1))-YEAR(AD57))+MONTH((AE57-1))-MONTH(AD57)-IF(DAY((AE57-1))&lt;MIN(DAY(AD57),DAY(EOMONTH((AE57-1),0))),1,0))))</f>
        <v/>
      </c>
      <c r="AL57" s="12" t="str">
        <f aca="false">IF(AC57=0,"",IF(AF57="FT",IF(AI57&lt;FT_First,0,IF(AI57&lt;FT_Y5,1+INT((AI57-FT_First)/FT_Int1),FT_PreY5+FT_PerYear*INT((AI57-FT_Y5)/12)+FT_AnnivDays+INT(MOD(AI57-FT_Y5,12)/FT_Int2))),IF(AF57="PT",IF(AI57&lt;PT_First,0,1+INT((AI57-PT_First)/PT_Int)),0))+IF(OR(AE57="",AE57&gt;AsOfDate),0,IF(AG57="FT",IF(AH57&lt;FT_First,0,IF(AH57&lt;FT_Y5,1+INT((AH57-FT_First)/FT_Int1),FT_PreY5+FT_PerYear*INT((AH57-FT_Y5)/12)+FT_AnnivDays+INT(MOD(AH57-FT_Y5,12)/FT_Int2))),IF(AG57="PT",IF(AH57&lt;PT_First,0,1+INT((AH57-PT_First)/PT_Int)),0))-IF(AG57="FT",IF(AI57&lt;FT_First,0,IF(AI57&lt;FT_Y5,1+INT((AI57-FT_First)/FT_Int1),FT_PreY5+FT_PerYear*INT((AI57-FT_Y5)/12)+FT_AnnivDays+INT(MOD(AI57-FT_Y5,12)/FT_Int2))),IF(AG57="PT",IF(AI57&lt;PT_First,0,1+INT((AI57-PT_First)/PT_Int)),0))))</f>
        <v/>
      </c>
      <c r="AM57" s="12" t="str">
        <f aca="false">IF(AC57=0,"",IF(AF57="FT",IF(AK57&lt;FT_First,0,IF(AK57&lt;FT_Y5,1+INT((AK57-FT_First)/FT_Int1),FT_PreY5+FT_PerYear*INT((AK57-FT_Y5)/12)+FT_AnnivDays+INT(MOD(AK57-FT_Y5,12)/FT_Int2))),IF(AF57="PT",IF(AK57&lt;PT_First,0,1+INT((AK57-PT_First)/PT_Int)),0))+IF(OR(AE57="",AE57&gt;PFYDate),0,IF(AG57="FT",IF(AJ57&lt;FT_First,0,IF(AJ57&lt;FT_Y5,1+INT((AJ57-FT_First)/FT_Int1),FT_PreY5+FT_PerYear*INT((AJ57-FT_Y5)/12)+FT_AnnivDays+INT(MOD(AJ57-FT_Y5,12)/FT_Int2))),IF(AG57="PT",IF(AJ57&lt;PT_First,0,1+INT((AJ57-PT_First)/PT_Int)),0))-IF(AG57="FT",IF(AK57&lt;FT_First,0,IF(AK57&lt;FT_Y5,1+INT((AK57-FT_First)/FT_Int1),FT_PreY5+FT_PerYear*INT((AK57-FT_Y5)/12)+FT_AnnivDays+INT(MOD(AK57-FT_Y5,12)/FT_Int2))),IF(AG57="PT",IF(AK57&lt;PT_First,0,1+INT((AK57-PT_First)/PT_Int)),0))))</f>
        <v/>
      </c>
      <c r="AN57" s="12" t="str">
        <f aca="false">IF(AC57=0,"",IF(AG57="FT",IF(AH57&lt;FT_First,FT_First,IF(AH57&lt;FT_Y5,MIN(FT_Y5,FT_First+FT_Int1*(INT((AH57-FT_First)/FT_Int1)+1)),FT_Y5+12*INT((AH57-FT_Y5)/12)+FT_Int2*(INT(MOD(AH57-FT_Y5,12)/FT_Int2)+1))),IF(AG57="PT",IF(AH57&lt;PT_First,PT_First,PT_First+PT_Int*(INT((AH57-PT_First)/PT_Int)+1)),"")))</f>
        <v/>
      </c>
      <c r="AO57" s="12" t="str">
        <f aca="false">IF(AC57=0,"",IF(NOT(CFY_Ready),0,COUNTIFS(INDEX(CFY_Data,0,CFY_ColFirst),$A57,INDEX(CFY_Data,0,CFY_ColSur),$B57,INDEX(CFY_Data,0,CFY_ColCat),BonusCat)))</f>
        <v/>
      </c>
    </row>
    <row r="58" customFormat="false" ht="15" hidden="false" customHeight="false" outlineLevel="0" collapsed="false">
      <c r="A58" s="15"/>
      <c r="B58" s="15"/>
      <c r="C58" s="15"/>
      <c r="D58" s="16"/>
      <c r="E58" s="10" t="str">
        <f aca="false">IF(OR(AC58=0,$D58=""),"",DATE(YEAR(AsOfDate)+IF(DATE(YEAR(AsOfDate),MONTH($D58),DAY($D58))&lt;=AsOfDate,1,0),MONTH($D58),DAY($D58)))</f>
        <v/>
      </c>
      <c r="F58" s="16"/>
      <c r="G58" s="16"/>
      <c r="H58" s="16"/>
      <c r="I58" s="16"/>
      <c r="J58" s="10" t="str">
        <f aca="false">IF(AC58=0,"",DATE(YEAR(AsOfDate)+IF(DATE(YEAR(AsOfDate),MONTH($F58),DAY($F58))&lt;=AsOfDate,1,0),MONTH($F58),DAY($F58)))</f>
        <v/>
      </c>
      <c r="K58" s="11" t="str">
        <f aca="false">IF(AC58=0,"",ROUND((AsOfDate-$F58)/365.25,1))</f>
        <v/>
      </c>
      <c r="L58" s="12" t="str">
        <f aca="false">IF(AC58=0,"",IF(AsOfDate&lt;AD58,"-",DATEDIF(AD58,AsOfDate,"y")&amp;"y "&amp;DATEDIF(AD58,AsOfDate,"ym")&amp;"m "&amp;DATEDIF(AD58,AsOfDate,"md")&amp;"d"))</f>
        <v/>
      </c>
      <c r="M58" s="13" t="str">
        <f aca="false">IF(AC58=0,"",N58*HoursPerDay)</f>
        <v/>
      </c>
      <c r="N58" s="13" t="str">
        <f aca="false">IF(AC58=0,"",AL58)</f>
        <v/>
      </c>
      <c r="O58" s="17"/>
      <c r="P58" s="12" t="str">
        <f aca="false">IF(AC58=0,"",IF(AE58="","",IF($G58&lt;$H58,"Part-Time to Full-Time","Full-Time to Part-Time")&amp;" on "&amp;TEXT(AE58,"dd/mm/yyyy")&amp;IF(AE58&gt;AsOfDate," (future)",IF(AF58=AG58,"",IF(AG58="None"," - STOPPED accruing",IF(AF58="None"," - now qualifying"," - pathway changed"))))))</f>
        <v/>
      </c>
      <c r="Q58" s="12" t="str">
        <f aca="false">IF(AC58=0,"",IF(AG58="None",IF(N58&gt;0,"No longer accruing","Not eligible - "&amp;IF(AND($C58="Part-Time",N($O58)&lt;PT_MinHours,$O58&lt;&gt;""),"under "&amp;PT_MinHours&amp;" hrs",$C58)),IF(N58&gt;0,"Yes - accruing","Not yet - from "&amp;TEXT(R58,"dd/mm/yyyy"))))</f>
        <v/>
      </c>
      <c r="R58" s="10" t="str">
        <f aca="false">IF(AC58=0,"",IF(AG58="None","",EDATE(AD58,AN58)))</f>
        <v/>
      </c>
      <c r="S58" s="13" t="str">
        <f aca="false">IF(AC58=0,"",IF(NOT(PFY_Ready),"",SUMIFS(INDEX(PFY_Data,0,PFY_ColBal),INDEX(PFY_Data,0,PFY_ColFirst),$A58,INDEX(PFY_Data,0,PFY_ColSur),$B58,INDEX(PFY_Data,0,PFY_ColCat),BonusCat)))</f>
        <v/>
      </c>
      <c r="T58" s="17"/>
      <c r="U58" s="13" t="str">
        <f aca="false">IF(AC58=0,"",IF(NOT(CFY_Ready),"",SUMIFS(INDEX(CFY_Data,0,CFY_ColBal),INDEX(CFY_Data,0,CFY_ColFirst),$A58,INDEX(CFY_Data,0,CFY_ColSur),$B58,INDEX(CFY_Data,0,CFY_ColCat),BonusCat)))</f>
        <v/>
      </c>
      <c r="V58" s="13" t="str">
        <f aca="false">IF(AC58=0,"",IF(OR(NOT(CFY_Ready),CFY_ColAppr=0),"",SUMIFS(INDEX(CFY_Data,0,CFY_ColAppr),INDEX(CFY_Data,0,CFY_ColFirst),$A58,INDEX(CFY_Data,0,CFY_ColSur),$B58,INDEX(CFY_Data,0,CFY_ColCat),BonusCat)))</f>
        <v/>
      </c>
      <c r="W58" s="13" t="str">
        <f aca="false">IF(OR(AC58=0,S58="",U58=""),"",MAX(0,S58+N($T58)-U58))</f>
        <v/>
      </c>
      <c r="X58" s="13" t="str">
        <f aca="false">IF(AC58=0,"",(AL58-AM58)*HoursPerDay)</f>
        <v/>
      </c>
      <c r="Y58" s="13" t="str">
        <f aca="false">IF(AC58=0,"",X58-N($T58))</f>
        <v/>
      </c>
      <c r="Z58" s="12" t="str">
        <f aca="false">IF(AC58=0,"",IF(Y58&gt;0,"Yes","No"))</f>
        <v/>
      </c>
      <c r="AA58" s="12" t="str">
        <f aca="false">IF(AC58=0,"",IF(NOT(CFY_Ready),"Paste CFY EH export",IF(Y58&gt;0,"ACCRUE "&amp;TEXT(Y58,"0.##")&amp;" hrs ("&amp;TEXT(Y58/HoursPerDay,"0.##")&amp;" days)"&amp;IF(AO58=0," - no Bonus Leave line in EH yet",""),IF(Y58&lt;0,"CHECK - posted "&amp;TEXT(-Y58,"0.##")&amp;" hrs more than policy",IF(AND(N58&gt;0,AO58=0,U58=0),"CHECK - policy says "&amp;TEXT(M58,"0.##")&amp;" hrs to date but nothing in EH",IF(N58&gt;0,"OK","-"))))))</f>
        <v/>
      </c>
      <c r="AB58" s="13" t="str">
        <f aca="false">IF(OR(AC58=0,S58=""),"",AM58*HoursPerDay-S58)</f>
        <v/>
      </c>
      <c r="AC58" s="12" t="n">
        <f aca="false">IF(OR(LEN($A58&amp;$B58)=0,$F58=""),0,1)</f>
        <v>0</v>
      </c>
      <c r="AD58" s="10" t="str">
        <f aca="false">IF(AC58=0,"",IF($I58&lt;&gt;"",$I58,$F58))</f>
        <v/>
      </c>
      <c r="AE58" s="10" t="str">
        <f aca="false">IF(AC58=0,"",IF(AND($G58&lt;&gt;"",$H58&lt;&gt;"",$G58&lt;&gt;$H58),MAX($G58,$H58),""))</f>
        <v/>
      </c>
      <c r="AF58" s="12" t="str">
        <f aca="false">IF(AC58=0,"",IF(AE58="",AG58,IF(IF($G58&lt;$H58,"Part-Time","Full-Time")="Full-Time","FT",IF(AND(IF($G58&lt;$H58,"Part-Time","Full-Time")="Part-Time",OR($O58="",N($O58)&gt;=PT_MinHours)),"PT","None"))))</f>
        <v/>
      </c>
      <c r="AG58" s="12" t="str">
        <f aca="false">IF(AC58=0,"",IF($C58="Full-Time","FT",IF(AND($C58="Part-Time",OR($O58="",N($O58)&gt;=PT_MinHours)),"PT","None")))</f>
        <v/>
      </c>
      <c r="AH58" s="12" t="str">
        <f aca="false">IF(AC58=0,"",IF(AsOfDate&lt;AD58,-1,12*(YEAR(AsOfDate)-YEAR(AD58))+MONTH(AsOfDate)-MONTH(AD58)-IF(DAY(AsOfDate)&lt;MIN(DAY(AD58),DAY(EOMONTH(AsOfDate,0))),1,0)))</f>
        <v/>
      </c>
      <c r="AI58" s="12" t="str">
        <f aca="false">IF(AC58=0,"",IF(OR(AE58="",AE58&gt;AsOfDate),AH58,IF((AE58-1)&lt;AD58,-1,12*(YEAR((AE58-1))-YEAR(AD58))+MONTH((AE58-1))-MONTH(AD58)-IF(DAY((AE58-1))&lt;MIN(DAY(AD58),DAY(EOMONTH((AE58-1),0))),1,0))))</f>
        <v/>
      </c>
      <c r="AJ58" s="12" t="str">
        <f aca="false">IF(AC58=0,"",IF(PFYDate&lt;AD58,-1,12*(YEAR(PFYDate)-YEAR(AD58))+MONTH(PFYDate)-MONTH(AD58)-IF(DAY(PFYDate)&lt;MIN(DAY(AD58),DAY(EOMONTH(PFYDate,0))),1,0)))</f>
        <v/>
      </c>
      <c r="AK58" s="12" t="str">
        <f aca="false">IF(AC58=0,"",IF(OR(AE58="",AE58&gt;PFYDate),AJ58,IF((AE58-1)&lt;AD58,-1,12*(YEAR((AE58-1))-YEAR(AD58))+MONTH((AE58-1))-MONTH(AD58)-IF(DAY((AE58-1))&lt;MIN(DAY(AD58),DAY(EOMONTH((AE58-1),0))),1,0))))</f>
        <v/>
      </c>
      <c r="AL58" s="12" t="str">
        <f aca="false">IF(AC58=0,"",IF(AF58="FT",IF(AI58&lt;FT_First,0,IF(AI58&lt;FT_Y5,1+INT((AI58-FT_First)/FT_Int1),FT_PreY5+FT_PerYear*INT((AI58-FT_Y5)/12)+FT_AnnivDays+INT(MOD(AI58-FT_Y5,12)/FT_Int2))),IF(AF58="PT",IF(AI58&lt;PT_First,0,1+INT((AI58-PT_First)/PT_Int)),0))+IF(OR(AE58="",AE58&gt;AsOfDate),0,IF(AG58="FT",IF(AH58&lt;FT_First,0,IF(AH58&lt;FT_Y5,1+INT((AH58-FT_First)/FT_Int1),FT_PreY5+FT_PerYear*INT((AH58-FT_Y5)/12)+FT_AnnivDays+INT(MOD(AH58-FT_Y5,12)/FT_Int2))),IF(AG58="PT",IF(AH58&lt;PT_First,0,1+INT((AH58-PT_First)/PT_Int)),0))-IF(AG58="FT",IF(AI58&lt;FT_First,0,IF(AI58&lt;FT_Y5,1+INT((AI58-FT_First)/FT_Int1),FT_PreY5+FT_PerYear*INT((AI58-FT_Y5)/12)+FT_AnnivDays+INT(MOD(AI58-FT_Y5,12)/FT_Int2))),IF(AG58="PT",IF(AI58&lt;PT_First,0,1+INT((AI58-PT_First)/PT_Int)),0))))</f>
        <v/>
      </c>
      <c r="AM58" s="12" t="str">
        <f aca="false">IF(AC58=0,"",IF(AF58="FT",IF(AK58&lt;FT_First,0,IF(AK58&lt;FT_Y5,1+INT((AK58-FT_First)/FT_Int1),FT_PreY5+FT_PerYear*INT((AK58-FT_Y5)/12)+FT_AnnivDays+INT(MOD(AK58-FT_Y5,12)/FT_Int2))),IF(AF58="PT",IF(AK58&lt;PT_First,0,1+INT((AK58-PT_First)/PT_Int)),0))+IF(OR(AE58="",AE58&gt;PFYDate),0,IF(AG58="FT",IF(AJ58&lt;FT_First,0,IF(AJ58&lt;FT_Y5,1+INT((AJ58-FT_First)/FT_Int1),FT_PreY5+FT_PerYear*INT((AJ58-FT_Y5)/12)+FT_AnnivDays+INT(MOD(AJ58-FT_Y5,12)/FT_Int2))),IF(AG58="PT",IF(AJ58&lt;PT_First,0,1+INT((AJ58-PT_First)/PT_Int)),0))-IF(AG58="FT",IF(AK58&lt;FT_First,0,IF(AK58&lt;FT_Y5,1+INT((AK58-FT_First)/FT_Int1),FT_PreY5+FT_PerYear*INT((AK58-FT_Y5)/12)+FT_AnnivDays+INT(MOD(AK58-FT_Y5,12)/FT_Int2))),IF(AG58="PT",IF(AK58&lt;PT_First,0,1+INT((AK58-PT_First)/PT_Int)),0))))</f>
        <v/>
      </c>
      <c r="AN58" s="12" t="str">
        <f aca="false">IF(AC58=0,"",IF(AG58="FT",IF(AH58&lt;FT_First,FT_First,IF(AH58&lt;FT_Y5,MIN(FT_Y5,FT_First+FT_Int1*(INT((AH58-FT_First)/FT_Int1)+1)),FT_Y5+12*INT((AH58-FT_Y5)/12)+FT_Int2*(INT(MOD(AH58-FT_Y5,12)/FT_Int2)+1))),IF(AG58="PT",IF(AH58&lt;PT_First,PT_First,PT_First+PT_Int*(INT((AH58-PT_First)/PT_Int)+1)),"")))</f>
        <v/>
      </c>
      <c r="AO58" s="12" t="str">
        <f aca="false">IF(AC58=0,"",IF(NOT(CFY_Ready),0,COUNTIFS(INDEX(CFY_Data,0,CFY_ColFirst),$A58,INDEX(CFY_Data,0,CFY_ColSur),$B58,INDEX(CFY_Data,0,CFY_ColCat),BonusCat)))</f>
        <v/>
      </c>
    </row>
    <row r="59" customFormat="false" ht="15" hidden="false" customHeight="false" outlineLevel="0" collapsed="false">
      <c r="A59" s="15"/>
      <c r="B59" s="15"/>
      <c r="C59" s="15"/>
      <c r="D59" s="16"/>
      <c r="E59" s="10" t="str">
        <f aca="false">IF(OR(AC59=0,$D59=""),"",DATE(YEAR(AsOfDate)+IF(DATE(YEAR(AsOfDate),MONTH($D59),DAY($D59))&lt;=AsOfDate,1,0),MONTH($D59),DAY($D59)))</f>
        <v/>
      </c>
      <c r="F59" s="16"/>
      <c r="G59" s="16"/>
      <c r="H59" s="16"/>
      <c r="I59" s="16"/>
      <c r="J59" s="10" t="str">
        <f aca="false">IF(AC59=0,"",DATE(YEAR(AsOfDate)+IF(DATE(YEAR(AsOfDate),MONTH($F59),DAY($F59))&lt;=AsOfDate,1,0),MONTH($F59),DAY($F59)))</f>
        <v/>
      </c>
      <c r="K59" s="11" t="str">
        <f aca="false">IF(AC59=0,"",ROUND((AsOfDate-$F59)/365.25,1))</f>
        <v/>
      </c>
      <c r="L59" s="12" t="str">
        <f aca="false">IF(AC59=0,"",IF(AsOfDate&lt;AD59,"-",DATEDIF(AD59,AsOfDate,"y")&amp;"y "&amp;DATEDIF(AD59,AsOfDate,"ym")&amp;"m "&amp;DATEDIF(AD59,AsOfDate,"md")&amp;"d"))</f>
        <v/>
      </c>
      <c r="M59" s="13" t="str">
        <f aca="false">IF(AC59=0,"",N59*HoursPerDay)</f>
        <v/>
      </c>
      <c r="N59" s="13" t="str">
        <f aca="false">IF(AC59=0,"",AL59)</f>
        <v/>
      </c>
      <c r="O59" s="17"/>
      <c r="P59" s="12" t="str">
        <f aca="false">IF(AC59=0,"",IF(AE59="","",IF($G59&lt;$H59,"Part-Time to Full-Time","Full-Time to Part-Time")&amp;" on "&amp;TEXT(AE59,"dd/mm/yyyy")&amp;IF(AE59&gt;AsOfDate," (future)",IF(AF59=AG59,"",IF(AG59="None"," - STOPPED accruing",IF(AF59="None"," - now qualifying"," - pathway changed"))))))</f>
        <v/>
      </c>
      <c r="Q59" s="12" t="str">
        <f aca="false">IF(AC59=0,"",IF(AG59="None",IF(N59&gt;0,"No longer accruing","Not eligible - "&amp;IF(AND($C59="Part-Time",N($O59)&lt;PT_MinHours,$O59&lt;&gt;""),"under "&amp;PT_MinHours&amp;" hrs",$C59)),IF(N59&gt;0,"Yes - accruing","Not yet - from "&amp;TEXT(R59,"dd/mm/yyyy"))))</f>
        <v/>
      </c>
      <c r="R59" s="10" t="str">
        <f aca="false">IF(AC59=0,"",IF(AG59="None","",EDATE(AD59,AN59)))</f>
        <v/>
      </c>
      <c r="S59" s="13" t="str">
        <f aca="false">IF(AC59=0,"",IF(NOT(PFY_Ready),"",SUMIFS(INDEX(PFY_Data,0,PFY_ColBal),INDEX(PFY_Data,0,PFY_ColFirst),$A59,INDEX(PFY_Data,0,PFY_ColSur),$B59,INDEX(PFY_Data,0,PFY_ColCat),BonusCat)))</f>
        <v/>
      </c>
      <c r="T59" s="17"/>
      <c r="U59" s="13" t="str">
        <f aca="false">IF(AC59=0,"",IF(NOT(CFY_Ready),"",SUMIFS(INDEX(CFY_Data,0,CFY_ColBal),INDEX(CFY_Data,0,CFY_ColFirst),$A59,INDEX(CFY_Data,0,CFY_ColSur),$B59,INDEX(CFY_Data,0,CFY_ColCat),BonusCat)))</f>
        <v/>
      </c>
      <c r="V59" s="13" t="str">
        <f aca="false">IF(AC59=0,"",IF(OR(NOT(CFY_Ready),CFY_ColAppr=0),"",SUMIFS(INDEX(CFY_Data,0,CFY_ColAppr),INDEX(CFY_Data,0,CFY_ColFirst),$A59,INDEX(CFY_Data,0,CFY_ColSur),$B59,INDEX(CFY_Data,0,CFY_ColCat),BonusCat)))</f>
        <v/>
      </c>
      <c r="W59" s="13" t="str">
        <f aca="false">IF(OR(AC59=0,S59="",U59=""),"",MAX(0,S59+N($T59)-U59))</f>
        <v/>
      </c>
      <c r="X59" s="13" t="str">
        <f aca="false">IF(AC59=0,"",(AL59-AM59)*HoursPerDay)</f>
        <v/>
      </c>
      <c r="Y59" s="13" t="str">
        <f aca="false">IF(AC59=0,"",X59-N($T59))</f>
        <v/>
      </c>
      <c r="Z59" s="12" t="str">
        <f aca="false">IF(AC59=0,"",IF(Y59&gt;0,"Yes","No"))</f>
        <v/>
      </c>
      <c r="AA59" s="12" t="str">
        <f aca="false">IF(AC59=0,"",IF(NOT(CFY_Ready),"Paste CFY EH export",IF(Y59&gt;0,"ACCRUE "&amp;TEXT(Y59,"0.##")&amp;" hrs ("&amp;TEXT(Y59/HoursPerDay,"0.##")&amp;" days)"&amp;IF(AO59=0," - no Bonus Leave line in EH yet",""),IF(Y59&lt;0,"CHECK - posted "&amp;TEXT(-Y59,"0.##")&amp;" hrs more than policy",IF(AND(N59&gt;0,AO59=0,U59=0),"CHECK - policy says "&amp;TEXT(M59,"0.##")&amp;" hrs to date but nothing in EH",IF(N59&gt;0,"OK","-"))))))</f>
        <v/>
      </c>
      <c r="AB59" s="13" t="str">
        <f aca="false">IF(OR(AC59=0,S59=""),"",AM59*HoursPerDay-S59)</f>
        <v/>
      </c>
      <c r="AC59" s="12" t="n">
        <f aca="false">IF(OR(LEN($A59&amp;$B59)=0,$F59=""),0,1)</f>
        <v>0</v>
      </c>
      <c r="AD59" s="10" t="str">
        <f aca="false">IF(AC59=0,"",IF($I59&lt;&gt;"",$I59,$F59))</f>
        <v/>
      </c>
      <c r="AE59" s="10" t="str">
        <f aca="false">IF(AC59=0,"",IF(AND($G59&lt;&gt;"",$H59&lt;&gt;"",$G59&lt;&gt;$H59),MAX($G59,$H59),""))</f>
        <v/>
      </c>
      <c r="AF59" s="12" t="str">
        <f aca="false">IF(AC59=0,"",IF(AE59="",AG59,IF(IF($G59&lt;$H59,"Part-Time","Full-Time")="Full-Time","FT",IF(AND(IF($G59&lt;$H59,"Part-Time","Full-Time")="Part-Time",OR($O59="",N($O59)&gt;=PT_MinHours)),"PT","None"))))</f>
        <v/>
      </c>
      <c r="AG59" s="12" t="str">
        <f aca="false">IF(AC59=0,"",IF($C59="Full-Time","FT",IF(AND($C59="Part-Time",OR($O59="",N($O59)&gt;=PT_MinHours)),"PT","None")))</f>
        <v/>
      </c>
      <c r="AH59" s="12" t="str">
        <f aca="false">IF(AC59=0,"",IF(AsOfDate&lt;AD59,-1,12*(YEAR(AsOfDate)-YEAR(AD59))+MONTH(AsOfDate)-MONTH(AD59)-IF(DAY(AsOfDate)&lt;MIN(DAY(AD59),DAY(EOMONTH(AsOfDate,0))),1,0)))</f>
        <v/>
      </c>
      <c r="AI59" s="12" t="str">
        <f aca="false">IF(AC59=0,"",IF(OR(AE59="",AE59&gt;AsOfDate),AH59,IF((AE59-1)&lt;AD59,-1,12*(YEAR((AE59-1))-YEAR(AD59))+MONTH((AE59-1))-MONTH(AD59)-IF(DAY((AE59-1))&lt;MIN(DAY(AD59),DAY(EOMONTH((AE59-1),0))),1,0))))</f>
        <v/>
      </c>
      <c r="AJ59" s="12" t="str">
        <f aca="false">IF(AC59=0,"",IF(PFYDate&lt;AD59,-1,12*(YEAR(PFYDate)-YEAR(AD59))+MONTH(PFYDate)-MONTH(AD59)-IF(DAY(PFYDate)&lt;MIN(DAY(AD59),DAY(EOMONTH(PFYDate,0))),1,0)))</f>
        <v/>
      </c>
      <c r="AK59" s="12" t="str">
        <f aca="false">IF(AC59=0,"",IF(OR(AE59="",AE59&gt;PFYDate),AJ59,IF((AE59-1)&lt;AD59,-1,12*(YEAR((AE59-1))-YEAR(AD59))+MONTH((AE59-1))-MONTH(AD59)-IF(DAY((AE59-1))&lt;MIN(DAY(AD59),DAY(EOMONTH((AE59-1),0))),1,0))))</f>
        <v/>
      </c>
      <c r="AL59" s="12" t="str">
        <f aca="false">IF(AC59=0,"",IF(AF59="FT",IF(AI59&lt;FT_First,0,IF(AI59&lt;FT_Y5,1+INT((AI59-FT_First)/FT_Int1),FT_PreY5+FT_PerYear*INT((AI59-FT_Y5)/12)+FT_AnnivDays+INT(MOD(AI59-FT_Y5,12)/FT_Int2))),IF(AF59="PT",IF(AI59&lt;PT_First,0,1+INT((AI59-PT_First)/PT_Int)),0))+IF(OR(AE59="",AE59&gt;AsOfDate),0,IF(AG59="FT",IF(AH59&lt;FT_First,0,IF(AH59&lt;FT_Y5,1+INT((AH59-FT_First)/FT_Int1),FT_PreY5+FT_PerYear*INT((AH59-FT_Y5)/12)+FT_AnnivDays+INT(MOD(AH59-FT_Y5,12)/FT_Int2))),IF(AG59="PT",IF(AH59&lt;PT_First,0,1+INT((AH59-PT_First)/PT_Int)),0))-IF(AG59="FT",IF(AI59&lt;FT_First,0,IF(AI59&lt;FT_Y5,1+INT((AI59-FT_First)/FT_Int1),FT_PreY5+FT_PerYear*INT((AI59-FT_Y5)/12)+FT_AnnivDays+INT(MOD(AI59-FT_Y5,12)/FT_Int2))),IF(AG59="PT",IF(AI59&lt;PT_First,0,1+INT((AI59-PT_First)/PT_Int)),0))))</f>
        <v/>
      </c>
      <c r="AM59" s="12" t="str">
        <f aca="false">IF(AC59=0,"",IF(AF59="FT",IF(AK59&lt;FT_First,0,IF(AK59&lt;FT_Y5,1+INT((AK59-FT_First)/FT_Int1),FT_PreY5+FT_PerYear*INT((AK59-FT_Y5)/12)+FT_AnnivDays+INT(MOD(AK59-FT_Y5,12)/FT_Int2))),IF(AF59="PT",IF(AK59&lt;PT_First,0,1+INT((AK59-PT_First)/PT_Int)),0))+IF(OR(AE59="",AE59&gt;PFYDate),0,IF(AG59="FT",IF(AJ59&lt;FT_First,0,IF(AJ59&lt;FT_Y5,1+INT((AJ59-FT_First)/FT_Int1),FT_PreY5+FT_PerYear*INT((AJ59-FT_Y5)/12)+FT_AnnivDays+INT(MOD(AJ59-FT_Y5,12)/FT_Int2))),IF(AG59="PT",IF(AJ59&lt;PT_First,0,1+INT((AJ59-PT_First)/PT_Int)),0))-IF(AG59="FT",IF(AK59&lt;FT_First,0,IF(AK59&lt;FT_Y5,1+INT((AK59-FT_First)/FT_Int1),FT_PreY5+FT_PerYear*INT((AK59-FT_Y5)/12)+FT_AnnivDays+INT(MOD(AK59-FT_Y5,12)/FT_Int2))),IF(AG59="PT",IF(AK59&lt;PT_First,0,1+INT((AK59-PT_First)/PT_Int)),0))))</f>
        <v/>
      </c>
      <c r="AN59" s="12" t="str">
        <f aca="false">IF(AC59=0,"",IF(AG59="FT",IF(AH59&lt;FT_First,FT_First,IF(AH59&lt;FT_Y5,MIN(FT_Y5,FT_First+FT_Int1*(INT((AH59-FT_First)/FT_Int1)+1)),FT_Y5+12*INT((AH59-FT_Y5)/12)+FT_Int2*(INT(MOD(AH59-FT_Y5,12)/FT_Int2)+1))),IF(AG59="PT",IF(AH59&lt;PT_First,PT_First,PT_First+PT_Int*(INT((AH59-PT_First)/PT_Int)+1)),"")))</f>
        <v/>
      </c>
      <c r="AO59" s="12" t="str">
        <f aca="false">IF(AC59=0,"",IF(NOT(CFY_Ready),0,COUNTIFS(INDEX(CFY_Data,0,CFY_ColFirst),$A59,INDEX(CFY_Data,0,CFY_ColSur),$B59,INDEX(CFY_Data,0,CFY_ColCat),BonusCat)))</f>
        <v/>
      </c>
    </row>
    <row r="60" customFormat="false" ht="15" hidden="false" customHeight="false" outlineLevel="0" collapsed="false">
      <c r="A60" s="15"/>
      <c r="B60" s="15"/>
      <c r="C60" s="15"/>
      <c r="D60" s="16"/>
      <c r="E60" s="10" t="str">
        <f aca="false">IF(OR(AC60=0,$D60=""),"",DATE(YEAR(AsOfDate)+IF(DATE(YEAR(AsOfDate),MONTH($D60),DAY($D60))&lt;=AsOfDate,1,0),MONTH($D60),DAY($D60)))</f>
        <v/>
      </c>
      <c r="F60" s="16"/>
      <c r="G60" s="16"/>
      <c r="H60" s="16"/>
      <c r="I60" s="16"/>
      <c r="J60" s="10" t="str">
        <f aca="false">IF(AC60=0,"",DATE(YEAR(AsOfDate)+IF(DATE(YEAR(AsOfDate),MONTH($F60),DAY($F60))&lt;=AsOfDate,1,0),MONTH($F60),DAY($F60)))</f>
        <v/>
      </c>
      <c r="K60" s="11" t="str">
        <f aca="false">IF(AC60=0,"",ROUND((AsOfDate-$F60)/365.25,1))</f>
        <v/>
      </c>
      <c r="L60" s="12" t="str">
        <f aca="false">IF(AC60=0,"",IF(AsOfDate&lt;AD60,"-",DATEDIF(AD60,AsOfDate,"y")&amp;"y "&amp;DATEDIF(AD60,AsOfDate,"ym")&amp;"m "&amp;DATEDIF(AD60,AsOfDate,"md")&amp;"d"))</f>
        <v/>
      </c>
      <c r="M60" s="13" t="str">
        <f aca="false">IF(AC60=0,"",N60*HoursPerDay)</f>
        <v/>
      </c>
      <c r="N60" s="13" t="str">
        <f aca="false">IF(AC60=0,"",AL60)</f>
        <v/>
      </c>
      <c r="O60" s="17"/>
      <c r="P60" s="12" t="str">
        <f aca="false">IF(AC60=0,"",IF(AE60="","",IF($G60&lt;$H60,"Part-Time to Full-Time","Full-Time to Part-Time")&amp;" on "&amp;TEXT(AE60,"dd/mm/yyyy")&amp;IF(AE60&gt;AsOfDate," (future)",IF(AF60=AG60,"",IF(AG60="None"," - STOPPED accruing",IF(AF60="None"," - now qualifying"," - pathway changed"))))))</f>
        <v/>
      </c>
      <c r="Q60" s="12" t="str">
        <f aca="false">IF(AC60=0,"",IF(AG60="None",IF(N60&gt;0,"No longer accruing","Not eligible - "&amp;IF(AND($C60="Part-Time",N($O60)&lt;PT_MinHours,$O60&lt;&gt;""),"under "&amp;PT_MinHours&amp;" hrs",$C60)),IF(N60&gt;0,"Yes - accruing","Not yet - from "&amp;TEXT(R60,"dd/mm/yyyy"))))</f>
        <v/>
      </c>
      <c r="R60" s="10" t="str">
        <f aca="false">IF(AC60=0,"",IF(AG60="None","",EDATE(AD60,AN60)))</f>
        <v/>
      </c>
      <c r="S60" s="13" t="str">
        <f aca="false">IF(AC60=0,"",IF(NOT(PFY_Ready),"",SUMIFS(INDEX(PFY_Data,0,PFY_ColBal),INDEX(PFY_Data,0,PFY_ColFirst),$A60,INDEX(PFY_Data,0,PFY_ColSur),$B60,INDEX(PFY_Data,0,PFY_ColCat),BonusCat)))</f>
        <v/>
      </c>
      <c r="T60" s="17"/>
      <c r="U60" s="13" t="str">
        <f aca="false">IF(AC60=0,"",IF(NOT(CFY_Ready),"",SUMIFS(INDEX(CFY_Data,0,CFY_ColBal),INDEX(CFY_Data,0,CFY_ColFirst),$A60,INDEX(CFY_Data,0,CFY_ColSur),$B60,INDEX(CFY_Data,0,CFY_ColCat),BonusCat)))</f>
        <v/>
      </c>
      <c r="V60" s="13" t="str">
        <f aca="false">IF(AC60=0,"",IF(OR(NOT(CFY_Ready),CFY_ColAppr=0),"",SUMIFS(INDEX(CFY_Data,0,CFY_ColAppr),INDEX(CFY_Data,0,CFY_ColFirst),$A60,INDEX(CFY_Data,0,CFY_ColSur),$B60,INDEX(CFY_Data,0,CFY_ColCat),BonusCat)))</f>
        <v/>
      </c>
      <c r="W60" s="13" t="str">
        <f aca="false">IF(OR(AC60=0,S60="",U60=""),"",MAX(0,S60+N($T60)-U60))</f>
        <v/>
      </c>
      <c r="X60" s="13" t="str">
        <f aca="false">IF(AC60=0,"",(AL60-AM60)*HoursPerDay)</f>
        <v/>
      </c>
      <c r="Y60" s="13" t="str">
        <f aca="false">IF(AC60=0,"",X60-N($T60))</f>
        <v/>
      </c>
      <c r="Z60" s="12" t="str">
        <f aca="false">IF(AC60=0,"",IF(Y60&gt;0,"Yes","No"))</f>
        <v/>
      </c>
      <c r="AA60" s="12" t="str">
        <f aca="false">IF(AC60=0,"",IF(NOT(CFY_Ready),"Paste CFY EH export",IF(Y60&gt;0,"ACCRUE "&amp;TEXT(Y60,"0.##")&amp;" hrs ("&amp;TEXT(Y60/HoursPerDay,"0.##")&amp;" days)"&amp;IF(AO60=0," - no Bonus Leave line in EH yet",""),IF(Y60&lt;0,"CHECK - posted "&amp;TEXT(-Y60,"0.##")&amp;" hrs more than policy",IF(AND(N60&gt;0,AO60=0,U60=0),"CHECK - policy says "&amp;TEXT(M60,"0.##")&amp;" hrs to date but nothing in EH",IF(N60&gt;0,"OK","-"))))))</f>
        <v/>
      </c>
      <c r="AB60" s="13" t="str">
        <f aca="false">IF(OR(AC60=0,S60=""),"",AM60*HoursPerDay-S60)</f>
        <v/>
      </c>
      <c r="AC60" s="12" t="n">
        <f aca="false">IF(OR(LEN($A60&amp;$B60)=0,$F60=""),0,1)</f>
        <v>0</v>
      </c>
      <c r="AD60" s="10" t="str">
        <f aca="false">IF(AC60=0,"",IF($I60&lt;&gt;"",$I60,$F60))</f>
        <v/>
      </c>
      <c r="AE60" s="10" t="str">
        <f aca="false">IF(AC60=0,"",IF(AND($G60&lt;&gt;"",$H60&lt;&gt;"",$G60&lt;&gt;$H60),MAX($G60,$H60),""))</f>
        <v/>
      </c>
      <c r="AF60" s="12" t="str">
        <f aca="false">IF(AC60=0,"",IF(AE60="",AG60,IF(IF($G60&lt;$H60,"Part-Time","Full-Time")="Full-Time","FT",IF(AND(IF($G60&lt;$H60,"Part-Time","Full-Time")="Part-Time",OR($O60="",N($O60)&gt;=PT_MinHours)),"PT","None"))))</f>
        <v/>
      </c>
      <c r="AG60" s="12" t="str">
        <f aca="false">IF(AC60=0,"",IF($C60="Full-Time","FT",IF(AND($C60="Part-Time",OR($O60="",N($O60)&gt;=PT_MinHours)),"PT","None")))</f>
        <v/>
      </c>
      <c r="AH60" s="12" t="str">
        <f aca="false">IF(AC60=0,"",IF(AsOfDate&lt;AD60,-1,12*(YEAR(AsOfDate)-YEAR(AD60))+MONTH(AsOfDate)-MONTH(AD60)-IF(DAY(AsOfDate)&lt;MIN(DAY(AD60),DAY(EOMONTH(AsOfDate,0))),1,0)))</f>
        <v/>
      </c>
      <c r="AI60" s="12" t="str">
        <f aca="false">IF(AC60=0,"",IF(OR(AE60="",AE60&gt;AsOfDate),AH60,IF((AE60-1)&lt;AD60,-1,12*(YEAR((AE60-1))-YEAR(AD60))+MONTH((AE60-1))-MONTH(AD60)-IF(DAY((AE60-1))&lt;MIN(DAY(AD60),DAY(EOMONTH((AE60-1),0))),1,0))))</f>
        <v/>
      </c>
      <c r="AJ60" s="12" t="str">
        <f aca="false">IF(AC60=0,"",IF(PFYDate&lt;AD60,-1,12*(YEAR(PFYDate)-YEAR(AD60))+MONTH(PFYDate)-MONTH(AD60)-IF(DAY(PFYDate)&lt;MIN(DAY(AD60),DAY(EOMONTH(PFYDate,0))),1,0)))</f>
        <v/>
      </c>
      <c r="AK60" s="12" t="str">
        <f aca="false">IF(AC60=0,"",IF(OR(AE60="",AE60&gt;PFYDate),AJ60,IF((AE60-1)&lt;AD60,-1,12*(YEAR((AE60-1))-YEAR(AD60))+MONTH((AE60-1))-MONTH(AD60)-IF(DAY((AE60-1))&lt;MIN(DAY(AD60),DAY(EOMONTH((AE60-1),0))),1,0))))</f>
        <v/>
      </c>
      <c r="AL60" s="12" t="str">
        <f aca="false">IF(AC60=0,"",IF(AF60="FT",IF(AI60&lt;FT_First,0,IF(AI60&lt;FT_Y5,1+INT((AI60-FT_First)/FT_Int1),FT_PreY5+FT_PerYear*INT((AI60-FT_Y5)/12)+FT_AnnivDays+INT(MOD(AI60-FT_Y5,12)/FT_Int2))),IF(AF60="PT",IF(AI60&lt;PT_First,0,1+INT((AI60-PT_First)/PT_Int)),0))+IF(OR(AE60="",AE60&gt;AsOfDate),0,IF(AG60="FT",IF(AH60&lt;FT_First,0,IF(AH60&lt;FT_Y5,1+INT((AH60-FT_First)/FT_Int1),FT_PreY5+FT_PerYear*INT((AH60-FT_Y5)/12)+FT_AnnivDays+INT(MOD(AH60-FT_Y5,12)/FT_Int2))),IF(AG60="PT",IF(AH60&lt;PT_First,0,1+INT((AH60-PT_First)/PT_Int)),0))-IF(AG60="FT",IF(AI60&lt;FT_First,0,IF(AI60&lt;FT_Y5,1+INT((AI60-FT_First)/FT_Int1),FT_PreY5+FT_PerYear*INT((AI60-FT_Y5)/12)+FT_AnnivDays+INT(MOD(AI60-FT_Y5,12)/FT_Int2))),IF(AG60="PT",IF(AI60&lt;PT_First,0,1+INT((AI60-PT_First)/PT_Int)),0))))</f>
        <v/>
      </c>
      <c r="AM60" s="12" t="str">
        <f aca="false">IF(AC60=0,"",IF(AF60="FT",IF(AK60&lt;FT_First,0,IF(AK60&lt;FT_Y5,1+INT((AK60-FT_First)/FT_Int1),FT_PreY5+FT_PerYear*INT((AK60-FT_Y5)/12)+FT_AnnivDays+INT(MOD(AK60-FT_Y5,12)/FT_Int2))),IF(AF60="PT",IF(AK60&lt;PT_First,0,1+INT((AK60-PT_First)/PT_Int)),0))+IF(OR(AE60="",AE60&gt;PFYDate),0,IF(AG60="FT",IF(AJ60&lt;FT_First,0,IF(AJ60&lt;FT_Y5,1+INT((AJ60-FT_First)/FT_Int1),FT_PreY5+FT_PerYear*INT((AJ60-FT_Y5)/12)+FT_AnnivDays+INT(MOD(AJ60-FT_Y5,12)/FT_Int2))),IF(AG60="PT",IF(AJ60&lt;PT_First,0,1+INT((AJ60-PT_First)/PT_Int)),0))-IF(AG60="FT",IF(AK60&lt;FT_First,0,IF(AK60&lt;FT_Y5,1+INT((AK60-FT_First)/FT_Int1),FT_PreY5+FT_PerYear*INT((AK60-FT_Y5)/12)+FT_AnnivDays+INT(MOD(AK60-FT_Y5,12)/FT_Int2))),IF(AG60="PT",IF(AK60&lt;PT_First,0,1+INT((AK60-PT_First)/PT_Int)),0))))</f>
        <v/>
      </c>
      <c r="AN60" s="12" t="str">
        <f aca="false">IF(AC60=0,"",IF(AG60="FT",IF(AH60&lt;FT_First,FT_First,IF(AH60&lt;FT_Y5,MIN(FT_Y5,FT_First+FT_Int1*(INT((AH60-FT_First)/FT_Int1)+1)),FT_Y5+12*INT((AH60-FT_Y5)/12)+FT_Int2*(INT(MOD(AH60-FT_Y5,12)/FT_Int2)+1))),IF(AG60="PT",IF(AH60&lt;PT_First,PT_First,PT_First+PT_Int*(INT((AH60-PT_First)/PT_Int)+1)),"")))</f>
        <v/>
      </c>
      <c r="AO60" s="12" t="str">
        <f aca="false">IF(AC60=0,"",IF(NOT(CFY_Ready),0,COUNTIFS(INDEX(CFY_Data,0,CFY_ColFirst),$A60,INDEX(CFY_Data,0,CFY_ColSur),$B60,INDEX(CFY_Data,0,CFY_ColCat),BonusCat)))</f>
        <v/>
      </c>
    </row>
    <row r="61" customFormat="false" ht="15" hidden="false" customHeight="false" outlineLevel="0" collapsed="false">
      <c r="A61" s="15"/>
      <c r="B61" s="15"/>
      <c r="C61" s="15"/>
      <c r="D61" s="16"/>
      <c r="E61" s="10" t="str">
        <f aca="false">IF(OR(AC61=0,$D61=""),"",DATE(YEAR(AsOfDate)+IF(DATE(YEAR(AsOfDate),MONTH($D61),DAY($D61))&lt;=AsOfDate,1,0),MONTH($D61),DAY($D61)))</f>
        <v/>
      </c>
      <c r="F61" s="16"/>
      <c r="G61" s="16"/>
      <c r="H61" s="16"/>
      <c r="I61" s="16"/>
      <c r="J61" s="10" t="str">
        <f aca="false">IF(AC61=0,"",DATE(YEAR(AsOfDate)+IF(DATE(YEAR(AsOfDate),MONTH($F61),DAY($F61))&lt;=AsOfDate,1,0),MONTH($F61),DAY($F61)))</f>
        <v/>
      </c>
      <c r="K61" s="11" t="str">
        <f aca="false">IF(AC61=0,"",ROUND((AsOfDate-$F61)/365.25,1))</f>
        <v/>
      </c>
      <c r="L61" s="12" t="str">
        <f aca="false">IF(AC61=0,"",IF(AsOfDate&lt;AD61,"-",DATEDIF(AD61,AsOfDate,"y")&amp;"y "&amp;DATEDIF(AD61,AsOfDate,"ym")&amp;"m "&amp;DATEDIF(AD61,AsOfDate,"md")&amp;"d"))</f>
        <v/>
      </c>
      <c r="M61" s="13" t="str">
        <f aca="false">IF(AC61=0,"",N61*HoursPerDay)</f>
        <v/>
      </c>
      <c r="N61" s="13" t="str">
        <f aca="false">IF(AC61=0,"",AL61)</f>
        <v/>
      </c>
      <c r="O61" s="17"/>
      <c r="P61" s="12" t="str">
        <f aca="false">IF(AC61=0,"",IF(AE61="","",IF($G61&lt;$H61,"Part-Time to Full-Time","Full-Time to Part-Time")&amp;" on "&amp;TEXT(AE61,"dd/mm/yyyy")&amp;IF(AE61&gt;AsOfDate," (future)",IF(AF61=AG61,"",IF(AG61="None"," - STOPPED accruing",IF(AF61="None"," - now qualifying"," - pathway changed"))))))</f>
        <v/>
      </c>
      <c r="Q61" s="12" t="str">
        <f aca="false">IF(AC61=0,"",IF(AG61="None",IF(N61&gt;0,"No longer accruing","Not eligible - "&amp;IF(AND($C61="Part-Time",N($O61)&lt;PT_MinHours,$O61&lt;&gt;""),"under "&amp;PT_MinHours&amp;" hrs",$C61)),IF(N61&gt;0,"Yes - accruing","Not yet - from "&amp;TEXT(R61,"dd/mm/yyyy"))))</f>
        <v/>
      </c>
      <c r="R61" s="10" t="str">
        <f aca="false">IF(AC61=0,"",IF(AG61="None","",EDATE(AD61,AN61)))</f>
        <v/>
      </c>
      <c r="S61" s="13" t="str">
        <f aca="false">IF(AC61=0,"",IF(NOT(PFY_Ready),"",SUMIFS(INDEX(PFY_Data,0,PFY_ColBal),INDEX(PFY_Data,0,PFY_ColFirst),$A61,INDEX(PFY_Data,0,PFY_ColSur),$B61,INDEX(PFY_Data,0,PFY_ColCat),BonusCat)))</f>
        <v/>
      </c>
      <c r="T61" s="17"/>
      <c r="U61" s="13" t="str">
        <f aca="false">IF(AC61=0,"",IF(NOT(CFY_Ready),"",SUMIFS(INDEX(CFY_Data,0,CFY_ColBal),INDEX(CFY_Data,0,CFY_ColFirst),$A61,INDEX(CFY_Data,0,CFY_ColSur),$B61,INDEX(CFY_Data,0,CFY_ColCat),BonusCat)))</f>
        <v/>
      </c>
      <c r="V61" s="13" t="str">
        <f aca="false">IF(AC61=0,"",IF(OR(NOT(CFY_Ready),CFY_ColAppr=0),"",SUMIFS(INDEX(CFY_Data,0,CFY_ColAppr),INDEX(CFY_Data,0,CFY_ColFirst),$A61,INDEX(CFY_Data,0,CFY_ColSur),$B61,INDEX(CFY_Data,0,CFY_ColCat),BonusCat)))</f>
        <v/>
      </c>
      <c r="W61" s="13" t="str">
        <f aca="false">IF(OR(AC61=0,S61="",U61=""),"",MAX(0,S61+N($T61)-U61))</f>
        <v/>
      </c>
      <c r="X61" s="13" t="str">
        <f aca="false">IF(AC61=0,"",(AL61-AM61)*HoursPerDay)</f>
        <v/>
      </c>
      <c r="Y61" s="13" t="str">
        <f aca="false">IF(AC61=0,"",X61-N($T61))</f>
        <v/>
      </c>
      <c r="Z61" s="12" t="str">
        <f aca="false">IF(AC61=0,"",IF(Y61&gt;0,"Yes","No"))</f>
        <v/>
      </c>
      <c r="AA61" s="12" t="str">
        <f aca="false">IF(AC61=0,"",IF(NOT(CFY_Ready),"Paste CFY EH export",IF(Y61&gt;0,"ACCRUE "&amp;TEXT(Y61,"0.##")&amp;" hrs ("&amp;TEXT(Y61/HoursPerDay,"0.##")&amp;" days)"&amp;IF(AO61=0," - no Bonus Leave line in EH yet",""),IF(Y61&lt;0,"CHECK - posted "&amp;TEXT(-Y61,"0.##")&amp;" hrs more than policy",IF(AND(N61&gt;0,AO61=0,U61=0),"CHECK - policy says "&amp;TEXT(M61,"0.##")&amp;" hrs to date but nothing in EH",IF(N61&gt;0,"OK","-"))))))</f>
        <v/>
      </c>
      <c r="AB61" s="13" t="str">
        <f aca="false">IF(OR(AC61=0,S61=""),"",AM61*HoursPerDay-S61)</f>
        <v/>
      </c>
      <c r="AC61" s="12" t="n">
        <f aca="false">IF(OR(LEN($A61&amp;$B61)=0,$F61=""),0,1)</f>
        <v>0</v>
      </c>
      <c r="AD61" s="10" t="str">
        <f aca="false">IF(AC61=0,"",IF($I61&lt;&gt;"",$I61,$F61))</f>
        <v/>
      </c>
      <c r="AE61" s="10" t="str">
        <f aca="false">IF(AC61=0,"",IF(AND($G61&lt;&gt;"",$H61&lt;&gt;"",$G61&lt;&gt;$H61),MAX($G61,$H61),""))</f>
        <v/>
      </c>
      <c r="AF61" s="12" t="str">
        <f aca="false">IF(AC61=0,"",IF(AE61="",AG61,IF(IF($G61&lt;$H61,"Part-Time","Full-Time")="Full-Time","FT",IF(AND(IF($G61&lt;$H61,"Part-Time","Full-Time")="Part-Time",OR($O61="",N($O61)&gt;=PT_MinHours)),"PT","None"))))</f>
        <v/>
      </c>
      <c r="AG61" s="12" t="str">
        <f aca="false">IF(AC61=0,"",IF($C61="Full-Time","FT",IF(AND($C61="Part-Time",OR($O61="",N($O61)&gt;=PT_MinHours)),"PT","None")))</f>
        <v/>
      </c>
      <c r="AH61" s="12" t="str">
        <f aca="false">IF(AC61=0,"",IF(AsOfDate&lt;AD61,-1,12*(YEAR(AsOfDate)-YEAR(AD61))+MONTH(AsOfDate)-MONTH(AD61)-IF(DAY(AsOfDate)&lt;MIN(DAY(AD61),DAY(EOMONTH(AsOfDate,0))),1,0)))</f>
        <v/>
      </c>
      <c r="AI61" s="12" t="str">
        <f aca="false">IF(AC61=0,"",IF(OR(AE61="",AE61&gt;AsOfDate),AH61,IF((AE61-1)&lt;AD61,-1,12*(YEAR((AE61-1))-YEAR(AD61))+MONTH((AE61-1))-MONTH(AD61)-IF(DAY((AE61-1))&lt;MIN(DAY(AD61),DAY(EOMONTH((AE61-1),0))),1,0))))</f>
        <v/>
      </c>
      <c r="AJ61" s="12" t="str">
        <f aca="false">IF(AC61=0,"",IF(PFYDate&lt;AD61,-1,12*(YEAR(PFYDate)-YEAR(AD61))+MONTH(PFYDate)-MONTH(AD61)-IF(DAY(PFYDate)&lt;MIN(DAY(AD61),DAY(EOMONTH(PFYDate,0))),1,0)))</f>
        <v/>
      </c>
      <c r="AK61" s="12" t="str">
        <f aca="false">IF(AC61=0,"",IF(OR(AE61="",AE61&gt;PFYDate),AJ61,IF((AE61-1)&lt;AD61,-1,12*(YEAR((AE61-1))-YEAR(AD61))+MONTH((AE61-1))-MONTH(AD61)-IF(DAY((AE61-1))&lt;MIN(DAY(AD61),DAY(EOMONTH((AE61-1),0))),1,0))))</f>
        <v/>
      </c>
      <c r="AL61" s="12" t="str">
        <f aca="false">IF(AC61=0,"",IF(AF61="FT",IF(AI61&lt;FT_First,0,IF(AI61&lt;FT_Y5,1+INT((AI61-FT_First)/FT_Int1),FT_PreY5+FT_PerYear*INT((AI61-FT_Y5)/12)+FT_AnnivDays+INT(MOD(AI61-FT_Y5,12)/FT_Int2))),IF(AF61="PT",IF(AI61&lt;PT_First,0,1+INT((AI61-PT_First)/PT_Int)),0))+IF(OR(AE61="",AE61&gt;AsOfDate),0,IF(AG61="FT",IF(AH61&lt;FT_First,0,IF(AH61&lt;FT_Y5,1+INT((AH61-FT_First)/FT_Int1),FT_PreY5+FT_PerYear*INT((AH61-FT_Y5)/12)+FT_AnnivDays+INT(MOD(AH61-FT_Y5,12)/FT_Int2))),IF(AG61="PT",IF(AH61&lt;PT_First,0,1+INT((AH61-PT_First)/PT_Int)),0))-IF(AG61="FT",IF(AI61&lt;FT_First,0,IF(AI61&lt;FT_Y5,1+INT((AI61-FT_First)/FT_Int1),FT_PreY5+FT_PerYear*INT((AI61-FT_Y5)/12)+FT_AnnivDays+INT(MOD(AI61-FT_Y5,12)/FT_Int2))),IF(AG61="PT",IF(AI61&lt;PT_First,0,1+INT((AI61-PT_First)/PT_Int)),0))))</f>
        <v/>
      </c>
      <c r="AM61" s="12" t="str">
        <f aca="false">IF(AC61=0,"",IF(AF61="FT",IF(AK61&lt;FT_First,0,IF(AK61&lt;FT_Y5,1+INT((AK61-FT_First)/FT_Int1),FT_PreY5+FT_PerYear*INT((AK61-FT_Y5)/12)+FT_AnnivDays+INT(MOD(AK61-FT_Y5,12)/FT_Int2))),IF(AF61="PT",IF(AK61&lt;PT_First,0,1+INT((AK61-PT_First)/PT_Int)),0))+IF(OR(AE61="",AE61&gt;PFYDate),0,IF(AG61="FT",IF(AJ61&lt;FT_First,0,IF(AJ61&lt;FT_Y5,1+INT((AJ61-FT_First)/FT_Int1),FT_PreY5+FT_PerYear*INT((AJ61-FT_Y5)/12)+FT_AnnivDays+INT(MOD(AJ61-FT_Y5,12)/FT_Int2))),IF(AG61="PT",IF(AJ61&lt;PT_First,0,1+INT((AJ61-PT_First)/PT_Int)),0))-IF(AG61="FT",IF(AK61&lt;FT_First,0,IF(AK61&lt;FT_Y5,1+INT((AK61-FT_First)/FT_Int1),FT_PreY5+FT_PerYear*INT((AK61-FT_Y5)/12)+FT_AnnivDays+INT(MOD(AK61-FT_Y5,12)/FT_Int2))),IF(AG61="PT",IF(AK61&lt;PT_First,0,1+INT((AK61-PT_First)/PT_Int)),0))))</f>
        <v/>
      </c>
      <c r="AN61" s="12" t="str">
        <f aca="false">IF(AC61=0,"",IF(AG61="FT",IF(AH61&lt;FT_First,FT_First,IF(AH61&lt;FT_Y5,MIN(FT_Y5,FT_First+FT_Int1*(INT((AH61-FT_First)/FT_Int1)+1)),FT_Y5+12*INT((AH61-FT_Y5)/12)+FT_Int2*(INT(MOD(AH61-FT_Y5,12)/FT_Int2)+1))),IF(AG61="PT",IF(AH61&lt;PT_First,PT_First,PT_First+PT_Int*(INT((AH61-PT_First)/PT_Int)+1)),"")))</f>
        <v/>
      </c>
      <c r="AO61" s="12" t="str">
        <f aca="false">IF(AC61=0,"",IF(NOT(CFY_Ready),0,COUNTIFS(INDEX(CFY_Data,0,CFY_ColFirst),$A61,INDEX(CFY_Data,0,CFY_ColSur),$B61,INDEX(CFY_Data,0,CFY_ColCat),BonusCat)))</f>
        <v/>
      </c>
    </row>
    <row r="62" customFormat="false" ht="15" hidden="false" customHeight="false" outlineLevel="0" collapsed="false">
      <c r="A62" s="15"/>
      <c r="B62" s="15"/>
      <c r="C62" s="15"/>
      <c r="D62" s="16"/>
      <c r="E62" s="10" t="str">
        <f aca="false">IF(OR(AC62=0,$D62=""),"",DATE(YEAR(AsOfDate)+IF(DATE(YEAR(AsOfDate),MONTH($D62),DAY($D62))&lt;=AsOfDate,1,0),MONTH($D62),DAY($D62)))</f>
        <v/>
      </c>
      <c r="F62" s="16"/>
      <c r="G62" s="16"/>
      <c r="H62" s="16"/>
      <c r="I62" s="16"/>
      <c r="J62" s="10" t="str">
        <f aca="false">IF(AC62=0,"",DATE(YEAR(AsOfDate)+IF(DATE(YEAR(AsOfDate),MONTH($F62),DAY($F62))&lt;=AsOfDate,1,0),MONTH($F62),DAY($F62)))</f>
        <v/>
      </c>
      <c r="K62" s="11" t="str">
        <f aca="false">IF(AC62=0,"",ROUND((AsOfDate-$F62)/365.25,1))</f>
        <v/>
      </c>
      <c r="L62" s="12" t="str">
        <f aca="false">IF(AC62=0,"",IF(AsOfDate&lt;AD62,"-",DATEDIF(AD62,AsOfDate,"y")&amp;"y "&amp;DATEDIF(AD62,AsOfDate,"ym")&amp;"m "&amp;DATEDIF(AD62,AsOfDate,"md")&amp;"d"))</f>
        <v/>
      </c>
      <c r="M62" s="13" t="str">
        <f aca="false">IF(AC62=0,"",N62*HoursPerDay)</f>
        <v/>
      </c>
      <c r="N62" s="13" t="str">
        <f aca="false">IF(AC62=0,"",AL62)</f>
        <v/>
      </c>
      <c r="O62" s="17"/>
      <c r="P62" s="12" t="str">
        <f aca="false">IF(AC62=0,"",IF(AE62="","",IF($G62&lt;$H62,"Part-Time to Full-Time","Full-Time to Part-Time")&amp;" on "&amp;TEXT(AE62,"dd/mm/yyyy")&amp;IF(AE62&gt;AsOfDate," (future)",IF(AF62=AG62,"",IF(AG62="None"," - STOPPED accruing",IF(AF62="None"," - now qualifying"," - pathway changed"))))))</f>
        <v/>
      </c>
      <c r="Q62" s="12" t="str">
        <f aca="false">IF(AC62=0,"",IF(AG62="None",IF(N62&gt;0,"No longer accruing","Not eligible - "&amp;IF(AND($C62="Part-Time",N($O62)&lt;PT_MinHours,$O62&lt;&gt;""),"under "&amp;PT_MinHours&amp;" hrs",$C62)),IF(N62&gt;0,"Yes - accruing","Not yet - from "&amp;TEXT(R62,"dd/mm/yyyy"))))</f>
        <v/>
      </c>
      <c r="R62" s="10" t="str">
        <f aca="false">IF(AC62=0,"",IF(AG62="None","",EDATE(AD62,AN62)))</f>
        <v/>
      </c>
      <c r="S62" s="13" t="str">
        <f aca="false">IF(AC62=0,"",IF(NOT(PFY_Ready),"",SUMIFS(INDEX(PFY_Data,0,PFY_ColBal),INDEX(PFY_Data,0,PFY_ColFirst),$A62,INDEX(PFY_Data,0,PFY_ColSur),$B62,INDEX(PFY_Data,0,PFY_ColCat),BonusCat)))</f>
        <v/>
      </c>
      <c r="T62" s="17"/>
      <c r="U62" s="13" t="str">
        <f aca="false">IF(AC62=0,"",IF(NOT(CFY_Ready),"",SUMIFS(INDEX(CFY_Data,0,CFY_ColBal),INDEX(CFY_Data,0,CFY_ColFirst),$A62,INDEX(CFY_Data,0,CFY_ColSur),$B62,INDEX(CFY_Data,0,CFY_ColCat),BonusCat)))</f>
        <v/>
      </c>
      <c r="V62" s="13" t="str">
        <f aca="false">IF(AC62=0,"",IF(OR(NOT(CFY_Ready),CFY_ColAppr=0),"",SUMIFS(INDEX(CFY_Data,0,CFY_ColAppr),INDEX(CFY_Data,0,CFY_ColFirst),$A62,INDEX(CFY_Data,0,CFY_ColSur),$B62,INDEX(CFY_Data,0,CFY_ColCat),BonusCat)))</f>
        <v/>
      </c>
      <c r="W62" s="13" t="str">
        <f aca="false">IF(OR(AC62=0,S62="",U62=""),"",MAX(0,S62+N($T62)-U62))</f>
        <v/>
      </c>
      <c r="X62" s="13" t="str">
        <f aca="false">IF(AC62=0,"",(AL62-AM62)*HoursPerDay)</f>
        <v/>
      </c>
      <c r="Y62" s="13" t="str">
        <f aca="false">IF(AC62=0,"",X62-N($T62))</f>
        <v/>
      </c>
      <c r="Z62" s="12" t="str">
        <f aca="false">IF(AC62=0,"",IF(Y62&gt;0,"Yes","No"))</f>
        <v/>
      </c>
      <c r="AA62" s="12" t="str">
        <f aca="false">IF(AC62=0,"",IF(NOT(CFY_Ready),"Paste CFY EH export",IF(Y62&gt;0,"ACCRUE "&amp;TEXT(Y62,"0.##")&amp;" hrs ("&amp;TEXT(Y62/HoursPerDay,"0.##")&amp;" days)"&amp;IF(AO62=0," - no Bonus Leave line in EH yet",""),IF(Y62&lt;0,"CHECK - posted "&amp;TEXT(-Y62,"0.##")&amp;" hrs more than policy",IF(AND(N62&gt;0,AO62=0,U62=0),"CHECK - policy says "&amp;TEXT(M62,"0.##")&amp;" hrs to date but nothing in EH",IF(N62&gt;0,"OK","-"))))))</f>
        <v/>
      </c>
      <c r="AB62" s="13" t="str">
        <f aca="false">IF(OR(AC62=0,S62=""),"",AM62*HoursPerDay-S62)</f>
        <v/>
      </c>
      <c r="AC62" s="12" t="n">
        <f aca="false">IF(OR(LEN($A62&amp;$B62)=0,$F62=""),0,1)</f>
        <v>0</v>
      </c>
      <c r="AD62" s="10" t="str">
        <f aca="false">IF(AC62=0,"",IF($I62&lt;&gt;"",$I62,$F62))</f>
        <v/>
      </c>
      <c r="AE62" s="10" t="str">
        <f aca="false">IF(AC62=0,"",IF(AND($G62&lt;&gt;"",$H62&lt;&gt;"",$G62&lt;&gt;$H62),MAX($G62,$H62),""))</f>
        <v/>
      </c>
      <c r="AF62" s="12" t="str">
        <f aca="false">IF(AC62=0,"",IF(AE62="",AG62,IF(IF($G62&lt;$H62,"Part-Time","Full-Time")="Full-Time","FT",IF(AND(IF($G62&lt;$H62,"Part-Time","Full-Time")="Part-Time",OR($O62="",N($O62)&gt;=PT_MinHours)),"PT","None"))))</f>
        <v/>
      </c>
      <c r="AG62" s="12" t="str">
        <f aca="false">IF(AC62=0,"",IF($C62="Full-Time","FT",IF(AND($C62="Part-Time",OR($O62="",N($O62)&gt;=PT_MinHours)),"PT","None")))</f>
        <v/>
      </c>
      <c r="AH62" s="12" t="str">
        <f aca="false">IF(AC62=0,"",IF(AsOfDate&lt;AD62,-1,12*(YEAR(AsOfDate)-YEAR(AD62))+MONTH(AsOfDate)-MONTH(AD62)-IF(DAY(AsOfDate)&lt;MIN(DAY(AD62),DAY(EOMONTH(AsOfDate,0))),1,0)))</f>
        <v/>
      </c>
      <c r="AI62" s="12" t="str">
        <f aca="false">IF(AC62=0,"",IF(OR(AE62="",AE62&gt;AsOfDate),AH62,IF((AE62-1)&lt;AD62,-1,12*(YEAR((AE62-1))-YEAR(AD62))+MONTH((AE62-1))-MONTH(AD62)-IF(DAY((AE62-1))&lt;MIN(DAY(AD62),DAY(EOMONTH((AE62-1),0))),1,0))))</f>
        <v/>
      </c>
      <c r="AJ62" s="12" t="str">
        <f aca="false">IF(AC62=0,"",IF(PFYDate&lt;AD62,-1,12*(YEAR(PFYDate)-YEAR(AD62))+MONTH(PFYDate)-MONTH(AD62)-IF(DAY(PFYDate)&lt;MIN(DAY(AD62),DAY(EOMONTH(PFYDate,0))),1,0)))</f>
        <v/>
      </c>
      <c r="AK62" s="12" t="str">
        <f aca="false">IF(AC62=0,"",IF(OR(AE62="",AE62&gt;PFYDate),AJ62,IF((AE62-1)&lt;AD62,-1,12*(YEAR((AE62-1))-YEAR(AD62))+MONTH((AE62-1))-MONTH(AD62)-IF(DAY((AE62-1))&lt;MIN(DAY(AD62),DAY(EOMONTH((AE62-1),0))),1,0))))</f>
        <v/>
      </c>
      <c r="AL62" s="12" t="str">
        <f aca="false">IF(AC62=0,"",IF(AF62="FT",IF(AI62&lt;FT_First,0,IF(AI62&lt;FT_Y5,1+INT((AI62-FT_First)/FT_Int1),FT_PreY5+FT_PerYear*INT((AI62-FT_Y5)/12)+FT_AnnivDays+INT(MOD(AI62-FT_Y5,12)/FT_Int2))),IF(AF62="PT",IF(AI62&lt;PT_First,0,1+INT((AI62-PT_First)/PT_Int)),0))+IF(OR(AE62="",AE62&gt;AsOfDate),0,IF(AG62="FT",IF(AH62&lt;FT_First,0,IF(AH62&lt;FT_Y5,1+INT((AH62-FT_First)/FT_Int1),FT_PreY5+FT_PerYear*INT((AH62-FT_Y5)/12)+FT_AnnivDays+INT(MOD(AH62-FT_Y5,12)/FT_Int2))),IF(AG62="PT",IF(AH62&lt;PT_First,0,1+INT((AH62-PT_First)/PT_Int)),0))-IF(AG62="FT",IF(AI62&lt;FT_First,0,IF(AI62&lt;FT_Y5,1+INT((AI62-FT_First)/FT_Int1),FT_PreY5+FT_PerYear*INT((AI62-FT_Y5)/12)+FT_AnnivDays+INT(MOD(AI62-FT_Y5,12)/FT_Int2))),IF(AG62="PT",IF(AI62&lt;PT_First,0,1+INT((AI62-PT_First)/PT_Int)),0))))</f>
        <v/>
      </c>
      <c r="AM62" s="12" t="str">
        <f aca="false">IF(AC62=0,"",IF(AF62="FT",IF(AK62&lt;FT_First,0,IF(AK62&lt;FT_Y5,1+INT((AK62-FT_First)/FT_Int1),FT_PreY5+FT_PerYear*INT((AK62-FT_Y5)/12)+FT_AnnivDays+INT(MOD(AK62-FT_Y5,12)/FT_Int2))),IF(AF62="PT",IF(AK62&lt;PT_First,0,1+INT((AK62-PT_First)/PT_Int)),0))+IF(OR(AE62="",AE62&gt;PFYDate),0,IF(AG62="FT",IF(AJ62&lt;FT_First,0,IF(AJ62&lt;FT_Y5,1+INT((AJ62-FT_First)/FT_Int1),FT_PreY5+FT_PerYear*INT((AJ62-FT_Y5)/12)+FT_AnnivDays+INT(MOD(AJ62-FT_Y5,12)/FT_Int2))),IF(AG62="PT",IF(AJ62&lt;PT_First,0,1+INT((AJ62-PT_First)/PT_Int)),0))-IF(AG62="FT",IF(AK62&lt;FT_First,0,IF(AK62&lt;FT_Y5,1+INT((AK62-FT_First)/FT_Int1),FT_PreY5+FT_PerYear*INT((AK62-FT_Y5)/12)+FT_AnnivDays+INT(MOD(AK62-FT_Y5,12)/FT_Int2))),IF(AG62="PT",IF(AK62&lt;PT_First,0,1+INT((AK62-PT_First)/PT_Int)),0))))</f>
        <v/>
      </c>
      <c r="AN62" s="12" t="str">
        <f aca="false">IF(AC62=0,"",IF(AG62="FT",IF(AH62&lt;FT_First,FT_First,IF(AH62&lt;FT_Y5,MIN(FT_Y5,FT_First+FT_Int1*(INT((AH62-FT_First)/FT_Int1)+1)),FT_Y5+12*INT((AH62-FT_Y5)/12)+FT_Int2*(INT(MOD(AH62-FT_Y5,12)/FT_Int2)+1))),IF(AG62="PT",IF(AH62&lt;PT_First,PT_First,PT_First+PT_Int*(INT((AH62-PT_First)/PT_Int)+1)),"")))</f>
        <v/>
      </c>
      <c r="AO62" s="12" t="str">
        <f aca="false">IF(AC62=0,"",IF(NOT(CFY_Ready),0,COUNTIFS(INDEX(CFY_Data,0,CFY_ColFirst),$A62,INDEX(CFY_Data,0,CFY_ColSur),$B62,INDEX(CFY_Data,0,CFY_ColCat),BonusCat)))</f>
        <v/>
      </c>
    </row>
    <row r="63" customFormat="false" ht="15" hidden="false" customHeight="false" outlineLevel="0" collapsed="false">
      <c r="A63" s="15"/>
      <c r="B63" s="15"/>
      <c r="C63" s="15"/>
      <c r="D63" s="16"/>
      <c r="E63" s="10" t="str">
        <f aca="false">IF(OR(AC63=0,$D63=""),"",DATE(YEAR(AsOfDate)+IF(DATE(YEAR(AsOfDate),MONTH($D63),DAY($D63))&lt;=AsOfDate,1,0),MONTH($D63),DAY($D63)))</f>
        <v/>
      </c>
      <c r="F63" s="16"/>
      <c r="G63" s="16"/>
      <c r="H63" s="16"/>
      <c r="I63" s="16"/>
      <c r="J63" s="10" t="str">
        <f aca="false">IF(AC63=0,"",DATE(YEAR(AsOfDate)+IF(DATE(YEAR(AsOfDate),MONTH($F63),DAY($F63))&lt;=AsOfDate,1,0),MONTH($F63),DAY($F63)))</f>
        <v/>
      </c>
      <c r="K63" s="11" t="str">
        <f aca="false">IF(AC63=0,"",ROUND((AsOfDate-$F63)/365.25,1))</f>
        <v/>
      </c>
      <c r="L63" s="12" t="str">
        <f aca="false">IF(AC63=0,"",IF(AsOfDate&lt;AD63,"-",DATEDIF(AD63,AsOfDate,"y")&amp;"y "&amp;DATEDIF(AD63,AsOfDate,"ym")&amp;"m "&amp;DATEDIF(AD63,AsOfDate,"md")&amp;"d"))</f>
        <v/>
      </c>
      <c r="M63" s="13" t="str">
        <f aca="false">IF(AC63=0,"",N63*HoursPerDay)</f>
        <v/>
      </c>
      <c r="N63" s="13" t="str">
        <f aca="false">IF(AC63=0,"",AL63)</f>
        <v/>
      </c>
      <c r="O63" s="17"/>
      <c r="P63" s="12" t="str">
        <f aca="false">IF(AC63=0,"",IF(AE63="","",IF($G63&lt;$H63,"Part-Time to Full-Time","Full-Time to Part-Time")&amp;" on "&amp;TEXT(AE63,"dd/mm/yyyy")&amp;IF(AE63&gt;AsOfDate," (future)",IF(AF63=AG63,"",IF(AG63="None"," - STOPPED accruing",IF(AF63="None"," - now qualifying"," - pathway changed"))))))</f>
        <v/>
      </c>
      <c r="Q63" s="12" t="str">
        <f aca="false">IF(AC63=0,"",IF(AG63="None",IF(N63&gt;0,"No longer accruing","Not eligible - "&amp;IF(AND($C63="Part-Time",N($O63)&lt;PT_MinHours,$O63&lt;&gt;""),"under "&amp;PT_MinHours&amp;" hrs",$C63)),IF(N63&gt;0,"Yes - accruing","Not yet - from "&amp;TEXT(R63,"dd/mm/yyyy"))))</f>
        <v/>
      </c>
      <c r="R63" s="10" t="str">
        <f aca="false">IF(AC63=0,"",IF(AG63="None","",EDATE(AD63,AN63)))</f>
        <v/>
      </c>
      <c r="S63" s="13" t="str">
        <f aca="false">IF(AC63=0,"",IF(NOT(PFY_Ready),"",SUMIFS(INDEX(PFY_Data,0,PFY_ColBal),INDEX(PFY_Data,0,PFY_ColFirst),$A63,INDEX(PFY_Data,0,PFY_ColSur),$B63,INDEX(PFY_Data,0,PFY_ColCat),BonusCat)))</f>
        <v/>
      </c>
      <c r="T63" s="17"/>
      <c r="U63" s="13" t="str">
        <f aca="false">IF(AC63=0,"",IF(NOT(CFY_Ready),"",SUMIFS(INDEX(CFY_Data,0,CFY_ColBal),INDEX(CFY_Data,0,CFY_ColFirst),$A63,INDEX(CFY_Data,0,CFY_ColSur),$B63,INDEX(CFY_Data,0,CFY_ColCat),BonusCat)))</f>
        <v/>
      </c>
      <c r="V63" s="13" t="str">
        <f aca="false">IF(AC63=0,"",IF(OR(NOT(CFY_Ready),CFY_ColAppr=0),"",SUMIFS(INDEX(CFY_Data,0,CFY_ColAppr),INDEX(CFY_Data,0,CFY_ColFirst),$A63,INDEX(CFY_Data,0,CFY_ColSur),$B63,INDEX(CFY_Data,0,CFY_ColCat),BonusCat)))</f>
        <v/>
      </c>
      <c r="W63" s="13" t="str">
        <f aca="false">IF(OR(AC63=0,S63="",U63=""),"",MAX(0,S63+N($T63)-U63))</f>
        <v/>
      </c>
      <c r="X63" s="13" t="str">
        <f aca="false">IF(AC63=0,"",(AL63-AM63)*HoursPerDay)</f>
        <v/>
      </c>
      <c r="Y63" s="13" t="str">
        <f aca="false">IF(AC63=0,"",X63-N($T63))</f>
        <v/>
      </c>
      <c r="Z63" s="12" t="str">
        <f aca="false">IF(AC63=0,"",IF(Y63&gt;0,"Yes","No"))</f>
        <v/>
      </c>
      <c r="AA63" s="12" t="str">
        <f aca="false">IF(AC63=0,"",IF(NOT(CFY_Ready),"Paste CFY EH export",IF(Y63&gt;0,"ACCRUE "&amp;TEXT(Y63,"0.##")&amp;" hrs ("&amp;TEXT(Y63/HoursPerDay,"0.##")&amp;" days)"&amp;IF(AO63=0," - no Bonus Leave line in EH yet",""),IF(Y63&lt;0,"CHECK - posted "&amp;TEXT(-Y63,"0.##")&amp;" hrs more than policy",IF(AND(N63&gt;0,AO63=0,U63=0),"CHECK - policy says "&amp;TEXT(M63,"0.##")&amp;" hrs to date but nothing in EH",IF(N63&gt;0,"OK","-"))))))</f>
        <v/>
      </c>
      <c r="AB63" s="13" t="str">
        <f aca="false">IF(OR(AC63=0,S63=""),"",AM63*HoursPerDay-S63)</f>
        <v/>
      </c>
      <c r="AC63" s="12" t="n">
        <f aca="false">IF(OR(LEN($A63&amp;$B63)=0,$F63=""),0,1)</f>
        <v>0</v>
      </c>
      <c r="AD63" s="10" t="str">
        <f aca="false">IF(AC63=0,"",IF($I63&lt;&gt;"",$I63,$F63))</f>
        <v/>
      </c>
      <c r="AE63" s="10" t="str">
        <f aca="false">IF(AC63=0,"",IF(AND($G63&lt;&gt;"",$H63&lt;&gt;"",$G63&lt;&gt;$H63),MAX($G63,$H63),""))</f>
        <v/>
      </c>
      <c r="AF63" s="12" t="str">
        <f aca="false">IF(AC63=0,"",IF(AE63="",AG63,IF(IF($G63&lt;$H63,"Part-Time","Full-Time")="Full-Time","FT",IF(AND(IF($G63&lt;$H63,"Part-Time","Full-Time")="Part-Time",OR($O63="",N($O63)&gt;=PT_MinHours)),"PT","None"))))</f>
        <v/>
      </c>
      <c r="AG63" s="12" t="str">
        <f aca="false">IF(AC63=0,"",IF($C63="Full-Time","FT",IF(AND($C63="Part-Time",OR($O63="",N($O63)&gt;=PT_MinHours)),"PT","None")))</f>
        <v/>
      </c>
      <c r="AH63" s="12" t="str">
        <f aca="false">IF(AC63=0,"",IF(AsOfDate&lt;AD63,-1,12*(YEAR(AsOfDate)-YEAR(AD63))+MONTH(AsOfDate)-MONTH(AD63)-IF(DAY(AsOfDate)&lt;MIN(DAY(AD63),DAY(EOMONTH(AsOfDate,0))),1,0)))</f>
        <v/>
      </c>
      <c r="AI63" s="12" t="str">
        <f aca="false">IF(AC63=0,"",IF(OR(AE63="",AE63&gt;AsOfDate),AH63,IF((AE63-1)&lt;AD63,-1,12*(YEAR((AE63-1))-YEAR(AD63))+MONTH((AE63-1))-MONTH(AD63)-IF(DAY((AE63-1))&lt;MIN(DAY(AD63),DAY(EOMONTH((AE63-1),0))),1,0))))</f>
        <v/>
      </c>
      <c r="AJ63" s="12" t="str">
        <f aca="false">IF(AC63=0,"",IF(PFYDate&lt;AD63,-1,12*(YEAR(PFYDate)-YEAR(AD63))+MONTH(PFYDate)-MONTH(AD63)-IF(DAY(PFYDate)&lt;MIN(DAY(AD63),DAY(EOMONTH(PFYDate,0))),1,0)))</f>
        <v/>
      </c>
      <c r="AK63" s="12" t="str">
        <f aca="false">IF(AC63=0,"",IF(OR(AE63="",AE63&gt;PFYDate),AJ63,IF((AE63-1)&lt;AD63,-1,12*(YEAR((AE63-1))-YEAR(AD63))+MONTH((AE63-1))-MONTH(AD63)-IF(DAY((AE63-1))&lt;MIN(DAY(AD63),DAY(EOMONTH((AE63-1),0))),1,0))))</f>
        <v/>
      </c>
      <c r="AL63" s="12" t="str">
        <f aca="false">IF(AC63=0,"",IF(AF63="FT",IF(AI63&lt;FT_First,0,IF(AI63&lt;FT_Y5,1+INT((AI63-FT_First)/FT_Int1),FT_PreY5+FT_PerYear*INT((AI63-FT_Y5)/12)+FT_AnnivDays+INT(MOD(AI63-FT_Y5,12)/FT_Int2))),IF(AF63="PT",IF(AI63&lt;PT_First,0,1+INT((AI63-PT_First)/PT_Int)),0))+IF(OR(AE63="",AE63&gt;AsOfDate),0,IF(AG63="FT",IF(AH63&lt;FT_First,0,IF(AH63&lt;FT_Y5,1+INT((AH63-FT_First)/FT_Int1),FT_PreY5+FT_PerYear*INT((AH63-FT_Y5)/12)+FT_AnnivDays+INT(MOD(AH63-FT_Y5,12)/FT_Int2))),IF(AG63="PT",IF(AH63&lt;PT_First,0,1+INT((AH63-PT_First)/PT_Int)),0))-IF(AG63="FT",IF(AI63&lt;FT_First,0,IF(AI63&lt;FT_Y5,1+INT((AI63-FT_First)/FT_Int1),FT_PreY5+FT_PerYear*INT((AI63-FT_Y5)/12)+FT_AnnivDays+INT(MOD(AI63-FT_Y5,12)/FT_Int2))),IF(AG63="PT",IF(AI63&lt;PT_First,0,1+INT((AI63-PT_First)/PT_Int)),0))))</f>
        <v/>
      </c>
      <c r="AM63" s="12" t="str">
        <f aca="false">IF(AC63=0,"",IF(AF63="FT",IF(AK63&lt;FT_First,0,IF(AK63&lt;FT_Y5,1+INT((AK63-FT_First)/FT_Int1),FT_PreY5+FT_PerYear*INT((AK63-FT_Y5)/12)+FT_AnnivDays+INT(MOD(AK63-FT_Y5,12)/FT_Int2))),IF(AF63="PT",IF(AK63&lt;PT_First,0,1+INT((AK63-PT_First)/PT_Int)),0))+IF(OR(AE63="",AE63&gt;PFYDate),0,IF(AG63="FT",IF(AJ63&lt;FT_First,0,IF(AJ63&lt;FT_Y5,1+INT((AJ63-FT_First)/FT_Int1),FT_PreY5+FT_PerYear*INT((AJ63-FT_Y5)/12)+FT_AnnivDays+INT(MOD(AJ63-FT_Y5,12)/FT_Int2))),IF(AG63="PT",IF(AJ63&lt;PT_First,0,1+INT((AJ63-PT_First)/PT_Int)),0))-IF(AG63="FT",IF(AK63&lt;FT_First,0,IF(AK63&lt;FT_Y5,1+INT((AK63-FT_First)/FT_Int1),FT_PreY5+FT_PerYear*INT((AK63-FT_Y5)/12)+FT_AnnivDays+INT(MOD(AK63-FT_Y5,12)/FT_Int2))),IF(AG63="PT",IF(AK63&lt;PT_First,0,1+INT((AK63-PT_First)/PT_Int)),0))))</f>
        <v/>
      </c>
      <c r="AN63" s="12" t="str">
        <f aca="false">IF(AC63=0,"",IF(AG63="FT",IF(AH63&lt;FT_First,FT_First,IF(AH63&lt;FT_Y5,MIN(FT_Y5,FT_First+FT_Int1*(INT((AH63-FT_First)/FT_Int1)+1)),FT_Y5+12*INT((AH63-FT_Y5)/12)+FT_Int2*(INT(MOD(AH63-FT_Y5,12)/FT_Int2)+1))),IF(AG63="PT",IF(AH63&lt;PT_First,PT_First,PT_First+PT_Int*(INT((AH63-PT_First)/PT_Int)+1)),"")))</f>
        <v/>
      </c>
      <c r="AO63" s="12" t="str">
        <f aca="false">IF(AC63=0,"",IF(NOT(CFY_Ready),0,COUNTIFS(INDEX(CFY_Data,0,CFY_ColFirst),$A63,INDEX(CFY_Data,0,CFY_ColSur),$B63,INDEX(CFY_Data,0,CFY_ColCat),BonusCat)))</f>
        <v/>
      </c>
    </row>
    <row r="64" customFormat="false" ht="15" hidden="false" customHeight="false" outlineLevel="0" collapsed="false">
      <c r="A64" s="15"/>
      <c r="B64" s="15"/>
      <c r="C64" s="15"/>
      <c r="D64" s="16"/>
      <c r="E64" s="10" t="str">
        <f aca="false">IF(OR(AC64=0,$D64=""),"",DATE(YEAR(AsOfDate)+IF(DATE(YEAR(AsOfDate),MONTH($D64),DAY($D64))&lt;=AsOfDate,1,0),MONTH($D64),DAY($D64)))</f>
        <v/>
      </c>
      <c r="F64" s="16"/>
      <c r="G64" s="16"/>
      <c r="H64" s="16"/>
      <c r="I64" s="16"/>
      <c r="J64" s="10" t="str">
        <f aca="false">IF(AC64=0,"",DATE(YEAR(AsOfDate)+IF(DATE(YEAR(AsOfDate),MONTH($F64),DAY($F64))&lt;=AsOfDate,1,0),MONTH($F64),DAY($F64)))</f>
        <v/>
      </c>
      <c r="K64" s="11" t="str">
        <f aca="false">IF(AC64=0,"",ROUND((AsOfDate-$F64)/365.25,1))</f>
        <v/>
      </c>
      <c r="L64" s="12" t="str">
        <f aca="false">IF(AC64=0,"",IF(AsOfDate&lt;AD64,"-",DATEDIF(AD64,AsOfDate,"y")&amp;"y "&amp;DATEDIF(AD64,AsOfDate,"ym")&amp;"m "&amp;DATEDIF(AD64,AsOfDate,"md")&amp;"d"))</f>
        <v/>
      </c>
      <c r="M64" s="13" t="str">
        <f aca="false">IF(AC64=0,"",N64*HoursPerDay)</f>
        <v/>
      </c>
      <c r="N64" s="13" t="str">
        <f aca="false">IF(AC64=0,"",AL64)</f>
        <v/>
      </c>
      <c r="O64" s="17"/>
      <c r="P64" s="12" t="str">
        <f aca="false">IF(AC64=0,"",IF(AE64="","",IF($G64&lt;$H64,"Part-Time to Full-Time","Full-Time to Part-Time")&amp;" on "&amp;TEXT(AE64,"dd/mm/yyyy")&amp;IF(AE64&gt;AsOfDate," (future)",IF(AF64=AG64,"",IF(AG64="None"," - STOPPED accruing",IF(AF64="None"," - now qualifying"," - pathway changed"))))))</f>
        <v/>
      </c>
      <c r="Q64" s="12" t="str">
        <f aca="false">IF(AC64=0,"",IF(AG64="None",IF(N64&gt;0,"No longer accruing","Not eligible - "&amp;IF(AND($C64="Part-Time",N($O64)&lt;PT_MinHours,$O64&lt;&gt;""),"under "&amp;PT_MinHours&amp;" hrs",$C64)),IF(N64&gt;0,"Yes - accruing","Not yet - from "&amp;TEXT(R64,"dd/mm/yyyy"))))</f>
        <v/>
      </c>
      <c r="R64" s="10" t="str">
        <f aca="false">IF(AC64=0,"",IF(AG64="None","",EDATE(AD64,AN64)))</f>
        <v/>
      </c>
      <c r="S64" s="13" t="str">
        <f aca="false">IF(AC64=0,"",IF(NOT(PFY_Ready),"",SUMIFS(INDEX(PFY_Data,0,PFY_ColBal),INDEX(PFY_Data,0,PFY_ColFirst),$A64,INDEX(PFY_Data,0,PFY_ColSur),$B64,INDEX(PFY_Data,0,PFY_ColCat),BonusCat)))</f>
        <v/>
      </c>
      <c r="T64" s="17"/>
      <c r="U64" s="13" t="str">
        <f aca="false">IF(AC64=0,"",IF(NOT(CFY_Ready),"",SUMIFS(INDEX(CFY_Data,0,CFY_ColBal),INDEX(CFY_Data,0,CFY_ColFirst),$A64,INDEX(CFY_Data,0,CFY_ColSur),$B64,INDEX(CFY_Data,0,CFY_ColCat),BonusCat)))</f>
        <v/>
      </c>
      <c r="V64" s="13" t="str">
        <f aca="false">IF(AC64=0,"",IF(OR(NOT(CFY_Ready),CFY_ColAppr=0),"",SUMIFS(INDEX(CFY_Data,0,CFY_ColAppr),INDEX(CFY_Data,0,CFY_ColFirst),$A64,INDEX(CFY_Data,0,CFY_ColSur),$B64,INDEX(CFY_Data,0,CFY_ColCat),BonusCat)))</f>
        <v/>
      </c>
      <c r="W64" s="13" t="str">
        <f aca="false">IF(OR(AC64=0,S64="",U64=""),"",MAX(0,S64+N($T64)-U64))</f>
        <v/>
      </c>
      <c r="X64" s="13" t="str">
        <f aca="false">IF(AC64=0,"",(AL64-AM64)*HoursPerDay)</f>
        <v/>
      </c>
      <c r="Y64" s="13" t="str">
        <f aca="false">IF(AC64=0,"",X64-N($T64))</f>
        <v/>
      </c>
      <c r="Z64" s="12" t="str">
        <f aca="false">IF(AC64=0,"",IF(Y64&gt;0,"Yes","No"))</f>
        <v/>
      </c>
      <c r="AA64" s="12" t="str">
        <f aca="false">IF(AC64=0,"",IF(NOT(CFY_Ready),"Paste CFY EH export",IF(Y64&gt;0,"ACCRUE "&amp;TEXT(Y64,"0.##")&amp;" hrs ("&amp;TEXT(Y64/HoursPerDay,"0.##")&amp;" days)"&amp;IF(AO64=0," - no Bonus Leave line in EH yet",""),IF(Y64&lt;0,"CHECK - posted "&amp;TEXT(-Y64,"0.##")&amp;" hrs more than policy",IF(AND(N64&gt;0,AO64=0,U64=0),"CHECK - policy says "&amp;TEXT(M64,"0.##")&amp;" hrs to date but nothing in EH",IF(N64&gt;0,"OK","-"))))))</f>
        <v/>
      </c>
      <c r="AB64" s="13" t="str">
        <f aca="false">IF(OR(AC64=0,S64=""),"",AM64*HoursPerDay-S64)</f>
        <v/>
      </c>
      <c r="AC64" s="12" t="n">
        <f aca="false">IF(OR(LEN($A64&amp;$B64)=0,$F64=""),0,1)</f>
        <v>0</v>
      </c>
      <c r="AD64" s="10" t="str">
        <f aca="false">IF(AC64=0,"",IF($I64&lt;&gt;"",$I64,$F64))</f>
        <v/>
      </c>
      <c r="AE64" s="10" t="str">
        <f aca="false">IF(AC64=0,"",IF(AND($G64&lt;&gt;"",$H64&lt;&gt;"",$G64&lt;&gt;$H64),MAX($G64,$H64),""))</f>
        <v/>
      </c>
      <c r="AF64" s="12" t="str">
        <f aca="false">IF(AC64=0,"",IF(AE64="",AG64,IF(IF($G64&lt;$H64,"Part-Time","Full-Time")="Full-Time","FT",IF(AND(IF($G64&lt;$H64,"Part-Time","Full-Time")="Part-Time",OR($O64="",N($O64)&gt;=PT_MinHours)),"PT","None"))))</f>
        <v/>
      </c>
      <c r="AG64" s="12" t="str">
        <f aca="false">IF(AC64=0,"",IF($C64="Full-Time","FT",IF(AND($C64="Part-Time",OR($O64="",N($O64)&gt;=PT_MinHours)),"PT","None")))</f>
        <v/>
      </c>
      <c r="AH64" s="12" t="str">
        <f aca="false">IF(AC64=0,"",IF(AsOfDate&lt;AD64,-1,12*(YEAR(AsOfDate)-YEAR(AD64))+MONTH(AsOfDate)-MONTH(AD64)-IF(DAY(AsOfDate)&lt;MIN(DAY(AD64),DAY(EOMONTH(AsOfDate,0))),1,0)))</f>
        <v/>
      </c>
      <c r="AI64" s="12" t="str">
        <f aca="false">IF(AC64=0,"",IF(OR(AE64="",AE64&gt;AsOfDate),AH64,IF((AE64-1)&lt;AD64,-1,12*(YEAR((AE64-1))-YEAR(AD64))+MONTH((AE64-1))-MONTH(AD64)-IF(DAY((AE64-1))&lt;MIN(DAY(AD64),DAY(EOMONTH((AE64-1),0))),1,0))))</f>
        <v/>
      </c>
      <c r="AJ64" s="12" t="str">
        <f aca="false">IF(AC64=0,"",IF(PFYDate&lt;AD64,-1,12*(YEAR(PFYDate)-YEAR(AD64))+MONTH(PFYDate)-MONTH(AD64)-IF(DAY(PFYDate)&lt;MIN(DAY(AD64),DAY(EOMONTH(PFYDate,0))),1,0)))</f>
        <v/>
      </c>
      <c r="AK64" s="12" t="str">
        <f aca="false">IF(AC64=0,"",IF(OR(AE64="",AE64&gt;PFYDate),AJ64,IF((AE64-1)&lt;AD64,-1,12*(YEAR((AE64-1))-YEAR(AD64))+MONTH((AE64-1))-MONTH(AD64)-IF(DAY((AE64-1))&lt;MIN(DAY(AD64),DAY(EOMONTH((AE64-1),0))),1,0))))</f>
        <v/>
      </c>
      <c r="AL64" s="12" t="str">
        <f aca="false">IF(AC64=0,"",IF(AF64="FT",IF(AI64&lt;FT_First,0,IF(AI64&lt;FT_Y5,1+INT((AI64-FT_First)/FT_Int1),FT_PreY5+FT_PerYear*INT((AI64-FT_Y5)/12)+FT_AnnivDays+INT(MOD(AI64-FT_Y5,12)/FT_Int2))),IF(AF64="PT",IF(AI64&lt;PT_First,0,1+INT((AI64-PT_First)/PT_Int)),0))+IF(OR(AE64="",AE64&gt;AsOfDate),0,IF(AG64="FT",IF(AH64&lt;FT_First,0,IF(AH64&lt;FT_Y5,1+INT((AH64-FT_First)/FT_Int1),FT_PreY5+FT_PerYear*INT((AH64-FT_Y5)/12)+FT_AnnivDays+INT(MOD(AH64-FT_Y5,12)/FT_Int2))),IF(AG64="PT",IF(AH64&lt;PT_First,0,1+INT((AH64-PT_First)/PT_Int)),0))-IF(AG64="FT",IF(AI64&lt;FT_First,0,IF(AI64&lt;FT_Y5,1+INT((AI64-FT_First)/FT_Int1),FT_PreY5+FT_PerYear*INT((AI64-FT_Y5)/12)+FT_AnnivDays+INT(MOD(AI64-FT_Y5,12)/FT_Int2))),IF(AG64="PT",IF(AI64&lt;PT_First,0,1+INT((AI64-PT_First)/PT_Int)),0))))</f>
        <v/>
      </c>
      <c r="AM64" s="12" t="str">
        <f aca="false">IF(AC64=0,"",IF(AF64="FT",IF(AK64&lt;FT_First,0,IF(AK64&lt;FT_Y5,1+INT((AK64-FT_First)/FT_Int1),FT_PreY5+FT_PerYear*INT((AK64-FT_Y5)/12)+FT_AnnivDays+INT(MOD(AK64-FT_Y5,12)/FT_Int2))),IF(AF64="PT",IF(AK64&lt;PT_First,0,1+INT((AK64-PT_First)/PT_Int)),0))+IF(OR(AE64="",AE64&gt;PFYDate),0,IF(AG64="FT",IF(AJ64&lt;FT_First,0,IF(AJ64&lt;FT_Y5,1+INT((AJ64-FT_First)/FT_Int1),FT_PreY5+FT_PerYear*INT((AJ64-FT_Y5)/12)+FT_AnnivDays+INT(MOD(AJ64-FT_Y5,12)/FT_Int2))),IF(AG64="PT",IF(AJ64&lt;PT_First,0,1+INT((AJ64-PT_First)/PT_Int)),0))-IF(AG64="FT",IF(AK64&lt;FT_First,0,IF(AK64&lt;FT_Y5,1+INT((AK64-FT_First)/FT_Int1),FT_PreY5+FT_PerYear*INT((AK64-FT_Y5)/12)+FT_AnnivDays+INT(MOD(AK64-FT_Y5,12)/FT_Int2))),IF(AG64="PT",IF(AK64&lt;PT_First,0,1+INT((AK64-PT_First)/PT_Int)),0))))</f>
        <v/>
      </c>
      <c r="AN64" s="12" t="str">
        <f aca="false">IF(AC64=0,"",IF(AG64="FT",IF(AH64&lt;FT_First,FT_First,IF(AH64&lt;FT_Y5,MIN(FT_Y5,FT_First+FT_Int1*(INT((AH64-FT_First)/FT_Int1)+1)),FT_Y5+12*INT((AH64-FT_Y5)/12)+FT_Int2*(INT(MOD(AH64-FT_Y5,12)/FT_Int2)+1))),IF(AG64="PT",IF(AH64&lt;PT_First,PT_First,PT_First+PT_Int*(INT((AH64-PT_First)/PT_Int)+1)),"")))</f>
        <v/>
      </c>
      <c r="AO64" s="12" t="str">
        <f aca="false">IF(AC64=0,"",IF(NOT(CFY_Ready),0,COUNTIFS(INDEX(CFY_Data,0,CFY_ColFirst),$A64,INDEX(CFY_Data,0,CFY_ColSur),$B64,INDEX(CFY_Data,0,CFY_ColCat),BonusCat)))</f>
        <v/>
      </c>
    </row>
    <row r="65" customFormat="false" ht="15" hidden="false" customHeight="false" outlineLevel="0" collapsed="false">
      <c r="A65" s="15"/>
      <c r="B65" s="15"/>
      <c r="C65" s="15"/>
      <c r="D65" s="16"/>
      <c r="E65" s="10" t="str">
        <f aca="false">IF(OR(AC65=0,$D65=""),"",DATE(YEAR(AsOfDate)+IF(DATE(YEAR(AsOfDate),MONTH($D65),DAY($D65))&lt;=AsOfDate,1,0),MONTH($D65),DAY($D65)))</f>
        <v/>
      </c>
      <c r="F65" s="16"/>
      <c r="G65" s="16"/>
      <c r="H65" s="16"/>
      <c r="I65" s="16"/>
      <c r="J65" s="10" t="str">
        <f aca="false">IF(AC65=0,"",DATE(YEAR(AsOfDate)+IF(DATE(YEAR(AsOfDate),MONTH($F65),DAY($F65))&lt;=AsOfDate,1,0),MONTH($F65),DAY($F65)))</f>
        <v/>
      </c>
      <c r="K65" s="11" t="str">
        <f aca="false">IF(AC65=0,"",ROUND((AsOfDate-$F65)/365.25,1))</f>
        <v/>
      </c>
      <c r="L65" s="12" t="str">
        <f aca="false">IF(AC65=0,"",IF(AsOfDate&lt;AD65,"-",DATEDIF(AD65,AsOfDate,"y")&amp;"y "&amp;DATEDIF(AD65,AsOfDate,"ym")&amp;"m "&amp;DATEDIF(AD65,AsOfDate,"md")&amp;"d"))</f>
        <v/>
      </c>
      <c r="M65" s="13" t="str">
        <f aca="false">IF(AC65=0,"",N65*HoursPerDay)</f>
        <v/>
      </c>
      <c r="N65" s="13" t="str">
        <f aca="false">IF(AC65=0,"",AL65)</f>
        <v/>
      </c>
      <c r="O65" s="17"/>
      <c r="P65" s="12" t="str">
        <f aca="false">IF(AC65=0,"",IF(AE65="","",IF($G65&lt;$H65,"Part-Time to Full-Time","Full-Time to Part-Time")&amp;" on "&amp;TEXT(AE65,"dd/mm/yyyy")&amp;IF(AE65&gt;AsOfDate," (future)",IF(AF65=AG65,"",IF(AG65="None"," - STOPPED accruing",IF(AF65="None"," - now qualifying"," - pathway changed"))))))</f>
        <v/>
      </c>
      <c r="Q65" s="12" t="str">
        <f aca="false">IF(AC65=0,"",IF(AG65="None",IF(N65&gt;0,"No longer accruing","Not eligible - "&amp;IF(AND($C65="Part-Time",N($O65)&lt;PT_MinHours,$O65&lt;&gt;""),"under "&amp;PT_MinHours&amp;" hrs",$C65)),IF(N65&gt;0,"Yes - accruing","Not yet - from "&amp;TEXT(R65,"dd/mm/yyyy"))))</f>
        <v/>
      </c>
      <c r="R65" s="10" t="str">
        <f aca="false">IF(AC65=0,"",IF(AG65="None","",EDATE(AD65,AN65)))</f>
        <v/>
      </c>
      <c r="S65" s="13" t="str">
        <f aca="false">IF(AC65=0,"",IF(NOT(PFY_Ready),"",SUMIFS(INDEX(PFY_Data,0,PFY_ColBal),INDEX(PFY_Data,0,PFY_ColFirst),$A65,INDEX(PFY_Data,0,PFY_ColSur),$B65,INDEX(PFY_Data,0,PFY_ColCat),BonusCat)))</f>
        <v/>
      </c>
      <c r="T65" s="17"/>
      <c r="U65" s="13" t="str">
        <f aca="false">IF(AC65=0,"",IF(NOT(CFY_Ready),"",SUMIFS(INDEX(CFY_Data,0,CFY_ColBal),INDEX(CFY_Data,0,CFY_ColFirst),$A65,INDEX(CFY_Data,0,CFY_ColSur),$B65,INDEX(CFY_Data,0,CFY_ColCat),BonusCat)))</f>
        <v/>
      </c>
      <c r="V65" s="13" t="str">
        <f aca="false">IF(AC65=0,"",IF(OR(NOT(CFY_Ready),CFY_ColAppr=0),"",SUMIFS(INDEX(CFY_Data,0,CFY_ColAppr),INDEX(CFY_Data,0,CFY_ColFirst),$A65,INDEX(CFY_Data,0,CFY_ColSur),$B65,INDEX(CFY_Data,0,CFY_ColCat),BonusCat)))</f>
        <v/>
      </c>
      <c r="W65" s="13" t="str">
        <f aca="false">IF(OR(AC65=0,S65="",U65=""),"",MAX(0,S65+N($T65)-U65))</f>
        <v/>
      </c>
      <c r="X65" s="13" t="str">
        <f aca="false">IF(AC65=0,"",(AL65-AM65)*HoursPerDay)</f>
        <v/>
      </c>
      <c r="Y65" s="13" t="str">
        <f aca="false">IF(AC65=0,"",X65-N($T65))</f>
        <v/>
      </c>
      <c r="Z65" s="12" t="str">
        <f aca="false">IF(AC65=0,"",IF(Y65&gt;0,"Yes","No"))</f>
        <v/>
      </c>
      <c r="AA65" s="12" t="str">
        <f aca="false">IF(AC65=0,"",IF(NOT(CFY_Ready),"Paste CFY EH export",IF(Y65&gt;0,"ACCRUE "&amp;TEXT(Y65,"0.##")&amp;" hrs ("&amp;TEXT(Y65/HoursPerDay,"0.##")&amp;" days)"&amp;IF(AO65=0," - no Bonus Leave line in EH yet",""),IF(Y65&lt;0,"CHECK - posted "&amp;TEXT(-Y65,"0.##")&amp;" hrs more than policy",IF(AND(N65&gt;0,AO65=0,U65=0),"CHECK - policy says "&amp;TEXT(M65,"0.##")&amp;" hrs to date but nothing in EH",IF(N65&gt;0,"OK","-"))))))</f>
        <v/>
      </c>
      <c r="AB65" s="13" t="str">
        <f aca="false">IF(OR(AC65=0,S65=""),"",AM65*HoursPerDay-S65)</f>
        <v/>
      </c>
      <c r="AC65" s="12" t="n">
        <f aca="false">IF(OR(LEN($A65&amp;$B65)=0,$F65=""),0,1)</f>
        <v>0</v>
      </c>
      <c r="AD65" s="10" t="str">
        <f aca="false">IF(AC65=0,"",IF($I65&lt;&gt;"",$I65,$F65))</f>
        <v/>
      </c>
      <c r="AE65" s="10" t="str">
        <f aca="false">IF(AC65=0,"",IF(AND($G65&lt;&gt;"",$H65&lt;&gt;"",$G65&lt;&gt;$H65),MAX($G65,$H65),""))</f>
        <v/>
      </c>
      <c r="AF65" s="12" t="str">
        <f aca="false">IF(AC65=0,"",IF(AE65="",AG65,IF(IF($G65&lt;$H65,"Part-Time","Full-Time")="Full-Time","FT",IF(AND(IF($G65&lt;$H65,"Part-Time","Full-Time")="Part-Time",OR($O65="",N($O65)&gt;=PT_MinHours)),"PT","None"))))</f>
        <v/>
      </c>
      <c r="AG65" s="12" t="str">
        <f aca="false">IF(AC65=0,"",IF($C65="Full-Time","FT",IF(AND($C65="Part-Time",OR($O65="",N($O65)&gt;=PT_MinHours)),"PT","None")))</f>
        <v/>
      </c>
      <c r="AH65" s="12" t="str">
        <f aca="false">IF(AC65=0,"",IF(AsOfDate&lt;AD65,-1,12*(YEAR(AsOfDate)-YEAR(AD65))+MONTH(AsOfDate)-MONTH(AD65)-IF(DAY(AsOfDate)&lt;MIN(DAY(AD65),DAY(EOMONTH(AsOfDate,0))),1,0)))</f>
        <v/>
      </c>
      <c r="AI65" s="12" t="str">
        <f aca="false">IF(AC65=0,"",IF(OR(AE65="",AE65&gt;AsOfDate),AH65,IF((AE65-1)&lt;AD65,-1,12*(YEAR((AE65-1))-YEAR(AD65))+MONTH((AE65-1))-MONTH(AD65)-IF(DAY((AE65-1))&lt;MIN(DAY(AD65),DAY(EOMONTH((AE65-1),0))),1,0))))</f>
        <v/>
      </c>
      <c r="AJ65" s="12" t="str">
        <f aca="false">IF(AC65=0,"",IF(PFYDate&lt;AD65,-1,12*(YEAR(PFYDate)-YEAR(AD65))+MONTH(PFYDate)-MONTH(AD65)-IF(DAY(PFYDate)&lt;MIN(DAY(AD65),DAY(EOMONTH(PFYDate,0))),1,0)))</f>
        <v/>
      </c>
      <c r="AK65" s="12" t="str">
        <f aca="false">IF(AC65=0,"",IF(OR(AE65="",AE65&gt;PFYDate),AJ65,IF((AE65-1)&lt;AD65,-1,12*(YEAR((AE65-1))-YEAR(AD65))+MONTH((AE65-1))-MONTH(AD65)-IF(DAY((AE65-1))&lt;MIN(DAY(AD65),DAY(EOMONTH((AE65-1),0))),1,0))))</f>
        <v/>
      </c>
      <c r="AL65" s="12" t="str">
        <f aca="false">IF(AC65=0,"",IF(AF65="FT",IF(AI65&lt;FT_First,0,IF(AI65&lt;FT_Y5,1+INT((AI65-FT_First)/FT_Int1),FT_PreY5+FT_PerYear*INT((AI65-FT_Y5)/12)+FT_AnnivDays+INT(MOD(AI65-FT_Y5,12)/FT_Int2))),IF(AF65="PT",IF(AI65&lt;PT_First,0,1+INT((AI65-PT_First)/PT_Int)),0))+IF(OR(AE65="",AE65&gt;AsOfDate),0,IF(AG65="FT",IF(AH65&lt;FT_First,0,IF(AH65&lt;FT_Y5,1+INT((AH65-FT_First)/FT_Int1),FT_PreY5+FT_PerYear*INT((AH65-FT_Y5)/12)+FT_AnnivDays+INT(MOD(AH65-FT_Y5,12)/FT_Int2))),IF(AG65="PT",IF(AH65&lt;PT_First,0,1+INT((AH65-PT_First)/PT_Int)),0))-IF(AG65="FT",IF(AI65&lt;FT_First,0,IF(AI65&lt;FT_Y5,1+INT((AI65-FT_First)/FT_Int1),FT_PreY5+FT_PerYear*INT((AI65-FT_Y5)/12)+FT_AnnivDays+INT(MOD(AI65-FT_Y5,12)/FT_Int2))),IF(AG65="PT",IF(AI65&lt;PT_First,0,1+INT((AI65-PT_First)/PT_Int)),0))))</f>
        <v/>
      </c>
      <c r="AM65" s="12" t="str">
        <f aca="false">IF(AC65=0,"",IF(AF65="FT",IF(AK65&lt;FT_First,0,IF(AK65&lt;FT_Y5,1+INT((AK65-FT_First)/FT_Int1),FT_PreY5+FT_PerYear*INT((AK65-FT_Y5)/12)+FT_AnnivDays+INT(MOD(AK65-FT_Y5,12)/FT_Int2))),IF(AF65="PT",IF(AK65&lt;PT_First,0,1+INT((AK65-PT_First)/PT_Int)),0))+IF(OR(AE65="",AE65&gt;PFYDate),0,IF(AG65="FT",IF(AJ65&lt;FT_First,0,IF(AJ65&lt;FT_Y5,1+INT((AJ65-FT_First)/FT_Int1),FT_PreY5+FT_PerYear*INT((AJ65-FT_Y5)/12)+FT_AnnivDays+INT(MOD(AJ65-FT_Y5,12)/FT_Int2))),IF(AG65="PT",IF(AJ65&lt;PT_First,0,1+INT((AJ65-PT_First)/PT_Int)),0))-IF(AG65="FT",IF(AK65&lt;FT_First,0,IF(AK65&lt;FT_Y5,1+INT((AK65-FT_First)/FT_Int1),FT_PreY5+FT_PerYear*INT((AK65-FT_Y5)/12)+FT_AnnivDays+INT(MOD(AK65-FT_Y5,12)/FT_Int2))),IF(AG65="PT",IF(AK65&lt;PT_First,0,1+INT((AK65-PT_First)/PT_Int)),0))))</f>
        <v/>
      </c>
      <c r="AN65" s="12" t="str">
        <f aca="false">IF(AC65=0,"",IF(AG65="FT",IF(AH65&lt;FT_First,FT_First,IF(AH65&lt;FT_Y5,MIN(FT_Y5,FT_First+FT_Int1*(INT((AH65-FT_First)/FT_Int1)+1)),FT_Y5+12*INT((AH65-FT_Y5)/12)+FT_Int2*(INT(MOD(AH65-FT_Y5,12)/FT_Int2)+1))),IF(AG65="PT",IF(AH65&lt;PT_First,PT_First,PT_First+PT_Int*(INT((AH65-PT_First)/PT_Int)+1)),"")))</f>
        <v/>
      </c>
      <c r="AO65" s="12" t="str">
        <f aca="false">IF(AC65=0,"",IF(NOT(CFY_Ready),0,COUNTIFS(INDEX(CFY_Data,0,CFY_ColFirst),$A65,INDEX(CFY_Data,0,CFY_ColSur),$B65,INDEX(CFY_Data,0,CFY_ColCat),BonusCat)))</f>
        <v/>
      </c>
    </row>
    <row r="66" customFormat="false" ht="15" hidden="false" customHeight="false" outlineLevel="0" collapsed="false">
      <c r="A66" s="15"/>
      <c r="B66" s="15"/>
      <c r="C66" s="15"/>
      <c r="D66" s="16"/>
      <c r="E66" s="10" t="str">
        <f aca="false">IF(OR(AC66=0,$D66=""),"",DATE(YEAR(AsOfDate)+IF(DATE(YEAR(AsOfDate),MONTH($D66),DAY($D66))&lt;=AsOfDate,1,0),MONTH($D66),DAY($D66)))</f>
        <v/>
      </c>
      <c r="F66" s="16"/>
      <c r="G66" s="16"/>
      <c r="H66" s="16"/>
      <c r="I66" s="16"/>
      <c r="J66" s="10" t="str">
        <f aca="false">IF(AC66=0,"",DATE(YEAR(AsOfDate)+IF(DATE(YEAR(AsOfDate),MONTH($F66),DAY($F66))&lt;=AsOfDate,1,0),MONTH($F66),DAY($F66)))</f>
        <v/>
      </c>
      <c r="K66" s="11" t="str">
        <f aca="false">IF(AC66=0,"",ROUND((AsOfDate-$F66)/365.25,1))</f>
        <v/>
      </c>
      <c r="L66" s="12" t="str">
        <f aca="false">IF(AC66=0,"",IF(AsOfDate&lt;AD66,"-",DATEDIF(AD66,AsOfDate,"y")&amp;"y "&amp;DATEDIF(AD66,AsOfDate,"ym")&amp;"m "&amp;DATEDIF(AD66,AsOfDate,"md")&amp;"d"))</f>
        <v/>
      </c>
      <c r="M66" s="13" t="str">
        <f aca="false">IF(AC66=0,"",N66*HoursPerDay)</f>
        <v/>
      </c>
      <c r="N66" s="13" t="str">
        <f aca="false">IF(AC66=0,"",AL66)</f>
        <v/>
      </c>
      <c r="O66" s="17"/>
      <c r="P66" s="12" t="str">
        <f aca="false">IF(AC66=0,"",IF(AE66="","",IF($G66&lt;$H66,"Part-Time to Full-Time","Full-Time to Part-Time")&amp;" on "&amp;TEXT(AE66,"dd/mm/yyyy")&amp;IF(AE66&gt;AsOfDate," (future)",IF(AF66=AG66,"",IF(AG66="None"," - STOPPED accruing",IF(AF66="None"," - now qualifying"," - pathway changed"))))))</f>
        <v/>
      </c>
      <c r="Q66" s="12" t="str">
        <f aca="false">IF(AC66=0,"",IF(AG66="None",IF(N66&gt;0,"No longer accruing","Not eligible - "&amp;IF(AND($C66="Part-Time",N($O66)&lt;PT_MinHours,$O66&lt;&gt;""),"under "&amp;PT_MinHours&amp;" hrs",$C66)),IF(N66&gt;0,"Yes - accruing","Not yet - from "&amp;TEXT(R66,"dd/mm/yyyy"))))</f>
        <v/>
      </c>
      <c r="R66" s="10" t="str">
        <f aca="false">IF(AC66=0,"",IF(AG66="None","",EDATE(AD66,AN66)))</f>
        <v/>
      </c>
      <c r="S66" s="13" t="str">
        <f aca="false">IF(AC66=0,"",IF(NOT(PFY_Ready),"",SUMIFS(INDEX(PFY_Data,0,PFY_ColBal),INDEX(PFY_Data,0,PFY_ColFirst),$A66,INDEX(PFY_Data,0,PFY_ColSur),$B66,INDEX(PFY_Data,0,PFY_ColCat),BonusCat)))</f>
        <v/>
      </c>
      <c r="T66" s="17"/>
      <c r="U66" s="13" t="str">
        <f aca="false">IF(AC66=0,"",IF(NOT(CFY_Ready),"",SUMIFS(INDEX(CFY_Data,0,CFY_ColBal),INDEX(CFY_Data,0,CFY_ColFirst),$A66,INDEX(CFY_Data,0,CFY_ColSur),$B66,INDEX(CFY_Data,0,CFY_ColCat),BonusCat)))</f>
        <v/>
      </c>
      <c r="V66" s="13" t="str">
        <f aca="false">IF(AC66=0,"",IF(OR(NOT(CFY_Ready),CFY_ColAppr=0),"",SUMIFS(INDEX(CFY_Data,0,CFY_ColAppr),INDEX(CFY_Data,0,CFY_ColFirst),$A66,INDEX(CFY_Data,0,CFY_ColSur),$B66,INDEX(CFY_Data,0,CFY_ColCat),BonusCat)))</f>
        <v/>
      </c>
      <c r="W66" s="13" t="str">
        <f aca="false">IF(OR(AC66=0,S66="",U66=""),"",MAX(0,S66+N($T66)-U66))</f>
        <v/>
      </c>
      <c r="X66" s="13" t="str">
        <f aca="false">IF(AC66=0,"",(AL66-AM66)*HoursPerDay)</f>
        <v/>
      </c>
      <c r="Y66" s="13" t="str">
        <f aca="false">IF(AC66=0,"",X66-N($T66))</f>
        <v/>
      </c>
      <c r="Z66" s="12" t="str">
        <f aca="false">IF(AC66=0,"",IF(Y66&gt;0,"Yes","No"))</f>
        <v/>
      </c>
      <c r="AA66" s="12" t="str">
        <f aca="false">IF(AC66=0,"",IF(NOT(CFY_Ready),"Paste CFY EH export",IF(Y66&gt;0,"ACCRUE "&amp;TEXT(Y66,"0.##")&amp;" hrs ("&amp;TEXT(Y66/HoursPerDay,"0.##")&amp;" days)"&amp;IF(AO66=0," - no Bonus Leave line in EH yet",""),IF(Y66&lt;0,"CHECK - posted "&amp;TEXT(-Y66,"0.##")&amp;" hrs more than policy",IF(AND(N66&gt;0,AO66=0,U66=0),"CHECK - policy says "&amp;TEXT(M66,"0.##")&amp;" hrs to date but nothing in EH",IF(N66&gt;0,"OK","-"))))))</f>
        <v/>
      </c>
      <c r="AB66" s="13" t="str">
        <f aca="false">IF(OR(AC66=0,S66=""),"",AM66*HoursPerDay-S66)</f>
        <v/>
      </c>
      <c r="AC66" s="12" t="n">
        <f aca="false">IF(OR(LEN($A66&amp;$B66)=0,$F66=""),0,1)</f>
        <v>0</v>
      </c>
      <c r="AD66" s="10" t="str">
        <f aca="false">IF(AC66=0,"",IF($I66&lt;&gt;"",$I66,$F66))</f>
        <v/>
      </c>
      <c r="AE66" s="10" t="str">
        <f aca="false">IF(AC66=0,"",IF(AND($G66&lt;&gt;"",$H66&lt;&gt;"",$G66&lt;&gt;$H66),MAX($G66,$H66),""))</f>
        <v/>
      </c>
      <c r="AF66" s="12" t="str">
        <f aca="false">IF(AC66=0,"",IF(AE66="",AG66,IF(IF($G66&lt;$H66,"Part-Time","Full-Time")="Full-Time","FT",IF(AND(IF($G66&lt;$H66,"Part-Time","Full-Time")="Part-Time",OR($O66="",N($O66)&gt;=PT_MinHours)),"PT","None"))))</f>
        <v/>
      </c>
      <c r="AG66" s="12" t="str">
        <f aca="false">IF(AC66=0,"",IF($C66="Full-Time","FT",IF(AND($C66="Part-Time",OR($O66="",N($O66)&gt;=PT_MinHours)),"PT","None")))</f>
        <v/>
      </c>
      <c r="AH66" s="12" t="str">
        <f aca="false">IF(AC66=0,"",IF(AsOfDate&lt;AD66,-1,12*(YEAR(AsOfDate)-YEAR(AD66))+MONTH(AsOfDate)-MONTH(AD66)-IF(DAY(AsOfDate)&lt;MIN(DAY(AD66),DAY(EOMONTH(AsOfDate,0))),1,0)))</f>
        <v/>
      </c>
      <c r="AI66" s="12" t="str">
        <f aca="false">IF(AC66=0,"",IF(OR(AE66="",AE66&gt;AsOfDate),AH66,IF((AE66-1)&lt;AD66,-1,12*(YEAR((AE66-1))-YEAR(AD66))+MONTH((AE66-1))-MONTH(AD66)-IF(DAY((AE66-1))&lt;MIN(DAY(AD66),DAY(EOMONTH((AE66-1),0))),1,0))))</f>
        <v/>
      </c>
      <c r="AJ66" s="12" t="str">
        <f aca="false">IF(AC66=0,"",IF(PFYDate&lt;AD66,-1,12*(YEAR(PFYDate)-YEAR(AD66))+MONTH(PFYDate)-MONTH(AD66)-IF(DAY(PFYDate)&lt;MIN(DAY(AD66),DAY(EOMONTH(PFYDate,0))),1,0)))</f>
        <v/>
      </c>
      <c r="AK66" s="12" t="str">
        <f aca="false">IF(AC66=0,"",IF(OR(AE66="",AE66&gt;PFYDate),AJ66,IF((AE66-1)&lt;AD66,-1,12*(YEAR((AE66-1))-YEAR(AD66))+MONTH((AE66-1))-MONTH(AD66)-IF(DAY((AE66-1))&lt;MIN(DAY(AD66),DAY(EOMONTH((AE66-1),0))),1,0))))</f>
        <v/>
      </c>
      <c r="AL66" s="12" t="str">
        <f aca="false">IF(AC66=0,"",IF(AF66="FT",IF(AI66&lt;FT_First,0,IF(AI66&lt;FT_Y5,1+INT((AI66-FT_First)/FT_Int1),FT_PreY5+FT_PerYear*INT((AI66-FT_Y5)/12)+FT_AnnivDays+INT(MOD(AI66-FT_Y5,12)/FT_Int2))),IF(AF66="PT",IF(AI66&lt;PT_First,0,1+INT((AI66-PT_First)/PT_Int)),0))+IF(OR(AE66="",AE66&gt;AsOfDate),0,IF(AG66="FT",IF(AH66&lt;FT_First,0,IF(AH66&lt;FT_Y5,1+INT((AH66-FT_First)/FT_Int1),FT_PreY5+FT_PerYear*INT((AH66-FT_Y5)/12)+FT_AnnivDays+INT(MOD(AH66-FT_Y5,12)/FT_Int2))),IF(AG66="PT",IF(AH66&lt;PT_First,0,1+INT((AH66-PT_First)/PT_Int)),0))-IF(AG66="FT",IF(AI66&lt;FT_First,0,IF(AI66&lt;FT_Y5,1+INT((AI66-FT_First)/FT_Int1),FT_PreY5+FT_PerYear*INT((AI66-FT_Y5)/12)+FT_AnnivDays+INT(MOD(AI66-FT_Y5,12)/FT_Int2))),IF(AG66="PT",IF(AI66&lt;PT_First,0,1+INT((AI66-PT_First)/PT_Int)),0))))</f>
        <v/>
      </c>
      <c r="AM66" s="12" t="str">
        <f aca="false">IF(AC66=0,"",IF(AF66="FT",IF(AK66&lt;FT_First,0,IF(AK66&lt;FT_Y5,1+INT((AK66-FT_First)/FT_Int1),FT_PreY5+FT_PerYear*INT((AK66-FT_Y5)/12)+FT_AnnivDays+INT(MOD(AK66-FT_Y5,12)/FT_Int2))),IF(AF66="PT",IF(AK66&lt;PT_First,0,1+INT((AK66-PT_First)/PT_Int)),0))+IF(OR(AE66="",AE66&gt;PFYDate),0,IF(AG66="FT",IF(AJ66&lt;FT_First,0,IF(AJ66&lt;FT_Y5,1+INT((AJ66-FT_First)/FT_Int1),FT_PreY5+FT_PerYear*INT((AJ66-FT_Y5)/12)+FT_AnnivDays+INT(MOD(AJ66-FT_Y5,12)/FT_Int2))),IF(AG66="PT",IF(AJ66&lt;PT_First,0,1+INT((AJ66-PT_First)/PT_Int)),0))-IF(AG66="FT",IF(AK66&lt;FT_First,0,IF(AK66&lt;FT_Y5,1+INT((AK66-FT_First)/FT_Int1),FT_PreY5+FT_PerYear*INT((AK66-FT_Y5)/12)+FT_AnnivDays+INT(MOD(AK66-FT_Y5,12)/FT_Int2))),IF(AG66="PT",IF(AK66&lt;PT_First,0,1+INT((AK66-PT_First)/PT_Int)),0))))</f>
        <v/>
      </c>
      <c r="AN66" s="12" t="str">
        <f aca="false">IF(AC66=0,"",IF(AG66="FT",IF(AH66&lt;FT_First,FT_First,IF(AH66&lt;FT_Y5,MIN(FT_Y5,FT_First+FT_Int1*(INT((AH66-FT_First)/FT_Int1)+1)),FT_Y5+12*INT((AH66-FT_Y5)/12)+FT_Int2*(INT(MOD(AH66-FT_Y5,12)/FT_Int2)+1))),IF(AG66="PT",IF(AH66&lt;PT_First,PT_First,PT_First+PT_Int*(INT((AH66-PT_First)/PT_Int)+1)),"")))</f>
        <v/>
      </c>
      <c r="AO66" s="12" t="str">
        <f aca="false">IF(AC66=0,"",IF(NOT(CFY_Ready),0,COUNTIFS(INDEX(CFY_Data,0,CFY_ColFirst),$A66,INDEX(CFY_Data,0,CFY_ColSur),$B66,INDEX(CFY_Data,0,CFY_ColCat),BonusCat)))</f>
        <v/>
      </c>
    </row>
    <row r="67" customFormat="false" ht="15" hidden="false" customHeight="false" outlineLevel="0" collapsed="false">
      <c r="A67" s="15"/>
      <c r="B67" s="15"/>
      <c r="C67" s="15"/>
      <c r="D67" s="16"/>
      <c r="E67" s="10" t="str">
        <f aca="false">IF(OR(AC67=0,$D67=""),"",DATE(YEAR(AsOfDate)+IF(DATE(YEAR(AsOfDate),MONTH($D67),DAY($D67))&lt;=AsOfDate,1,0),MONTH($D67),DAY($D67)))</f>
        <v/>
      </c>
      <c r="F67" s="16"/>
      <c r="G67" s="16"/>
      <c r="H67" s="16"/>
      <c r="I67" s="16"/>
      <c r="J67" s="10" t="str">
        <f aca="false">IF(AC67=0,"",DATE(YEAR(AsOfDate)+IF(DATE(YEAR(AsOfDate),MONTH($F67),DAY($F67))&lt;=AsOfDate,1,0),MONTH($F67),DAY($F67)))</f>
        <v/>
      </c>
      <c r="K67" s="11" t="str">
        <f aca="false">IF(AC67=0,"",ROUND((AsOfDate-$F67)/365.25,1))</f>
        <v/>
      </c>
      <c r="L67" s="12" t="str">
        <f aca="false">IF(AC67=0,"",IF(AsOfDate&lt;AD67,"-",DATEDIF(AD67,AsOfDate,"y")&amp;"y "&amp;DATEDIF(AD67,AsOfDate,"ym")&amp;"m "&amp;DATEDIF(AD67,AsOfDate,"md")&amp;"d"))</f>
        <v/>
      </c>
      <c r="M67" s="13" t="str">
        <f aca="false">IF(AC67=0,"",N67*HoursPerDay)</f>
        <v/>
      </c>
      <c r="N67" s="13" t="str">
        <f aca="false">IF(AC67=0,"",AL67)</f>
        <v/>
      </c>
      <c r="O67" s="17"/>
      <c r="P67" s="12" t="str">
        <f aca="false">IF(AC67=0,"",IF(AE67="","",IF($G67&lt;$H67,"Part-Time to Full-Time","Full-Time to Part-Time")&amp;" on "&amp;TEXT(AE67,"dd/mm/yyyy")&amp;IF(AE67&gt;AsOfDate," (future)",IF(AF67=AG67,"",IF(AG67="None"," - STOPPED accruing",IF(AF67="None"," - now qualifying"," - pathway changed"))))))</f>
        <v/>
      </c>
      <c r="Q67" s="12" t="str">
        <f aca="false">IF(AC67=0,"",IF(AG67="None",IF(N67&gt;0,"No longer accruing","Not eligible - "&amp;IF(AND($C67="Part-Time",N($O67)&lt;PT_MinHours,$O67&lt;&gt;""),"under "&amp;PT_MinHours&amp;" hrs",$C67)),IF(N67&gt;0,"Yes - accruing","Not yet - from "&amp;TEXT(R67,"dd/mm/yyyy"))))</f>
        <v/>
      </c>
      <c r="R67" s="10" t="str">
        <f aca="false">IF(AC67=0,"",IF(AG67="None","",EDATE(AD67,AN67)))</f>
        <v/>
      </c>
      <c r="S67" s="13" t="str">
        <f aca="false">IF(AC67=0,"",IF(NOT(PFY_Ready),"",SUMIFS(INDEX(PFY_Data,0,PFY_ColBal),INDEX(PFY_Data,0,PFY_ColFirst),$A67,INDEX(PFY_Data,0,PFY_ColSur),$B67,INDEX(PFY_Data,0,PFY_ColCat),BonusCat)))</f>
        <v/>
      </c>
      <c r="T67" s="17"/>
      <c r="U67" s="13" t="str">
        <f aca="false">IF(AC67=0,"",IF(NOT(CFY_Ready),"",SUMIFS(INDEX(CFY_Data,0,CFY_ColBal),INDEX(CFY_Data,0,CFY_ColFirst),$A67,INDEX(CFY_Data,0,CFY_ColSur),$B67,INDEX(CFY_Data,0,CFY_ColCat),BonusCat)))</f>
        <v/>
      </c>
      <c r="V67" s="13" t="str">
        <f aca="false">IF(AC67=0,"",IF(OR(NOT(CFY_Ready),CFY_ColAppr=0),"",SUMIFS(INDEX(CFY_Data,0,CFY_ColAppr),INDEX(CFY_Data,0,CFY_ColFirst),$A67,INDEX(CFY_Data,0,CFY_ColSur),$B67,INDEX(CFY_Data,0,CFY_ColCat),BonusCat)))</f>
        <v/>
      </c>
      <c r="W67" s="13" t="str">
        <f aca="false">IF(OR(AC67=0,S67="",U67=""),"",MAX(0,S67+N($T67)-U67))</f>
        <v/>
      </c>
      <c r="X67" s="13" t="str">
        <f aca="false">IF(AC67=0,"",(AL67-AM67)*HoursPerDay)</f>
        <v/>
      </c>
      <c r="Y67" s="13" t="str">
        <f aca="false">IF(AC67=0,"",X67-N($T67))</f>
        <v/>
      </c>
      <c r="Z67" s="12" t="str">
        <f aca="false">IF(AC67=0,"",IF(Y67&gt;0,"Yes","No"))</f>
        <v/>
      </c>
      <c r="AA67" s="12" t="str">
        <f aca="false">IF(AC67=0,"",IF(NOT(CFY_Ready),"Paste CFY EH export",IF(Y67&gt;0,"ACCRUE "&amp;TEXT(Y67,"0.##")&amp;" hrs ("&amp;TEXT(Y67/HoursPerDay,"0.##")&amp;" days)"&amp;IF(AO67=0," - no Bonus Leave line in EH yet",""),IF(Y67&lt;0,"CHECK - posted "&amp;TEXT(-Y67,"0.##")&amp;" hrs more than policy",IF(AND(N67&gt;0,AO67=0,U67=0),"CHECK - policy says "&amp;TEXT(M67,"0.##")&amp;" hrs to date but nothing in EH",IF(N67&gt;0,"OK","-"))))))</f>
        <v/>
      </c>
      <c r="AB67" s="13" t="str">
        <f aca="false">IF(OR(AC67=0,S67=""),"",AM67*HoursPerDay-S67)</f>
        <v/>
      </c>
      <c r="AC67" s="12" t="n">
        <f aca="false">IF(OR(LEN($A67&amp;$B67)=0,$F67=""),0,1)</f>
        <v>0</v>
      </c>
      <c r="AD67" s="10" t="str">
        <f aca="false">IF(AC67=0,"",IF($I67&lt;&gt;"",$I67,$F67))</f>
        <v/>
      </c>
      <c r="AE67" s="10" t="str">
        <f aca="false">IF(AC67=0,"",IF(AND($G67&lt;&gt;"",$H67&lt;&gt;"",$G67&lt;&gt;$H67),MAX($G67,$H67),""))</f>
        <v/>
      </c>
      <c r="AF67" s="12" t="str">
        <f aca="false">IF(AC67=0,"",IF(AE67="",AG67,IF(IF($G67&lt;$H67,"Part-Time","Full-Time")="Full-Time","FT",IF(AND(IF($G67&lt;$H67,"Part-Time","Full-Time")="Part-Time",OR($O67="",N($O67)&gt;=PT_MinHours)),"PT","None"))))</f>
        <v/>
      </c>
      <c r="AG67" s="12" t="str">
        <f aca="false">IF(AC67=0,"",IF($C67="Full-Time","FT",IF(AND($C67="Part-Time",OR($O67="",N($O67)&gt;=PT_MinHours)),"PT","None")))</f>
        <v/>
      </c>
      <c r="AH67" s="12" t="str">
        <f aca="false">IF(AC67=0,"",IF(AsOfDate&lt;AD67,-1,12*(YEAR(AsOfDate)-YEAR(AD67))+MONTH(AsOfDate)-MONTH(AD67)-IF(DAY(AsOfDate)&lt;MIN(DAY(AD67),DAY(EOMONTH(AsOfDate,0))),1,0)))</f>
        <v/>
      </c>
      <c r="AI67" s="12" t="str">
        <f aca="false">IF(AC67=0,"",IF(OR(AE67="",AE67&gt;AsOfDate),AH67,IF((AE67-1)&lt;AD67,-1,12*(YEAR((AE67-1))-YEAR(AD67))+MONTH((AE67-1))-MONTH(AD67)-IF(DAY((AE67-1))&lt;MIN(DAY(AD67),DAY(EOMONTH((AE67-1),0))),1,0))))</f>
        <v/>
      </c>
      <c r="AJ67" s="12" t="str">
        <f aca="false">IF(AC67=0,"",IF(PFYDate&lt;AD67,-1,12*(YEAR(PFYDate)-YEAR(AD67))+MONTH(PFYDate)-MONTH(AD67)-IF(DAY(PFYDate)&lt;MIN(DAY(AD67),DAY(EOMONTH(PFYDate,0))),1,0)))</f>
        <v/>
      </c>
      <c r="AK67" s="12" t="str">
        <f aca="false">IF(AC67=0,"",IF(OR(AE67="",AE67&gt;PFYDate),AJ67,IF((AE67-1)&lt;AD67,-1,12*(YEAR((AE67-1))-YEAR(AD67))+MONTH((AE67-1))-MONTH(AD67)-IF(DAY((AE67-1))&lt;MIN(DAY(AD67),DAY(EOMONTH((AE67-1),0))),1,0))))</f>
        <v/>
      </c>
      <c r="AL67" s="12" t="str">
        <f aca="false">IF(AC67=0,"",IF(AF67="FT",IF(AI67&lt;FT_First,0,IF(AI67&lt;FT_Y5,1+INT((AI67-FT_First)/FT_Int1),FT_PreY5+FT_PerYear*INT((AI67-FT_Y5)/12)+FT_AnnivDays+INT(MOD(AI67-FT_Y5,12)/FT_Int2))),IF(AF67="PT",IF(AI67&lt;PT_First,0,1+INT((AI67-PT_First)/PT_Int)),0))+IF(OR(AE67="",AE67&gt;AsOfDate),0,IF(AG67="FT",IF(AH67&lt;FT_First,0,IF(AH67&lt;FT_Y5,1+INT((AH67-FT_First)/FT_Int1),FT_PreY5+FT_PerYear*INT((AH67-FT_Y5)/12)+FT_AnnivDays+INT(MOD(AH67-FT_Y5,12)/FT_Int2))),IF(AG67="PT",IF(AH67&lt;PT_First,0,1+INT((AH67-PT_First)/PT_Int)),0))-IF(AG67="FT",IF(AI67&lt;FT_First,0,IF(AI67&lt;FT_Y5,1+INT((AI67-FT_First)/FT_Int1),FT_PreY5+FT_PerYear*INT((AI67-FT_Y5)/12)+FT_AnnivDays+INT(MOD(AI67-FT_Y5,12)/FT_Int2))),IF(AG67="PT",IF(AI67&lt;PT_First,0,1+INT((AI67-PT_First)/PT_Int)),0))))</f>
        <v/>
      </c>
      <c r="AM67" s="12" t="str">
        <f aca="false">IF(AC67=0,"",IF(AF67="FT",IF(AK67&lt;FT_First,0,IF(AK67&lt;FT_Y5,1+INT((AK67-FT_First)/FT_Int1),FT_PreY5+FT_PerYear*INT((AK67-FT_Y5)/12)+FT_AnnivDays+INT(MOD(AK67-FT_Y5,12)/FT_Int2))),IF(AF67="PT",IF(AK67&lt;PT_First,0,1+INT((AK67-PT_First)/PT_Int)),0))+IF(OR(AE67="",AE67&gt;PFYDate),0,IF(AG67="FT",IF(AJ67&lt;FT_First,0,IF(AJ67&lt;FT_Y5,1+INT((AJ67-FT_First)/FT_Int1),FT_PreY5+FT_PerYear*INT((AJ67-FT_Y5)/12)+FT_AnnivDays+INT(MOD(AJ67-FT_Y5,12)/FT_Int2))),IF(AG67="PT",IF(AJ67&lt;PT_First,0,1+INT((AJ67-PT_First)/PT_Int)),0))-IF(AG67="FT",IF(AK67&lt;FT_First,0,IF(AK67&lt;FT_Y5,1+INT((AK67-FT_First)/FT_Int1),FT_PreY5+FT_PerYear*INT((AK67-FT_Y5)/12)+FT_AnnivDays+INT(MOD(AK67-FT_Y5,12)/FT_Int2))),IF(AG67="PT",IF(AK67&lt;PT_First,0,1+INT((AK67-PT_First)/PT_Int)),0))))</f>
        <v/>
      </c>
      <c r="AN67" s="12" t="str">
        <f aca="false">IF(AC67=0,"",IF(AG67="FT",IF(AH67&lt;FT_First,FT_First,IF(AH67&lt;FT_Y5,MIN(FT_Y5,FT_First+FT_Int1*(INT((AH67-FT_First)/FT_Int1)+1)),FT_Y5+12*INT((AH67-FT_Y5)/12)+FT_Int2*(INT(MOD(AH67-FT_Y5,12)/FT_Int2)+1))),IF(AG67="PT",IF(AH67&lt;PT_First,PT_First,PT_First+PT_Int*(INT((AH67-PT_First)/PT_Int)+1)),"")))</f>
        <v/>
      </c>
      <c r="AO67" s="12" t="str">
        <f aca="false">IF(AC67=0,"",IF(NOT(CFY_Ready),0,COUNTIFS(INDEX(CFY_Data,0,CFY_ColFirst),$A67,INDEX(CFY_Data,0,CFY_ColSur),$B67,INDEX(CFY_Data,0,CFY_ColCat),BonusCat)))</f>
        <v/>
      </c>
    </row>
    <row r="68" customFormat="false" ht="15" hidden="false" customHeight="false" outlineLevel="0" collapsed="false">
      <c r="A68" s="15"/>
      <c r="B68" s="15"/>
      <c r="C68" s="15"/>
      <c r="D68" s="16"/>
      <c r="E68" s="10" t="str">
        <f aca="false">IF(OR(AC68=0,$D68=""),"",DATE(YEAR(AsOfDate)+IF(DATE(YEAR(AsOfDate),MONTH($D68),DAY($D68))&lt;=AsOfDate,1,0),MONTH($D68),DAY($D68)))</f>
        <v/>
      </c>
      <c r="F68" s="16"/>
      <c r="G68" s="16"/>
      <c r="H68" s="16"/>
      <c r="I68" s="16"/>
      <c r="J68" s="10" t="str">
        <f aca="false">IF(AC68=0,"",DATE(YEAR(AsOfDate)+IF(DATE(YEAR(AsOfDate),MONTH($F68),DAY($F68))&lt;=AsOfDate,1,0),MONTH($F68),DAY($F68)))</f>
        <v/>
      </c>
      <c r="K68" s="11" t="str">
        <f aca="false">IF(AC68=0,"",ROUND((AsOfDate-$F68)/365.25,1))</f>
        <v/>
      </c>
      <c r="L68" s="12" t="str">
        <f aca="false">IF(AC68=0,"",IF(AsOfDate&lt;AD68,"-",DATEDIF(AD68,AsOfDate,"y")&amp;"y "&amp;DATEDIF(AD68,AsOfDate,"ym")&amp;"m "&amp;DATEDIF(AD68,AsOfDate,"md")&amp;"d"))</f>
        <v/>
      </c>
      <c r="M68" s="13" t="str">
        <f aca="false">IF(AC68=0,"",N68*HoursPerDay)</f>
        <v/>
      </c>
      <c r="N68" s="13" t="str">
        <f aca="false">IF(AC68=0,"",AL68)</f>
        <v/>
      </c>
      <c r="O68" s="17"/>
      <c r="P68" s="12" t="str">
        <f aca="false">IF(AC68=0,"",IF(AE68="","",IF($G68&lt;$H68,"Part-Time to Full-Time","Full-Time to Part-Time")&amp;" on "&amp;TEXT(AE68,"dd/mm/yyyy")&amp;IF(AE68&gt;AsOfDate," (future)",IF(AF68=AG68,"",IF(AG68="None"," - STOPPED accruing",IF(AF68="None"," - now qualifying"," - pathway changed"))))))</f>
        <v/>
      </c>
      <c r="Q68" s="12" t="str">
        <f aca="false">IF(AC68=0,"",IF(AG68="None",IF(N68&gt;0,"No longer accruing","Not eligible - "&amp;IF(AND($C68="Part-Time",N($O68)&lt;PT_MinHours,$O68&lt;&gt;""),"under "&amp;PT_MinHours&amp;" hrs",$C68)),IF(N68&gt;0,"Yes - accruing","Not yet - from "&amp;TEXT(R68,"dd/mm/yyyy"))))</f>
        <v/>
      </c>
      <c r="R68" s="10" t="str">
        <f aca="false">IF(AC68=0,"",IF(AG68="None","",EDATE(AD68,AN68)))</f>
        <v/>
      </c>
      <c r="S68" s="13" t="str">
        <f aca="false">IF(AC68=0,"",IF(NOT(PFY_Ready),"",SUMIFS(INDEX(PFY_Data,0,PFY_ColBal),INDEX(PFY_Data,0,PFY_ColFirst),$A68,INDEX(PFY_Data,0,PFY_ColSur),$B68,INDEX(PFY_Data,0,PFY_ColCat),BonusCat)))</f>
        <v/>
      </c>
      <c r="T68" s="17"/>
      <c r="U68" s="13" t="str">
        <f aca="false">IF(AC68=0,"",IF(NOT(CFY_Ready),"",SUMIFS(INDEX(CFY_Data,0,CFY_ColBal),INDEX(CFY_Data,0,CFY_ColFirst),$A68,INDEX(CFY_Data,0,CFY_ColSur),$B68,INDEX(CFY_Data,0,CFY_ColCat),BonusCat)))</f>
        <v/>
      </c>
      <c r="V68" s="13" t="str">
        <f aca="false">IF(AC68=0,"",IF(OR(NOT(CFY_Ready),CFY_ColAppr=0),"",SUMIFS(INDEX(CFY_Data,0,CFY_ColAppr),INDEX(CFY_Data,0,CFY_ColFirst),$A68,INDEX(CFY_Data,0,CFY_ColSur),$B68,INDEX(CFY_Data,0,CFY_ColCat),BonusCat)))</f>
        <v/>
      </c>
      <c r="W68" s="13" t="str">
        <f aca="false">IF(OR(AC68=0,S68="",U68=""),"",MAX(0,S68+N($T68)-U68))</f>
        <v/>
      </c>
      <c r="X68" s="13" t="str">
        <f aca="false">IF(AC68=0,"",(AL68-AM68)*HoursPerDay)</f>
        <v/>
      </c>
      <c r="Y68" s="13" t="str">
        <f aca="false">IF(AC68=0,"",X68-N($T68))</f>
        <v/>
      </c>
      <c r="Z68" s="12" t="str">
        <f aca="false">IF(AC68=0,"",IF(Y68&gt;0,"Yes","No"))</f>
        <v/>
      </c>
      <c r="AA68" s="12" t="str">
        <f aca="false">IF(AC68=0,"",IF(NOT(CFY_Ready),"Paste CFY EH export",IF(Y68&gt;0,"ACCRUE "&amp;TEXT(Y68,"0.##")&amp;" hrs ("&amp;TEXT(Y68/HoursPerDay,"0.##")&amp;" days)"&amp;IF(AO68=0," - no Bonus Leave line in EH yet",""),IF(Y68&lt;0,"CHECK - posted "&amp;TEXT(-Y68,"0.##")&amp;" hrs more than policy",IF(AND(N68&gt;0,AO68=0,U68=0),"CHECK - policy says "&amp;TEXT(M68,"0.##")&amp;" hrs to date but nothing in EH",IF(N68&gt;0,"OK","-"))))))</f>
        <v/>
      </c>
      <c r="AB68" s="13" t="str">
        <f aca="false">IF(OR(AC68=0,S68=""),"",AM68*HoursPerDay-S68)</f>
        <v/>
      </c>
      <c r="AC68" s="12" t="n">
        <f aca="false">IF(OR(LEN($A68&amp;$B68)=0,$F68=""),0,1)</f>
        <v>0</v>
      </c>
      <c r="AD68" s="10" t="str">
        <f aca="false">IF(AC68=0,"",IF($I68&lt;&gt;"",$I68,$F68))</f>
        <v/>
      </c>
      <c r="AE68" s="10" t="str">
        <f aca="false">IF(AC68=0,"",IF(AND($G68&lt;&gt;"",$H68&lt;&gt;"",$G68&lt;&gt;$H68),MAX($G68,$H68),""))</f>
        <v/>
      </c>
      <c r="AF68" s="12" t="str">
        <f aca="false">IF(AC68=0,"",IF(AE68="",AG68,IF(IF($G68&lt;$H68,"Part-Time","Full-Time")="Full-Time","FT",IF(AND(IF($G68&lt;$H68,"Part-Time","Full-Time")="Part-Time",OR($O68="",N($O68)&gt;=PT_MinHours)),"PT","None"))))</f>
        <v/>
      </c>
      <c r="AG68" s="12" t="str">
        <f aca="false">IF(AC68=0,"",IF($C68="Full-Time","FT",IF(AND($C68="Part-Time",OR($O68="",N($O68)&gt;=PT_MinHours)),"PT","None")))</f>
        <v/>
      </c>
      <c r="AH68" s="12" t="str">
        <f aca="false">IF(AC68=0,"",IF(AsOfDate&lt;AD68,-1,12*(YEAR(AsOfDate)-YEAR(AD68))+MONTH(AsOfDate)-MONTH(AD68)-IF(DAY(AsOfDate)&lt;MIN(DAY(AD68),DAY(EOMONTH(AsOfDate,0))),1,0)))</f>
        <v/>
      </c>
      <c r="AI68" s="12" t="str">
        <f aca="false">IF(AC68=0,"",IF(OR(AE68="",AE68&gt;AsOfDate),AH68,IF((AE68-1)&lt;AD68,-1,12*(YEAR((AE68-1))-YEAR(AD68))+MONTH((AE68-1))-MONTH(AD68)-IF(DAY((AE68-1))&lt;MIN(DAY(AD68),DAY(EOMONTH((AE68-1),0))),1,0))))</f>
        <v/>
      </c>
      <c r="AJ68" s="12" t="str">
        <f aca="false">IF(AC68=0,"",IF(PFYDate&lt;AD68,-1,12*(YEAR(PFYDate)-YEAR(AD68))+MONTH(PFYDate)-MONTH(AD68)-IF(DAY(PFYDate)&lt;MIN(DAY(AD68),DAY(EOMONTH(PFYDate,0))),1,0)))</f>
        <v/>
      </c>
      <c r="AK68" s="12" t="str">
        <f aca="false">IF(AC68=0,"",IF(OR(AE68="",AE68&gt;PFYDate),AJ68,IF((AE68-1)&lt;AD68,-1,12*(YEAR((AE68-1))-YEAR(AD68))+MONTH((AE68-1))-MONTH(AD68)-IF(DAY((AE68-1))&lt;MIN(DAY(AD68),DAY(EOMONTH((AE68-1),0))),1,0))))</f>
        <v/>
      </c>
      <c r="AL68" s="12" t="str">
        <f aca="false">IF(AC68=0,"",IF(AF68="FT",IF(AI68&lt;FT_First,0,IF(AI68&lt;FT_Y5,1+INT((AI68-FT_First)/FT_Int1),FT_PreY5+FT_PerYear*INT((AI68-FT_Y5)/12)+FT_AnnivDays+INT(MOD(AI68-FT_Y5,12)/FT_Int2))),IF(AF68="PT",IF(AI68&lt;PT_First,0,1+INT((AI68-PT_First)/PT_Int)),0))+IF(OR(AE68="",AE68&gt;AsOfDate),0,IF(AG68="FT",IF(AH68&lt;FT_First,0,IF(AH68&lt;FT_Y5,1+INT((AH68-FT_First)/FT_Int1),FT_PreY5+FT_PerYear*INT((AH68-FT_Y5)/12)+FT_AnnivDays+INT(MOD(AH68-FT_Y5,12)/FT_Int2))),IF(AG68="PT",IF(AH68&lt;PT_First,0,1+INT((AH68-PT_First)/PT_Int)),0))-IF(AG68="FT",IF(AI68&lt;FT_First,0,IF(AI68&lt;FT_Y5,1+INT((AI68-FT_First)/FT_Int1),FT_PreY5+FT_PerYear*INT((AI68-FT_Y5)/12)+FT_AnnivDays+INT(MOD(AI68-FT_Y5,12)/FT_Int2))),IF(AG68="PT",IF(AI68&lt;PT_First,0,1+INT((AI68-PT_First)/PT_Int)),0))))</f>
        <v/>
      </c>
      <c r="AM68" s="12" t="str">
        <f aca="false">IF(AC68=0,"",IF(AF68="FT",IF(AK68&lt;FT_First,0,IF(AK68&lt;FT_Y5,1+INT((AK68-FT_First)/FT_Int1),FT_PreY5+FT_PerYear*INT((AK68-FT_Y5)/12)+FT_AnnivDays+INT(MOD(AK68-FT_Y5,12)/FT_Int2))),IF(AF68="PT",IF(AK68&lt;PT_First,0,1+INT((AK68-PT_First)/PT_Int)),0))+IF(OR(AE68="",AE68&gt;PFYDate),0,IF(AG68="FT",IF(AJ68&lt;FT_First,0,IF(AJ68&lt;FT_Y5,1+INT((AJ68-FT_First)/FT_Int1),FT_PreY5+FT_PerYear*INT((AJ68-FT_Y5)/12)+FT_AnnivDays+INT(MOD(AJ68-FT_Y5,12)/FT_Int2))),IF(AG68="PT",IF(AJ68&lt;PT_First,0,1+INT((AJ68-PT_First)/PT_Int)),0))-IF(AG68="FT",IF(AK68&lt;FT_First,0,IF(AK68&lt;FT_Y5,1+INT((AK68-FT_First)/FT_Int1),FT_PreY5+FT_PerYear*INT((AK68-FT_Y5)/12)+FT_AnnivDays+INT(MOD(AK68-FT_Y5,12)/FT_Int2))),IF(AG68="PT",IF(AK68&lt;PT_First,0,1+INT((AK68-PT_First)/PT_Int)),0))))</f>
        <v/>
      </c>
      <c r="AN68" s="12" t="str">
        <f aca="false">IF(AC68=0,"",IF(AG68="FT",IF(AH68&lt;FT_First,FT_First,IF(AH68&lt;FT_Y5,MIN(FT_Y5,FT_First+FT_Int1*(INT((AH68-FT_First)/FT_Int1)+1)),FT_Y5+12*INT((AH68-FT_Y5)/12)+FT_Int2*(INT(MOD(AH68-FT_Y5,12)/FT_Int2)+1))),IF(AG68="PT",IF(AH68&lt;PT_First,PT_First,PT_First+PT_Int*(INT((AH68-PT_First)/PT_Int)+1)),"")))</f>
        <v/>
      </c>
      <c r="AO68" s="12" t="str">
        <f aca="false">IF(AC68=0,"",IF(NOT(CFY_Ready),0,COUNTIFS(INDEX(CFY_Data,0,CFY_ColFirst),$A68,INDEX(CFY_Data,0,CFY_ColSur),$B68,INDEX(CFY_Data,0,CFY_ColCat),BonusCat)))</f>
        <v/>
      </c>
    </row>
    <row r="69" customFormat="false" ht="15" hidden="false" customHeight="false" outlineLevel="0" collapsed="false">
      <c r="A69" s="15"/>
      <c r="B69" s="15"/>
      <c r="C69" s="15"/>
      <c r="D69" s="16"/>
      <c r="E69" s="10" t="str">
        <f aca="false">IF(OR(AC69=0,$D69=""),"",DATE(YEAR(AsOfDate)+IF(DATE(YEAR(AsOfDate),MONTH($D69),DAY($D69))&lt;=AsOfDate,1,0),MONTH($D69),DAY($D69)))</f>
        <v/>
      </c>
      <c r="F69" s="16"/>
      <c r="G69" s="16"/>
      <c r="H69" s="16"/>
      <c r="I69" s="16"/>
      <c r="J69" s="10" t="str">
        <f aca="false">IF(AC69=0,"",DATE(YEAR(AsOfDate)+IF(DATE(YEAR(AsOfDate),MONTH($F69),DAY($F69))&lt;=AsOfDate,1,0),MONTH($F69),DAY($F69)))</f>
        <v/>
      </c>
      <c r="K69" s="11" t="str">
        <f aca="false">IF(AC69=0,"",ROUND((AsOfDate-$F69)/365.25,1))</f>
        <v/>
      </c>
      <c r="L69" s="12" t="str">
        <f aca="false">IF(AC69=0,"",IF(AsOfDate&lt;AD69,"-",DATEDIF(AD69,AsOfDate,"y")&amp;"y "&amp;DATEDIF(AD69,AsOfDate,"ym")&amp;"m "&amp;DATEDIF(AD69,AsOfDate,"md")&amp;"d"))</f>
        <v/>
      </c>
      <c r="M69" s="13" t="str">
        <f aca="false">IF(AC69=0,"",N69*HoursPerDay)</f>
        <v/>
      </c>
      <c r="N69" s="13" t="str">
        <f aca="false">IF(AC69=0,"",AL69)</f>
        <v/>
      </c>
      <c r="O69" s="17"/>
      <c r="P69" s="12" t="str">
        <f aca="false">IF(AC69=0,"",IF(AE69="","",IF($G69&lt;$H69,"Part-Time to Full-Time","Full-Time to Part-Time")&amp;" on "&amp;TEXT(AE69,"dd/mm/yyyy")&amp;IF(AE69&gt;AsOfDate," (future)",IF(AF69=AG69,"",IF(AG69="None"," - STOPPED accruing",IF(AF69="None"," - now qualifying"," - pathway changed"))))))</f>
        <v/>
      </c>
      <c r="Q69" s="12" t="str">
        <f aca="false">IF(AC69=0,"",IF(AG69="None",IF(N69&gt;0,"No longer accruing","Not eligible - "&amp;IF(AND($C69="Part-Time",N($O69)&lt;PT_MinHours,$O69&lt;&gt;""),"under "&amp;PT_MinHours&amp;" hrs",$C69)),IF(N69&gt;0,"Yes - accruing","Not yet - from "&amp;TEXT(R69,"dd/mm/yyyy"))))</f>
        <v/>
      </c>
      <c r="R69" s="10" t="str">
        <f aca="false">IF(AC69=0,"",IF(AG69="None","",EDATE(AD69,AN69)))</f>
        <v/>
      </c>
      <c r="S69" s="13" t="str">
        <f aca="false">IF(AC69=0,"",IF(NOT(PFY_Ready),"",SUMIFS(INDEX(PFY_Data,0,PFY_ColBal),INDEX(PFY_Data,0,PFY_ColFirst),$A69,INDEX(PFY_Data,0,PFY_ColSur),$B69,INDEX(PFY_Data,0,PFY_ColCat),BonusCat)))</f>
        <v/>
      </c>
      <c r="T69" s="17"/>
      <c r="U69" s="13" t="str">
        <f aca="false">IF(AC69=0,"",IF(NOT(CFY_Ready),"",SUMIFS(INDEX(CFY_Data,0,CFY_ColBal),INDEX(CFY_Data,0,CFY_ColFirst),$A69,INDEX(CFY_Data,0,CFY_ColSur),$B69,INDEX(CFY_Data,0,CFY_ColCat),BonusCat)))</f>
        <v/>
      </c>
      <c r="V69" s="13" t="str">
        <f aca="false">IF(AC69=0,"",IF(OR(NOT(CFY_Ready),CFY_ColAppr=0),"",SUMIFS(INDEX(CFY_Data,0,CFY_ColAppr),INDEX(CFY_Data,0,CFY_ColFirst),$A69,INDEX(CFY_Data,0,CFY_ColSur),$B69,INDEX(CFY_Data,0,CFY_ColCat),BonusCat)))</f>
        <v/>
      </c>
      <c r="W69" s="13" t="str">
        <f aca="false">IF(OR(AC69=0,S69="",U69=""),"",MAX(0,S69+N($T69)-U69))</f>
        <v/>
      </c>
      <c r="X69" s="13" t="str">
        <f aca="false">IF(AC69=0,"",(AL69-AM69)*HoursPerDay)</f>
        <v/>
      </c>
      <c r="Y69" s="13" t="str">
        <f aca="false">IF(AC69=0,"",X69-N($T69))</f>
        <v/>
      </c>
      <c r="Z69" s="12" t="str">
        <f aca="false">IF(AC69=0,"",IF(Y69&gt;0,"Yes","No"))</f>
        <v/>
      </c>
      <c r="AA69" s="12" t="str">
        <f aca="false">IF(AC69=0,"",IF(NOT(CFY_Ready),"Paste CFY EH export",IF(Y69&gt;0,"ACCRUE "&amp;TEXT(Y69,"0.##")&amp;" hrs ("&amp;TEXT(Y69/HoursPerDay,"0.##")&amp;" days)"&amp;IF(AO69=0," - no Bonus Leave line in EH yet",""),IF(Y69&lt;0,"CHECK - posted "&amp;TEXT(-Y69,"0.##")&amp;" hrs more than policy",IF(AND(N69&gt;0,AO69=0,U69=0),"CHECK - policy says "&amp;TEXT(M69,"0.##")&amp;" hrs to date but nothing in EH",IF(N69&gt;0,"OK","-"))))))</f>
        <v/>
      </c>
      <c r="AB69" s="13" t="str">
        <f aca="false">IF(OR(AC69=0,S69=""),"",AM69*HoursPerDay-S69)</f>
        <v/>
      </c>
      <c r="AC69" s="12" t="n">
        <f aca="false">IF(OR(LEN($A69&amp;$B69)=0,$F69=""),0,1)</f>
        <v>0</v>
      </c>
      <c r="AD69" s="10" t="str">
        <f aca="false">IF(AC69=0,"",IF($I69&lt;&gt;"",$I69,$F69))</f>
        <v/>
      </c>
      <c r="AE69" s="10" t="str">
        <f aca="false">IF(AC69=0,"",IF(AND($G69&lt;&gt;"",$H69&lt;&gt;"",$G69&lt;&gt;$H69),MAX($G69,$H69),""))</f>
        <v/>
      </c>
      <c r="AF69" s="12" t="str">
        <f aca="false">IF(AC69=0,"",IF(AE69="",AG69,IF(IF($G69&lt;$H69,"Part-Time","Full-Time")="Full-Time","FT",IF(AND(IF($G69&lt;$H69,"Part-Time","Full-Time")="Part-Time",OR($O69="",N($O69)&gt;=PT_MinHours)),"PT","None"))))</f>
        <v/>
      </c>
      <c r="AG69" s="12" t="str">
        <f aca="false">IF(AC69=0,"",IF($C69="Full-Time","FT",IF(AND($C69="Part-Time",OR($O69="",N($O69)&gt;=PT_MinHours)),"PT","None")))</f>
        <v/>
      </c>
      <c r="AH69" s="12" t="str">
        <f aca="false">IF(AC69=0,"",IF(AsOfDate&lt;AD69,-1,12*(YEAR(AsOfDate)-YEAR(AD69))+MONTH(AsOfDate)-MONTH(AD69)-IF(DAY(AsOfDate)&lt;MIN(DAY(AD69),DAY(EOMONTH(AsOfDate,0))),1,0)))</f>
        <v/>
      </c>
      <c r="AI69" s="12" t="str">
        <f aca="false">IF(AC69=0,"",IF(OR(AE69="",AE69&gt;AsOfDate),AH69,IF((AE69-1)&lt;AD69,-1,12*(YEAR((AE69-1))-YEAR(AD69))+MONTH((AE69-1))-MONTH(AD69)-IF(DAY((AE69-1))&lt;MIN(DAY(AD69),DAY(EOMONTH((AE69-1),0))),1,0))))</f>
        <v/>
      </c>
      <c r="AJ69" s="12" t="str">
        <f aca="false">IF(AC69=0,"",IF(PFYDate&lt;AD69,-1,12*(YEAR(PFYDate)-YEAR(AD69))+MONTH(PFYDate)-MONTH(AD69)-IF(DAY(PFYDate)&lt;MIN(DAY(AD69),DAY(EOMONTH(PFYDate,0))),1,0)))</f>
        <v/>
      </c>
      <c r="AK69" s="12" t="str">
        <f aca="false">IF(AC69=0,"",IF(OR(AE69="",AE69&gt;PFYDate),AJ69,IF((AE69-1)&lt;AD69,-1,12*(YEAR((AE69-1))-YEAR(AD69))+MONTH((AE69-1))-MONTH(AD69)-IF(DAY((AE69-1))&lt;MIN(DAY(AD69),DAY(EOMONTH((AE69-1),0))),1,0))))</f>
        <v/>
      </c>
      <c r="AL69" s="12" t="str">
        <f aca="false">IF(AC69=0,"",IF(AF69="FT",IF(AI69&lt;FT_First,0,IF(AI69&lt;FT_Y5,1+INT((AI69-FT_First)/FT_Int1),FT_PreY5+FT_PerYear*INT((AI69-FT_Y5)/12)+FT_AnnivDays+INT(MOD(AI69-FT_Y5,12)/FT_Int2))),IF(AF69="PT",IF(AI69&lt;PT_First,0,1+INT((AI69-PT_First)/PT_Int)),0))+IF(OR(AE69="",AE69&gt;AsOfDate),0,IF(AG69="FT",IF(AH69&lt;FT_First,0,IF(AH69&lt;FT_Y5,1+INT((AH69-FT_First)/FT_Int1),FT_PreY5+FT_PerYear*INT((AH69-FT_Y5)/12)+FT_AnnivDays+INT(MOD(AH69-FT_Y5,12)/FT_Int2))),IF(AG69="PT",IF(AH69&lt;PT_First,0,1+INT((AH69-PT_First)/PT_Int)),0))-IF(AG69="FT",IF(AI69&lt;FT_First,0,IF(AI69&lt;FT_Y5,1+INT((AI69-FT_First)/FT_Int1),FT_PreY5+FT_PerYear*INT((AI69-FT_Y5)/12)+FT_AnnivDays+INT(MOD(AI69-FT_Y5,12)/FT_Int2))),IF(AG69="PT",IF(AI69&lt;PT_First,0,1+INT((AI69-PT_First)/PT_Int)),0))))</f>
        <v/>
      </c>
      <c r="AM69" s="12" t="str">
        <f aca="false">IF(AC69=0,"",IF(AF69="FT",IF(AK69&lt;FT_First,0,IF(AK69&lt;FT_Y5,1+INT((AK69-FT_First)/FT_Int1),FT_PreY5+FT_PerYear*INT((AK69-FT_Y5)/12)+FT_AnnivDays+INT(MOD(AK69-FT_Y5,12)/FT_Int2))),IF(AF69="PT",IF(AK69&lt;PT_First,0,1+INT((AK69-PT_First)/PT_Int)),0))+IF(OR(AE69="",AE69&gt;PFYDate),0,IF(AG69="FT",IF(AJ69&lt;FT_First,0,IF(AJ69&lt;FT_Y5,1+INT((AJ69-FT_First)/FT_Int1),FT_PreY5+FT_PerYear*INT((AJ69-FT_Y5)/12)+FT_AnnivDays+INT(MOD(AJ69-FT_Y5,12)/FT_Int2))),IF(AG69="PT",IF(AJ69&lt;PT_First,0,1+INT((AJ69-PT_First)/PT_Int)),0))-IF(AG69="FT",IF(AK69&lt;FT_First,0,IF(AK69&lt;FT_Y5,1+INT((AK69-FT_First)/FT_Int1),FT_PreY5+FT_PerYear*INT((AK69-FT_Y5)/12)+FT_AnnivDays+INT(MOD(AK69-FT_Y5,12)/FT_Int2))),IF(AG69="PT",IF(AK69&lt;PT_First,0,1+INT((AK69-PT_First)/PT_Int)),0))))</f>
        <v/>
      </c>
      <c r="AN69" s="12" t="str">
        <f aca="false">IF(AC69=0,"",IF(AG69="FT",IF(AH69&lt;FT_First,FT_First,IF(AH69&lt;FT_Y5,MIN(FT_Y5,FT_First+FT_Int1*(INT((AH69-FT_First)/FT_Int1)+1)),FT_Y5+12*INT((AH69-FT_Y5)/12)+FT_Int2*(INT(MOD(AH69-FT_Y5,12)/FT_Int2)+1))),IF(AG69="PT",IF(AH69&lt;PT_First,PT_First,PT_First+PT_Int*(INT((AH69-PT_First)/PT_Int)+1)),"")))</f>
        <v/>
      </c>
      <c r="AO69" s="12" t="str">
        <f aca="false">IF(AC69=0,"",IF(NOT(CFY_Ready),0,COUNTIFS(INDEX(CFY_Data,0,CFY_ColFirst),$A69,INDEX(CFY_Data,0,CFY_ColSur),$B69,INDEX(CFY_Data,0,CFY_ColCat),BonusCat)))</f>
        <v/>
      </c>
    </row>
    <row r="70" customFormat="false" ht="15" hidden="false" customHeight="false" outlineLevel="0" collapsed="false">
      <c r="A70" s="15"/>
      <c r="B70" s="15"/>
      <c r="C70" s="15"/>
      <c r="D70" s="16"/>
      <c r="E70" s="10" t="str">
        <f aca="false">IF(OR(AC70=0,$D70=""),"",DATE(YEAR(AsOfDate)+IF(DATE(YEAR(AsOfDate),MONTH($D70),DAY($D70))&lt;=AsOfDate,1,0),MONTH($D70),DAY($D70)))</f>
        <v/>
      </c>
      <c r="F70" s="16"/>
      <c r="G70" s="16"/>
      <c r="H70" s="16"/>
      <c r="I70" s="16"/>
      <c r="J70" s="10" t="str">
        <f aca="false">IF(AC70=0,"",DATE(YEAR(AsOfDate)+IF(DATE(YEAR(AsOfDate),MONTH($F70),DAY($F70))&lt;=AsOfDate,1,0),MONTH($F70),DAY($F70)))</f>
        <v/>
      </c>
      <c r="K70" s="11" t="str">
        <f aca="false">IF(AC70=0,"",ROUND((AsOfDate-$F70)/365.25,1))</f>
        <v/>
      </c>
      <c r="L70" s="12" t="str">
        <f aca="false">IF(AC70=0,"",IF(AsOfDate&lt;AD70,"-",DATEDIF(AD70,AsOfDate,"y")&amp;"y "&amp;DATEDIF(AD70,AsOfDate,"ym")&amp;"m "&amp;DATEDIF(AD70,AsOfDate,"md")&amp;"d"))</f>
        <v/>
      </c>
      <c r="M70" s="13" t="str">
        <f aca="false">IF(AC70=0,"",N70*HoursPerDay)</f>
        <v/>
      </c>
      <c r="N70" s="13" t="str">
        <f aca="false">IF(AC70=0,"",AL70)</f>
        <v/>
      </c>
      <c r="O70" s="17"/>
      <c r="P70" s="12" t="str">
        <f aca="false">IF(AC70=0,"",IF(AE70="","",IF($G70&lt;$H70,"Part-Time to Full-Time","Full-Time to Part-Time")&amp;" on "&amp;TEXT(AE70,"dd/mm/yyyy")&amp;IF(AE70&gt;AsOfDate," (future)",IF(AF70=AG70,"",IF(AG70="None"," - STOPPED accruing",IF(AF70="None"," - now qualifying"," - pathway changed"))))))</f>
        <v/>
      </c>
      <c r="Q70" s="12" t="str">
        <f aca="false">IF(AC70=0,"",IF(AG70="None",IF(N70&gt;0,"No longer accruing","Not eligible - "&amp;IF(AND($C70="Part-Time",N($O70)&lt;PT_MinHours,$O70&lt;&gt;""),"under "&amp;PT_MinHours&amp;" hrs",$C70)),IF(N70&gt;0,"Yes - accruing","Not yet - from "&amp;TEXT(R70,"dd/mm/yyyy"))))</f>
        <v/>
      </c>
      <c r="R70" s="10" t="str">
        <f aca="false">IF(AC70=0,"",IF(AG70="None","",EDATE(AD70,AN70)))</f>
        <v/>
      </c>
      <c r="S70" s="13" t="str">
        <f aca="false">IF(AC70=0,"",IF(NOT(PFY_Ready),"",SUMIFS(INDEX(PFY_Data,0,PFY_ColBal),INDEX(PFY_Data,0,PFY_ColFirst),$A70,INDEX(PFY_Data,0,PFY_ColSur),$B70,INDEX(PFY_Data,0,PFY_ColCat),BonusCat)))</f>
        <v/>
      </c>
      <c r="T70" s="17"/>
      <c r="U70" s="13" t="str">
        <f aca="false">IF(AC70=0,"",IF(NOT(CFY_Ready),"",SUMIFS(INDEX(CFY_Data,0,CFY_ColBal),INDEX(CFY_Data,0,CFY_ColFirst),$A70,INDEX(CFY_Data,0,CFY_ColSur),$B70,INDEX(CFY_Data,0,CFY_ColCat),BonusCat)))</f>
        <v/>
      </c>
      <c r="V70" s="13" t="str">
        <f aca="false">IF(AC70=0,"",IF(OR(NOT(CFY_Ready),CFY_ColAppr=0),"",SUMIFS(INDEX(CFY_Data,0,CFY_ColAppr),INDEX(CFY_Data,0,CFY_ColFirst),$A70,INDEX(CFY_Data,0,CFY_ColSur),$B70,INDEX(CFY_Data,0,CFY_ColCat),BonusCat)))</f>
        <v/>
      </c>
      <c r="W70" s="13" t="str">
        <f aca="false">IF(OR(AC70=0,S70="",U70=""),"",MAX(0,S70+N($T70)-U70))</f>
        <v/>
      </c>
      <c r="X70" s="13" t="str">
        <f aca="false">IF(AC70=0,"",(AL70-AM70)*HoursPerDay)</f>
        <v/>
      </c>
      <c r="Y70" s="13" t="str">
        <f aca="false">IF(AC70=0,"",X70-N($T70))</f>
        <v/>
      </c>
      <c r="Z70" s="12" t="str">
        <f aca="false">IF(AC70=0,"",IF(Y70&gt;0,"Yes","No"))</f>
        <v/>
      </c>
      <c r="AA70" s="12" t="str">
        <f aca="false">IF(AC70=0,"",IF(NOT(CFY_Ready),"Paste CFY EH export",IF(Y70&gt;0,"ACCRUE "&amp;TEXT(Y70,"0.##")&amp;" hrs ("&amp;TEXT(Y70/HoursPerDay,"0.##")&amp;" days)"&amp;IF(AO70=0," - no Bonus Leave line in EH yet",""),IF(Y70&lt;0,"CHECK - posted "&amp;TEXT(-Y70,"0.##")&amp;" hrs more than policy",IF(AND(N70&gt;0,AO70=0,U70=0),"CHECK - policy says "&amp;TEXT(M70,"0.##")&amp;" hrs to date but nothing in EH",IF(N70&gt;0,"OK","-"))))))</f>
        <v/>
      </c>
      <c r="AB70" s="13" t="str">
        <f aca="false">IF(OR(AC70=0,S70=""),"",AM70*HoursPerDay-S70)</f>
        <v/>
      </c>
      <c r="AC70" s="12" t="n">
        <f aca="false">IF(OR(LEN($A70&amp;$B70)=0,$F70=""),0,1)</f>
        <v>0</v>
      </c>
      <c r="AD70" s="10" t="str">
        <f aca="false">IF(AC70=0,"",IF($I70&lt;&gt;"",$I70,$F70))</f>
        <v/>
      </c>
      <c r="AE70" s="10" t="str">
        <f aca="false">IF(AC70=0,"",IF(AND($G70&lt;&gt;"",$H70&lt;&gt;"",$G70&lt;&gt;$H70),MAX($G70,$H70),""))</f>
        <v/>
      </c>
      <c r="AF70" s="12" t="str">
        <f aca="false">IF(AC70=0,"",IF(AE70="",AG70,IF(IF($G70&lt;$H70,"Part-Time","Full-Time")="Full-Time","FT",IF(AND(IF($G70&lt;$H70,"Part-Time","Full-Time")="Part-Time",OR($O70="",N($O70)&gt;=PT_MinHours)),"PT","None"))))</f>
        <v/>
      </c>
      <c r="AG70" s="12" t="str">
        <f aca="false">IF(AC70=0,"",IF($C70="Full-Time","FT",IF(AND($C70="Part-Time",OR($O70="",N($O70)&gt;=PT_MinHours)),"PT","None")))</f>
        <v/>
      </c>
      <c r="AH70" s="12" t="str">
        <f aca="false">IF(AC70=0,"",IF(AsOfDate&lt;AD70,-1,12*(YEAR(AsOfDate)-YEAR(AD70))+MONTH(AsOfDate)-MONTH(AD70)-IF(DAY(AsOfDate)&lt;MIN(DAY(AD70),DAY(EOMONTH(AsOfDate,0))),1,0)))</f>
        <v/>
      </c>
      <c r="AI70" s="12" t="str">
        <f aca="false">IF(AC70=0,"",IF(OR(AE70="",AE70&gt;AsOfDate),AH70,IF((AE70-1)&lt;AD70,-1,12*(YEAR((AE70-1))-YEAR(AD70))+MONTH((AE70-1))-MONTH(AD70)-IF(DAY((AE70-1))&lt;MIN(DAY(AD70),DAY(EOMONTH((AE70-1),0))),1,0))))</f>
        <v/>
      </c>
      <c r="AJ70" s="12" t="str">
        <f aca="false">IF(AC70=0,"",IF(PFYDate&lt;AD70,-1,12*(YEAR(PFYDate)-YEAR(AD70))+MONTH(PFYDate)-MONTH(AD70)-IF(DAY(PFYDate)&lt;MIN(DAY(AD70),DAY(EOMONTH(PFYDate,0))),1,0)))</f>
        <v/>
      </c>
      <c r="AK70" s="12" t="str">
        <f aca="false">IF(AC70=0,"",IF(OR(AE70="",AE70&gt;PFYDate),AJ70,IF((AE70-1)&lt;AD70,-1,12*(YEAR((AE70-1))-YEAR(AD70))+MONTH((AE70-1))-MONTH(AD70)-IF(DAY((AE70-1))&lt;MIN(DAY(AD70),DAY(EOMONTH((AE70-1),0))),1,0))))</f>
        <v/>
      </c>
      <c r="AL70" s="12" t="str">
        <f aca="false">IF(AC70=0,"",IF(AF70="FT",IF(AI70&lt;FT_First,0,IF(AI70&lt;FT_Y5,1+INT((AI70-FT_First)/FT_Int1),FT_PreY5+FT_PerYear*INT((AI70-FT_Y5)/12)+FT_AnnivDays+INT(MOD(AI70-FT_Y5,12)/FT_Int2))),IF(AF70="PT",IF(AI70&lt;PT_First,0,1+INT((AI70-PT_First)/PT_Int)),0))+IF(OR(AE70="",AE70&gt;AsOfDate),0,IF(AG70="FT",IF(AH70&lt;FT_First,0,IF(AH70&lt;FT_Y5,1+INT((AH70-FT_First)/FT_Int1),FT_PreY5+FT_PerYear*INT((AH70-FT_Y5)/12)+FT_AnnivDays+INT(MOD(AH70-FT_Y5,12)/FT_Int2))),IF(AG70="PT",IF(AH70&lt;PT_First,0,1+INT((AH70-PT_First)/PT_Int)),0))-IF(AG70="FT",IF(AI70&lt;FT_First,0,IF(AI70&lt;FT_Y5,1+INT((AI70-FT_First)/FT_Int1),FT_PreY5+FT_PerYear*INT((AI70-FT_Y5)/12)+FT_AnnivDays+INT(MOD(AI70-FT_Y5,12)/FT_Int2))),IF(AG70="PT",IF(AI70&lt;PT_First,0,1+INT((AI70-PT_First)/PT_Int)),0))))</f>
        <v/>
      </c>
      <c r="AM70" s="12" t="str">
        <f aca="false">IF(AC70=0,"",IF(AF70="FT",IF(AK70&lt;FT_First,0,IF(AK70&lt;FT_Y5,1+INT((AK70-FT_First)/FT_Int1),FT_PreY5+FT_PerYear*INT((AK70-FT_Y5)/12)+FT_AnnivDays+INT(MOD(AK70-FT_Y5,12)/FT_Int2))),IF(AF70="PT",IF(AK70&lt;PT_First,0,1+INT((AK70-PT_First)/PT_Int)),0))+IF(OR(AE70="",AE70&gt;PFYDate),0,IF(AG70="FT",IF(AJ70&lt;FT_First,0,IF(AJ70&lt;FT_Y5,1+INT((AJ70-FT_First)/FT_Int1),FT_PreY5+FT_PerYear*INT((AJ70-FT_Y5)/12)+FT_AnnivDays+INT(MOD(AJ70-FT_Y5,12)/FT_Int2))),IF(AG70="PT",IF(AJ70&lt;PT_First,0,1+INT((AJ70-PT_First)/PT_Int)),0))-IF(AG70="FT",IF(AK70&lt;FT_First,0,IF(AK70&lt;FT_Y5,1+INT((AK70-FT_First)/FT_Int1),FT_PreY5+FT_PerYear*INT((AK70-FT_Y5)/12)+FT_AnnivDays+INT(MOD(AK70-FT_Y5,12)/FT_Int2))),IF(AG70="PT",IF(AK70&lt;PT_First,0,1+INT((AK70-PT_First)/PT_Int)),0))))</f>
        <v/>
      </c>
      <c r="AN70" s="12" t="str">
        <f aca="false">IF(AC70=0,"",IF(AG70="FT",IF(AH70&lt;FT_First,FT_First,IF(AH70&lt;FT_Y5,MIN(FT_Y5,FT_First+FT_Int1*(INT((AH70-FT_First)/FT_Int1)+1)),FT_Y5+12*INT((AH70-FT_Y5)/12)+FT_Int2*(INT(MOD(AH70-FT_Y5,12)/FT_Int2)+1))),IF(AG70="PT",IF(AH70&lt;PT_First,PT_First,PT_First+PT_Int*(INT((AH70-PT_First)/PT_Int)+1)),"")))</f>
        <v/>
      </c>
      <c r="AO70" s="12" t="str">
        <f aca="false">IF(AC70=0,"",IF(NOT(CFY_Ready),0,COUNTIFS(INDEX(CFY_Data,0,CFY_ColFirst),$A70,INDEX(CFY_Data,0,CFY_ColSur),$B70,INDEX(CFY_Data,0,CFY_ColCat),BonusCat)))</f>
        <v/>
      </c>
    </row>
    <row r="71" customFormat="false" ht="15" hidden="false" customHeight="false" outlineLevel="0" collapsed="false">
      <c r="A71" s="15"/>
      <c r="B71" s="15"/>
      <c r="C71" s="15"/>
      <c r="D71" s="16"/>
      <c r="E71" s="10" t="str">
        <f aca="false">IF(OR(AC71=0,$D71=""),"",DATE(YEAR(AsOfDate)+IF(DATE(YEAR(AsOfDate),MONTH($D71),DAY($D71))&lt;=AsOfDate,1,0),MONTH($D71),DAY($D71)))</f>
        <v/>
      </c>
      <c r="F71" s="16"/>
      <c r="G71" s="16"/>
      <c r="H71" s="16"/>
      <c r="I71" s="16"/>
      <c r="J71" s="10" t="str">
        <f aca="false">IF(AC71=0,"",DATE(YEAR(AsOfDate)+IF(DATE(YEAR(AsOfDate),MONTH($F71),DAY($F71))&lt;=AsOfDate,1,0),MONTH($F71),DAY($F71)))</f>
        <v/>
      </c>
      <c r="K71" s="11" t="str">
        <f aca="false">IF(AC71=0,"",ROUND((AsOfDate-$F71)/365.25,1))</f>
        <v/>
      </c>
      <c r="L71" s="12" t="str">
        <f aca="false">IF(AC71=0,"",IF(AsOfDate&lt;AD71,"-",DATEDIF(AD71,AsOfDate,"y")&amp;"y "&amp;DATEDIF(AD71,AsOfDate,"ym")&amp;"m "&amp;DATEDIF(AD71,AsOfDate,"md")&amp;"d"))</f>
        <v/>
      </c>
      <c r="M71" s="13" t="str">
        <f aca="false">IF(AC71=0,"",N71*HoursPerDay)</f>
        <v/>
      </c>
      <c r="N71" s="13" t="str">
        <f aca="false">IF(AC71=0,"",AL71)</f>
        <v/>
      </c>
      <c r="O71" s="17"/>
      <c r="P71" s="12" t="str">
        <f aca="false">IF(AC71=0,"",IF(AE71="","",IF($G71&lt;$H71,"Part-Time to Full-Time","Full-Time to Part-Time")&amp;" on "&amp;TEXT(AE71,"dd/mm/yyyy")&amp;IF(AE71&gt;AsOfDate," (future)",IF(AF71=AG71,"",IF(AG71="None"," - STOPPED accruing",IF(AF71="None"," - now qualifying"," - pathway changed"))))))</f>
        <v/>
      </c>
      <c r="Q71" s="12" t="str">
        <f aca="false">IF(AC71=0,"",IF(AG71="None",IF(N71&gt;0,"No longer accruing","Not eligible - "&amp;IF(AND($C71="Part-Time",N($O71)&lt;PT_MinHours,$O71&lt;&gt;""),"under "&amp;PT_MinHours&amp;" hrs",$C71)),IF(N71&gt;0,"Yes - accruing","Not yet - from "&amp;TEXT(R71,"dd/mm/yyyy"))))</f>
        <v/>
      </c>
      <c r="R71" s="10" t="str">
        <f aca="false">IF(AC71=0,"",IF(AG71="None","",EDATE(AD71,AN71)))</f>
        <v/>
      </c>
      <c r="S71" s="13" t="str">
        <f aca="false">IF(AC71=0,"",IF(NOT(PFY_Ready),"",SUMIFS(INDEX(PFY_Data,0,PFY_ColBal),INDEX(PFY_Data,0,PFY_ColFirst),$A71,INDEX(PFY_Data,0,PFY_ColSur),$B71,INDEX(PFY_Data,0,PFY_ColCat),BonusCat)))</f>
        <v/>
      </c>
      <c r="T71" s="17"/>
      <c r="U71" s="13" t="str">
        <f aca="false">IF(AC71=0,"",IF(NOT(CFY_Ready),"",SUMIFS(INDEX(CFY_Data,0,CFY_ColBal),INDEX(CFY_Data,0,CFY_ColFirst),$A71,INDEX(CFY_Data,0,CFY_ColSur),$B71,INDEX(CFY_Data,0,CFY_ColCat),BonusCat)))</f>
        <v/>
      </c>
      <c r="V71" s="13" t="str">
        <f aca="false">IF(AC71=0,"",IF(OR(NOT(CFY_Ready),CFY_ColAppr=0),"",SUMIFS(INDEX(CFY_Data,0,CFY_ColAppr),INDEX(CFY_Data,0,CFY_ColFirst),$A71,INDEX(CFY_Data,0,CFY_ColSur),$B71,INDEX(CFY_Data,0,CFY_ColCat),BonusCat)))</f>
        <v/>
      </c>
      <c r="W71" s="13" t="str">
        <f aca="false">IF(OR(AC71=0,S71="",U71=""),"",MAX(0,S71+N($T71)-U71))</f>
        <v/>
      </c>
      <c r="X71" s="13" t="str">
        <f aca="false">IF(AC71=0,"",(AL71-AM71)*HoursPerDay)</f>
        <v/>
      </c>
      <c r="Y71" s="13" t="str">
        <f aca="false">IF(AC71=0,"",X71-N($T71))</f>
        <v/>
      </c>
      <c r="Z71" s="12" t="str">
        <f aca="false">IF(AC71=0,"",IF(Y71&gt;0,"Yes","No"))</f>
        <v/>
      </c>
      <c r="AA71" s="12" t="str">
        <f aca="false">IF(AC71=0,"",IF(NOT(CFY_Ready),"Paste CFY EH export",IF(Y71&gt;0,"ACCRUE "&amp;TEXT(Y71,"0.##")&amp;" hrs ("&amp;TEXT(Y71/HoursPerDay,"0.##")&amp;" days)"&amp;IF(AO71=0," - no Bonus Leave line in EH yet",""),IF(Y71&lt;0,"CHECK - posted "&amp;TEXT(-Y71,"0.##")&amp;" hrs more than policy",IF(AND(N71&gt;0,AO71=0,U71=0),"CHECK - policy says "&amp;TEXT(M71,"0.##")&amp;" hrs to date but nothing in EH",IF(N71&gt;0,"OK","-"))))))</f>
        <v/>
      </c>
      <c r="AB71" s="13" t="str">
        <f aca="false">IF(OR(AC71=0,S71=""),"",AM71*HoursPerDay-S71)</f>
        <v/>
      </c>
      <c r="AC71" s="12" t="n">
        <f aca="false">IF(OR(LEN($A71&amp;$B71)=0,$F71=""),0,1)</f>
        <v>0</v>
      </c>
      <c r="AD71" s="10" t="str">
        <f aca="false">IF(AC71=0,"",IF($I71&lt;&gt;"",$I71,$F71))</f>
        <v/>
      </c>
      <c r="AE71" s="10" t="str">
        <f aca="false">IF(AC71=0,"",IF(AND($G71&lt;&gt;"",$H71&lt;&gt;"",$G71&lt;&gt;$H71),MAX($G71,$H71),""))</f>
        <v/>
      </c>
      <c r="AF71" s="12" t="str">
        <f aca="false">IF(AC71=0,"",IF(AE71="",AG71,IF(IF($G71&lt;$H71,"Part-Time","Full-Time")="Full-Time","FT",IF(AND(IF($G71&lt;$H71,"Part-Time","Full-Time")="Part-Time",OR($O71="",N($O71)&gt;=PT_MinHours)),"PT","None"))))</f>
        <v/>
      </c>
      <c r="AG71" s="12" t="str">
        <f aca="false">IF(AC71=0,"",IF($C71="Full-Time","FT",IF(AND($C71="Part-Time",OR($O71="",N($O71)&gt;=PT_MinHours)),"PT","None")))</f>
        <v/>
      </c>
      <c r="AH71" s="12" t="str">
        <f aca="false">IF(AC71=0,"",IF(AsOfDate&lt;AD71,-1,12*(YEAR(AsOfDate)-YEAR(AD71))+MONTH(AsOfDate)-MONTH(AD71)-IF(DAY(AsOfDate)&lt;MIN(DAY(AD71),DAY(EOMONTH(AsOfDate,0))),1,0)))</f>
        <v/>
      </c>
      <c r="AI71" s="12" t="str">
        <f aca="false">IF(AC71=0,"",IF(OR(AE71="",AE71&gt;AsOfDate),AH71,IF((AE71-1)&lt;AD71,-1,12*(YEAR((AE71-1))-YEAR(AD71))+MONTH((AE71-1))-MONTH(AD71)-IF(DAY((AE71-1))&lt;MIN(DAY(AD71),DAY(EOMONTH((AE71-1),0))),1,0))))</f>
        <v/>
      </c>
      <c r="AJ71" s="12" t="str">
        <f aca="false">IF(AC71=0,"",IF(PFYDate&lt;AD71,-1,12*(YEAR(PFYDate)-YEAR(AD71))+MONTH(PFYDate)-MONTH(AD71)-IF(DAY(PFYDate)&lt;MIN(DAY(AD71),DAY(EOMONTH(PFYDate,0))),1,0)))</f>
        <v/>
      </c>
      <c r="AK71" s="12" t="str">
        <f aca="false">IF(AC71=0,"",IF(OR(AE71="",AE71&gt;PFYDate),AJ71,IF((AE71-1)&lt;AD71,-1,12*(YEAR((AE71-1))-YEAR(AD71))+MONTH((AE71-1))-MONTH(AD71)-IF(DAY((AE71-1))&lt;MIN(DAY(AD71),DAY(EOMONTH((AE71-1),0))),1,0))))</f>
        <v/>
      </c>
      <c r="AL71" s="12" t="str">
        <f aca="false">IF(AC71=0,"",IF(AF71="FT",IF(AI71&lt;FT_First,0,IF(AI71&lt;FT_Y5,1+INT((AI71-FT_First)/FT_Int1),FT_PreY5+FT_PerYear*INT((AI71-FT_Y5)/12)+FT_AnnivDays+INT(MOD(AI71-FT_Y5,12)/FT_Int2))),IF(AF71="PT",IF(AI71&lt;PT_First,0,1+INT((AI71-PT_First)/PT_Int)),0))+IF(OR(AE71="",AE71&gt;AsOfDate),0,IF(AG71="FT",IF(AH71&lt;FT_First,0,IF(AH71&lt;FT_Y5,1+INT((AH71-FT_First)/FT_Int1),FT_PreY5+FT_PerYear*INT((AH71-FT_Y5)/12)+FT_AnnivDays+INT(MOD(AH71-FT_Y5,12)/FT_Int2))),IF(AG71="PT",IF(AH71&lt;PT_First,0,1+INT((AH71-PT_First)/PT_Int)),0))-IF(AG71="FT",IF(AI71&lt;FT_First,0,IF(AI71&lt;FT_Y5,1+INT((AI71-FT_First)/FT_Int1),FT_PreY5+FT_PerYear*INT((AI71-FT_Y5)/12)+FT_AnnivDays+INT(MOD(AI71-FT_Y5,12)/FT_Int2))),IF(AG71="PT",IF(AI71&lt;PT_First,0,1+INT((AI71-PT_First)/PT_Int)),0))))</f>
        <v/>
      </c>
      <c r="AM71" s="12" t="str">
        <f aca="false">IF(AC71=0,"",IF(AF71="FT",IF(AK71&lt;FT_First,0,IF(AK71&lt;FT_Y5,1+INT((AK71-FT_First)/FT_Int1),FT_PreY5+FT_PerYear*INT((AK71-FT_Y5)/12)+FT_AnnivDays+INT(MOD(AK71-FT_Y5,12)/FT_Int2))),IF(AF71="PT",IF(AK71&lt;PT_First,0,1+INT((AK71-PT_First)/PT_Int)),0))+IF(OR(AE71="",AE71&gt;PFYDate),0,IF(AG71="FT",IF(AJ71&lt;FT_First,0,IF(AJ71&lt;FT_Y5,1+INT((AJ71-FT_First)/FT_Int1),FT_PreY5+FT_PerYear*INT((AJ71-FT_Y5)/12)+FT_AnnivDays+INT(MOD(AJ71-FT_Y5,12)/FT_Int2))),IF(AG71="PT",IF(AJ71&lt;PT_First,0,1+INT((AJ71-PT_First)/PT_Int)),0))-IF(AG71="FT",IF(AK71&lt;FT_First,0,IF(AK71&lt;FT_Y5,1+INT((AK71-FT_First)/FT_Int1),FT_PreY5+FT_PerYear*INT((AK71-FT_Y5)/12)+FT_AnnivDays+INT(MOD(AK71-FT_Y5,12)/FT_Int2))),IF(AG71="PT",IF(AK71&lt;PT_First,0,1+INT((AK71-PT_First)/PT_Int)),0))))</f>
        <v/>
      </c>
      <c r="AN71" s="12" t="str">
        <f aca="false">IF(AC71=0,"",IF(AG71="FT",IF(AH71&lt;FT_First,FT_First,IF(AH71&lt;FT_Y5,MIN(FT_Y5,FT_First+FT_Int1*(INT((AH71-FT_First)/FT_Int1)+1)),FT_Y5+12*INT((AH71-FT_Y5)/12)+FT_Int2*(INT(MOD(AH71-FT_Y5,12)/FT_Int2)+1))),IF(AG71="PT",IF(AH71&lt;PT_First,PT_First,PT_First+PT_Int*(INT((AH71-PT_First)/PT_Int)+1)),"")))</f>
        <v/>
      </c>
      <c r="AO71" s="12" t="str">
        <f aca="false">IF(AC71=0,"",IF(NOT(CFY_Ready),0,COUNTIFS(INDEX(CFY_Data,0,CFY_ColFirst),$A71,INDEX(CFY_Data,0,CFY_ColSur),$B71,INDEX(CFY_Data,0,CFY_ColCat),BonusCat)))</f>
        <v/>
      </c>
    </row>
    <row r="72" customFormat="false" ht="15" hidden="false" customHeight="false" outlineLevel="0" collapsed="false">
      <c r="A72" s="15"/>
      <c r="B72" s="15"/>
      <c r="C72" s="15"/>
      <c r="D72" s="16"/>
      <c r="E72" s="10" t="str">
        <f aca="false">IF(OR(AC72=0,$D72=""),"",DATE(YEAR(AsOfDate)+IF(DATE(YEAR(AsOfDate),MONTH($D72),DAY($D72))&lt;=AsOfDate,1,0),MONTH($D72),DAY($D72)))</f>
        <v/>
      </c>
      <c r="F72" s="16"/>
      <c r="G72" s="16"/>
      <c r="H72" s="16"/>
      <c r="I72" s="16"/>
      <c r="J72" s="10" t="str">
        <f aca="false">IF(AC72=0,"",DATE(YEAR(AsOfDate)+IF(DATE(YEAR(AsOfDate),MONTH($F72),DAY($F72))&lt;=AsOfDate,1,0),MONTH($F72),DAY($F72)))</f>
        <v/>
      </c>
      <c r="K72" s="11" t="str">
        <f aca="false">IF(AC72=0,"",ROUND((AsOfDate-$F72)/365.25,1))</f>
        <v/>
      </c>
      <c r="L72" s="12" t="str">
        <f aca="false">IF(AC72=0,"",IF(AsOfDate&lt;AD72,"-",DATEDIF(AD72,AsOfDate,"y")&amp;"y "&amp;DATEDIF(AD72,AsOfDate,"ym")&amp;"m "&amp;DATEDIF(AD72,AsOfDate,"md")&amp;"d"))</f>
        <v/>
      </c>
      <c r="M72" s="13" t="str">
        <f aca="false">IF(AC72=0,"",N72*HoursPerDay)</f>
        <v/>
      </c>
      <c r="N72" s="13" t="str">
        <f aca="false">IF(AC72=0,"",AL72)</f>
        <v/>
      </c>
      <c r="O72" s="17"/>
      <c r="P72" s="12" t="str">
        <f aca="false">IF(AC72=0,"",IF(AE72="","",IF($G72&lt;$H72,"Part-Time to Full-Time","Full-Time to Part-Time")&amp;" on "&amp;TEXT(AE72,"dd/mm/yyyy")&amp;IF(AE72&gt;AsOfDate," (future)",IF(AF72=AG72,"",IF(AG72="None"," - STOPPED accruing",IF(AF72="None"," - now qualifying"," - pathway changed"))))))</f>
        <v/>
      </c>
      <c r="Q72" s="12" t="str">
        <f aca="false">IF(AC72=0,"",IF(AG72="None",IF(N72&gt;0,"No longer accruing","Not eligible - "&amp;IF(AND($C72="Part-Time",N($O72)&lt;PT_MinHours,$O72&lt;&gt;""),"under "&amp;PT_MinHours&amp;" hrs",$C72)),IF(N72&gt;0,"Yes - accruing","Not yet - from "&amp;TEXT(R72,"dd/mm/yyyy"))))</f>
        <v/>
      </c>
      <c r="R72" s="10" t="str">
        <f aca="false">IF(AC72=0,"",IF(AG72="None","",EDATE(AD72,AN72)))</f>
        <v/>
      </c>
      <c r="S72" s="13" t="str">
        <f aca="false">IF(AC72=0,"",IF(NOT(PFY_Ready),"",SUMIFS(INDEX(PFY_Data,0,PFY_ColBal),INDEX(PFY_Data,0,PFY_ColFirst),$A72,INDEX(PFY_Data,0,PFY_ColSur),$B72,INDEX(PFY_Data,0,PFY_ColCat),BonusCat)))</f>
        <v/>
      </c>
      <c r="T72" s="17"/>
      <c r="U72" s="13" t="str">
        <f aca="false">IF(AC72=0,"",IF(NOT(CFY_Ready),"",SUMIFS(INDEX(CFY_Data,0,CFY_ColBal),INDEX(CFY_Data,0,CFY_ColFirst),$A72,INDEX(CFY_Data,0,CFY_ColSur),$B72,INDEX(CFY_Data,0,CFY_ColCat),BonusCat)))</f>
        <v/>
      </c>
      <c r="V72" s="13" t="str">
        <f aca="false">IF(AC72=0,"",IF(OR(NOT(CFY_Ready),CFY_ColAppr=0),"",SUMIFS(INDEX(CFY_Data,0,CFY_ColAppr),INDEX(CFY_Data,0,CFY_ColFirst),$A72,INDEX(CFY_Data,0,CFY_ColSur),$B72,INDEX(CFY_Data,0,CFY_ColCat),BonusCat)))</f>
        <v/>
      </c>
      <c r="W72" s="13" t="str">
        <f aca="false">IF(OR(AC72=0,S72="",U72=""),"",MAX(0,S72+N($T72)-U72))</f>
        <v/>
      </c>
      <c r="X72" s="13" t="str">
        <f aca="false">IF(AC72=0,"",(AL72-AM72)*HoursPerDay)</f>
        <v/>
      </c>
      <c r="Y72" s="13" t="str">
        <f aca="false">IF(AC72=0,"",X72-N($T72))</f>
        <v/>
      </c>
      <c r="Z72" s="12" t="str">
        <f aca="false">IF(AC72=0,"",IF(Y72&gt;0,"Yes","No"))</f>
        <v/>
      </c>
      <c r="AA72" s="12" t="str">
        <f aca="false">IF(AC72=0,"",IF(NOT(CFY_Ready),"Paste CFY EH export",IF(Y72&gt;0,"ACCRUE "&amp;TEXT(Y72,"0.##")&amp;" hrs ("&amp;TEXT(Y72/HoursPerDay,"0.##")&amp;" days)"&amp;IF(AO72=0," - no Bonus Leave line in EH yet",""),IF(Y72&lt;0,"CHECK - posted "&amp;TEXT(-Y72,"0.##")&amp;" hrs more than policy",IF(AND(N72&gt;0,AO72=0,U72=0),"CHECK - policy says "&amp;TEXT(M72,"0.##")&amp;" hrs to date but nothing in EH",IF(N72&gt;0,"OK","-"))))))</f>
        <v/>
      </c>
      <c r="AB72" s="13" t="str">
        <f aca="false">IF(OR(AC72=0,S72=""),"",AM72*HoursPerDay-S72)</f>
        <v/>
      </c>
      <c r="AC72" s="12" t="n">
        <f aca="false">IF(OR(LEN($A72&amp;$B72)=0,$F72=""),0,1)</f>
        <v>0</v>
      </c>
      <c r="AD72" s="10" t="str">
        <f aca="false">IF(AC72=0,"",IF($I72&lt;&gt;"",$I72,$F72))</f>
        <v/>
      </c>
      <c r="AE72" s="10" t="str">
        <f aca="false">IF(AC72=0,"",IF(AND($G72&lt;&gt;"",$H72&lt;&gt;"",$G72&lt;&gt;$H72),MAX($G72,$H72),""))</f>
        <v/>
      </c>
      <c r="AF72" s="12" t="str">
        <f aca="false">IF(AC72=0,"",IF(AE72="",AG72,IF(IF($G72&lt;$H72,"Part-Time","Full-Time")="Full-Time","FT",IF(AND(IF($G72&lt;$H72,"Part-Time","Full-Time")="Part-Time",OR($O72="",N($O72)&gt;=PT_MinHours)),"PT","None"))))</f>
        <v/>
      </c>
      <c r="AG72" s="12" t="str">
        <f aca="false">IF(AC72=0,"",IF($C72="Full-Time","FT",IF(AND($C72="Part-Time",OR($O72="",N($O72)&gt;=PT_MinHours)),"PT","None")))</f>
        <v/>
      </c>
      <c r="AH72" s="12" t="str">
        <f aca="false">IF(AC72=0,"",IF(AsOfDate&lt;AD72,-1,12*(YEAR(AsOfDate)-YEAR(AD72))+MONTH(AsOfDate)-MONTH(AD72)-IF(DAY(AsOfDate)&lt;MIN(DAY(AD72),DAY(EOMONTH(AsOfDate,0))),1,0)))</f>
        <v/>
      </c>
      <c r="AI72" s="12" t="str">
        <f aca="false">IF(AC72=0,"",IF(OR(AE72="",AE72&gt;AsOfDate),AH72,IF((AE72-1)&lt;AD72,-1,12*(YEAR((AE72-1))-YEAR(AD72))+MONTH((AE72-1))-MONTH(AD72)-IF(DAY((AE72-1))&lt;MIN(DAY(AD72),DAY(EOMONTH((AE72-1),0))),1,0))))</f>
        <v/>
      </c>
      <c r="AJ72" s="12" t="str">
        <f aca="false">IF(AC72=0,"",IF(PFYDate&lt;AD72,-1,12*(YEAR(PFYDate)-YEAR(AD72))+MONTH(PFYDate)-MONTH(AD72)-IF(DAY(PFYDate)&lt;MIN(DAY(AD72),DAY(EOMONTH(PFYDate,0))),1,0)))</f>
        <v/>
      </c>
      <c r="AK72" s="12" t="str">
        <f aca="false">IF(AC72=0,"",IF(OR(AE72="",AE72&gt;PFYDate),AJ72,IF((AE72-1)&lt;AD72,-1,12*(YEAR((AE72-1))-YEAR(AD72))+MONTH((AE72-1))-MONTH(AD72)-IF(DAY((AE72-1))&lt;MIN(DAY(AD72),DAY(EOMONTH((AE72-1),0))),1,0))))</f>
        <v/>
      </c>
      <c r="AL72" s="12" t="str">
        <f aca="false">IF(AC72=0,"",IF(AF72="FT",IF(AI72&lt;FT_First,0,IF(AI72&lt;FT_Y5,1+INT((AI72-FT_First)/FT_Int1),FT_PreY5+FT_PerYear*INT((AI72-FT_Y5)/12)+FT_AnnivDays+INT(MOD(AI72-FT_Y5,12)/FT_Int2))),IF(AF72="PT",IF(AI72&lt;PT_First,0,1+INT((AI72-PT_First)/PT_Int)),0))+IF(OR(AE72="",AE72&gt;AsOfDate),0,IF(AG72="FT",IF(AH72&lt;FT_First,0,IF(AH72&lt;FT_Y5,1+INT((AH72-FT_First)/FT_Int1),FT_PreY5+FT_PerYear*INT((AH72-FT_Y5)/12)+FT_AnnivDays+INT(MOD(AH72-FT_Y5,12)/FT_Int2))),IF(AG72="PT",IF(AH72&lt;PT_First,0,1+INT((AH72-PT_First)/PT_Int)),0))-IF(AG72="FT",IF(AI72&lt;FT_First,0,IF(AI72&lt;FT_Y5,1+INT((AI72-FT_First)/FT_Int1),FT_PreY5+FT_PerYear*INT((AI72-FT_Y5)/12)+FT_AnnivDays+INT(MOD(AI72-FT_Y5,12)/FT_Int2))),IF(AG72="PT",IF(AI72&lt;PT_First,0,1+INT((AI72-PT_First)/PT_Int)),0))))</f>
        <v/>
      </c>
      <c r="AM72" s="12" t="str">
        <f aca="false">IF(AC72=0,"",IF(AF72="FT",IF(AK72&lt;FT_First,0,IF(AK72&lt;FT_Y5,1+INT((AK72-FT_First)/FT_Int1),FT_PreY5+FT_PerYear*INT((AK72-FT_Y5)/12)+FT_AnnivDays+INT(MOD(AK72-FT_Y5,12)/FT_Int2))),IF(AF72="PT",IF(AK72&lt;PT_First,0,1+INT((AK72-PT_First)/PT_Int)),0))+IF(OR(AE72="",AE72&gt;PFYDate),0,IF(AG72="FT",IF(AJ72&lt;FT_First,0,IF(AJ72&lt;FT_Y5,1+INT((AJ72-FT_First)/FT_Int1),FT_PreY5+FT_PerYear*INT((AJ72-FT_Y5)/12)+FT_AnnivDays+INT(MOD(AJ72-FT_Y5,12)/FT_Int2))),IF(AG72="PT",IF(AJ72&lt;PT_First,0,1+INT((AJ72-PT_First)/PT_Int)),0))-IF(AG72="FT",IF(AK72&lt;FT_First,0,IF(AK72&lt;FT_Y5,1+INT((AK72-FT_First)/FT_Int1),FT_PreY5+FT_PerYear*INT((AK72-FT_Y5)/12)+FT_AnnivDays+INT(MOD(AK72-FT_Y5,12)/FT_Int2))),IF(AG72="PT",IF(AK72&lt;PT_First,0,1+INT((AK72-PT_First)/PT_Int)),0))))</f>
        <v/>
      </c>
      <c r="AN72" s="12" t="str">
        <f aca="false">IF(AC72=0,"",IF(AG72="FT",IF(AH72&lt;FT_First,FT_First,IF(AH72&lt;FT_Y5,MIN(FT_Y5,FT_First+FT_Int1*(INT((AH72-FT_First)/FT_Int1)+1)),FT_Y5+12*INT((AH72-FT_Y5)/12)+FT_Int2*(INT(MOD(AH72-FT_Y5,12)/FT_Int2)+1))),IF(AG72="PT",IF(AH72&lt;PT_First,PT_First,PT_First+PT_Int*(INT((AH72-PT_First)/PT_Int)+1)),"")))</f>
        <v/>
      </c>
      <c r="AO72" s="12" t="str">
        <f aca="false">IF(AC72=0,"",IF(NOT(CFY_Ready),0,COUNTIFS(INDEX(CFY_Data,0,CFY_ColFirst),$A72,INDEX(CFY_Data,0,CFY_ColSur),$B72,INDEX(CFY_Data,0,CFY_ColCat),BonusCat)))</f>
        <v/>
      </c>
    </row>
    <row r="73" customFormat="false" ht="15" hidden="false" customHeight="false" outlineLevel="0" collapsed="false">
      <c r="A73" s="15"/>
      <c r="B73" s="15"/>
      <c r="C73" s="15"/>
      <c r="D73" s="16"/>
      <c r="E73" s="10" t="str">
        <f aca="false">IF(OR(AC73=0,$D73=""),"",DATE(YEAR(AsOfDate)+IF(DATE(YEAR(AsOfDate),MONTH($D73),DAY($D73))&lt;=AsOfDate,1,0),MONTH($D73),DAY($D73)))</f>
        <v/>
      </c>
      <c r="F73" s="16"/>
      <c r="G73" s="16"/>
      <c r="H73" s="16"/>
      <c r="I73" s="16"/>
      <c r="J73" s="10" t="str">
        <f aca="false">IF(AC73=0,"",DATE(YEAR(AsOfDate)+IF(DATE(YEAR(AsOfDate),MONTH($F73),DAY($F73))&lt;=AsOfDate,1,0),MONTH($F73),DAY($F73)))</f>
        <v/>
      </c>
      <c r="K73" s="11" t="str">
        <f aca="false">IF(AC73=0,"",ROUND((AsOfDate-$F73)/365.25,1))</f>
        <v/>
      </c>
      <c r="L73" s="12" t="str">
        <f aca="false">IF(AC73=0,"",IF(AsOfDate&lt;AD73,"-",DATEDIF(AD73,AsOfDate,"y")&amp;"y "&amp;DATEDIF(AD73,AsOfDate,"ym")&amp;"m "&amp;DATEDIF(AD73,AsOfDate,"md")&amp;"d"))</f>
        <v/>
      </c>
      <c r="M73" s="13" t="str">
        <f aca="false">IF(AC73=0,"",N73*HoursPerDay)</f>
        <v/>
      </c>
      <c r="N73" s="13" t="str">
        <f aca="false">IF(AC73=0,"",AL73)</f>
        <v/>
      </c>
      <c r="O73" s="17"/>
      <c r="P73" s="12" t="str">
        <f aca="false">IF(AC73=0,"",IF(AE73="","",IF($G73&lt;$H73,"Part-Time to Full-Time","Full-Time to Part-Time")&amp;" on "&amp;TEXT(AE73,"dd/mm/yyyy")&amp;IF(AE73&gt;AsOfDate," (future)",IF(AF73=AG73,"",IF(AG73="None"," - STOPPED accruing",IF(AF73="None"," - now qualifying"," - pathway changed"))))))</f>
        <v/>
      </c>
      <c r="Q73" s="12" t="str">
        <f aca="false">IF(AC73=0,"",IF(AG73="None",IF(N73&gt;0,"No longer accruing","Not eligible - "&amp;IF(AND($C73="Part-Time",N($O73)&lt;PT_MinHours,$O73&lt;&gt;""),"under "&amp;PT_MinHours&amp;" hrs",$C73)),IF(N73&gt;0,"Yes - accruing","Not yet - from "&amp;TEXT(R73,"dd/mm/yyyy"))))</f>
        <v/>
      </c>
      <c r="R73" s="10" t="str">
        <f aca="false">IF(AC73=0,"",IF(AG73="None","",EDATE(AD73,AN73)))</f>
        <v/>
      </c>
      <c r="S73" s="13" t="str">
        <f aca="false">IF(AC73=0,"",IF(NOT(PFY_Ready),"",SUMIFS(INDEX(PFY_Data,0,PFY_ColBal),INDEX(PFY_Data,0,PFY_ColFirst),$A73,INDEX(PFY_Data,0,PFY_ColSur),$B73,INDEX(PFY_Data,0,PFY_ColCat),BonusCat)))</f>
        <v/>
      </c>
      <c r="T73" s="17"/>
      <c r="U73" s="13" t="str">
        <f aca="false">IF(AC73=0,"",IF(NOT(CFY_Ready),"",SUMIFS(INDEX(CFY_Data,0,CFY_ColBal),INDEX(CFY_Data,0,CFY_ColFirst),$A73,INDEX(CFY_Data,0,CFY_ColSur),$B73,INDEX(CFY_Data,0,CFY_ColCat),BonusCat)))</f>
        <v/>
      </c>
      <c r="V73" s="13" t="str">
        <f aca="false">IF(AC73=0,"",IF(OR(NOT(CFY_Ready),CFY_ColAppr=0),"",SUMIFS(INDEX(CFY_Data,0,CFY_ColAppr),INDEX(CFY_Data,0,CFY_ColFirst),$A73,INDEX(CFY_Data,0,CFY_ColSur),$B73,INDEX(CFY_Data,0,CFY_ColCat),BonusCat)))</f>
        <v/>
      </c>
      <c r="W73" s="13" t="str">
        <f aca="false">IF(OR(AC73=0,S73="",U73=""),"",MAX(0,S73+N($T73)-U73))</f>
        <v/>
      </c>
      <c r="X73" s="13" t="str">
        <f aca="false">IF(AC73=0,"",(AL73-AM73)*HoursPerDay)</f>
        <v/>
      </c>
      <c r="Y73" s="13" t="str">
        <f aca="false">IF(AC73=0,"",X73-N($T73))</f>
        <v/>
      </c>
      <c r="Z73" s="12" t="str">
        <f aca="false">IF(AC73=0,"",IF(Y73&gt;0,"Yes","No"))</f>
        <v/>
      </c>
      <c r="AA73" s="12" t="str">
        <f aca="false">IF(AC73=0,"",IF(NOT(CFY_Ready),"Paste CFY EH export",IF(Y73&gt;0,"ACCRUE "&amp;TEXT(Y73,"0.##")&amp;" hrs ("&amp;TEXT(Y73/HoursPerDay,"0.##")&amp;" days)"&amp;IF(AO73=0," - no Bonus Leave line in EH yet",""),IF(Y73&lt;0,"CHECK - posted "&amp;TEXT(-Y73,"0.##")&amp;" hrs more than policy",IF(AND(N73&gt;0,AO73=0,U73=0),"CHECK - policy says "&amp;TEXT(M73,"0.##")&amp;" hrs to date but nothing in EH",IF(N73&gt;0,"OK","-"))))))</f>
        <v/>
      </c>
      <c r="AB73" s="13" t="str">
        <f aca="false">IF(OR(AC73=0,S73=""),"",AM73*HoursPerDay-S73)</f>
        <v/>
      </c>
      <c r="AC73" s="12" t="n">
        <f aca="false">IF(OR(LEN($A73&amp;$B73)=0,$F73=""),0,1)</f>
        <v>0</v>
      </c>
      <c r="AD73" s="10" t="str">
        <f aca="false">IF(AC73=0,"",IF($I73&lt;&gt;"",$I73,$F73))</f>
        <v/>
      </c>
      <c r="AE73" s="10" t="str">
        <f aca="false">IF(AC73=0,"",IF(AND($G73&lt;&gt;"",$H73&lt;&gt;"",$G73&lt;&gt;$H73),MAX($G73,$H73),""))</f>
        <v/>
      </c>
      <c r="AF73" s="12" t="str">
        <f aca="false">IF(AC73=0,"",IF(AE73="",AG73,IF(IF($G73&lt;$H73,"Part-Time","Full-Time")="Full-Time","FT",IF(AND(IF($G73&lt;$H73,"Part-Time","Full-Time")="Part-Time",OR($O73="",N($O73)&gt;=PT_MinHours)),"PT","None"))))</f>
        <v/>
      </c>
      <c r="AG73" s="12" t="str">
        <f aca="false">IF(AC73=0,"",IF($C73="Full-Time","FT",IF(AND($C73="Part-Time",OR($O73="",N($O73)&gt;=PT_MinHours)),"PT","None")))</f>
        <v/>
      </c>
      <c r="AH73" s="12" t="str">
        <f aca="false">IF(AC73=0,"",IF(AsOfDate&lt;AD73,-1,12*(YEAR(AsOfDate)-YEAR(AD73))+MONTH(AsOfDate)-MONTH(AD73)-IF(DAY(AsOfDate)&lt;MIN(DAY(AD73),DAY(EOMONTH(AsOfDate,0))),1,0)))</f>
        <v/>
      </c>
      <c r="AI73" s="12" t="str">
        <f aca="false">IF(AC73=0,"",IF(OR(AE73="",AE73&gt;AsOfDate),AH73,IF((AE73-1)&lt;AD73,-1,12*(YEAR((AE73-1))-YEAR(AD73))+MONTH((AE73-1))-MONTH(AD73)-IF(DAY((AE73-1))&lt;MIN(DAY(AD73),DAY(EOMONTH((AE73-1),0))),1,0))))</f>
        <v/>
      </c>
      <c r="AJ73" s="12" t="str">
        <f aca="false">IF(AC73=0,"",IF(PFYDate&lt;AD73,-1,12*(YEAR(PFYDate)-YEAR(AD73))+MONTH(PFYDate)-MONTH(AD73)-IF(DAY(PFYDate)&lt;MIN(DAY(AD73),DAY(EOMONTH(PFYDate,0))),1,0)))</f>
        <v/>
      </c>
      <c r="AK73" s="12" t="str">
        <f aca="false">IF(AC73=0,"",IF(OR(AE73="",AE73&gt;PFYDate),AJ73,IF((AE73-1)&lt;AD73,-1,12*(YEAR((AE73-1))-YEAR(AD73))+MONTH((AE73-1))-MONTH(AD73)-IF(DAY((AE73-1))&lt;MIN(DAY(AD73),DAY(EOMONTH((AE73-1),0))),1,0))))</f>
        <v/>
      </c>
      <c r="AL73" s="12" t="str">
        <f aca="false">IF(AC73=0,"",IF(AF73="FT",IF(AI73&lt;FT_First,0,IF(AI73&lt;FT_Y5,1+INT((AI73-FT_First)/FT_Int1),FT_PreY5+FT_PerYear*INT((AI73-FT_Y5)/12)+FT_AnnivDays+INT(MOD(AI73-FT_Y5,12)/FT_Int2))),IF(AF73="PT",IF(AI73&lt;PT_First,0,1+INT((AI73-PT_First)/PT_Int)),0))+IF(OR(AE73="",AE73&gt;AsOfDate),0,IF(AG73="FT",IF(AH73&lt;FT_First,0,IF(AH73&lt;FT_Y5,1+INT((AH73-FT_First)/FT_Int1),FT_PreY5+FT_PerYear*INT((AH73-FT_Y5)/12)+FT_AnnivDays+INT(MOD(AH73-FT_Y5,12)/FT_Int2))),IF(AG73="PT",IF(AH73&lt;PT_First,0,1+INT((AH73-PT_First)/PT_Int)),0))-IF(AG73="FT",IF(AI73&lt;FT_First,0,IF(AI73&lt;FT_Y5,1+INT((AI73-FT_First)/FT_Int1),FT_PreY5+FT_PerYear*INT((AI73-FT_Y5)/12)+FT_AnnivDays+INT(MOD(AI73-FT_Y5,12)/FT_Int2))),IF(AG73="PT",IF(AI73&lt;PT_First,0,1+INT((AI73-PT_First)/PT_Int)),0))))</f>
        <v/>
      </c>
      <c r="AM73" s="12" t="str">
        <f aca="false">IF(AC73=0,"",IF(AF73="FT",IF(AK73&lt;FT_First,0,IF(AK73&lt;FT_Y5,1+INT((AK73-FT_First)/FT_Int1),FT_PreY5+FT_PerYear*INT((AK73-FT_Y5)/12)+FT_AnnivDays+INT(MOD(AK73-FT_Y5,12)/FT_Int2))),IF(AF73="PT",IF(AK73&lt;PT_First,0,1+INT((AK73-PT_First)/PT_Int)),0))+IF(OR(AE73="",AE73&gt;PFYDate),0,IF(AG73="FT",IF(AJ73&lt;FT_First,0,IF(AJ73&lt;FT_Y5,1+INT((AJ73-FT_First)/FT_Int1),FT_PreY5+FT_PerYear*INT((AJ73-FT_Y5)/12)+FT_AnnivDays+INT(MOD(AJ73-FT_Y5,12)/FT_Int2))),IF(AG73="PT",IF(AJ73&lt;PT_First,0,1+INT((AJ73-PT_First)/PT_Int)),0))-IF(AG73="FT",IF(AK73&lt;FT_First,0,IF(AK73&lt;FT_Y5,1+INT((AK73-FT_First)/FT_Int1),FT_PreY5+FT_PerYear*INT((AK73-FT_Y5)/12)+FT_AnnivDays+INT(MOD(AK73-FT_Y5,12)/FT_Int2))),IF(AG73="PT",IF(AK73&lt;PT_First,0,1+INT((AK73-PT_First)/PT_Int)),0))))</f>
        <v/>
      </c>
      <c r="AN73" s="12" t="str">
        <f aca="false">IF(AC73=0,"",IF(AG73="FT",IF(AH73&lt;FT_First,FT_First,IF(AH73&lt;FT_Y5,MIN(FT_Y5,FT_First+FT_Int1*(INT((AH73-FT_First)/FT_Int1)+1)),FT_Y5+12*INT((AH73-FT_Y5)/12)+FT_Int2*(INT(MOD(AH73-FT_Y5,12)/FT_Int2)+1))),IF(AG73="PT",IF(AH73&lt;PT_First,PT_First,PT_First+PT_Int*(INT((AH73-PT_First)/PT_Int)+1)),"")))</f>
        <v/>
      </c>
      <c r="AO73" s="12" t="str">
        <f aca="false">IF(AC73=0,"",IF(NOT(CFY_Ready),0,COUNTIFS(INDEX(CFY_Data,0,CFY_ColFirst),$A73,INDEX(CFY_Data,0,CFY_ColSur),$B73,INDEX(CFY_Data,0,CFY_ColCat),BonusCat)))</f>
        <v/>
      </c>
    </row>
    <row r="74" customFormat="false" ht="15" hidden="false" customHeight="false" outlineLevel="0" collapsed="false">
      <c r="A74" s="15"/>
      <c r="B74" s="15"/>
      <c r="C74" s="15"/>
      <c r="D74" s="16"/>
      <c r="E74" s="10" t="str">
        <f aca="false">IF(OR(AC74=0,$D74=""),"",DATE(YEAR(AsOfDate)+IF(DATE(YEAR(AsOfDate),MONTH($D74),DAY($D74))&lt;=AsOfDate,1,0),MONTH($D74),DAY($D74)))</f>
        <v/>
      </c>
      <c r="F74" s="16"/>
      <c r="G74" s="16"/>
      <c r="H74" s="16"/>
      <c r="I74" s="16"/>
      <c r="J74" s="10" t="str">
        <f aca="false">IF(AC74=0,"",DATE(YEAR(AsOfDate)+IF(DATE(YEAR(AsOfDate),MONTH($F74),DAY($F74))&lt;=AsOfDate,1,0),MONTH($F74),DAY($F74)))</f>
        <v/>
      </c>
      <c r="K74" s="11" t="str">
        <f aca="false">IF(AC74=0,"",ROUND((AsOfDate-$F74)/365.25,1))</f>
        <v/>
      </c>
      <c r="L74" s="12" t="str">
        <f aca="false">IF(AC74=0,"",IF(AsOfDate&lt;AD74,"-",DATEDIF(AD74,AsOfDate,"y")&amp;"y "&amp;DATEDIF(AD74,AsOfDate,"ym")&amp;"m "&amp;DATEDIF(AD74,AsOfDate,"md")&amp;"d"))</f>
        <v/>
      </c>
      <c r="M74" s="13" t="str">
        <f aca="false">IF(AC74=0,"",N74*HoursPerDay)</f>
        <v/>
      </c>
      <c r="N74" s="13" t="str">
        <f aca="false">IF(AC74=0,"",AL74)</f>
        <v/>
      </c>
      <c r="O74" s="17"/>
      <c r="P74" s="12" t="str">
        <f aca="false">IF(AC74=0,"",IF(AE74="","",IF($G74&lt;$H74,"Part-Time to Full-Time","Full-Time to Part-Time")&amp;" on "&amp;TEXT(AE74,"dd/mm/yyyy")&amp;IF(AE74&gt;AsOfDate," (future)",IF(AF74=AG74,"",IF(AG74="None"," - STOPPED accruing",IF(AF74="None"," - now qualifying"," - pathway changed"))))))</f>
        <v/>
      </c>
      <c r="Q74" s="12" t="str">
        <f aca="false">IF(AC74=0,"",IF(AG74="None",IF(N74&gt;0,"No longer accruing","Not eligible - "&amp;IF(AND($C74="Part-Time",N($O74)&lt;PT_MinHours,$O74&lt;&gt;""),"under "&amp;PT_MinHours&amp;" hrs",$C74)),IF(N74&gt;0,"Yes - accruing","Not yet - from "&amp;TEXT(R74,"dd/mm/yyyy"))))</f>
        <v/>
      </c>
      <c r="R74" s="10" t="str">
        <f aca="false">IF(AC74=0,"",IF(AG74="None","",EDATE(AD74,AN74)))</f>
        <v/>
      </c>
      <c r="S74" s="13" t="str">
        <f aca="false">IF(AC74=0,"",IF(NOT(PFY_Ready),"",SUMIFS(INDEX(PFY_Data,0,PFY_ColBal),INDEX(PFY_Data,0,PFY_ColFirst),$A74,INDEX(PFY_Data,0,PFY_ColSur),$B74,INDEX(PFY_Data,0,PFY_ColCat),BonusCat)))</f>
        <v/>
      </c>
      <c r="T74" s="17"/>
      <c r="U74" s="13" t="str">
        <f aca="false">IF(AC74=0,"",IF(NOT(CFY_Ready),"",SUMIFS(INDEX(CFY_Data,0,CFY_ColBal),INDEX(CFY_Data,0,CFY_ColFirst),$A74,INDEX(CFY_Data,0,CFY_ColSur),$B74,INDEX(CFY_Data,0,CFY_ColCat),BonusCat)))</f>
        <v/>
      </c>
      <c r="V74" s="13" t="str">
        <f aca="false">IF(AC74=0,"",IF(OR(NOT(CFY_Ready),CFY_ColAppr=0),"",SUMIFS(INDEX(CFY_Data,0,CFY_ColAppr),INDEX(CFY_Data,0,CFY_ColFirst),$A74,INDEX(CFY_Data,0,CFY_ColSur),$B74,INDEX(CFY_Data,0,CFY_ColCat),BonusCat)))</f>
        <v/>
      </c>
      <c r="W74" s="13" t="str">
        <f aca="false">IF(OR(AC74=0,S74="",U74=""),"",MAX(0,S74+N($T74)-U74))</f>
        <v/>
      </c>
      <c r="X74" s="13" t="str">
        <f aca="false">IF(AC74=0,"",(AL74-AM74)*HoursPerDay)</f>
        <v/>
      </c>
      <c r="Y74" s="13" t="str">
        <f aca="false">IF(AC74=0,"",X74-N($T74))</f>
        <v/>
      </c>
      <c r="Z74" s="12" t="str">
        <f aca="false">IF(AC74=0,"",IF(Y74&gt;0,"Yes","No"))</f>
        <v/>
      </c>
      <c r="AA74" s="12" t="str">
        <f aca="false">IF(AC74=0,"",IF(NOT(CFY_Ready),"Paste CFY EH export",IF(Y74&gt;0,"ACCRUE "&amp;TEXT(Y74,"0.##")&amp;" hrs ("&amp;TEXT(Y74/HoursPerDay,"0.##")&amp;" days)"&amp;IF(AO74=0," - no Bonus Leave line in EH yet",""),IF(Y74&lt;0,"CHECK - posted "&amp;TEXT(-Y74,"0.##")&amp;" hrs more than policy",IF(AND(N74&gt;0,AO74=0,U74=0),"CHECK - policy says "&amp;TEXT(M74,"0.##")&amp;" hrs to date but nothing in EH",IF(N74&gt;0,"OK","-"))))))</f>
        <v/>
      </c>
      <c r="AB74" s="13" t="str">
        <f aca="false">IF(OR(AC74=0,S74=""),"",AM74*HoursPerDay-S74)</f>
        <v/>
      </c>
      <c r="AC74" s="12" t="n">
        <f aca="false">IF(OR(LEN($A74&amp;$B74)=0,$F74=""),0,1)</f>
        <v>0</v>
      </c>
      <c r="AD74" s="10" t="str">
        <f aca="false">IF(AC74=0,"",IF($I74&lt;&gt;"",$I74,$F74))</f>
        <v/>
      </c>
      <c r="AE74" s="10" t="str">
        <f aca="false">IF(AC74=0,"",IF(AND($G74&lt;&gt;"",$H74&lt;&gt;"",$G74&lt;&gt;$H74),MAX($G74,$H74),""))</f>
        <v/>
      </c>
      <c r="AF74" s="12" t="str">
        <f aca="false">IF(AC74=0,"",IF(AE74="",AG74,IF(IF($G74&lt;$H74,"Part-Time","Full-Time")="Full-Time","FT",IF(AND(IF($G74&lt;$H74,"Part-Time","Full-Time")="Part-Time",OR($O74="",N($O74)&gt;=PT_MinHours)),"PT","None"))))</f>
        <v/>
      </c>
      <c r="AG74" s="12" t="str">
        <f aca="false">IF(AC74=0,"",IF($C74="Full-Time","FT",IF(AND($C74="Part-Time",OR($O74="",N($O74)&gt;=PT_MinHours)),"PT","None")))</f>
        <v/>
      </c>
      <c r="AH74" s="12" t="str">
        <f aca="false">IF(AC74=0,"",IF(AsOfDate&lt;AD74,-1,12*(YEAR(AsOfDate)-YEAR(AD74))+MONTH(AsOfDate)-MONTH(AD74)-IF(DAY(AsOfDate)&lt;MIN(DAY(AD74),DAY(EOMONTH(AsOfDate,0))),1,0)))</f>
        <v/>
      </c>
      <c r="AI74" s="12" t="str">
        <f aca="false">IF(AC74=0,"",IF(OR(AE74="",AE74&gt;AsOfDate),AH74,IF((AE74-1)&lt;AD74,-1,12*(YEAR((AE74-1))-YEAR(AD74))+MONTH((AE74-1))-MONTH(AD74)-IF(DAY((AE74-1))&lt;MIN(DAY(AD74),DAY(EOMONTH((AE74-1),0))),1,0))))</f>
        <v/>
      </c>
      <c r="AJ74" s="12" t="str">
        <f aca="false">IF(AC74=0,"",IF(PFYDate&lt;AD74,-1,12*(YEAR(PFYDate)-YEAR(AD74))+MONTH(PFYDate)-MONTH(AD74)-IF(DAY(PFYDate)&lt;MIN(DAY(AD74),DAY(EOMONTH(PFYDate,0))),1,0)))</f>
        <v/>
      </c>
      <c r="AK74" s="12" t="str">
        <f aca="false">IF(AC74=0,"",IF(OR(AE74="",AE74&gt;PFYDate),AJ74,IF((AE74-1)&lt;AD74,-1,12*(YEAR((AE74-1))-YEAR(AD74))+MONTH((AE74-1))-MONTH(AD74)-IF(DAY((AE74-1))&lt;MIN(DAY(AD74),DAY(EOMONTH((AE74-1),0))),1,0))))</f>
        <v/>
      </c>
      <c r="AL74" s="12" t="str">
        <f aca="false">IF(AC74=0,"",IF(AF74="FT",IF(AI74&lt;FT_First,0,IF(AI74&lt;FT_Y5,1+INT((AI74-FT_First)/FT_Int1),FT_PreY5+FT_PerYear*INT((AI74-FT_Y5)/12)+FT_AnnivDays+INT(MOD(AI74-FT_Y5,12)/FT_Int2))),IF(AF74="PT",IF(AI74&lt;PT_First,0,1+INT((AI74-PT_First)/PT_Int)),0))+IF(OR(AE74="",AE74&gt;AsOfDate),0,IF(AG74="FT",IF(AH74&lt;FT_First,0,IF(AH74&lt;FT_Y5,1+INT((AH74-FT_First)/FT_Int1),FT_PreY5+FT_PerYear*INT((AH74-FT_Y5)/12)+FT_AnnivDays+INT(MOD(AH74-FT_Y5,12)/FT_Int2))),IF(AG74="PT",IF(AH74&lt;PT_First,0,1+INT((AH74-PT_First)/PT_Int)),0))-IF(AG74="FT",IF(AI74&lt;FT_First,0,IF(AI74&lt;FT_Y5,1+INT((AI74-FT_First)/FT_Int1),FT_PreY5+FT_PerYear*INT((AI74-FT_Y5)/12)+FT_AnnivDays+INT(MOD(AI74-FT_Y5,12)/FT_Int2))),IF(AG74="PT",IF(AI74&lt;PT_First,0,1+INT((AI74-PT_First)/PT_Int)),0))))</f>
        <v/>
      </c>
      <c r="AM74" s="12" t="str">
        <f aca="false">IF(AC74=0,"",IF(AF74="FT",IF(AK74&lt;FT_First,0,IF(AK74&lt;FT_Y5,1+INT((AK74-FT_First)/FT_Int1),FT_PreY5+FT_PerYear*INT((AK74-FT_Y5)/12)+FT_AnnivDays+INT(MOD(AK74-FT_Y5,12)/FT_Int2))),IF(AF74="PT",IF(AK74&lt;PT_First,0,1+INT((AK74-PT_First)/PT_Int)),0))+IF(OR(AE74="",AE74&gt;PFYDate),0,IF(AG74="FT",IF(AJ74&lt;FT_First,0,IF(AJ74&lt;FT_Y5,1+INT((AJ74-FT_First)/FT_Int1),FT_PreY5+FT_PerYear*INT((AJ74-FT_Y5)/12)+FT_AnnivDays+INT(MOD(AJ74-FT_Y5,12)/FT_Int2))),IF(AG74="PT",IF(AJ74&lt;PT_First,0,1+INT((AJ74-PT_First)/PT_Int)),0))-IF(AG74="FT",IF(AK74&lt;FT_First,0,IF(AK74&lt;FT_Y5,1+INT((AK74-FT_First)/FT_Int1),FT_PreY5+FT_PerYear*INT((AK74-FT_Y5)/12)+FT_AnnivDays+INT(MOD(AK74-FT_Y5,12)/FT_Int2))),IF(AG74="PT",IF(AK74&lt;PT_First,0,1+INT((AK74-PT_First)/PT_Int)),0))))</f>
        <v/>
      </c>
      <c r="AN74" s="12" t="str">
        <f aca="false">IF(AC74=0,"",IF(AG74="FT",IF(AH74&lt;FT_First,FT_First,IF(AH74&lt;FT_Y5,MIN(FT_Y5,FT_First+FT_Int1*(INT((AH74-FT_First)/FT_Int1)+1)),FT_Y5+12*INT((AH74-FT_Y5)/12)+FT_Int2*(INT(MOD(AH74-FT_Y5,12)/FT_Int2)+1))),IF(AG74="PT",IF(AH74&lt;PT_First,PT_First,PT_First+PT_Int*(INT((AH74-PT_First)/PT_Int)+1)),"")))</f>
        <v/>
      </c>
      <c r="AO74" s="12" t="str">
        <f aca="false">IF(AC74=0,"",IF(NOT(CFY_Ready),0,COUNTIFS(INDEX(CFY_Data,0,CFY_ColFirst),$A74,INDEX(CFY_Data,0,CFY_ColSur),$B74,INDEX(CFY_Data,0,CFY_ColCat),BonusCat)))</f>
        <v/>
      </c>
    </row>
    <row r="75" customFormat="false" ht="15" hidden="false" customHeight="false" outlineLevel="0" collapsed="false">
      <c r="A75" s="15"/>
      <c r="B75" s="15"/>
      <c r="C75" s="15"/>
      <c r="D75" s="16"/>
      <c r="E75" s="10" t="str">
        <f aca="false">IF(OR(AC75=0,$D75=""),"",DATE(YEAR(AsOfDate)+IF(DATE(YEAR(AsOfDate),MONTH($D75),DAY($D75))&lt;=AsOfDate,1,0),MONTH($D75),DAY($D75)))</f>
        <v/>
      </c>
      <c r="F75" s="16"/>
      <c r="G75" s="16"/>
      <c r="H75" s="16"/>
      <c r="I75" s="16"/>
      <c r="J75" s="10" t="str">
        <f aca="false">IF(AC75=0,"",DATE(YEAR(AsOfDate)+IF(DATE(YEAR(AsOfDate),MONTH($F75),DAY($F75))&lt;=AsOfDate,1,0),MONTH($F75),DAY($F75)))</f>
        <v/>
      </c>
      <c r="K75" s="11" t="str">
        <f aca="false">IF(AC75=0,"",ROUND((AsOfDate-$F75)/365.25,1))</f>
        <v/>
      </c>
      <c r="L75" s="12" t="str">
        <f aca="false">IF(AC75=0,"",IF(AsOfDate&lt;AD75,"-",DATEDIF(AD75,AsOfDate,"y")&amp;"y "&amp;DATEDIF(AD75,AsOfDate,"ym")&amp;"m "&amp;DATEDIF(AD75,AsOfDate,"md")&amp;"d"))</f>
        <v/>
      </c>
      <c r="M75" s="13" t="str">
        <f aca="false">IF(AC75=0,"",N75*HoursPerDay)</f>
        <v/>
      </c>
      <c r="N75" s="13" t="str">
        <f aca="false">IF(AC75=0,"",AL75)</f>
        <v/>
      </c>
      <c r="O75" s="17"/>
      <c r="P75" s="12" t="str">
        <f aca="false">IF(AC75=0,"",IF(AE75="","",IF($G75&lt;$H75,"Part-Time to Full-Time","Full-Time to Part-Time")&amp;" on "&amp;TEXT(AE75,"dd/mm/yyyy")&amp;IF(AE75&gt;AsOfDate," (future)",IF(AF75=AG75,"",IF(AG75="None"," - STOPPED accruing",IF(AF75="None"," - now qualifying"," - pathway changed"))))))</f>
        <v/>
      </c>
      <c r="Q75" s="12" t="str">
        <f aca="false">IF(AC75=0,"",IF(AG75="None",IF(N75&gt;0,"No longer accruing","Not eligible - "&amp;IF(AND($C75="Part-Time",N($O75)&lt;PT_MinHours,$O75&lt;&gt;""),"under "&amp;PT_MinHours&amp;" hrs",$C75)),IF(N75&gt;0,"Yes - accruing","Not yet - from "&amp;TEXT(R75,"dd/mm/yyyy"))))</f>
        <v/>
      </c>
      <c r="R75" s="10" t="str">
        <f aca="false">IF(AC75=0,"",IF(AG75="None","",EDATE(AD75,AN75)))</f>
        <v/>
      </c>
      <c r="S75" s="13" t="str">
        <f aca="false">IF(AC75=0,"",IF(NOT(PFY_Ready),"",SUMIFS(INDEX(PFY_Data,0,PFY_ColBal),INDEX(PFY_Data,0,PFY_ColFirst),$A75,INDEX(PFY_Data,0,PFY_ColSur),$B75,INDEX(PFY_Data,0,PFY_ColCat),BonusCat)))</f>
        <v/>
      </c>
      <c r="T75" s="17"/>
      <c r="U75" s="13" t="str">
        <f aca="false">IF(AC75=0,"",IF(NOT(CFY_Ready),"",SUMIFS(INDEX(CFY_Data,0,CFY_ColBal),INDEX(CFY_Data,0,CFY_ColFirst),$A75,INDEX(CFY_Data,0,CFY_ColSur),$B75,INDEX(CFY_Data,0,CFY_ColCat),BonusCat)))</f>
        <v/>
      </c>
      <c r="V75" s="13" t="str">
        <f aca="false">IF(AC75=0,"",IF(OR(NOT(CFY_Ready),CFY_ColAppr=0),"",SUMIFS(INDEX(CFY_Data,0,CFY_ColAppr),INDEX(CFY_Data,0,CFY_ColFirst),$A75,INDEX(CFY_Data,0,CFY_ColSur),$B75,INDEX(CFY_Data,0,CFY_ColCat),BonusCat)))</f>
        <v/>
      </c>
      <c r="W75" s="13" t="str">
        <f aca="false">IF(OR(AC75=0,S75="",U75=""),"",MAX(0,S75+N($T75)-U75))</f>
        <v/>
      </c>
      <c r="X75" s="13" t="str">
        <f aca="false">IF(AC75=0,"",(AL75-AM75)*HoursPerDay)</f>
        <v/>
      </c>
      <c r="Y75" s="13" t="str">
        <f aca="false">IF(AC75=0,"",X75-N($T75))</f>
        <v/>
      </c>
      <c r="Z75" s="12" t="str">
        <f aca="false">IF(AC75=0,"",IF(Y75&gt;0,"Yes","No"))</f>
        <v/>
      </c>
      <c r="AA75" s="12" t="str">
        <f aca="false">IF(AC75=0,"",IF(NOT(CFY_Ready),"Paste CFY EH export",IF(Y75&gt;0,"ACCRUE "&amp;TEXT(Y75,"0.##")&amp;" hrs ("&amp;TEXT(Y75/HoursPerDay,"0.##")&amp;" days)"&amp;IF(AO75=0," - no Bonus Leave line in EH yet",""),IF(Y75&lt;0,"CHECK - posted "&amp;TEXT(-Y75,"0.##")&amp;" hrs more than policy",IF(AND(N75&gt;0,AO75=0,U75=0),"CHECK - policy says "&amp;TEXT(M75,"0.##")&amp;" hrs to date but nothing in EH",IF(N75&gt;0,"OK","-"))))))</f>
        <v/>
      </c>
      <c r="AB75" s="13" t="str">
        <f aca="false">IF(OR(AC75=0,S75=""),"",AM75*HoursPerDay-S75)</f>
        <v/>
      </c>
      <c r="AC75" s="12" t="n">
        <f aca="false">IF(OR(LEN($A75&amp;$B75)=0,$F75=""),0,1)</f>
        <v>0</v>
      </c>
      <c r="AD75" s="10" t="str">
        <f aca="false">IF(AC75=0,"",IF($I75&lt;&gt;"",$I75,$F75))</f>
        <v/>
      </c>
      <c r="AE75" s="10" t="str">
        <f aca="false">IF(AC75=0,"",IF(AND($G75&lt;&gt;"",$H75&lt;&gt;"",$G75&lt;&gt;$H75),MAX($G75,$H75),""))</f>
        <v/>
      </c>
      <c r="AF75" s="12" t="str">
        <f aca="false">IF(AC75=0,"",IF(AE75="",AG75,IF(IF($G75&lt;$H75,"Part-Time","Full-Time")="Full-Time","FT",IF(AND(IF($G75&lt;$H75,"Part-Time","Full-Time")="Part-Time",OR($O75="",N($O75)&gt;=PT_MinHours)),"PT","None"))))</f>
        <v/>
      </c>
      <c r="AG75" s="12" t="str">
        <f aca="false">IF(AC75=0,"",IF($C75="Full-Time","FT",IF(AND($C75="Part-Time",OR($O75="",N($O75)&gt;=PT_MinHours)),"PT","None")))</f>
        <v/>
      </c>
      <c r="AH75" s="12" t="str">
        <f aca="false">IF(AC75=0,"",IF(AsOfDate&lt;AD75,-1,12*(YEAR(AsOfDate)-YEAR(AD75))+MONTH(AsOfDate)-MONTH(AD75)-IF(DAY(AsOfDate)&lt;MIN(DAY(AD75),DAY(EOMONTH(AsOfDate,0))),1,0)))</f>
        <v/>
      </c>
      <c r="AI75" s="12" t="str">
        <f aca="false">IF(AC75=0,"",IF(OR(AE75="",AE75&gt;AsOfDate),AH75,IF((AE75-1)&lt;AD75,-1,12*(YEAR((AE75-1))-YEAR(AD75))+MONTH((AE75-1))-MONTH(AD75)-IF(DAY((AE75-1))&lt;MIN(DAY(AD75),DAY(EOMONTH((AE75-1),0))),1,0))))</f>
        <v/>
      </c>
      <c r="AJ75" s="12" t="str">
        <f aca="false">IF(AC75=0,"",IF(PFYDate&lt;AD75,-1,12*(YEAR(PFYDate)-YEAR(AD75))+MONTH(PFYDate)-MONTH(AD75)-IF(DAY(PFYDate)&lt;MIN(DAY(AD75),DAY(EOMONTH(PFYDate,0))),1,0)))</f>
        <v/>
      </c>
      <c r="AK75" s="12" t="str">
        <f aca="false">IF(AC75=0,"",IF(OR(AE75="",AE75&gt;PFYDate),AJ75,IF((AE75-1)&lt;AD75,-1,12*(YEAR((AE75-1))-YEAR(AD75))+MONTH((AE75-1))-MONTH(AD75)-IF(DAY((AE75-1))&lt;MIN(DAY(AD75),DAY(EOMONTH((AE75-1),0))),1,0))))</f>
        <v/>
      </c>
      <c r="AL75" s="12" t="str">
        <f aca="false">IF(AC75=0,"",IF(AF75="FT",IF(AI75&lt;FT_First,0,IF(AI75&lt;FT_Y5,1+INT((AI75-FT_First)/FT_Int1),FT_PreY5+FT_PerYear*INT((AI75-FT_Y5)/12)+FT_AnnivDays+INT(MOD(AI75-FT_Y5,12)/FT_Int2))),IF(AF75="PT",IF(AI75&lt;PT_First,0,1+INT((AI75-PT_First)/PT_Int)),0))+IF(OR(AE75="",AE75&gt;AsOfDate),0,IF(AG75="FT",IF(AH75&lt;FT_First,0,IF(AH75&lt;FT_Y5,1+INT((AH75-FT_First)/FT_Int1),FT_PreY5+FT_PerYear*INT((AH75-FT_Y5)/12)+FT_AnnivDays+INT(MOD(AH75-FT_Y5,12)/FT_Int2))),IF(AG75="PT",IF(AH75&lt;PT_First,0,1+INT((AH75-PT_First)/PT_Int)),0))-IF(AG75="FT",IF(AI75&lt;FT_First,0,IF(AI75&lt;FT_Y5,1+INT((AI75-FT_First)/FT_Int1),FT_PreY5+FT_PerYear*INT((AI75-FT_Y5)/12)+FT_AnnivDays+INT(MOD(AI75-FT_Y5,12)/FT_Int2))),IF(AG75="PT",IF(AI75&lt;PT_First,0,1+INT((AI75-PT_First)/PT_Int)),0))))</f>
        <v/>
      </c>
      <c r="AM75" s="12" t="str">
        <f aca="false">IF(AC75=0,"",IF(AF75="FT",IF(AK75&lt;FT_First,0,IF(AK75&lt;FT_Y5,1+INT((AK75-FT_First)/FT_Int1),FT_PreY5+FT_PerYear*INT((AK75-FT_Y5)/12)+FT_AnnivDays+INT(MOD(AK75-FT_Y5,12)/FT_Int2))),IF(AF75="PT",IF(AK75&lt;PT_First,0,1+INT((AK75-PT_First)/PT_Int)),0))+IF(OR(AE75="",AE75&gt;PFYDate),0,IF(AG75="FT",IF(AJ75&lt;FT_First,0,IF(AJ75&lt;FT_Y5,1+INT((AJ75-FT_First)/FT_Int1),FT_PreY5+FT_PerYear*INT((AJ75-FT_Y5)/12)+FT_AnnivDays+INT(MOD(AJ75-FT_Y5,12)/FT_Int2))),IF(AG75="PT",IF(AJ75&lt;PT_First,0,1+INT((AJ75-PT_First)/PT_Int)),0))-IF(AG75="FT",IF(AK75&lt;FT_First,0,IF(AK75&lt;FT_Y5,1+INT((AK75-FT_First)/FT_Int1),FT_PreY5+FT_PerYear*INT((AK75-FT_Y5)/12)+FT_AnnivDays+INT(MOD(AK75-FT_Y5,12)/FT_Int2))),IF(AG75="PT",IF(AK75&lt;PT_First,0,1+INT((AK75-PT_First)/PT_Int)),0))))</f>
        <v/>
      </c>
      <c r="AN75" s="12" t="str">
        <f aca="false">IF(AC75=0,"",IF(AG75="FT",IF(AH75&lt;FT_First,FT_First,IF(AH75&lt;FT_Y5,MIN(FT_Y5,FT_First+FT_Int1*(INT((AH75-FT_First)/FT_Int1)+1)),FT_Y5+12*INT((AH75-FT_Y5)/12)+FT_Int2*(INT(MOD(AH75-FT_Y5,12)/FT_Int2)+1))),IF(AG75="PT",IF(AH75&lt;PT_First,PT_First,PT_First+PT_Int*(INT((AH75-PT_First)/PT_Int)+1)),"")))</f>
        <v/>
      </c>
      <c r="AO75" s="12" t="str">
        <f aca="false">IF(AC75=0,"",IF(NOT(CFY_Ready),0,COUNTIFS(INDEX(CFY_Data,0,CFY_ColFirst),$A75,INDEX(CFY_Data,0,CFY_ColSur),$B75,INDEX(CFY_Data,0,CFY_ColCat),BonusCat)))</f>
        <v/>
      </c>
    </row>
    <row r="76" customFormat="false" ht="15" hidden="false" customHeight="false" outlineLevel="0" collapsed="false">
      <c r="A76" s="15"/>
      <c r="B76" s="15"/>
      <c r="C76" s="15"/>
      <c r="D76" s="16"/>
      <c r="E76" s="10" t="str">
        <f aca="false">IF(OR(AC76=0,$D76=""),"",DATE(YEAR(AsOfDate)+IF(DATE(YEAR(AsOfDate),MONTH($D76),DAY($D76))&lt;=AsOfDate,1,0),MONTH($D76),DAY($D76)))</f>
        <v/>
      </c>
      <c r="F76" s="16"/>
      <c r="G76" s="16"/>
      <c r="H76" s="16"/>
      <c r="I76" s="16"/>
      <c r="J76" s="10" t="str">
        <f aca="false">IF(AC76=0,"",DATE(YEAR(AsOfDate)+IF(DATE(YEAR(AsOfDate),MONTH($F76),DAY($F76))&lt;=AsOfDate,1,0),MONTH($F76),DAY($F76)))</f>
        <v/>
      </c>
      <c r="K76" s="11" t="str">
        <f aca="false">IF(AC76=0,"",ROUND((AsOfDate-$F76)/365.25,1))</f>
        <v/>
      </c>
      <c r="L76" s="12" t="str">
        <f aca="false">IF(AC76=0,"",IF(AsOfDate&lt;AD76,"-",DATEDIF(AD76,AsOfDate,"y")&amp;"y "&amp;DATEDIF(AD76,AsOfDate,"ym")&amp;"m "&amp;DATEDIF(AD76,AsOfDate,"md")&amp;"d"))</f>
        <v/>
      </c>
      <c r="M76" s="13" t="str">
        <f aca="false">IF(AC76=0,"",N76*HoursPerDay)</f>
        <v/>
      </c>
      <c r="N76" s="13" t="str">
        <f aca="false">IF(AC76=0,"",AL76)</f>
        <v/>
      </c>
      <c r="O76" s="17"/>
      <c r="P76" s="12" t="str">
        <f aca="false">IF(AC76=0,"",IF(AE76="","",IF($G76&lt;$H76,"Part-Time to Full-Time","Full-Time to Part-Time")&amp;" on "&amp;TEXT(AE76,"dd/mm/yyyy")&amp;IF(AE76&gt;AsOfDate," (future)",IF(AF76=AG76,"",IF(AG76="None"," - STOPPED accruing",IF(AF76="None"," - now qualifying"," - pathway changed"))))))</f>
        <v/>
      </c>
      <c r="Q76" s="12" t="str">
        <f aca="false">IF(AC76=0,"",IF(AG76="None",IF(N76&gt;0,"No longer accruing","Not eligible - "&amp;IF(AND($C76="Part-Time",N($O76)&lt;PT_MinHours,$O76&lt;&gt;""),"under "&amp;PT_MinHours&amp;" hrs",$C76)),IF(N76&gt;0,"Yes - accruing","Not yet - from "&amp;TEXT(R76,"dd/mm/yyyy"))))</f>
        <v/>
      </c>
      <c r="R76" s="10" t="str">
        <f aca="false">IF(AC76=0,"",IF(AG76="None","",EDATE(AD76,AN76)))</f>
        <v/>
      </c>
      <c r="S76" s="13" t="str">
        <f aca="false">IF(AC76=0,"",IF(NOT(PFY_Ready),"",SUMIFS(INDEX(PFY_Data,0,PFY_ColBal),INDEX(PFY_Data,0,PFY_ColFirst),$A76,INDEX(PFY_Data,0,PFY_ColSur),$B76,INDEX(PFY_Data,0,PFY_ColCat),BonusCat)))</f>
        <v/>
      </c>
      <c r="T76" s="17"/>
      <c r="U76" s="13" t="str">
        <f aca="false">IF(AC76=0,"",IF(NOT(CFY_Ready),"",SUMIFS(INDEX(CFY_Data,0,CFY_ColBal),INDEX(CFY_Data,0,CFY_ColFirst),$A76,INDEX(CFY_Data,0,CFY_ColSur),$B76,INDEX(CFY_Data,0,CFY_ColCat),BonusCat)))</f>
        <v/>
      </c>
      <c r="V76" s="13" t="str">
        <f aca="false">IF(AC76=0,"",IF(OR(NOT(CFY_Ready),CFY_ColAppr=0),"",SUMIFS(INDEX(CFY_Data,0,CFY_ColAppr),INDEX(CFY_Data,0,CFY_ColFirst),$A76,INDEX(CFY_Data,0,CFY_ColSur),$B76,INDEX(CFY_Data,0,CFY_ColCat),BonusCat)))</f>
        <v/>
      </c>
      <c r="W76" s="13" t="str">
        <f aca="false">IF(OR(AC76=0,S76="",U76=""),"",MAX(0,S76+N($T76)-U76))</f>
        <v/>
      </c>
      <c r="X76" s="13" t="str">
        <f aca="false">IF(AC76=0,"",(AL76-AM76)*HoursPerDay)</f>
        <v/>
      </c>
      <c r="Y76" s="13" t="str">
        <f aca="false">IF(AC76=0,"",X76-N($T76))</f>
        <v/>
      </c>
      <c r="Z76" s="12" t="str">
        <f aca="false">IF(AC76=0,"",IF(Y76&gt;0,"Yes","No"))</f>
        <v/>
      </c>
      <c r="AA76" s="12" t="str">
        <f aca="false">IF(AC76=0,"",IF(NOT(CFY_Ready),"Paste CFY EH export",IF(Y76&gt;0,"ACCRUE "&amp;TEXT(Y76,"0.##")&amp;" hrs ("&amp;TEXT(Y76/HoursPerDay,"0.##")&amp;" days)"&amp;IF(AO76=0," - no Bonus Leave line in EH yet",""),IF(Y76&lt;0,"CHECK - posted "&amp;TEXT(-Y76,"0.##")&amp;" hrs more than policy",IF(AND(N76&gt;0,AO76=0,U76=0),"CHECK - policy says "&amp;TEXT(M76,"0.##")&amp;" hrs to date but nothing in EH",IF(N76&gt;0,"OK","-"))))))</f>
        <v/>
      </c>
      <c r="AB76" s="13" t="str">
        <f aca="false">IF(OR(AC76=0,S76=""),"",AM76*HoursPerDay-S76)</f>
        <v/>
      </c>
      <c r="AC76" s="12" t="n">
        <f aca="false">IF(OR(LEN($A76&amp;$B76)=0,$F76=""),0,1)</f>
        <v>0</v>
      </c>
      <c r="AD76" s="10" t="str">
        <f aca="false">IF(AC76=0,"",IF($I76&lt;&gt;"",$I76,$F76))</f>
        <v/>
      </c>
      <c r="AE76" s="10" t="str">
        <f aca="false">IF(AC76=0,"",IF(AND($G76&lt;&gt;"",$H76&lt;&gt;"",$G76&lt;&gt;$H76),MAX($G76,$H76),""))</f>
        <v/>
      </c>
      <c r="AF76" s="12" t="str">
        <f aca="false">IF(AC76=0,"",IF(AE76="",AG76,IF(IF($G76&lt;$H76,"Part-Time","Full-Time")="Full-Time","FT",IF(AND(IF($G76&lt;$H76,"Part-Time","Full-Time")="Part-Time",OR($O76="",N($O76)&gt;=PT_MinHours)),"PT","None"))))</f>
        <v/>
      </c>
      <c r="AG76" s="12" t="str">
        <f aca="false">IF(AC76=0,"",IF($C76="Full-Time","FT",IF(AND($C76="Part-Time",OR($O76="",N($O76)&gt;=PT_MinHours)),"PT","None")))</f>
        <v/>
      </c>
      <c r="AH76" s="12" t="str">
        <f aca="false">IF(AC76=0,"",IF(AsOfDate&lt;AD76,-1,12*(YEAR(AsOfDate)-YEAR(AD76))+MONTH(AsOfDate)-MONTH(AD76)-IF(DAY(AsOfDate)&lt;MIN(DAY(AD76),DAY(EOMONTH(AsOfDate,0))),1,0)))</f>
        <v/>
      </c>
      <c r="AI76" s="12" t="str">
        <f aca="false">IF(AC76=0,"",IF(OR(AE76="",AE76&gt;AsOfDate),AH76,IF((AE76-1)&lt;AD76,-1,12*(YEAR((AE76-1))-YEAR(AD76))+MONTH((AE76-1))-MONTH(AD76)-IF(DAY((AE76-1))&lt;MIN(DAY(AD76),DAY(EOMONTH((AE76-1),0))),1,0))))</f>
        <v/>
      </c>
      <c r="AJ76" s="12" t="str">
        <f aca="false">IF(AC76=0,"",IF(PFYDate&lt;AD76,-1,12*(YEAR(PFYDate)-YEAR(AD76))+MONTH(PFYDate)-MONTH(AD76)-IF(DAY(PFYDate)&lt;MIN(DAY(AD76),DAY(EOMONTH(PFYDate,0))),1,0)))</f>
        <v/>
      </c>
      <c r="AK76" s="12" t="str">
        <f aca="false">IF(AC76=0,"",IF(OR(AE76="",AE76&gt;PFYDate),AJ76,IF((AE76-1)&lt;AD76,-1,12*(YEAR((AE76-1))-YEAR(AD76))+MONTH((AE76-1))-MONTH(AD76)-IF(DAY((AE76-1))&lt;MIN(DAY(AD76),DAY(EOMONTH((AE76-1),0))),1,0))))</f>
        <v/>
      </c>
      <c r="AL76" s="12" t="str">
        <f aca="false">IF(AC76=0,"",IF(AF76="FT",IF(AI76&lt;FT_First,0,IF(AI76&lt;FT_Y5,1+INT((AI76-FT_First)/FT_Int1),FT_PreY5+FT_PerYear*INT((AI76-FT_Y5)/12)+FT_AnnivDays+INT(MOD(AI76-FT_Y5,12)/FT_Int2))),IF(AF76="PT",IF(AI76&lt;PT_First,0,1+INT((AI76-PT_First)/PT_Int)),0))+IF(OR(AE76="",AE76&gt;AsOfDate),0,IF(AG76="FT",IF(AH76&lt;FT_First,0,IF(AH76&lt;FT_Y5,1+INT((AH76-FT_First)/FT_Int1),FT_PreY5+FT_PerYear*INT((AH76-FT_Y5)/12)+FT_AnnivDays+INT(MOD(AH76-FT_Y5,12)/FT_Int2))),IF(AG76="PT",IF(AH76&lt;PT_First,0,1+INT((AH76-PT_First)/PT_Int)),0))-IF(AG76="FT",IF(AI76&lt;FT_First,0,IF(AI76&lt;FT_Y5,1+INT((AI76-FT_First)/FT_Int1),FT_PreY5+FT_PerYear*INT((AI76-FT_Y5)/12)+FT_AnnivDays+INT(MOD(AI76-FT_Y5,12)/FT_Int2))),IF(AG76="PT",IF(AI76&lt;PT_First,0,1+INT((AI76-PT_First)/PT_Int)),0))))</f>
        <v/>
      </c>
      <c r="AM76" s="12" t="str">
        <f aca="false">IF(AC76=0,"",IF(AF76="FT",IF(AK76&lt;FT_First,0,IF(AK76&lt;FT_Y5,1+INT((AK76-FT_First)/FT_Int1),FT_PreY5+FT_PerYear*INT((AK76-FT_Y5)/12)+FT_AnnivDays+INT(MOD(AK76-FT_Y5,12)/FT_Int2))),IF(AF76="PT",IF(AK76&lt;PT_First,0,1+INT((AK76-PT_First)/PT_Int)),0))+IF(OR(AE76="",AE76&gt;PFYDate),0,IF(AG76="FT",IF(AJ76&lt;FT_First,0,IF(AJ76&lt;FT_Y5,1+INT((AJ76-FT_First)/FT_Int1),FT_PreY5+FT_PerYear*INT((AJ76-FT_Y5)/12)+FT_AnnivDays+INT(MOD(AJ76-FT_Y5,12)/FT_Int2))),IF(AG76="PT",IF(AJ76&lt;PT_First,0,1+INT((AJ76-PT_First)/PT_Int)),0))-IF(AG76="FT",IF(AK76&lt;FT_First,0,IF(AK76&lt;FT_Y5,1+INT((AK76-FT_First)/FT_Int1),FT_PreY5+FT_PerYear*INT((AK76-FT_Y5)/12)+FT_AnnivDays+INT(MOD(AK76-FT_Y5,12)/FT_Int2))),IF(AG76="PT",IF(AK76&lt;PT_First,0,1+INT((AK76-PT_First)/PT_Int)),0))))</f>
        <v/>
      </c>
      <c r="AN76" s="12" t="str">
        <f aca="false">IF(AC76=0,"",IF(AG76="FT",IF(AH76&lt;FT_First,FT_First,IF(AH76&lt;FT_Y5,MIN(FT_Y5,FT_First+FT_Int1*(INT((AH76-FT_First)/FT_Int1)+1)),FT_Y5+12*INT((AH76-FT_Y5)/12)+FT_Int2*(INT(MOD(AH76-FT_Y5,12)/FT_Int2)+1))),IF(AG76="PT",IF(AH76&lt;PT_First,PT_First,PT_First+PT_Int*(INT((AH76-PT_First)/PT_Int)+1)),"")))</f>
        <v/>
      </c>
      <c r="AO76" s="12" t="str">
        <f aca="false">IF(AC76=0,"",IF(NOT(CFY_Ready),0,COUNTIFS(INDEX(CFY_Data,0,CFY_ColFirst),$A76,INDEX(CFY_Data,0,CFY_ColSur),$B76,INDEX(CFY_Data,0,CFY_ColCat),BonusCat)))</f>
        <v/>
      </c>
    </row>
    <row r="77" customFormat="false" ht="15" hidden="false" customHeight="false" outlineLevel="0" collapsed="false">
      <c r="A77" s="15"/>
      <c r="B77" s="15"/>
      <c r="C77" s="15"/>
      <c r="D77" s="16"/>
      <c r="E77" s="10" t="str">
        <f aca="false">IF(OR(AC77=0,$D77=""),"",DATE(YEAR(AsOfDate)+IF(DATE(YEAR(AsOfDate),MONTH($D77),DAY($D77))&lt;=AsOfDate,1,0),MONTH($D77),DAY($D77)))</f>
        <v/>
      </c>
      <c r="F77" s="16"/>
      <c r="G77" s="16"/>
      <c r="H77" s="16"/>
      <c r="I77" s="16"/>
      <c r="J77" s="10" t="str">
        <f aca="false">IF(AC77=0,"",DATE(YEAR(AsOfDate)+IF(DATE(YEAR(AsOfDate),MONTH($F77),DAY($F77))&lt;=AsOfDate,1,0),MONTH($F77),DAY($F77)))</f>
        <v/>
      </c>
      <c r="K77" s="11" t="str">
        <f aca="false">IF(AC77=0,"",ROUND((AsOfDate-$F77)/365.25,1))</f>
        <v/>
      </c>
      <c r="L77" s="12" t="str">
        <f aca="false">IF(AC77=0,"",IF(AsOfDate&lt;AD77,"-",DATEDIF(AD77,AsOfDate,"y")&amp;"y "&amp;DATEDIF(AD77,AsOfDate,"ym")&amp;"m "&amp;DATEDIF(AD77,AsOfDate,"md")&amp;"d"))</f>
        <v/>
      </c>
      <c r="M77" s="13" t="str">
        <f aca="false">IF(AC77=0,"",N77*HoursPerDay)</f>
        <v/>
      </c>
      <c r="N77" s="13" t="str">
        <f aca="false">IF(AC77=0,"",AL77)</f>
        <v/>
      </c>
      <c r="O77" s="17"/>
      <c r="P77" s="12" t="str">
        <f aca="false">IF(AC77=0,"",IF(AE77="","",IF($G77&lt;$H77,"Part-Time to Full-Time","Full-Time to Part-Time")&amp;" on "&amp;TEXT(AE77,"dd/mm/yyyy")&amp;IF(AE77&gt;AsOfDate," (future)",IF(AF77=AG77,"",IF(AG77="None"," - STOPPED accruing",IF(AF77="None"," - now qualifying"," - pathway changed"))))))</f>
        <v/>
      </c>
      <c r="Q77" s="12" t="str">
        <f aca="false">IF(AC77=0,"",IF(AG77="None",IF(N77&gt;0,"No longer accruing","Not eligible - "&amp;IF(AND($C77="Part-Time",N($O77)&lt;PT_MinHours,$O77&lt;&gt;""),"under "&amp;PT_MinHours&amp;" hrs",$C77)),IF(N77&gt;0,"Yes - accruing","Not yet - from "&amp;TEXT(R77,"dd/mm/yyyy"))))</f>
        <v/>
      </c>
      <c r="R77" s="10" t="str">
        <f aca="false">IF(AC77=0,"",IF(AG77="None","",EDATE(AD77,AN77)))</f>
        <v/>
      </c>
      <c r="S77" s="13" t="str">
        <f aca="false">IF(AC77=0,"",IF(NOT(PFY_Ready),"",SUMIFS(INDEX(PFY_Data,0,PFY_ColBal),INDEX(PFY_Data,0,PFY_ColFirst),$A77,INDEX(PFY_Data,0,PFY_ColSur),$B77,INDEX(PFY_Data,0,PFY_ColCat),BonusCat)))</f>
        <v/>
      </c>
      <c r="T77" s="17"/>
      <c r="U77" s="13" t="str">
        <f aca="false">IF(AC77=0,"",IF(NOT(CFY_Ready),"",SUMIFS(INDEX(CFY_Data,0,CFY_ColBal),INDEX(CFY_Data,0,CFY_ColFirst),$A77,INDEX(CFY_Data,0,CFY_ColSur),$B77,INDEX(CFY_Data,0,CFY_ColCat),BonusCat)))</f>
        <v/>
      </c>
      <c r="V77" s="13" t="str">
        <f aca="false">IF(AC77=0,"",IF(OR(NOT(CFY_Ready),CFY_ColAppr=0),"",SUMIFS(INDEX(CFY_Data,0,CFY_ColAppr),INDEX(CFY_Data,0,CFY_ColFirst),$A77,INDEX(CFY_Data,0,CFY_ColSur),$B77,INDEX(CFY_Data,0,CFY_ColCat),BonusCat)))</f>
        <v/>
      </c>
      <c r="W77" s="13" t="str">
        <f aca="false">IF(OR(AC77=0,S77="",U77=""),"",MAX(0,S77+N($T77)-U77))</f>
        <v/>
      </c>
      <c r="X77" s="13" t="str">
        <f aca="false">IF(AC77=0,"",(AL77-AM77)*HoursPerDay)</f>
        <v/>
      </c>
      <c r="Y77" s="13" t="str">
        <f aca="false">IF(AC77=0,"",X77-N($T77))</f>
        <v/>
      </c>
      <c r="Z77" s="12" t="str">
        <f aca="false">IF(AC77=0,"",IF(Y77&gt;0,"Yes","No"))</f>
        <v/>
      </c>
      <c r="AA77" s="12" t="str">
        <f aca="false">IF(AC77=0,"",IF(NOT(CFY_Ready),"Paste CFY EH export",IF(Y77&gt;0,"ACCRUE "&amp;TEXT(Y77,"0.##")&amp;" hrs ("&amp;TEXT(Y77/HoursPerDay,"0.##")&amp;" days)"&amp;IF(AO77=0," - no Bonus Leave line in EH yet",""),IF(Y77&lt;0,"CHECK - posted "&amp;TEXT(-Y77,"0.##")&amp;" hrs more than policy",IF(AND(N77&gt;0,AO77=0,U77=0),"CHECK - policy says "&amp;TEXT(M77,"0.##")&amp;" hrs to date but nothing in EH",IF(N77&gt;0,"OK","-"))))))</f>
        <v/>
      </c>
      <c r="AB77" s="13" t="str">
        <f aca="false">IF(OR(AC77=0,S77=""),"",AM77*HoursPerDay-S77)</f>
        <v/>
      </c>
      <c r="AC77" s="12" t="n">
        <f aca="false">IF(OR(LEN($A77&amp;$B77)=0,$F77=""),0,1)</f>
        <v>0</v>
      </c>
      <c r="AD77" s="10" t="str">
        <f aca="false">IF(AC77=0,"",IF($I77&lt;&gt;"",$I77,$F77))</f>
        <v/>
      </c>
      <c r="AE77" s="10" t="str">
        <f aca="false">IF(AC77=0,"",IF(AND($G77&lt;&gt;"",$H77&lt;&gt;"",$G77&lt;&gt;$H77),MAX($G77,$H77),""))</f>
        <v/>
      </c>
      <c r="AF77" s="12" t="str">
        <f aca="false">IF(AC77=0,"",IF(AE77="",AG77,IF(IF($G77&lt;$H77,"Part-Time","Full-Time")="Full-Time","FT",IF(AND(IF($G77&lt;$H77,"Part-Time","Full-Time")="Part-Time",OR($O77="",N($O77)&gt;=PT_MinHours)),"PT","None"))))</f>
        <v/>
      </c>
      <c r="AG77" s="12" t="str">
        <f aca="false">IF(AC77=0,"",IF($C77="Full-Time","FT",IF(AND($C77="Part-Time",OR($O77="",N($O77)&gt;=PT_MinHours)),"PT","None")))</f>
        <v/>
      </c>
      <c r="AH77" s="12" t="str">
        <f aca="false">IF(AC77=0,"",IF(AsOfDate&lt;AD77,-1,12*(YEAR(AsOfDate)-YEAR(AD77))+MONTH(AsOfDate)-MONTH(AD77)-IF(DAY(AsOfDate)&lt;MIN(DAY(AD77),DAY(EOMONTH(AsOfDate,0))),1,0)))</f>
        <v/>
      </c>
      <c r="AI77" s="12" t="str">
        <f aca="false">IF(AC77=0,"",IF(OR(AE77="",AE77&gt;AsOfDate),AH77,IF((AE77-1)&lt;AD77,-1,12*(YEAR((AE77-1))-YEAR(AD77))+MONTH((AE77-1))-MONTH(AD77)-IF(DAY((AE77-1))&lt;MIN(DAY(AD77),DAY(EOMONTH((AE77-1),0))),1,0))))</f>
        <v/>
      </c>
      <c r="AJ77" s="12" t="str">
        <f aca="false">IF(AC77=0,"",IF(PFYDate&lt;AD77,-1,12*(YEAR(PFYDate)-YEAR(AD77))+MONTH(PFYDate)-MONTH(AD77)-IF(DAY(PFYDate)&lt;MIN(DAY(AD77),DAY(EOMONTH(PFYDate,0))),1,0)))</f>
        <v/>
      </c>
      <c r="AK77" s="12" t="str">
        <f aca="false">IF(AC77=0,"",IF(OR(AE77="",AE77&gt;PFYDate),AJ77,IF((AE77-1)&lt;AD77,-1,12*(YEAR((AE77-1))-YEAR(AD77))+MONTH((AE77-1))-MONTH(AD77)-IF(DAY((AE77-1))&lt;MIN(DAY(AD77),DAY(EOMONTH((AE77-1),0))),1,0))))</f>
        <v/>
      </c>
      <c r="AL77" s="12" t="str">
        <f aca="false">IF(AC77=0,"",IF(AF77="FT",IF(AI77&lt;FT_First,0,IF(AI77&lt;FT_Y5,1+INT((AI77-FT_First)/FT_Int1),FT_PreY5+FT_PerYear*INT((AI77-FT_Y5)/12)+FT_AnnivDays+INT(MOD(AI77-FT_Y5,12)/FT_Int2))),IF(AF77="PT",IF(AI77&lt;PT_First,0,1+INT((AI77-PT_First)/PT_Int)),0))+IF(OR(AE77="",AE77&gt;AsOfDate),0,IF(AG77="FT",IF(AH77&lt;FT_First,0,IF(AH77&lt;FT_Y5,1+INT((AH77-FT_First)/FT_Int1),FT_PreY5+FT_PerYear*INT((AH77-FT_Y5)/12)+FT_AnnivDays+INT(MOD(AH77-FT_Y5,12)/FT_Int2))),IF(AG77="PT",IF(AH77&lt;PT_First,0,1+INT((AH77-PT_First)/PT_Int)),0))-IF(AG77="FT",IF(AI77&lt;FT_First,0,IF(AI77&lt;FT_Y5,1+INT((AI77-FT_First)/FT_Int1),FT_PreY5+FT_PerYear*INT((AI77-FT_Y5)/12)+FT_AnnivDays+INT(MOD(AI77-FT_Y5,12)/FT_Int2))),IF(AG77="PT",IF(AI77&lt;PT_First,0,1+INT((AI77-PT_First)/PT_Int)),0))))</f>
        <v/>
      </c>
      <c r="AM77" s="12" t="str">
        <f aca="false">IF(AC77=0,"",IF(AF77="FT",IF(AK77&lt;FT_First,0,IF(AK77&lt;FT_Y5,1+INT((AK77-FT_First)/FT_Int1),FT_PreY5+FT_PerYear*INT((AK77-FT_Y5)/12)+FT_AnnivDays+INT(MOD(AK77-FT_Y5,12)/FT_Int2))),IF(AF77="PT",IF(AK77&lt;PT_First,0,1+INT((AK77-PT_First)/PT_Int)),0))+IF(OR(AE77="",AE77&gt;PFYDate),0,IF(AG77="FT",IF(AJ77&lt;FT_First,0,IF(AJ77&lt;FT_Y5,1+INT((AJ77-FT_First)/FT_Int1),FT_PreY5+FT_PerYear*INT((AJ77-FT_Y5)/12)+FT_AnnivDays+INT(MOD(AJ77-FT_Y5,12)/FT_Int2))),IF(AG77="PT",IF(AJ77&lt;PT_First,0,1+INT((AJ77-PT_First)/PT_Int)),0))-IF(AG77="FT",IF(AK77&lt;FT_First,0,IF(AK77&lt;FT_Y5,1+INT((AK77-FT_First)/FT_Int1),FT_PreY5+FT_PerYear*INT((AK77-FT_Y5)/12)+FT_AnnivDays+INT(MOD(AK77-FT_Y5,12)/FT_Int2))),IF(AG77="PT",IF(AK77&lt;PT_First,0,1+INT((AK77-PT_First)/PT_Int)),0))))</f>
        <v/>
      </c>
      <c r="AN77" s="12" t="str">
        <f aca="false">IF(AC77=0,"",IF(AG77="FT",IF(AH77&lt;FT_First,FT_First,IF(AH77&lt;FT_Y5,MIN(FT_Y5,FT_First+FT_Int1*(INT((AH77-FT_First)/FT_Int1)+1)),FT_Y5+12*INT((AH77-FT_Y5)/12)+FT_Int2*(INT(MOD(AH77-FT_Y5,12)/FT_Int2)+1))),IF(AG77="PT",IF(AH77&lt;PT_First,PT_First,PT_First+PT_Int*(INT((AH77-PT_First)/PT_Int)+1)),"")))</f>
        <v/>
      </c>
      <c r="AO77" s="12" t="str">
        <f aca="false">IF(AC77=0,"",IF(NOT(CFY_Ready),0,COUNTIFS(INDEX(CFY_Data,0,CFY_ColFirst),$A77,INDEX(CFY_Data,0,CFY_ColSur),$B77,INDEX(CFY_Data,0,CFY_ColCat),BonusCat)))</f>
        <v/>
      </c>
    </row>
    <row r="78" customFormat="false" ht="15" hidden="false" customHeight="false" outlineLevel="0" collapsed="false">
      <c r="A78" s="15"/>
      <c r="B78" s="15"/>
      <c r="C78" s="15"/>
      <c r="D78" s="16"/>
      <c r="E78" s="10" t="str">
        <f aca="false">IF(OR(AC78=0,$D78=""),"",DATE(YEAR(AsOfDate)+IF(DATE(YEAR(AsOfDate),MONTH($D78),DAY($D78))&lt;=AsOfDate,1,0),MONTH($D78),DAY($D78)))</f>
        <v/>
      </c>
      <c r="F78" s="16"/>
      <c r="G78" s="16"/>
      <c r="H78" s="16"/>
      <c r="I78" s="16"/>
      <c r="J78" s="10" t="str">
        <f aca="false">IF(AC78=0,"",DATE(YEAR(AsOfDate)+IF(DATE(YEAR(AsOfDate),MONTH($F78),DAY($F78))&lt;=AsOfDate,1,0),MONTH($F78),DAY($F78)))</f>
        <v/>
      </c>
      <c r="K78" s="11" t="str">
        <f aca="false">IF(AC78=0,"",ROUND((AsOfDate-$F78)/365.25,1))</f>
        <v/>
      </c>
      <c r="L78" s="12" t="str">
        <f aca="false">IF(AC78=0,"",IF(AsOfDate&lt;AD78,"-",DATEDIF(AD78,AsOfDate,"y")&amp;"y "&amp;DATEDIF(AD78,AsOfDate,"ym")&amp;"m "&amp;DATEDIF(AD78,AsOfDate,"md")&amp;"d"))</f>
        <v/>
      </c>
      <c r="M78" s="13" t="str">
        <f aca="false">IF(AC78=0,"",N78*HoursPerDay)</f>
        <v/>
      </c>
      <c r="N78" s="13" t="str">
        <f aca="false">IF(AC78=0,"",AL78)</f>
        <v/>
      </c>
      <c r="O78" s="17"/>
      <c r="P78" s="12" t="str">
        <f aca="false">IF(AC78=0,"",IF(AE78="","",IF($G78&lt;$H78,"Part-Time to Full-Time","Full-Time to Part-Time")&amp;" on "&amp;TEXT(AE78,"dd/mm/yyyy")&amp;IF(AE78&gt;AsOfDate," (future)",IF(AF78=AG78,"",IF(AG78="None"," - STOPPED accruing",IF(AF78="None"," - now qualifying"," - pathway changed"))))))</f>
        <v/>
      </c>
      <c r="Q78" s="12" t="str">
        <f aca="false">IF(AC78=0,"",IF(AG78="None",IF(N78&gt;0,"No longer accruing","Not eligible - "&amp;IF(AND($C78="Part-Time",N($O78)&lt;PT_MinHours,$O78&lt;&gt;""),"under "&amp;PT_MinHours&amp;" hrs",$C78)),IF(N78&gt;0,"Yes - accruing","Not yet - from "&amp;TEXT(R78,"dd/mm/yyyy"))))</f>
        <v/>
      </c>
      <c r="R78" s="10" t="str">
        <f aca="false">IF(AC78=0,"",IF(AG78="None","",EDATE(AD78,AN78)))</f>
        <v/>
      </c>
      <c r="S78" s="13" t="str">
        <f aca="false">IF(AC78=0,"",IF(NOT(PFY_Ready),"",SUMIFS(INDEX(PFY_Data,0,PFY_ColBal),INDEX(PFY_Data,0,PFY_ColFirst),$A78,INDEX(PFY_Data,0,PFY_ColSur),$B78,INDEX(PFY_Data,0,PFY_ColCat),BonusCat)))</f>
        <v/>
      </c>
      <c r="T78" s="17"/>
      <c r="U78" s="13" t="str">
        <f aca="false">IF(AC78=0,"",IF(NOT(CFY_Ready),"",SUMIFS(INDEX(CFY_Data,0,CFY_ColBal),INDEX(CFY_Data,0,CFY_ColFirst),$A78,INDEX(CFY_Data,0,CFY_ColSur),$B78,INDEX(CFY_Data,0,CFY_ColCat),BonusCat)))</f>
        <v/>
      </c>
      <c r="V78" s="13" t="str">
        <f aca="false">IF(AC78=0,"",IF(OR(NOT(CFY_Ready),CFY_ColAppr=0),"",SUMIFS(INDEX(CFY_Data,0,CFY_ColAppr),INDEX(CFY_Data,0,CFY_ColFirst),$A78,INDEX(CFY_Data,0,CFY_ColSur),$B78,INDEX(CFY_Data,0,CFY_ColCat),BonusCat)))</f>
        <v/>
      </c>
      <c r="W78" s="13" t="str">
        <f aca="false">IF(OR(AC78=0,S78="",U78=""),"",MAX(0,S78+N($T78)-U78))</f>
        <v/>
      </c>
      <c r="X78" s="13" t="str">
        <f aca="false">IF(AC78=0,"",(AL78-AM78)*HoursPerDay)</f>
        <v/>
      </c>
      <c r="Y78" s="13" t="str">
        <f aca="false">IF(AC78=0,"",X78-N($T78))</f>
        <v/>
      </c>
      <c r="Z78" s="12" t="str">
        <f aca="false">IF(AC78=0,"",IF(Y78&gt;0,"Yes","No"))</f>
        <v/>
      </c>
      <c r="AA78" s="12" t="str">
        <f aca="false">IF(AC78=0,"",IF(NOT(CFY_Ready),"Paste CFY EH export",IF(Y78&gt;0,"ACCRUE "&amp;TEXT(Y78,"0.##")&amp;" hrs ("&amp;TEXT(Y78/HoursPerDay,"0.##")&amp;" days)"&amp;IF(AO78=0," - no Bonus Leave line in EH yet",""),IF(Y78&lt;0,"CHECK - posted "&amp;TEXT(-Y78,"0.##")&amp;" hrs more than policy",IF(AND(N78&gt;0,AO78=0,U78=0),"CHECK - policy says "&amp;TEXT(M78,"0.##")&amp;" hrs to date but nothing in EH",IF(N78&gt;0,"OK","-"))))))</f>
        <v/>
      </c>
      <c r="AB78" s="13" t="str">
        <f aca="false">IF(OR(AC78=0,S78=""),"",AM78*HoursPerDay-S78)</f>
        <v/>
      </c>
      <c r="AC78" s="12" t="n">
        <f aca="false">IF(OR(LEN($A78&amp;$B78)=0,$F78=""),0,1)</f>
        <v>0</v>
      </c>
      <c r="AD78" s="10" t="str">
        <f aca="false">IF(AC78=0,"",IF($I78&lt;&gt;"",$I78,$F78))</f>
        <v/>
      </c>
      <c r="AE78" s="10" t="str">
        <f aca="false">IF(AC78=0,"",IF(AND($G78&lt;&gt;"",$H78&lt;&gt;"",$G78&lt;&gt;$H78),MAX($G78,$H78),""))</f>
        <v/>
      </c>
      <c r="AF78" s="12" t="str">
        <f aca="false">IF(AC78=0,"",IF(AE78="",AG78,IF(IF($G78&lt;$H78,"Part-Time","Full-Time")="Full-Time","FT",IF(AND(IF($G78&lt;$H78,"Part-Time","Full-Time")="Part-Time",OR($O78="",N($O78)&gt;=PT_MinHours)),"PT","None"))))</f>
        <v/>
      </c>
      <c r="AG78" s="12" t="str">
        <f aca="false">IF(AC78=0,"",IF($C78="Full-Time","FT",IF(AND($C78="Part-Time",OR($O78="",N($O78)&gt;=PT_MinHours)),"PT","None")))</f>
        <v/>
      </c>
      <c r="AH78" s="12" t="str">
        <f aca="false">IF(AC78=0,"",IF(AsOfDate&lt;AD78,-1,12*(YEAR(AsOfDate)-YEAR(AD78))+MONTH(AsOfDate)-MONTH(AD78)-IF(DAY(AsOfDate)&lt;MIN(DAY(AD78),DAY(EOMONTH(AsOfDate,0))),1,0)))</f>
        <v/>
      </c>
      <c r="AI78" s="12" t="str">
        <f aca="false">IF(AC78=0,"",IF(OR(AE78="",AE78&gt;AsOfDate),AH78,IF((AE78-1)&lt;AD78,-1,12*(YEAR((AE78-1))-YEAR(AD78))+MONTH((AE78-1))-MONTH(AD78)-IF(DAY((AE78-1))&lt;MIN(DAY(AD78),DAY(EOMONTH((AE78-1),0))),1,0))))</f>
        <v/>
      </c>
      <c r="AJ78" s="12" t="str">
        <f aca="false">IF(AC78=0,"",IF(PFYDate&lt;AD78,-1,12*(YEAR(PFYDate)-YEAR(AD78))+MONTH(PFYDate)-MONTH(AD78)-IF(DAY(PFYDate)&lt;MIN(DAY(AD78),DAY(EOMONTH(PFYDate,0))),1,0)))</f>
        <v/>
      </c>
      <c r="AK78" s="12" t="str">
        <f aca="false">IF(AC78=0,"",IF(OR(AE78="",AE78&gt;PFYDate),AJ78,IF((AE78-1)&lt;AD78,-1,12*(YEAR((AE78-1))-YEAR(AD78))+MONTH((AE78-1))-MONTH(AD78)-IF(DAY((AE78-1))&lt;MIN(DAY(AD78),DAY(EOMONTH((AE78-1),0))),1,0))))</f>
        <v/>
      </c>
      <c r="AL78" s="12" t="str">
        <f aca="false">IF(AC78=0,"",IF(AF78="FT",IF(AI78&lt;FT_First,0,IF(AI78&lt;FT_Y5,1+INT((AI78-FT_First)/FT_Int1),FT_PreY5+FT_PerYear*INT((AI78-FT_Y5)/12)+FT_AnnivDays+INT(MOD(AI78-FT_Y5,12)/FT_Int2))),IF(AF78="PT",IF(AI78&lt;PT_First,0,1+INT((AI78-PT_First)/PT_Int)),0))+IF(OR(AE78="",AE78&gt;AsOfDate),0,IF(AG78="FT",IF(AH78&lt;FT_First,0,IF(AH78&lt;FT_Y5,1+INT((AH78-FT_First)/FT_Int1),FT_PreY5+FT_PerYear*INT((AH78-FT_Y5)/12)+FT_AnnivDays+INT(MOD(AH78-FT_Y5,12)/FT_Int2))),IF(AG78="PT",IF(AH78&lt;PT_First,0,1+INT((AH78-PT_First)/PT_Int)),0))-IF(AG78="FT",IF(AI78&lt;FT_First,0,IF(AI78&lt;FT_Y5,1+INT((AI78-FT_First)/FT_Int1),FT_PreY5+FT_PerYear*INT((AI78-FT_Y5)/12)+FT_AnnivDays+INT(MOD(AI78-FT_Y5,12)/FT_Int2))),IF(AG78="PT",IF(AI78&lt;PT_First,0,1+INT((AI78-PT_First)/PT_Int)),0))))</f>
        <v/>
      </c>
      <c r="AM78" s="12" t="str">
        <f aca="false">IF(AC78=0,"",IF(AF78="FT",IF(AK78&lt;FT_First,0,IF(AK78&lt;FT_Y5,1+INT((AK78-FT_First)/FT_Int1),FT_PreY5+FT_PerYear*INT((AK78-FT_Y5)/12)+FT_AnnivDays+INT(MOD(AK78-FT_Y5,12)/FT_Int2))),IF(AF78="PT",IF(AK78&lt;PT_First,0,1+INT((AK78-PT_First)/PT_Int)),0))+IF(OR(AE78="",AE78&gt;PFYDate),0,IF(AG78="FT",IF(AJ78&lt;FT_First,0,IF(AJ78&lt;FT_Y5,1+INT((AJ78-FT_First)/FT_Int1),FT_PreY5+FT_PerYear*INT((AJ78-FT_Y5)/12)+FT_AnnivDays+INT(MOD(AJ78-FT_Y5,12)/FT_Int2))),IF(AG78="PT",IF(AJ78&lt;PT_First,0,1+INT((AJ78-PT_First)/PT_Int)),0))-IF(AG78="FT",IF(AK78&lt;FT_First,0,IF(AK78&lt;FT_Y5,1+INT((AK78-FT_First)/FT_Int1),FT_PreY5+FT_PerYear*INT((AK78-FT_Y5)/12)+FT_AnnivDays+INT(MOD(AK78-FT_Y5,12)/FT_Int2))),IF(AG78="PT",IF(AK78&lt;PT_First,0,1+INT((AK78-PT_First)/PT_Int)),0))))</f>
        <v/>
      </c>
      <c r="AN78" s="12" t="str">
        <f aca="false">IF(AC78=0,"",IF(AG78="FT",IF(AH78&lt;FT_First,FT_First,IF(AH78&lt;FT_Y5,MIN(FT_Y5,FT_First+FT_Int1*(INT((AH78-FT_First)/FT_Int1)+1)),FT_Y5+12*INT((AH78-FT_Y5)/12)+FT_Int2*(INT(MOD(AH78-FT_Y5,12)/FT_Int2)+1))),IF(AG78="PT",IF(AH78&lt;PT_First,PT_First,PT_First+PT_Int*(INT((AH78-PT_First)/PT_Int)+1)),"")))</f>
        <v/>
      </c>
      <c r="AO78" s="12" t="str">
        <f aca="false">IF(AC78=0,"",IF(NOT(CFY_Ready),0,COUNTIFS(INDEX(CFY_Data,0,CFY_ColFirst),$A78,INDEX(CFY_Data,0,CFY_ColSur),$B78,INDEX(CFY_Data,0,CFY_ColCat),BonusCat)))</f>
        <v/>
      </c>
    </row>
    <row r="79" customFormat="false" ht="15" hidden="false" customHeight="false" outlineLevel="0" collapsed="false">
      <c r="A79" s="15"/>
      <c r="B79" s="15"/>
      <c r="C79" s="15"/>
      <c r="D79" s="16"/>
      <c r="E79" s="10" t="str">
        <f aca="false">IF(OR(AC79=0,$D79=""),"",DATE(YEAR(AsOfDate)+IF(DATE(YEAR(AsOfDate),MONTH($D79),DAY($D79))&lt;=AsOfDate,1,0),MONTH($D79),DAY($D79)))</f>
        <v/>
      </c>
      <c r="F79" s="16"/>
      <c r="G79" s="16"/>
      <c r="H79" s="16"/>
      <c r="I79" s="16"/>
      <c r="J79" s="10" t="str">
        <f aca="false">IF(AC79=0,"",DATE(YEAR(AsOfDate)+IF(DATE(YEAR(AsOfDate),MONTH($F79),DAY($F79))&lt;=AsOfDate,1,0),MONTH($F79),DAY($F79)))</f>
        <v/>
      </c>
      <c r="K79" s="11" t="str">
        <f aca="false">IF(AC79=0,"",ROUND((AsOfDate-$F79)/365.25,1))</f>
        <v/>
      </c>
      <c r="L79" s="12" t="str">
        <f aca="false">IF(AC79=0,"",IF(AsOfDate&lt;AD79,"-",DATEDIF(AD79,AsOfDate,"y")&amp;"y "&amp;DATEDIF(AD79,AsOfDate,"ym")&amp;"m "&amp;DATEDIF(AD79,AsOfDate,"md")&amp;"d"))</f>
        <v/>
      </c>
      <c r="M79" s="13" t="str">
        <f aca="false">IF(AC79=0,"",N79*HoursPerDay)</f>
        <v/>
      </c>
      <c r="N79" s="13" t="str">
        <f aca="false">IF(AC79=0,"",AL79)</f>
        <v/>
      </c>
      <c r="O79" s="17"/>
      <c r="P79" s="12" t="str">
        <f aca="false">IF(AC79=0,"",IF(AE79="","",IF($G79&lt;$H79,"Part-Time to Full-Time","Full-Time to Part-Time")&amp;" on "&amp;TEXT(AE79,"dd/mm/yyyy")&amp;IF(AE79&gt;AsOfDate," (future)",IF(AF79=AG79,"",IF(AG79="None"," - STOPPED accruing",IF(AF79="None"," - now qualifying"," - pathway changed"))))))</f>
        <v/>
      </c>
      <c r="Q79" s="12" t="str">
        <f aca="false">IF(AC79=0,"",IF(AG79="None",IF(N79&gt;0,"No longer accruing","Not eligible - "&amp;IF(AND($C79="Part-Time",N($O79)&lt;PT_MinHours,$O79&lt;&gt;""),"under "&amp;PT_MinHours&amp;" hrs",$C79)),IF(N79&gt;0,"Yes - accruing","Not yet - from "&amp;TEXT(R79,"dd/mm/yyyy"))))</f>
        <v/>
      </c>
      <c r="R79" s="10" t="str">
        <f aca="false">IF(AC79=0,"",IF(AG79="None","",EDATE(AD79,AN79)))</f>
        <v/>
      </c>
      <c r="S79" s="13" t="str">
        <f aca="false">IF(AC79=0,"",IF(NOT(PFY_Ready),"",SUMIFS(INDEX(PFY_Data,0,PFY_ColBal),INDEX(PFY_Data,0,PFY_ColFirst),$A79,INDEX(PFY_Data,0,PFY_ColSur),$B79,INDEX(PFY_Data,0,PFY_ColCat),BonusCat)))</f>
        <v/>
      </c>
      <c r="T79" s="17"/>
      <c r="U79" s="13" t="str">
        <f aca="false">IF(AC79=0,"",IF(NOT(CFY_Ready),"",SUMIFS(INDEX(CFY_Data,0,CFY_ColBal),INDEX(CFY_Data,0,CFY_ColFirst),$A79,INDEX(CFY_Data,0,CFY_ColSur),$B79,INDEX(CFY_Data,0,CFY_ColCat),BonusCat)))</f>
        <v/>
      </c>
      <c r="V79" s="13" t="str">
        <f aca="false">IF(AC79=0,"",IF(OR(NOT(CFY_Ready),CFY_ColAppr=0),"",SUMIFS(INDEX(CFY_Data,0,CFY_ColAppr),INDEX(CFY_Data,0,CFY_ColFirst),$A79,INDEX(CFY_Data,0,CFY_ColSur),$B79,INDEX(CFY_Data,0,CFY_ColCat),BonusCat)))</f>
        <v/>
      </c>
      <c r="W79" s="13" t="str">
        <f aca="false">IF(OR(AC79=0,S79="",U79=""),"",MAX(0,S79+N($T79)-U79))</f>
        <v/>
      </c>
      <c r="X79" s="13" t="str">
        <f aca="false">IF(AC79=0,"",(AL79-AM79)*HoursPerDay)</f>
        <v/>
      </c>
      <c r="Y79" s="13" t="str">
        <f aca="false">IF(AC79=0,"",X79-N($T79))</f>
        <v/>
      </c>
      <c r="Z79" s="12" t="str">
        <f aca="false">IF(AC79=0,"",IF(Y79&gt;0,"Yes","No"))</f>
        <v/>
      </c>
      <c r="AA79" s="12" t="str">
        <f aca="false">IF(AC79=0,"",IF(NOT(CFY_Ready),"Paste CFY EH export",IF(Y79&gt;0,"ACCRUE "&amp;TEXT(Y79,"0.##")&amp;" hrs ("&amp;TEXT(Y79/HoursPerDay,"0.##")&amp;" days)"&amp;IF(AO79=0," - no Bonus Leave line in EH yet",""),IF(Y79&lt;0,"CHECK - posted "&amp;TEXT(-Y79,"0.##")&amp;" hrs more than policy",IF(AND(N79&gt;0,AO79=0,U79=0),"CHECK - policy says "&amp;TEXT(M79,"0.##")&amp;" hrs to date but nothing in EH",IF(N79&gt;0,"OK","-"))))))</f>
        <v/>
      </c>
      <c r="AB79" s="13" t="str">
        <f aca="false">IF(OR(AC79=0,S79=""),"",AM79*HoursPerDay-S79)</f>
        <v/>
      </c>
      <c r="AC79" s="12" t="n">
        <f aca="false">IF(OR(LEN($A79&amp;$B79)=0,$F79=""),0,1)</f>
        <v>0</v>
      </c>
      <c r="AD79" s="10" t="str">
        <f aca="false">IF(AC79=0,"",IF($I79&lt;&gt;"",$I79,$F79))</f>
        <v/>
      </c>
      <c r="AE79" s="10" t="str">
        <f aca="false">IF(AC79=0,"",IF(AND($G79&lt;&gt;"",$H79&lt;&gt;"",$G79&lt;&gt;$H79),MAX($G79,$H79),""))</f>
        <v/>
      </c>
      <c r="AF79" s="12" t="str">
        <f aca="false">IF(AC79=0,"",IF(AE79="",AG79,IF(IF($G79&lt;$H79,"Part-Time","Full-Time")="Full-Time","FT",IF(AND(IF($G79&lt;$H79,"Part-Time","Full-Time")="Part-Time",OR($O79="",N($O79)&gt;=PT_MinHours)),"PT","None"))))</f>
        <v/>
      </c>
      <c r="AG79" s="12" t="str">
        <f aca="false">IF(AC79=0,"",IF($C79="Full-Time","FT",IF(AND($C79="Part-Time",OR($O79="",N($O79)&gt;=PT_MinHours)),"PT","None")))</f>
        <v/>
      </c>
      <c r="AH79" s="12" t="str">
        <f aca="false">IF(AC79=0,"",IF(AsOfDate&lt;AD79,-1,12*(YEAR(AsOfDate)-YEAR(AD79))+MONTH(AsOfDate)-MONTH(AD79)-IF(DAY(AsOfDate)&lt;MIN(DAY(AD79),DAY(EOMONTH(AsOfDate,0))),1,0)))</f>
        <v/>
      </c>
      <c r="AI79" s="12" t="str">
        <f aca="false">IF(AC79=0,"",IF(OR(AE79="",AE79&gt;AsOfDate),AH79,IF((AE79-1)&lt;AD79,-1,12*(YEAR((AE79-1))-YEAR(AD79))+MONTH((AE79-1))-MONTH(AD79)-IF(DAY((AE79-1))&lt;MIN(DAY(AD79),DAY(EOMONTH((AE79-1),0))),1,0))))</f>
        <v/>
      </c>
      <c r="AJ79" s="12" t="str">
        <f aca="false">IF(AC79=0,"",IF(PFYDate&lt;AD79,-1,12*(YEAR(PFYDate)-YEAR(AD79))+MONTH(PFYDate)-MONTH(AD79)-IF(DAY(PFYDate)&lt;MIN(DAY(AD79),DAY(EOMONTH(PFYDate,0))),1,0)))</f>
        <v/>
      </c>
      <c r="AK79" s="12" t="str">
        <f aca="false">IF(AC79=0,"",IF(OR(AE79="",AE79&gt;PFYDate),AJ79,IF((AE79-1)&lt;AD79,-1,12*(YEAR((AE79-1))-YEAR(AD79))+MONTH((AE79-1))-MONTH(AD79)-IF(DAY((AE79-1))&lt;MIN(DAY(AD79),DAY(EOMONTH((AE79-1),0))),1,0))))</f>
        <v/>
      </c>
      <c r="AL79" s="12" t="str">
        <f aca="false">IF(AC79=0,"",IF(AF79="FT",IF(AI79&lt;FT_First,0,IF(AI79&lt;FT_Y5,1+INT((AI79-FT_First)/FT_Int1),FT_PreY5+FT_PerYear*INT((AI79-FT_Y5)/12)+FT_AnnivDays+INT(MOD(AI79-FT_Y5,12)/FT_Int2))),IF(AF79="PT",IF(AI79&lt;PT_First,0,1+INT((AI79-PT_First)/PT_Int)),0))+IF(OR(AE79="",AE79&gt;AsOfDate),0,IF(AG79="FT",IF(AH79&lt;FT_First,0,IF(AH79&lt;FT_Y5,1+INT((AH79-FT_First)/FT_Int1),FT_PreY5+FT_PerYear*INT((AH79-FT_Y5)/12)+FT_AnnivDays+INT(MOD(AH79-FT_Y5,12)/FT_Int2))),IF(AG79="PT",IF(AH79&lt;PT_First,0,1+INT((AH79-PT_First)/PT_Int)),0))-IF(AG79="FT",IF(AI79&lt;FT_First,0,IF(AI79&lt;FT_Y5,1+INT((AI79-FT_First)/FT_Int1),FT_PreY5+FT_PerYear*INT((AI79-FT_Y5)/12)+FT_AnnivDays+INT(MOD(AI79-FT_Y5,12)/FT_Int2))),IF(AG79="PT",IF(AI79&lt;PT_First,0,1+INT((AI79-PT_First)/PT_Int)),0))))</f>
        <v/>
      </c>
      <c r="AM79" s="12" t="str">
        <f aca="false">IF(AC79=0,"",IF(AF79="FT",IF(AK79&lt;FT_First,0,IF(AK79&lt;FT_Y5,1+INT((AK79-FT_First)/FT_Int1),FT_PreY5+FT_PerYear*INT((AK79-FT_Y5)/12)+FT_AnnivDays+INT(MOD(AK79-FT_Y5,12)/FT_Int2))),IF(AF79="PT",IF(AK79&lt;PT_First,0,1+INT((AK79-PT_First)/PT_Int)),0))+IF(OR(AE79="",AE79&gt;PFYDate),0,IF(AG79="FT",IF(AJ79&lt;FT_First,0,IF(AJ79&lt;FT_Y5,1+INT((AJ79-FT_First)/FT_Int1),FT_PreY5+FT_PerYear*INT((AJ79-FT_Y5)/12)+FT_AnnivDays+INT(MOD(AJ79-FT_Y5,12)/FT_Int2))),IF(AG79="PT",IF(AJ79&lt;PT_First,0,1+INT((AJ79-PT_First)/PT_Int)),0))-IF(AG79="FT",IF(AK79&lt;FT_First,0,IF(AK79&lt;FT_Y5,1+INT((AK79-FT_First)/FT_Int1),FT_PreY5+FT_PerYear*INT((AK79-FT_Y5)/12)+FT_AnnivDays+INT(MOD(AK79-FT_Y5,12)/FT_Int2))),IF(AG79="PT",IF(AK79&lt;PT_First,0,1+INT((AK79-PT_First)/PT_Int)),0))))</f>
        <v/>
      </c>
      <c r="AN79" s="12" t="str">
        <f aca="false">IF(AC79=0,"",IF(AG79="FT",IF(AH79&lt;FT_First,FT_First,IF(AH79&lt;FT_Y5,MIN(FT_Y5,FT_First+FT_Int1*(INT((AH79-FT_First)/FT_Int1)+1)),FT_Y5+12*INT((AH79-FT_Y5)/12)+FT_Int2*(INT(MOD(AH79-FT_Y5,12)/FT_Int2)+1))),IF(AG79="PT",IF(AH79&lt;PT_First,PT_First,PT_First+PT_Int*(INT((AH79-PT_First)/PT_Int)+1)),"")))</f>
        <v/>
      </c>
      <c r="AO79" s="12" t="str">
        <f aca="false">IF(AC79=0,"",IF(NOT(CFY_Ready),0,COUNTIFS(INDEX(CFY_Data,0,CFY_ColFirst),$A79,INDEX(CFY_Data,0,CFY_ColSur),$B79,INDEX(CFY_Data,0,CFY_ColCat),BonusCat)))</f>
        <v/>
      </c>
    </row>
    <row r="80" customFormat="false" ht="15" hidden="false" customHeight="false" outlineLevel="0" collapsed="false">
      <c r="A80" s="15"/>
      <c r="B80" s="15"/>
      <c r="C80" s="15"/>
      <c r="D80" s="16"/>
      <c r="E80" s="10" t="str">
        <f aca="false">IF(OR(AC80=0,$D80=""),"",DATE(YEAR(AsOfDate)+IF(DATE(YEAR(AsOfDate),MONTH($D80),DAY($D80))&lt;=AsOfDate,1,0),MONTH($D80),DAY($D80)))</f>
        <v/>
      </c>
      <c r="F80" s="16"/>
      <c r="G80" s="16"/>
      <c r="H80" s="16"/>
      <c r="I80" s="16"/>
      <c r="J80" s="10" t="str">
        <f aca="false">IF(AC80=0,"",DATE(YEAR(AsOfDate)+IF(DATE(YEAR(AsOfDate),MONTH($F80),DAY($F80))&lt;=AsOfDate,1,0),MONTH($F80),DAY($F80)))</f>
        <v/>
      </c>
      <c r="K80" s="11" t="str">
        <f aca="false">IF(AC80=0,"",ROUND((AsOfDate-$F80)/365.25,1))</f>
        <v/>
      </c>
      <c r="L80" s="12" t="str">
        <f aca="false">IF(AC80=0,"",IF(AsOfDate&lt;AD80,"-",DATEDIF(AD80,AsOfDate,"y")&amp;"y "&amp;DATEDIF(AD80,AsOfDate,"ym")&amp;"m "&amp;DATEDIF(AD80,AsOfDate,"md")&amp;"d"))</f>
        <v/>
      </c>
      <c r="M80" s="13" t="str">
        <f aca="false">IF(AC80=0,"",N80*HoursPerDay)</f>
        <v/>
      </c>
      <c r="N80" s="13" t="str">
        <f aca="false">IF(AC80=0,"",AL80)</f>
        <v/>
      </c>
      <c r="O80" s="17"/>
      <c r="P80" s="12" t="str">
        <f aca="false">IF(AC80=0,"",IF(AE80="","",IF($G80&lt;$H80,"Part-Time to Full-Time","Full-Time to Part-Time")&amp;" on "&amp;TEXT(AE80,"dd/mm/yyyy")&amp;IF(AE80&gt;AsOfDate," (future)",IF(AF80=AG80,"",IF(AG80="None"," - STOPPED accruing",IF(AF80="None"," - now qualifying"," - pathway changed"))))))</f>
        <v/>
      </c>
      <c r="Q80" s="12" t="str">
        <f aca="false">IF(AC80=0,"",IF(AG80="None",IF(N80&gt;0,"No longer accruing","Not eligible - "&amp;IF(AND($C80="Part-Time",N($O80)&lt;PT_MinHours,$O80&lt;&gt;""),"under "&amp;PT_MinHours&amp;" hrs",$C80)),IF(N80&gt;0,"Yes - accruing","Not yet - from "&amp;TEXT(R80,"dd/mm/yyyy"))))</f>
        <v/>
      </c>
      <c r="R80" s="10" t="str">
        <f aca="false">IF(AC80=0,"",IF(AG80="None","",EDATE(AD80,AN80)))</f>
        <v/>
      </c>
      <c r="S80" s="13" t="str">
        <f aca="false">IF(AC80=0,"",IF(NOT(PFY_Ready),"",SUMIFS(INDEX(PFY_Data,0,PFY_ColBal),INDEX(PFY_Data,0,PFY_ColFirst),$A80,INDEX(PFY_Data,0,PFY_ColSur),$B80,INDEX(PFY_Data,0,PFY_ColCat),BonusCat)))</f>
        <v/>
      </c>
      <c r="T80" s="17"/>
      <c r="U80" s="13" t="str">
        <f aca="false">IF(AC80=0,"",IF(NOT(CFY_Ready),"",SUMIFS(INDEX(CFY_Data,0,CFY_ColBal),INDEX(CFY_Data,0,CFY_ColFirst),$A80,INDEX(CFY_Data,0,CFY_ColSur),$B80,INDEX(CFY_Data,0,CFY_ColCat),BonusCat)))</f>
        <v/>
      </c>
      <c r="V80" s="13" t="str">
        <f aca="false">IF(AC80=0,"",IF(OR(NOT(CFY_Ready),CFY_ColAppr=0),"",SUMIFS(INDEX(CFY_Data,0,CFY_ColAppr),INDEX(CFY_Data,0,CFY_ColFirst),$A80,INDEX(CFY_Data,0,CFY_ColSur),$B80,INDEX(CFY_Data,0,CFY_ColCat),BonusCat)))</f>
        <v/>
      </c>
      <c r="W80" s="13" t="str">
        <f aca="false">IF(OR(AC80=0,S80="",U80=""),"",MAX(0,S80+N($T80)-U80))</f>
        <v/>
      </c>
      <c r="X80" s="13" t="str">
        <f aca="false">IF(AC80=0,"",(AL80-AM80)*HoursPerDay)</f>
        <v/>
      </c>
      <c r="Y80" s="13" t="str">
        <f aca="false">IF(AC80=0,"",X80-N($T80))</f>
        <v/>
      </c>
      <c r="Z80" s="12" t="str">
        <f aca="false">IF(AC80=0,"",IF(Y80&gt;0,"Yes","No"))</f>
        <v/>
      </c>
      <c r="AA80" s="12" t="str">
        <f aca="false">IF(AC80=0,"",IF(NOT(CFY_Ready),"Paste CFY EH export",IF(Y80&gt;0,"ACCRUE "&amp;TEXT(Y80,"0.##")&amp;" hrs ("&amp;TEXT(Y80/HoursPerDay,"0.##")&amp;" days)"&amp;IF(AO80=0," - no Bonus Leave line in EH yet",""),IF(Y80&lt;0,"CHECK - posted "&amp;TEXT(-Y80,"0.##")&amp;" hrs more than policy",IF(AND(N80&gt;0,AO80=0,U80=0),"CHECK - policy says "&amp;TEXT(M80,"0.##")&amp;" hrs to date but nothing in EH",IF(N80&gt;0,"OK","-"))))))</f>
        <v/>
      </c>
      <c r="AB80" s="13" t="str">
        <f aca="false">IF(OR(AC80=0,S80=""),"",AM80*HoursPerDay-S80)</f>
        <v/>
      </c>
      <c r="AC80" s="12" t="n">
        <f aca="false">IF(OR(LEN($A80&amp;$B80)=0,$F80=""),0,1)</f>
        <v>0</v>
      </c>
      <c r="AD80" s="10" t="str">
        <f aca="false">IF(AC80=0,"",IF($I80&lt;&gt;"",$I80,$F80))</f>
        <v/>
      </c>
      <c r="AE80" s="10" t="str">
        <f aca="false">IF(AC80=0,"",IF(AND($G80&lt;&gt;"",$H80&lt;&gt;"",$G80&lt;&gt;$H80),MAX($G80,$H80),""))</f>
        <v/>
      </c>
      <c r="AF80" s="12" t="str">
        <f aca="false">IF(AC80=0,"",IF(AE80="",AG80,IF(IF($G80&lt;$H80,"Part-Time","Full-Time")="Full-Time","FT",IF(AND(IF($G80&lt;$H80,"Part-Time","Full-Time")="Part-Time",OR($O80="",N($O80)&gt;=PT_MinHours)),"PT","None"))))</f>
        <v/>
      </c>
      <c r="AG80" s="12" t="str">
        <f aca="false">IF(AC80=0,"",IF($C80="Full-Time","FT",IF(AND($C80="Part-Time",OR($O80="",N($O80)&gt;=PT_MinHours)),"PT","None")))</f>
        <v/>
      </c>
      <c r="AH80" s="12" t="str">
        <f aca="false">IF(AC80=0,"",IF(AsOfDate&lt;AD80,-1,12*(YEAR(AsOfDate)-YEAR(AD80))+MONTH(AsOfDate)-MONTH(AD80)-IF(DAY(AsOfDate)&lt;MIN(DAY(AD80),DAY(EOMONTH(AsOfDate,0))),1,0)))</f>
        <v/>
      </c>
      <c r="AI80" s="12" t="str">
        <f aca="false">IF(AC80=0,"",IF(OR(AE80="",AE80&gt;AsOfDate),AH80,IF((AE80-1)&lt;AD80,-1,12*(YEAR((AE80-1))-YEAR(AD80))+MONTH((AE80-1))-MONTH(AD80)-IF(DAY((AE80-1))&lt;MIN(DAY(AD80),DAY(EOMONTH((AE80-1),0))),1,0))))</f>
        <v/>
      </c>
      <c r="AJ80" s="12" t="str">
        <f aca="false">IF(AC80=0,"",IF(PFYDate&lt;AD80,-1,12*(YEAR(PFYDate)-YEAR(AD80))+MONTH(PFYDate)-MONTH(AD80)-IF(DAY(PFYDate)&lt;MIN(DAY(AD80),DAY(EOMONTH(PFYDate,0))),1,0)))</f>
        <v/>
      </c>
      <c r="AK80" s="12" t="str">
        <f aca="false">IF(AC80=0,"",IF(OR(AE80="",AE80&gt;PFYDate),AJ80,IF((AE80-1)&lt;AD80,-1,12*(YEAR((AE80-1))-YEAR(AD80))+MONTH((AE80-1))-MONTH(AD80)-IF(DAY((AE80-1))&lt;MIN(DAY(AD80),DAY(EOMONTH((AE80-1),0))),1,0))))</f>
        <v/>
      </c>
      <c r="AL80" s="12" t="str">
        <f aca="false">IF(AC80=0,"",IF(AF80="FT",IF(AI80&lt;FT_First,0,IF(AI80&lt;FT_Y5,1+INT((AI80-FT_First)/FT_Int1),FT_PreY5+FT_PerYear*INT((AI80-FT_Y5)/12)+FT_AnnivDays+INT(MOD(AI80-FT_Y5,12)/FT_Int2))),IF(AF80="PT",IF(AI80&lt;PT_First,0,1+INT((AI80-PT_First)/PT_Int)),0))+IF(OR(AE80="",AE80&gt;AsOfDate),0,IF(AG80="FT",IF(AH80&lt;FT_First,0,IF(AH80&lt;FT_Y5,1+INT((AH80-FT_First)/FT_Int1),FT_PreY5+FT_PerYear*INT((AH80-FT_Y5)/12)+FT_AnnivDays+INT(MOD(AH80-FT_Y5,12)/FT_Int2))),IF(AG80="PT",IF(AH80&lt;PT_First,0,1+INT((AH80-PT_First)/PT_Int)),0))-IF(AG80="FT",IF(AI80&lt;FT_First,0,IF(AI80&lt;FT_Y5,1+INT((AI80-FT_First)/FT_Int1),FT_PreY5+FT_PerYear*INT((AI80-FT_Y5)/12)+FT_AnnivDays+INT(MOD(AI80-FT_Y5,12)/FT_Int2))),IF(AG80="PT",IF(AI80&lt;PT_First,0,1+INT((AI80-PT_First)/PT_Int)),0))))</f>
        <v/>
      </c>
      <c r="AM80" s="12" t="str">
        <f aca="false">IF(AC80=0,"",IF(AF80="FT",IF(AK80&lt;FT_First,0,IF(AK80&lt;FT_Y5,1+INT((AK80-FT_First)/FT_Int1),FT_PreY5+FT_PerYear*INT((AK80-FT_Y5)/12)+FT_AnnivDays+INT(MOD(AK80-FT_Y5,12)/FT_Int2))),IF(AF80="PT",IF(AK80&lt;PT_First,0,1+INT((AK80-PT_First)/PT_Int)),0))+IF(OR(AE80="",AE80&gt;PFYDate),0,IF(AG80="FT",IF(AJ80&lt;FT_First,0,IF(AJ80&lt;FT_Y5,1+INT((AJ80-FT_First)/FT_Int1),FT_PreY5+FT_PerYear*INT((AJ80-FT_Y5)/12)+FT_AnnivDays+INT(MOD(AJ80-FT_Y5,12)/FT_Int2))),IF(AG80="PT",IF(AJ80&lt;PT_First,0,1+INT((AJ80-PT_First)/PT_Int)),0))-IF(AG80="FT",IF(AK80&lt;FT_First,0,IF(AK80&lt;FT_Y5,1+INT((AK80-FT_First)/FT_Int1),FT_PreY5+FT_PerYear*INT((AK80-FT_Y5)/12)+FT_AnnivDays+INT(MOD(AK80-FT_Y5,12)/FT_Int2))),IF(AG80="PT",IF(AK80&lt;PT_First,0,1+INT((AK80-PT_First)/PT_Int)),0))))</f>
        <v/>
      </c>
      <c r="AN80" s="12" t="str">
        <f aca="false">IF(AC80=0,"",IF(AG80="FT",IF(AH80&lt;FT_First,FT_First,IF(AH80&lt;FT_Y5,MIN(FT_Y5,FT_First+FT_Int1*(INT((AH80-FT_First)/FT_Int1)+1)),FT_Y5+12*INT((AH80-FT_Y5)/12)+FT_Int2*(INT(MOD(AH80-FT_Y5,12)/FT_Int2)+1))),IF(AG80="PT",IF(AH80&lt;PT_First,PT_First,PT_First+PT_Int*(INT((AH80-PT_First)/PT_Int)+1)),"")))</f>
        <v/>
      </c>
      <c r="AO80" s="12" t="str">
        <f aca="false">IF(AC80=0,"",IF(NOT(CFY_Ready),0,COUNTIFS(INDEX(CFY_Data,0,CFY_ColFirst),$A80,INDEX(CFY_Data,0,CFY_ColSur),$B80,INDEX(CFY_Data,0,CFY_ColCat),BonusCat)))</f>
        <v/>
      </c>
    </row>
    <row r="81" customFormat="false" ht="15" hidden="false" customHeight="false" outlineLevel="0" collapsed="false">
      <c r="A81" s="15"/>
      <c r="B81" s="15"/>
      <c r="C81" s="15"/>
      <c r="D81" s="16"/>
      <c r="E81" s="10" t="str">
        <f aca="false">IF(OR(AC81=0,$D81=""),"",DATE(YEAR(AsOfDate)+IF(DATE(YEAR(AsOfDate),MONTH($D81),DAY($D81))&lt;=AsOfDate,1,0),MONTH($D81),DAY($D81)))</f>
        <v/>
      </c>
      <c r="F81" s="16"/>
      <c r="G81" s="16"/>
      <c r="H81" s="16"/>
      <c r="I81" s="16"/>
      <c r="J81" s="10" t="str">
        <f aca="false">IF(AC81=0,"",DATE(YEAR(AsOfDate)+IF(DATE(YEAR(AsOfDate),MONTH($F81),DAY($F81))&lt;=AsOfDate,1,0),MONTH($F81),DAY($F81)))</f>
        <v/>
      </c>
      <c r="K81" s="11" t="str">
        <f aca="false">IF(AC81=0,"",ROUND((AsOfDate-$F81)/365.25,1))</f>
        <v/>
      </c>
      <c r="L81" s="12" t="str">
        <f aca="false">IF(AC81=0,"",IF(AsOfDate&lt;AD81,"-",DATEDIF(AD81,AsOfDate,"y")&amp;"y "&amp;DATEDIF(AD81,AsOfDate,"ym")&amp;"m "&amp;DATEDIF(AD81,AsOfDate,"md")&amp;"d"))</f>
        <v/>
      </c>
      <c r="M81" s="13" t="str">
        <f aca="false">IF(AC81=0,"",N81*HoursPerDay)</f>
        <v/>
      </c>
      <c r="N81" s="13" t="str">
        <f aca="false">IF(AC81=0,"",AL81)</f>
        <v/>
      </c>
      <c r="O81" s="17"/>
      <c r="P81" s="12" t="str">
        <f aca="false">IF(AC81=0,"",IF(AE81="","",IF($G81&lt;$H81,"Part-Time to Full-Time","Full-Time to Part-Time")&amp;" on "&amp;TEXT(AE81,"dd/mm/yyyy")&amp;IF(AE81&gt;AsOfDate," (future)",IF(AF81=AG81,"",IF(AG81="None"," - STOPPED accruing",IF(AF81="None"," - now qualifying"," - pathway changed"))))))</f>
        <v/>
      </c>
      <c r="Q81" s="12" t="str">
        <f aca="false">IF(AC81=0,"",IF(AG81="None",IF(N81&gt;0,"No longer accruing","Not eligible - "&amp;IF(AND($C81="Part-Time",N($O81)&lt;PT_MinHours,$O81&lt;&gt;""),"under "&amp;PT_MinHours&amp;" hrs",$C81)),IF(N81&gt;0,"Yes - accruing","Not yet - from "&amp;TEXT(R81,"dd/mm/yyyy"))))</f>
        <v/>
      </c>
      <c r="R81" s="10" t="str">
        <f aca="false">IF(AC81=0,"",IF(AG81="None","",EDATE(AD81,AN81)))</f>
        <v/>
      </c>
      <c r="S81" s="13" t="str">
        <f aca="false">IF(AC81=0,"",IF(NOT(PFY_Ready),"",SUMIFS(INDEX(PFY_Data,0,PFY_ColBal),INDEX(PFY_Data,0,PFY_ColFirst),$A81,INDEX(PFY_Data,0,PFY_ColSur),$B81,INDEX(PFY_Data,0,PFY_ColCat),BonusCat)))</f>
        <v/>
      </c>
      <c r="T81" s="17"/>
      <c r="U81" s="13" t="str">
        <f aca="false">IF(AC81=0,"",IF(NOT(CFY_Ready),"",SUMIFS(INDEX(CFY_Data,0,CFY_ColBal),INDEX(CFY_Data,0,CFY_ColFirst),$A81,INDEX(CFY_Data,0,CFY_ColSur),$B81,INDEX(CFY_Data,0,CFY_ColCat),BonusCat)))</f>
        <v/>
      </c>
      <c r="V81" s="13" t="str">
        <f aca="false">IF(AC81=0,"",IF(OR(NOT(CFY_Ready),CFY_ColAppr=0),"",SUMIFS(INDEX(CFY_Data,0,CFY_ColAppr),INDEX(CFY_Data,0,CFY_ColFirst),$A81,INDEX(CFY_Data,0,CFY_ColSur),$B81,INDEX(CFY_Data,0,CFY_ColCat),BonusCat)))</f>
        <v/>
      </c>
      <c r="W81" s="13" t="str">
        <f aca="false">IF(OR(AC81=0,S81="",U81=""),"",MAX(0,S81+N($T81)-U81))</f>
        <v/>
      </c>
      <c r="X81" s="13" t="str">
        <f aca="false">IF(AC81=0,"",(AL81-AM81)*HoursPerDay)</f>
        <v/>
      </c>
      <c r="Y81" s="13" t="str">
        <f aca="false">IF(AC81=0,"",X81-N($T81))</f>
        <v/>
      </c>
      <c r="Z81" s="12" t="str">
        <f aca="false">IF(AC81=0,"",IF(Y81&gt;0,"Yes","No"))</f>
        <v/>
      </c>
      <c r="AA81" s="12" t="str">
        <f aca="false">IF(AC81=0,"",IF(NOT(CFY_Ready),"Paste CFY EH export",IF(Y81&gt;0,"ACCRUE "&amp;TEXT(Y81,"0.##")&amp;" hrs ("&amp;TEXT(Y81/HoursPerDay,"0.##")&amp;" days)"&amp;IF(AO81=0," - no Bonus Leave line in EH yet",""),IF(Y81&lt;0,"CHECK - posted "&amp;TEXT(-Y81,"0.##")&amp;" hrs more than policy",IF(AND(N81&gt;0,AO81=0,U81=0),"CHECK - policy says "&amp;TEXT(M81,"0.##")&amp;" hrs to date but nothing in EH",IF(N81&gt;0,"OK","-"))))))</f>
        <v/>
      </c>
      <c r="AB81" s="13" t="str">
        <f aca="false">IF(OR(AC81=0,S81=""),"",AM81*HoursPerDay-S81)</f>
        <v/>
      </c>
      <c r="AC81" s="12" t="n">
        <f aca="false">IF(OR(LEN($A81&amp;$B81)=0,$F81=""),0,1)</f>
        <v>0</v>
      </c>
      <c r="AD81" s="10" t="str">
        <f aca="false">IF(AC81=0,"",IF($I81&lt;&gt;"",$I81,$F81))</f>
        <v/>
      </c>
      <c r="AE81" s="10" t="str">
        <f aca="false">IF(AC81=0,"",IF(AND($G81&lt;&gt;"",$H81&lt;&gt;"",$G81&lt;&gt;$H81),MAX($G81,$H81),""))</f>
        <v/>
      </c>
      <c r="AF81" s="12" t="str">
        <f aca="false">IF(AC81=0,"",IF(AE81="",AG81,IF(IF($G81&lt;$H81,"Part-Time","Full-Time")="Full-Time","FT",IF(AND(IF($G81&lt;$H81,"Part-Time","Full-Time")="Part-Time",OR($O81="",N($O81)&gt;=PT_MinHours)),"PT","None"))))</f>
        <v/>
      </c>
      <c r="AG81" s="12" t="str">
        <f aca="false">IF(AC81=0,"",IF($C81="Full-Time","FT",IF(AND($C81="Part-Time",OR($O81="",N($O81)&gt;=PT_MinHours)),"PT","None")))</f>
        <v/>
      </c>
      <c r="AH81" s="12" t="str">
        <f aca="false">IF(AC81=0,"",IF(AsOfDate&lt;AD81,-1,12*(YEAR(AsOfDate)-YEAR(AD81))+MONTH(AsOfDate)-MONTH(AD81)-IF(DAY(AsOfDate)&lt;MIN(DAY(AD81),DAY(EOMONTH(AsOfDate,0))),1,0)))</f>
        <v/>
      </c>
      <c r="AI81" s="12" t="str">
        <f aca="false">IF(AC81=0,"",IF(OR(AE81="",AE81&gt;AsOfDate),AH81,IF((AE81-1)&lt;AD81,-1,12*(YEAR((AE81-1))-YEAR(AD81))+MONTH((AE81-1))-MONTH(AD81)-IF(DAY((AE81-1))&lt;MIN(DAY(AD81),DAY(EOMONTH((AE81-1),0))),1,0))))</f>
        <v/>
      </c>
      <c r="AJ81" s="12" t="str">
        <f aca="false">IF(AC81=0,"",IF(PFYDate&lt;AD81,-1,12*(YEAR(PFYDate)-YEAR(AD81))+MONTH(PFYDate)-MONTH(AD81)-IF(DAY(PFYDate)&lt;MIN(DAY(AD81),DAY(EOMONTH(PFYDate,0))),1,0)))</f>
        <v/>
      </c>
      <c r="AK81" s="12" t="str">
        <f aca="false">IF(AC81=0,"",IF(OR(AE81="",AE81&gt;PFYDate),AJ81,IF((AE81-1)&lt;AD81,-1,12*(YEAR((AE81-1))-YEAR(AD81))+MONTH((AE81-1))-MONTH(AD81)-IF(DAY((AE81-1))&lt;MIN(DAY(AD81),DAY(EOMONTH((AE81-1),0))),1,0))))</f>
        <v/>
      </c>
      <c r="AL81" s="12" t="str">
        <f aca="false">IF(AC81=0,"",IF(AF81="FT",IF(AI81&lt;FT_First,0,IF(AI81&lt;FT_Y5,1+INT((AI81-FT_First)/FT_Int1),FT_PreY5+FT_PerYear*INT((AI81-FT_Y5)/12)+FT_AnnivDays+INT(MOD(AI81-FT_Y5,12)/FT_Int2))),IF(AF81="PT",IF(AI81&lt;PT_First,0,1+INT((AI81-PT_First)/PT_Int)),0))+IF(OR(AE81="",AE81&gt;AsOfDate),0,IF(AG81="FT",IF(AH81&lt;FT_First,0,IF(AH81&lt;FT_Y5,1+INT((AH81-FT_First)/FT_Int1),FT_PreY5+FT_PerYear*INT((AH81-FT_Y5)/12)+FT_AnnivDays+INT(MOD(AH81-FT_Y5,12)/FT_Int2))),IF(AG81="PT",IF(AH81&lt;PT_First,0,1+INT((AH81-PT_First)/PT_Int)),0))-IF(AG81="FT",IF(AI81&lt;FT_First,0,IF(AI81&lt;FT_Y5,1+INT((AI81-FT_First)/FT_Int1),FT_PreY5+FT_PerYear*INT((AI81-FT_Y5)/12)+FT_AnnivDays+INT(MOD(AI81-FT_Y5,12)/FT_Int2))),IF(AG81="PT",IF(AI81&lt;PT_First,0,1+INT((AI81-PT_First)/PT_Int)),0))))</f>
        <v/>
      </c>
      <c r="AM81" s="12" t="str">
        <f aca="false">IF(AC81=0,"",IF(AF81="FT",IF(AK81&lt;FT_First,0,IF(AK81&lt;FT_Y5,1+INT((AK81-FT_First)/FT_Int1),FT_PreY5+FT_PerYear*INT((AK81-FT_Y5)/12)+FT_AnnivDays+INT(MOD(AK81-FT_Y5,12)/FT_Int2))),IF(AF81="PT",IF(AK81&lt;PT_First,0,1+INT((AK81-PT_First)/PT_Int)),0))+IF(OR(AE81="",AE81&gt;PFYDate),0,IF(AG81="FT",IF(AJ81&lt;FT_First,0,IF(AJ81&lt;FT_Y5,1+INT((AJ81-FT_First)/FT_Int1),FT_PreY5+FT_PerYear*INT((AJ81-FT_Y5)/12)+FT_AnnivDays+INT(MOD(AJ81-FT_Y5,12)/FT_Int2))),IF(AG81="PT",IF(AJ81&lt;PT_First,0,1+INT((AJ81-PT_First)/PT_Int)),0))-IF(AG81="FT",IF(AK81&lt;FT_First,0,IF(AK81&lt;FT_Y5,1+INT((AK81-FT_First)/FT_Int1),FT_PreY5+FT_PerYear*INT((AK81-FT_Y5)/12)+FT_AnnivDays+INT(MOD(AK81-FT_Y5,12)/FT_Int2))),IF(AG81="PT",IF(AK81&lt;PT_First,0,1+INT((AK81-PT_First)/PT_Int)),0))))</f>
        <v/>
      </c>
      <c r="AN81" s="12" t="str">
        <f aca="false">IF(AC81=0,"",IF(AG81="FT",IF(AH81&lt;FT_First,FT_First,IF(AH81&lt;FT_Y5,MIN(FT_Y5,FT_First+FT_Int1*(INT((AH81-FT_First)/FT_Int1)+1)),FT_Y5+12*INT((AH81-FT_Y5)/12)+FT_Int2*(INT(MOD(AH81-FT_Y5,12)/FT_Int2)+1))),IF(AG81="PT",IF(AH81&lt;PT_First,PT_First,PT_First+PT_Int*(INT((AH81-PT_First)/PT_Int)+1)),"")))</f>
        <v/>
      </c>
      <c r="AO81" s="12" t="str">
        <f aca="false">IF(AC81=0,"",IF(NOT(CFY_Ready),0,COUNTIFS(INDEX(CFY_Data,0,CFY_ColFirst),$A81,INDEX(CFY_Data,0,CFY_ColSur),$B81,INDEX(CFY_Data,0,CFY_ColCat),BonusCat)))</f>
        <v/>
      </c>
    </row>
    <row r="82" customFormat="false" ht="15" hidden="false" customHeight="false" outlineLevel="0" collapsed="false">
      <c r="A82" s="15"/>
      <c r="B82" s="15"/>
      <c r="C82" s="15"/>
      <c r="D82" s="16"/>
      <c r="E82" s="10" t="str">
        <f aca="false">IF(OR(AC82=0,$D82=""),"",DATE(YEAR(AsOfDate)+IF(DATE(YEAR(AsOfDate),MONTH($D82),DAY($D82))&lt;=AsOfDate,1,0),MONTH($D82),DAY($D82)))</f>
        <v/>
      </c>
      <c r="F82" s="16"/>
      <c r="G82" s="16"/>
      <c r="H82" s="16"/>
      <c r="I82" s="16"/>
      <c r="J82" s="10" t="str">
        <f aca="false">IF(AC82=0,"",DATE(YEAR(AsOfDate)+IF(DATE(YEAR(AsOfDate),MONTH($F82),DAY($F82))&lt;=AsOfDate,1,0),MONTH($F82),DAY($F82)))</f>
        <v/>
      </c>
      <c r="K82" s="11" t="str">
        <f aca="false">IF(AC82=0,"",ROUND((AsOfDate-$F82)/365.25,1))</f>
        <v/>
      </c>
      <c r="L82" s="12" t="str">
        <f aca="false">IF(AC82=0,"",IF(AsOfDate&lt;AD82,"-",DATEDIF(AD82,AsOfDate,"y")&amp;"y "&amp;DATEDIF(AD82,AsOfDate,"ym")&amp;"m "&amp;DATEDIF(AD82,AsOfDate,"md")&amp;"d"))</f>
        <v/>
      </c>
      <c r="M82" s="13" t="str">
        <f aca="false">IF(AC82=0,"",N82*HoursPerDay)</f>
        <v/>
      </c>
      <c r="N82" s="13" t="str">
        <f aca="false">IF(AC82=0,"",AL82)</f>
        <v/>
      </c>
      <c r="O82" s="17"/>
      <c r="P82" s="12" t="str">
        <f aca="false">IF(AC82=0,"",IF(AE82="","",IF($G82&lt;$H82,"Part-Time to Full-Time","Full-Time to Part-Time")&amp;" on "&amp;TEXT(AE82,"dd/mm/yyyy")&amp;IF(AE82&gt;AsOfDate," (future)",IF(AF82=AG82,"",IF(AG82="None"," - STOPPED accruing",IF(AF82="None"," - now qualifying"," - pathway changed"))))))</f>
        <v/>
      </c>
      <c r="Q82" s="12" t="str">
        <f aca="false">IF(AC82=0,"",IF(AG82="None",IF(N82&gt;0,"No longer accruing","Not eligible - "&amp;IF(AND($C82="Part-Time",N($O82)&lt;PT_MinHours,$O82&lt;&gt;""),"under "&amp;PT_MinHours&amp;" hrs",$C82)),IF(N82&gt;0,"Yes - accruing","Not yet - from "&amp;TEXT(R82,"dd/mm/yyyy"))))</f>
        <v/>
      </c>
      <c r="R82" s="10" t="str">
        <f aca="false">IF(AC82=0,"",IF(AG82="None","",EDATE(AD82,AN82)))</f>
        <v/>
      </c>
      <c r="S82" s="13" t="str">
        <f aca="false">IF(AC82=0,"",IF(NOT(PFY_Ready),"",SUMIFS(INDEX(PFY_Data,0,PFY_ColBal),INDEX(PFY_Data,0,PFY_ColFirst),$A82,INDEX(PFY_Data,0,PFY_ColSur),$B82,INDEX(PFY_Data,0,PFY_ColCat),BonusCat)))</f>
        <v/>
      </c>
      <c r="T82" s="17"/>
      <c r="U82" s="13" t="str">
        <f aca="false">IF(AC82=0,"",IF(NOT(CFY_Ready),"",SUMIFS(INDEX(CFY_Data,0,CFY_ColBal),INDEX(CFY_Data,0,CFY_ColFirst),$A82,INDEX(CFY_Data,0,CFY_ColSur),$B82,INDEX(CFY_Data,0,CFY_ColCat),BonusCat)))</f>
        <v/>
      </c>
      <c r="V82" s="13" t="str">
        <f aca="false">IF(AC82=0,"",IF(OR(NOT(CFY_Ready),CFY_ColAppr=0),"",SUMIFS(INDEX(CFY_Data,0,CFY_ColAppr),INDEX(CFY_Data,0,CFY_ColFirst),$A82,INDEX(CFY_Data,0,CFY_ColSur),$B82,INDEX(CFY_Data,0,CFY_ColCat),BonusCat)))</f>
        <v/>
      </c>
      <c r="W82" s="13" t="str">
        <f aca="false">IF(OR(AC82=0,S82="",U82=""),"",MAX(0,S82+N($T82)-U82))</f>
        <v/>
      </c>
      <c r="X82" s="13" t="str">
        <f aca="false">IF(AC82=0,"",(AL82-AM82)*HoursPerDay)</f>
        <v/>
      </c>
      <c r="Y82" s="13" t="str">
        <f aca="false">IF(AC82=0,"",X82-N($T82))</f>
        <v/>
      </c>
      <c r="Z82" s="12" t="str">
        <f aca="false">IF(AC82=0,"",IF(Y82&gt;0,"Yes","No"))</f>
        <v/>
      </c>
      <c r="AA82" s="12" t="str">
        <f aca="false">IF(AC82=0,"",IF(NOT(CFY_Ready),"Paste CFY EH export",IF(Y82&gt;0,"ACCRUE "&amp;TEXT(Y82,"0.##")&amp;" hrs ("&amp;TEXT(Y82/HoursPerDay,"0.##")&amp;" days)"&amp;IF(AO82=0," - no Bonus Leave line in EH yet",""),IF(Y82&lt;0,"CHECK - posted "&amp;TEXT(-Y82,"0.##")&amp;" hrs more than policy",IF(AND(N82&gt;0,AO82=0,U82=0),"CHECK - policy says "&amp;TEXT(M82,"0.##")&amp;" hrs to date but nothing in EH",IF(N82&gt;0,"OK","-"))))))</f>
        <v/>
      </c>
      <c r="AB82" s="13" t="str">
        <f aca="false">IF(OR(AC82=0,S82=""),"",AM82*HoursPerDay-S82)</f>
        <v/>
      </c>
      <c r="AC82" s="12" t="n">
        <f aca="false">IF(OR(LEN($A82&amp;$B82)=0,$F82=""),0,1)</f>
        <v>0</v>
      </c>
      <c r="AD82" s="10" t="str">
        <f aca="false">IF(AC82=0,"",IF($I82&lt;&gt;"",$I82,$F82))</f>
        <v/>
      </c>
      <c r="AE82" s="10" t="str">
        <f aca="false">IF(AC82=0,"",IF(AND($G82&lt;&gt;"",$H82&lt;&gt;"",$G82&lt;&gt;$H82),MAX($G82,$H82),""))</f>
        <v/>
      </c>
      <c r="AF82" s="12" t="str">
        <f aca="false">IF(AC82=0,"",IF(AE82="",AG82,IF(IF($G82&lt;$H82,"Part-Time","Full-Time")="Full-Time","FT",IF(AND(IF($G82&lt;$H82,"Part-Time","Full-Time")="Part-Time",OR($O82="",N($O82)&gt;=PT_MinHours)),"PT","None"))))</f>
        <v/>
      </c>
      <c r="AG82" s="12" t="str">
        <f aca="false">IF(AC82=0,"",IF($C82="Full-Time","FT",IF(AND($C82="Part-Time",OR($O82="",N($O82)&gt;=PT_MinHours)),"PT","None")))</f>
        <v/>
      </c>
      <c r="AH82" s="12" t="str">
        <f aca="false">IF(AC82=0,"",IF(AsOfDate&lt;AD82,-1,12*(YEAR(AsOfDate)-YEAR(AD82))+MONTH(AsOfDate)-MONTH(AD82)-IF(DAY(AsOfDate)&lt;MIN(DAY(AD82),DAY(EOMONTH(AsOfDate,0))),1,0)))</f>
        <v/>
      </c>
      <c r="AI82" s="12" t="str">
        <f aca="false">IF(AC82=0,"",IF(OR(AE82="",AE82&gt;AsOfDate),AH82,IF((AE82-1)&lt;AD82,-1,12*(YEAR((AE82-1))-YEAR(AD82))+MONTH((AE82-1))-MONTH(AD82)-IF(DAY((AE82-1))&lt;MIN(DAY(AD82),DAY(EOMONTH((AE82-1),0))),1,0))))</f>
        <v/>
      </c>
      <c r="AJ82" s="12" t="str">
        <f aca="false">IF(AC82=0,"",IF(PFYDate&lt;AD82,-1,12*(YEAR(PFYDate)-YEAR(AD82))+MONTH(PFYDate)-MONTH(AD82)-IF(DAY(PFYDate)&lt;MIN(DAY(AD82),DAY(EOMONTH(PFYDate,0))),1,0)))</f>
        <v/>
      </c>
      <c r="AK82" s="12" t="str">
        <f aca="false">IF(AC82=0,"",IF(OR(AE82="",AE82&gt;PFYDate),AJ82,IF((AE82-1)&lt;AD82,-1,12*(YEAR((AE82-1))-YEAR(AD82))+MONTH((AE82-1))-MONTH(AD82)-IF(DAY((AE82-1))&lt;MIN(DAY(AD82),DAY(EOMONTH((AE82-1),0))),1,0))))</f>
        <v/>
      </c>
      <c r="AL82" s="12" t="str">
        <f aca="false">IF(AC82=0,"",IF(AF82="FT",IF(AI82&lt;FT_First,0,IF(AI82&lt;FT_Y5,1+INT((AI82-FT_First)/FT_Int1),FT_PreY5+FT_PerYear*INT((AI82-FT_Y5)/12)+FT_AnnivDays+INT(MOD(AI82-FT_Y5,12)/FT_Int2))),IF(AF82="PT",IF(AI82&lt;PT_First,0,1+INT((AI82-PT_First)/PT_Int)),0))+IF(OR(AE82="",AE82&gt;AsOfDate),0,IF(AG82="FT",IF(AH82&lt;FT_First,0,IF(AH82&lt;FT_Y5,1+INT((AH82-FT_First)/FT_Int1),FT_PreY5+FT_PerYear*INT((AH82-FT_Y5)/12)+FT_AnnivDays+INT(MOD(AH82-FT_Y5,12)/FT_Int2))),IF(AG82="PT",IF(AH82&lt;PT_First,0,1+INT((AH82-PT_First)/PT_Int)),0))-IF(AG82="FT",IF(AI82&lt;FT_First,0,IF(AI82&lt;FT_Y5,1+INT((AI82-FT_First)/FT_Int1),FT_PreY5+FT_PerYear*INT((AI82-FT_Y5)/12)+FT_AnnivDays+INT(MOD(AI82-FT_Y5,12)/FT_Int2))),IF(AG82="PT",IF(AI82&lt;PT_First,0,1+INT((AI82-PT_First)/PT_Int)),0))))</f>
        <v/>
      </c>
      <c r="AM82" s="12" t="str">
        <f aca="false">IF(AC82=0,"",IF(AF82="FT",IF(AK82&lt;FT_First,0,IF(AK82&lt;FT_Y5,1+INT((AK82-FT_First)/FT_Int1),FT_PreY5+FT_PerYear*INT((AK82-FT_Y5)/12)+FT_AnnivDays+INT(MOD(AK82-FT_Y5,12)/FT_Int2))),IF(AF82="PT",IF(AK82&lt;PT_First,0,1+INT((AK82-PT_First)/PT_Int)),0))+IF(OR(AE82="",AE82&gt;PFYDate),0,IF(AG82="FT",IF(AJ82&lt;FT_First,0,IF(AJ82&lt;FT_Y5,1+INT((AJ82-FT_First)/FT_Int1),FT_PreY5+FT_PerYear*INT((AJ82-FT_Y5)/12)+FT_AnnivDays+INT(MOD(AJ82-FT_Y5,12)/FT_Int2))),IF(AG82="PT",IF(AJ82&lt;PT_First,0,1+INT((AJ82-PT_First)/PT_Int)),0))-IF(AG82="FT",IF(AK82&lt;FT_First,0,IF(AK82&lt;FT_Y5,1+INT((AK82-FT_First)/FT_Int1),FT_PreY5+FT_PerYear*INT((AK82-FT_Y5)/12)+FT_AnnivDays+INT(MOD(AK82-FT_Y5,12)/FT_Int2))),IF(AG82="PT",IF(AK82&lt;PT_First,0,1+INT((AK82-PT_First)/PT_Int)),0))))</f>
        <v/>
      </c>
      <c r="AN82" s="12" t="str">
        <f aca="false">IF(AC82=0,"",IF(AG82="FT",IF(AH82&lt;FT_First,FT_First,IF(AH82&lt;FT_Y5,MIN(FT_Y5,FT_First+FT_Int1*(INT((AH82-FT_First)/FT_Int1)+1)),FT_Y5+12*INT((AH82-FT_Y5)/12)+FT_Int2*(INT(MOD(AH82-FT_Y5,12)/FT_Int2)+1))),IF(AG82="PT",IF(AH82&lt;PT_First,PT_First,PT_First+PT_Int*(INT((AH82-PT_First)/PT_Int)+1)),"")))</f>
        <v/>
      </c>
      <c r="AO82" s="12" t="str">
        <f aca="false">IF(AC82=0,"",IF(NOT(CFY_Ready),0,COUNTIFS(INDEX(CFY_Data,0,CFY_ColFirst),$A82,INDEX(CFY_Data,0,CFY_ColSur),$B82,INDEX(CFY_Data,0,CFY_ColCat),BonusCat)))</f>
        <v/>
      </c>
    </row>
    <row r="83" customFormat="false" ht="15" hidden="false" customHeight="false" outlineLevel="0" collapsed="false">
      <c r="A83" s="15"/>
      <c r="B83" s="15"/>
      <c r="C83" s="15"/>
      <c r="D83" s="16"/>
      <c r="E83" s="10" t="str">
        <f aca="false">IF(OR(AC83=0,$D83=""),"",DATE(YEAR(AsOfDate)+IF(DATE(YEAR(AsOfDate),MONTH($D83),DAY($D83))&lt;=AsOfDate,1,0),MONTH($D83),DAY($D83)))</f>
        <v/>
      </c>
      <c r="F83" s="16"/>
      <c r="G83" s="16"/>
      <c r="H83" s="16"/>
      <c r="I83" s="16"/>
      <c r="J83" s="10" t="str">
        <f aca="false">IF(AC83=0,"",DATE(YEAR(AsOfDate)+IF(DATE(YEAR(AsOfDate),MONTH($F83),DAY($F83))&lt;=AsOfDate,1,0),MONTH($F83),DAY($F83)))</f>
        <v/>
      </c>
      <c r="K83" s="11" t="str">
        <f aca="false">IF(AC83=0,"",ROUND((AsOfDate-$F83)/365.25,1))</f>
        <v/>
      </c>
      <c r="L83" s="12" t="str">
        <f aca="false">IF(AC83=0,"",IF(AsOfDate&lt;AD83,"-",DATEDIF(AD83,AsOfDate,"y")&amp;"y "&amp;DATEDIF(AD83,AsOfDate,"ym")&amp;"m "&amp;DATEDIF(AD83,AsOfDate,"md")&amp;"d"))</f>
        <v/>
      </c>
      <c r="M83" s="13" t="str">
        <f aca="false">IF(AC83=0,"",N83*HoursPerDay)</f>
        <v/>
      </c>
      <c r="N83" s="13" t="str">
        <f aca="false">IF(AC83=0,"",AL83)</f>
        <v/>
      </c>
      <c r="O83" s="17"/>
      <c r="P83" s="12" t="str">
        <f aca="false">IF(AC83=0,"",IF(AE83="","",IF($G83&lt;$H83,"Part-Time to Full-Time","Full-Time to Part-Time")&amp;" on "&amp;TEXT(AE83,"dd/mm/yyyy")&amp;IF(AE83&gt;AsOfDate," (future)",IF(AF83=AG83,"",IF(AG83="None"," - STOPPED accruing",IF(AF83="None"," - now qualifying"," - pathway changed"))))))</f>
        <v/>
      </c>
      <c r="Q83" s="12" t="str">
        <f aca="false">IF(AC83=0,"",IF(AG83="None",IF(N83&gt;0,"No longer accruing","Not eligible - "&amp;IF(AND($C83="Part-Time",N($O83)&lt;PT_MinHours,$O83&lt;&gt;""),"under "&amp;PT_MinHours&amp;" hrs",$C83)),IF(N83&gt;0,"Yes - accruing","Not yet - from "&amp;TEXT(R83,"dd/mm/yyyy"))))</f>
        <v/>
      </c>
      <c r="R83" s="10" t="str">
        <f aca="false">IF(AC83=0,"",IF(AG83="None","",EDATE(AD83,AN83)))</f>
        <v/>
      </c>
      <c r="S83" s="13" t="str">
        <f aca="false">IF(AC83=0,"",IF(NOT(PFY_Ready),"",SUMIFS(INDEX(PFY_Data,0,PFY_ColBal),INDEX(PFY_Data,0,PFY_ColFirst),$A83,INDEX(PFY_Data,0,PFY_ColSur),$B83,INDEX(PFY_Data,0,PFY_ColCat),BonusCat)))</f>
        <v/>
      </c>
      <c r="T83" s="17"/>
      <c r="U83" s="13" t="str">
        <f aca="false">IF(AC83=0,"",IF(NOT(CFY_Ready),"",SUMIFS(INDEX(CFY_Data,0,CFY_ColBal),INDEX(CFY_Data,0,CFY_ColFirst),$A83,INDEX(CFY_Data,0,CFY_ColSur),$B83,INDEX(CFY_Data,0,CFY_ColCat),BonusCat)))</f>
        <v/>
      </c>
      <c r="V83" s="13" t="str">
        <f aca="false">IF(AC83=0,"",IF(OR(NOT(CFY_Ready),CFY_ColAppr=0),"",SUMIFS(INDEX(CFY_Data,0,CFY_ColAppr),INDEX(CFY_Data,0,CFY_ColFirst),$A83,INDEX(CFY_Data,0,CFY_ColSur),$B83,INDEX(CFY_Data,0,CFY_ColCat),BonusCat)))</f>
        <v/>
      </c>
      <c r="W83" s="13" t="str">
        <f aca="false">IF(OR(AC83=0,S83="",U83=""),"",MAX(0,S83+N($T83)-U83))</f>
        <v/>
      </c>
      <c r="X83" s="13" t="str">
        <f aca="false">IF(AC83=0,"",(AL83-AM83)*HoursPerDay)</f>
        <v/>
      </c>
      <c r="Y83" s="13" t="str">
        <f aca="false">IF(AC83=0,"",X83-N($T83))</f>
        <v/>
      </c>
      <c r="Z83" s="12" t="str">
        <f aca="false">IF(AC83=0,"",IF(Y83&gt;0,"Yes","No"))</f>
        <v/>
      </c>
      <c r="AA83" s="12" t="str">
        <f aca="false">IF(AC83=0,"",IF(NOT(CFY_Ready),"Paste CFY EH export",IF(Y83&gt;0,"ACCRUE "&amp;TEXT(Y83,"0.##")&amp;" hrs ("&amp;TEXT(Y83/HoursPerDay,"0.##")&amp;" days)"&amp;IF(AO83=0," - no Bonus Leave line in EH yet",""),IF(Y83&lt;0,"CHECK - posted "&amp;TEXT(-Y83,"0.##")&amp;" hrs more than policy",IF(AND(N83&gt;0,AO83=0,U83=0),"CHECK - policy says "&amp;TEXT(M83,"0.##")&amp;" hrs to date but nothing in EH",IF(N83&gt;0,"OK","-"))))))</f>
        <v/>
      </c>
      <c r="AB83" s="13" t="str">
        <f aca="false">IF(OR(AC83=0,S83=""),"",AM83*HoursPerDay-S83)</f>
        <v/>
      </c>
      <c r="AC83" s="12" t="n">
        <f aca="false">IF(OR(LEN($A83&amp;$B83)=0,$F83=""),0,1)</f>
        <v>0</v>
      </c>
      <c r="AD83" s="10" t="str">
        <f aca="false">IF(AC83=0,"",IF($I83&lt;&gt;"",$I83,$F83))</f>
        <v/>
      </c>
      <c r="AE83" s="10" t="str">
        <f aca="false">IF(AC83=0,"",IF(AND($G83&lt;&gt;"",$H83&lt;&gt;"",$G83&lt;&gt;$H83),MAX($G83,$H83),""))</f>
        <v/>
      </c>
      <c r="AF83" s="12" t="str">
        <f aca="false">IF(AC83=0,"",IF(AE83="",AG83,IF(IF($G83&lt;$H83,"Part-Time","Full-Time")="Full-Time","FT",IF(AND(IF($G83&lt;$H83,"Part-Time","Full-Time")="Part-Time",OR($O83="",N($O83)&gt;=PT_MinHours)),"PT","None"))))</f>
        <v/>
      </c>
      <c r="AG83" s="12" t="str">
        <f aca="false">IF(AC83=0,"",IF($C83="Full-Time","FT",IF(AND($C83="Part-Time",OR($O83="",N($O83)&gt;=PT_MinHours)),"PT","None")))</f>
        <v/>
      </c>
      <c r="AH83" s="12" t="str">
        <f aca="false">IF(AC83=0,"",IF(AsOfDate&lt;AD83,-1,12*(YEAR(AsOfDate)-YEAR(AD83))+MONTH(AsOfDate)-MONTH(AD83)-IF(DAY(AsOfDate)&lt;MIN(DAY(AD83),DAY(EOMONTH(AsOfDate,0))),1,0)))</f>
        <v/>
      </c>
      <c r="AI83" s="12" t="str">
        <f aca="false">IF(AC83=0,"",IF(OR(AE83="",AE83&gt;AsOfDate),AH83,IF((AE83-1)&lt;AD83,-1,12*(YEAR((AE83-1))-YEAR(AD83))+MONTH((AE83-1))-MONTH(AD83)-IF(DAY((AE83-1))&lt;MIN(DAY(AD83),DAY(EOMONTH((AE83-1),0))),1,0))))</f>
        <v/>
      </c>
      <c r="AJ83" s="12" t="str">
        <f aca="false">IF(AC83=0,"",IF(PFYDate&lt;AD83,-1,12*(YEAR(PFYDate)-YEAR(AD83))+MONTH(PFYDate)-MONTH(AD83)-IF(DAY(PFYDate)&lt;MIN(DAY(AD83),DAY(EOMONTH(PFYDate,0))),1,0)))</f>
        <v/>
      </c>
      <c r="AK83" s="12" t="str">
        <f aca="false">IF(AC83=0,"",IF(OR(AE83="",AE83&gt;PFYDate),AJ83,IF((AE83-1)&lt;AD83,-1,12*(YEAR((AE83-1))-YEAR(AD83))+MONTH((AE83-1))-MONTH(AD83)-IF(DAY((AE83-1))&lt;MIN(DAY(AD83),DAY(EOMONTH((AE83-1),0))),1,0))))</f>
        <v/>
      </c>
      <c r="AL83" s="12" t="str">
        <f aca="false">IF(AC83=0,"",IF(AF83="FT",IF(AI83&lt;FT_First,0,IF(AI83&lt;FT_Y5,1+INT((AI83-FT_First)/FT_Int1),FT_PreY5+FT_PerYear*INT((AI83-FT_Y5)/12)+FT_AnnivDays+INT(MOD(AI83-FT_Y5,12)/FT_Int2))),IF(AF83="PT",IF(AI83&lt;PT_First,0,1+INT((AI83-PT_First)/PT_Int)),0))+IF(OR(AE83="",AE83&gt;AsOfDate),0,IF(AG83="FT",IF(AH83&lt;FT_First,0,IF(AH83&lt;FT_Y5,1+INT((AH83-FT_First)/FT_Int1),FT_PreY5+FT_PerYear*INT((AH83-FT_Y5)/12)+FT_AnnivDays+INT(MOD(AH83-FT_Y5,12)/FT_Int2))),IF(AG83="PT",IF(AH83&lt;PT_First,0,1+INT((AH83-PT_First)/PT_Int)),0))-IF(AG83="FT",IF(AI83&lt;FT_First,0,IF(AI83&lt;FT_Y5,1+INT((AI83-FT_First)/FT_Int1),FT_PreY5+FT_PerYear*INT((AI83-FT_Y5)/12)+FT_AnnivDays+INT(MOD(AI83-FT_Y5,12)/FT_Int2))),IF(AG83="PT",IF(AI83&lt;PT_First,0,1+INT((AI83-PT_First)/PT_Int)),0))))</f>
        <v/>
      </c>
      <c r="AM83" s="12" t="str">
        <f aca="false">IF(AC83=0,"",IF(AF83="FT",IF(AK83&lt;FT_First,0,IF(AK83&lt;FT_Y5,1+INT((AK83-FT_First)/FT_Int1),FT_PreY5+FT_PerYear*INT((AK83-FT_Y5)/12)+FT_AnnivDays+INT(MOD(AK83-FT_Y5,12)/FT_Int2))),IF(AF83="PT",IF(AK83&lt;PT_First,0,1+INT((AK83-PT_First)/PT_Int)),0))+IF(OR(AE83="",AE83&gt;PFYDate),0,IF(AG83="FT",IF(AJ83&lt;FT_First,0,IF(AJ83&lt;FT_Y5,1+INT((AJ83-FT_First)/FT_Int1),FT_PreY5+FT_PerYear*INT((AJ83-FT_Y5)/12)+FT_AnnivDays+INT(MOD(AJ83-FT_Y5,12)/FT_Int2))),IF(AG83="PT",IF(AJ83&lt;PT_First,0,1+INT((AJ83-PT_First)/PT_Int)),0))-IF(AG83="FT",IF(AK83&lt;FT_First,0,IF(AK83&lt;FT_Y5,1+INT((AK83-FT_First)/FT_Int1),FT_PreY5+FT_PerYear*INT((AK83-FT_Y5)/12)+FT_AnnivDays+INT(MOD(AK83-FT_Y5,12)/FT_Int2))),IF(AG83="PT",IF(AK83&lt;PT_First,0,1+INT((AK83-PT_First)/PT_Int)),0))))</f>
        <v/>
      </c>
      <c r="AN83" s="12" t="str">
        <f aca="false">IF(AC83=0,"",IF(AG83="FT",IF(AH83&lt;FT_First,FT_First,IF(AH83&lt;FT_Y5,MIN(FT_Y5,FT_First+FT_Int1*(INT((AH83-FT_First)/FT_Int1)+1)),FT_Y5+12*INT((AH83-FT_Y5)/12)+FT_Int2*(INT(MOD(AH83-FT_Y5,12)/FT_Int2)+1))),IF(AG83="PT",IF(AH83&lt;PT_First,PT_First,PT_First+PT_Int*(INT((AH83-PT_First)/PT_Int)+1)),"")))</f>
        <v/>
      </c>
      <c r="AO83" s="12" t="str">
        <f aca="false">IF(AC83=0,"",IF(NOT(CFY_Ready),0,COUNTIFS(INDEX(CFY_Data,0,CFY_ColFirst),$A83,INDEX(CFY_Data,0,CFY_ColSur),$B83,INDEX(CFY_Data,0,CFY_ColCat),BonusCat)))</f>
        <v/>
      </c>
    </row>
    <row r="84" customFormat="false" ht="15" hidden="false" customHeight="false" outlineLevel="0" collapsed="false">
      <c r="A84" s="15"/>
      <c r="B84" s="15"/>
      <c r="C84" s="15"/>
      <c r="D84" s="16"/>
      <c r="E84" s="10" t="str">
        <f aca="false">IF(OR(AC84=0,$D84=""),"",DATE(YEAR(AsOfDate)+IF(DATE(YEAR(AsOfDate),MONTH($D84),DAY($D84))&lt;=AsOfDate,1,0),MONTH($D84),DAY($D84)))</f>
        <v/>
      </c>
      <c r="F84" s="16"/>
      <c r="G84" s="16"/>
      <c r="H84" s="16"/>
      <c r="I84" s="16"/>
      <c r="J84" s="10" t="str">
        <f aca="false">IF(AC84=0,"",DATE(YEAR(AsOfDate)+IF(DATE(YEAR(AsOfDate),MONTH($F84),DAY($F84))&lt;=AsOfDate,1,0),MONTH($F84),DAY($F84)))</f>
        <v/>
      </c>
      <c r="K84" s="11" t="str">
        <f aca="false">IF(AC84=0,"",ROUND((AsOfDate-$F84)/365.25,1))</f>
        <v/>
      </c>
      <c r="L84" s="12" t="str">
        <f aca="false">IF(AC84=0,"",IF(AsOfDate&lt;AD84,"-",DATEDIF(AD84,AsOfDate,"y")&amp;"y "&amp;DATEDIF(AD84,AsOfDate,"ym")&amp;"m "&amp;DATEDIF(AD84,AsOfDate,"md")&amp;"d"))</f>
        <v/>
      </c>
      <c r="M84" s="13" t="str">
        <f aca="false">IF(AC84=0,"",N84*HoursPerDay)</f>
        <v/>
      </c>
      <c r="N84" s="13" t="str">
        <f aca="false">IF(AC84=0,"",AL84)</f>
        <v/>
      </c>
      <c r="O84" s="17"/>
      <c r="P84" s="12" t="str">
        <f aca="false">IF(AC84=0,"",IF(AE84="","",IF($G84&lt;$H84,"Part-Time to Full-Time","Full-Time to Part-Time")&amp;" on "&amp;TEXT(AE84,"dd/mm/yyyy")&amp;IF(AE84&gt;AsOfDate," (future)",IF(AF84=AG84,"",IF(AG84="None"," - STOPPED accruing",IF(AF84="None"," - now qualifying"," - pathway changed"))))))</f>
        <v/>
      </c>
      <c r="Q84" s="12" t="str">
        <f aca="false">IF(AC84=0,"",IF(AG84="None",IF(N84&gt;0,"No longer accruing","Not eligible - "&amp;IF(AND($C84="Part-Time",N($O84)&lt;PT_MinHours,$O84&lt;&gt;""),"under "&amp;PT_MinHours&amp;" hrs",$C84)),IF(N84&gt;0,"Yes - accruing","Not yet - from "&amp;TEXT(R84,"dd/mm/yyyy"))))</f>
        <v/>
      </c>
      <c r="R84" s="10" t="str">
        <f aca="false">IF(AC84=0,"",IF(AG84="None","",EDATE(AD84,AN84)))</f>
        <v/>
      </c>
      <c r="S84" s="13" t="str">
        <f aca="false">IF(AC84=0,"",IF(NOT(PFY_Ready),"",SUMIFS(INDEX(PFY_Data,0,PFY_ColBal),INDEX(PFY_Data,0,PFY_ColFirst),$A84,INDEX(PFY_Data,0,PFY_ColSur),$B84,INDEX(PFY_Data,0,PFY_ColCat),BonusCat)))</f>
        <v/>
      </c>
      <c r="T84" s="17"/>
      <c r="U84" s="13" t="str">
        <f aca="false">IF(AC84=0,"",IF(NOT(CFY_Ready),"",SUMIFS(INDEX(CFY_Data,0,CFY_ColBal),INDEX(CFY_Data,0,CFY_ColFirst),$A84,INDEX(CFY_Data,0,CFY_ColSur),$B84,INDEX(CFY_Data,0,CFY_ColCat),BonusCat)))</f>
        <v/>
      </c>
      <c r="V84" s="13" t="str">
        <f aca="false">IF(AC84=0,"",IF(OR(NOT(CFY_Ready),CFY_ColAppr=0),"",SUMIFS(INDEX(CFY_Data,0,CFY_ColAppr),INDEX(CFY_Data,0,CFY_ColFirst),$A84,INDEX(CFY_Data,0,CFY_ColSur),$B84,INDEX(CFY_Data,0,CFY_ColCat),BonusCat)))</f>
        <v/>
      </c>
      <c r="W84" s="13" t="str">
        <f aca="false">IF(OR(AC84=0,S84="",U84=""),"",MAX(0,S84+N($T84)-U84))</f>
        <v/>
      </c>
      <c r="X84" s="13" t="str">
        <f aca="false">IF(AC84=0,"",(AL84-AM84)*HoursPerDay)</f>
        <v/>
      </c>
      <c r="Y84" s="13" t="str">
        <f aca="false">IF(AC84=0,"",X84-N($T84))</f>
        <v/>
      </c>
      <c r="Z84" s="12" t="str">
        <f aca="false">IF(AC84=0,"",IF(Y84&gt;0,"Yes","No"))</f>
        <v/>
      </c>
      <c r="AA84" s="12" t="str">
        <f aca="false">IF(AC84=0,"",IF(NOT(CFY_Ready),"Paste CFY EH export",IF(Y84&gt;0,"ACCRUE "&amp;TEXT(Y84,"0.##")&amp;" hrs ("&amp;TEXT(Y84/HoursPerDay,"0.##")&amp;" days)"&amp;IF(AO84=0," - no Bonus Leave line in EH yet",""),IF(Y84&lt;0,"CHECK - posted "&amp;TEXT(-Y84,"0.##")&amp;" hrs more than policy",IF(AND(N84&gt;0,AO84=0,U84=0),"CHECK - policy says "&amp;TEXT(M84,"0.##")&amp;" hrs to date but nothing in EH",IF(N84&gt;0,"OK","-"))))))</f>
        <v/>
      </c>
      <c r="AB84" s="13" t="str">
        <f aca="false">IF(OR(AC84=0,S84=""),"",AM84*HoursPerDay-S84)</f>
        <v/>
      </c>
      <c r="AC84" s="12" t="n">
        <f aca="false">IF(OR(LEN($A84&amp;$B84)=0,$F84=""),0,1)</f>
        <v>0</v>
      </c>
      <c r="AD84" s="10" t="str">
        <f aca="false">IF(AC84=0,"",IF($I84&lt;&gt;"",$I84,$F84))</f>
        <v/>
      </c>
      <c r="AE84" s="10" t="str">
        <f aca="false">IF(AC84=0,"",IF(AND($G84&lt;&gt;"",$H84&lt;&gt;"",$G84&lt;&gt;$H84),MAX($G84,$H84),""))</f>
        <v/>
      </c>
      <c r="AF84" s="12" t="str">
        <f aca="false">IF(AC84=0,"",IF(AE84="",AG84,IF(IF($G84&lt;$H84,"Part-Time","Full-Time")="Full-Time","FT",IF(AND(IF($G84&lt;$H84,"Part-Time","Full-Time")="Part-Time",OR($O84="",N($O84)&gt;=PT_MinHours)),"PT","None"))))</f>
        <v/>
      </c>
      <c r="AG84" s="12" t="str">
        <f aca="false">IF(AC84=0,"",IF($C84="Full-Time","FT",IF(AND($C84="Part-Time",OR($O84="",N($O84)&gt;=PT_MinHours)),"PT","None")))</f>
        <v/>
      </c>
      <c r="AH84" s="12" t="str">
        <f aca="false">IF(AC84=0,"",IF(AsOfDate&lt;AD84,-1,12*(YEAR(AsOfDate)-YEAR(AD84))+MONTH(AsOfDate)-MONTH(AD84)-IF(DAY(AsOfDate)&lt;MIN(DAY(AD84),DAY(EOMONTH(AsOfDate,0))),1,0)))</f>
        <v/>
      </c>
      <c r="AI84" s="12" t="str">
        <f aca="false">IF(AC84=0,"",IF(OR(AE84="",AE84&gt;AsOfDate),AH84,IF((AE84-1)&lt;AD84,-1,12*(YEAR((AE84-1))-YEAR(AD84))+MONTH((AE84-1))-MONTH(AD84)-IF(DAY((AE84-1))&lt;MIN(DAY(AD84),DAY(EOMONTH((AE84-1),0))),1,0))))</f>
        <v/>
      </c>
      <c r="AJ84" s="12" t="str">
        <f aca="false">IF(AC84=0,"",IF(PFYDate&lt;AD84,-1,12*(YEAR(PFYDate)-YEAR(AD84))+MONTH(PFYDate)-MONTH(AD84)-IF(DAY(PFYDate)&lt;MIN(DAY(AD84),DAY(EOMONTH(PFYDate,0))),1,0)))</f>
        <v/>
      </c>
      <c r="AK84" s="12" t="str">
        <f aca="false">IF(AC84=0,"",IF(OR(AE84="",AE84&gt;PFYDate),AJ84,IF((AE84-1)&lt;AD84,-1,12*(YEAR((AE84-1))-YEAR(AD84))+MONTH((AE84-1))-MONTH(AD84)-IF(DAY((AE84-1))&lt;MIN(DAY(AD84),DAY(EOMONTH((AE84-1),0))),1,0))))</f>
        <v/>
      </c>
      <c r="AL84" s="12" t="str">
        <f aca="false">IF(AC84=0,"",IF(AF84="FT",IF(AI84&lt;FT_First,0,IF(AI84&lt;FT_Y5,1+INT((AI84-FT_First)/FT_Int1),FT_PreY5+FT_PerYear*INT((AI84-FT_Y5)/12)+FT_AnnivDays+INT(MOD(AI84-FT_Y5,12)/FT_Int2))),IF(AF84="PT",IF(AI84&lt;PT_First,0,1+INT((AI84-PT_First)/PT_Int)),0))+IF(OR(AE84="",AE84&gt;AsOfDate),0,IF(AG84="FT",IF(AH84&lt;FT_First,0,IF(AH84&lt;FT_Y5,1+INT((AH84-FT_First)/FT_Int1),FT_PreY5+FT_PerYear*INT((AH84-FT_Y5)/12)+FT_AnnivDays+INT(MOD(AH84-FT_Y5,12)/FT_Int2))),IF(AG84="PT",IF(AH84&lt;PT_First,0,1+INT((AH84-PT_First)/PT_Int)),0))-IF(AG84="FT",IF(AI84&lt;FT_First,0,IF(AI84&lt;FT_Y5,1+INT((AI84-FT_First)/FT_Int1),FT_PreY5+FT_PerYear*INT((AI84-FT_Y5)/12)+FT_AnnivDays+INT(MOD(AI84-FT_Y5,12)/FT_Int2))),IF(AG84="PT",IF(AI84&lt;PT_First,0,1+INT((AI84-PT_First)/PT_Int)),0))))</f>
        <v/>
      </c>
      <c r="AM84" s="12" t="str">
        <f aca="false">IF(AC84=0,"",IF(AF84="FT",IF(AK84&lt;FT_First,0,IF(AK84&lt;FT_Y5,1+INT((AK84-FT_First)/FT_Int1),FT_PreY5+FT_PerYear*INT((AK84-FT_Y5)/12)+FT_AnnivDays+INT(MOD(AK84-FT_Y5,12)/FT_Int2))),IF(AF84="PT",IF(AK84&lt;PT_First,0,1+INT((AK84-PT_First)/PT_Int)),0))+IF(OR(AE84="",AE84&gt;PFYDate),0,IF(AG84="FT",IF(AJ84&lt;FT_First,0,IF(AJ84&lt;FT_Y5,1+INT((AJ84-FT_First)/FT_Int1),FT_PreY5+FT_PerYear*INT((AJ84-FT_Y5)/12)+FT_AnnivDays+INT(MOD(AJ84-FT_Y5,12)/FT_Int2))),IF(AG84="PT",IF(AJ84&lt;PT_First,0,1+INT((AJ84-PT_First)/PT_Int)),0))-IF(AG84="FT",IF(AK84&lt;FT_First,0,IF(AK84&lt;FT_Y5,1+INT((AK84-FT_First)/FT_Int1),FT_PreY5+FT_PerYear*INT((AK84-FT_Y5)/12)+FT_AnnivDays+INT(MOD(AK84-FT_Y5,12)/FT_Int2))),IF(AG84="PT",IF(AK84&lt;PT_First,0,1+INT((AK84-PT_First)/PT_Int)),0))))</f>
        <v/>
      </c>
      <c r="AN84" s="12" t="str">
        <f aca="false">IF(AC84=0,"",IF(AG84="FT",IF(AH84&lt;FT_First,FT_First,IF(AH84&lt;FT_Y5,MIN(FT_Y5,FT_First+FT_Int1*(INT((AH84-FT_First)/FT_Int1)+1)),FT_Y5+12*INT((AH84-FT_Y5)/12)+FT_Int2*(INT(MOD(AH84-FT_Y5,12)/FT_Int2)+1))),IF(AG84="PT",IF(AH84&lt;PT_First,PT_First,PT_First+PT_Int*(INT((AH84-PT_First)/PT_Int)+1)),"")))</f>
        <v/>
      </c>
      <c r="AO84" s="12" t="str">
        <f aca="false">IF(AC84=0,"",IF(NOT(CFY_Ready),0,COUNTIFS(INDEX(CFY_Data,0,CFY_ColFirst),$A84,INDEX(CFY_Data,0,CFY_ColSur),$B84,INDEX(CFY_Data,0,CFY_ColCat),BonusCat)))</f>
        <v/>
      </c>
    </row>
    <row r="85" customFormat="false" ht="15" hidden="false" customHeight="false" outlineLevel="0" collapsed="false">
      <c r="A85" s="15"/>
      <c r="B85" s="15"/>
      <c r="C85" s="15"/>
      <c r="D85" s="16"/>
      <c r="E85" s="10" t="str">
        <f aca="false">IF(OR(AC85=0,$D85=""),"",DATE(YEAR(AsOfDate)+IF(DATE(YEAR(AsOfDate),MONTH($D85),DAY($D85))&lt;=AsOfDate,1,0),MONTH($D85),DAY($D85)))</f>
        <v/>
      </c>
      <c r="F85" s="16"/>
      <c r="G85" s="16"/>
      <c r="H85" s="16"/>
      <c r="I85" s="16"/>
      <c r="J85" s="10" t="str">
        <f aca="false">IF(AC85=0,"",DATE(YEAR(AsOfDate)+IF(DATE(YEAR(AsOfDate),MONTH($F85),DAY($F85))&lt;=AsOfDate,1,0),MONTH($F85),DAY($F85)))</f>
        <v/>
      </c>
      <c r="K85" s="11" t="str">
        <f aca="false">IF(AC85=0,"",ROUND((AsOfDate-$F85)/365.25,1))</f>
        <v/>
      </c>
      <c r="L85" s="12" t="str">
        <f aca="false">IF(AC85=0,"",IF(AsOfDate&lt;AD85,"-",DATEDIF(AD85,AsOfDate,"y")&amp;"y "&amp;DATEDIF(AD85,AsOfDate,"ym")&amp;"m "&amp;DATEDIF(AD85,AsOfDate,"md")&amp;"d"))</f>
        <v/>
      </c>
      <c r="M85" s="13" t="str">
        <f aca="false">IF(AC85=0,"",N85*HoursPerDay)</f>
        <v/>
      </c>
      <c r="N85" s="13" t="str">
        <f aca="false">IF(AC85=0,"",AL85)</f>
        <v/>
      </c>
      <c r="O85" s="17"/>
      <c r="P85" s="12" t="str">
        <f aca="false">IF(AC85=0,"",IF(AE85="","",IF($G85&lt;$H85,"Part-Time to Full-Time","Full-Time to Part-Time")&amp;" on "&amp;TEXT(AE85,"dd/mm/yyyy")&amp;IF(AE85&gt;AsOfDate," (future)",IF(AF85=AG85,"",IF(AG85="None"," - STOPPED accruing",IF(AF85="None"," - now qualifying"," - pathway changed"))))))</f>
        <v/>
      </c>
      <c r="Q85" s="12" t="str">
        <f aca="false">IF(AC85=0,"",IF(AG85="None",IF(N85&gt;0,"No longer accruing","Not eligible - "&amp;IF(AND($C85="Part-Time",N($O85)&lt;PT_MinHours,$O85&lt;&gt;""),"under "&amp;PT_MinHours&amp;" hrs",$C85)),IF(N85&gt;0,"Yes - accruing","Not yet - from "&amp;TEXT(R85,"dd/mm/yyyy"))))</f>
        <v/>
      </c>
      <c r="R85" s="10" t="str">
        <f aca="false">IF(AC85=0,"",IF(AG85="None","",EDATE(AD85,AN85)))</f>
        <v/>
      </c>
      <c r="S85" s="13" t="str">
        <f aca="false">IF(AC85=0,"",IF(NOT(PFY_Ready),"",SUMIFS(INDEX(PFY_Data,0,PFY_ColBal),INDEX(PFY_Data,0,PFY_ColFirst),$A85,INDEX(PFY_Data,0,PFY_ColSur),$B85,INDEX(PFY_Data,0,PFY_ColCat),BonusCat)))</f>
        <v/>
      </c>
      <c r="T85" s="17"/>
      <c r="U85" s="13" t="str">
        <f aca="false">IF(AC85=0,"",IF(NOT(CFY_Ready),"",SUMIFS(INDEX(CFY_Data,0,CFY_ColBal),INDEX(CFY_Data,0,CFY_ColFirst),$A85,INDEX(CFY_Data,0,CFY_ColSur),$B85,INDEX(CFY_Data,0,CFY_ColCat),BonusCat)))</f>
        <v/>
      </c>
      <c r="V85" s="13" t="str">
        <f aca="false">IF(AC85=0,"",IF(OR(NOT(CFY_Ready),CFY_ColAppr=0),"",SUMIFS(INDEX(CFY_Data,0,CFY_ColAppr),INDEX(CFY_Data,0,CFY_ColFirst),$A85,INDEX(CFY_Data,0,CFY_ColSur),$B85,INDEX(CFY_Data,0,CFY_ColCat),BonusCat)))</f>
        <v/>
      </c>
      <c r="W85" s="13" t="str">
        <f aca="false">IF(OR(AC85=0,S85="",U85=""),"",MAX(0,S85+N($T85)-U85))</f>
        <v/>
      </c>
      <c r="X85" s="13" t="str">
        <f aca="false">IF(AC85=0,"",(AL85-AM85)*HoursPerDay)</f>
        <v/>
      </c>
      <c r="Y85" s="13" t="str">
        <f aca="false">IF(AC85=0,"",X85-N($T85))</f>
        <v/>
      </c>
      <c r="Z85" s="12" t="str">
        <f aca="false">IF(AC85=0,"",IF(Y85&gt;0,"Yes","No"))</f>
        <v/>
      </c>
      <c r="AA85" s="12" t="str">
        <f aca="false">IF(AC85=0,"",IF(NOT(CFY_Ready),"Paste CFY EH export",IF(Y85&gt;0,"ACCRUE "&amp;TEXT(Y85,"0.##")&amp;" hrs ("&amp;TEXT(Y85/HoursPerDay,"0.##")&amp;" days)"&amp;IF(AO85=0," - no Bonus Leave line in EH yet",""),IF(Y85&lt;0,"CHECK - posted "&amp;TEXT(-Y85,"0.##")&amp;" hrs more than policy",IF(AND(N85&gt;0,AO85=0,U85=0),"CHECK - policy says "&amp;TEXT(M85,"0.##")&amp;" hrs to date but nothing in EH",IF(N85&gt;0,"OK","-"))))))</f>
        <v/>
      </c>
      <c r="AB85" s="13" t="str">
        <f aca="false">IF(OR(AC85=0,S85=""),"",AM85*HoursPerDay-S85)</f>
        <v/>
      </c>
      <c r="AC85" s="12" t="n">
        <f aca="false">IF(OR(LEN($A85&amp;$B85)=0,$F85=""),0,1)</f>
        <v>0</v>
      </c>
      <c r="AD85" s="10" t="str">
        <f aca="false">IF(AC85=0,"",IF($I85&lt;&gt;"",$I85,$F85))</f>
        <v/>
      </c>
      <c r="AE85" s="10" t="str">
        <f aca="false">IF(AC85=0,"",IF(AND($G85&lt;&gt;"",$H85&lt;&gt;"",$G85&lt;&gt;$H85),MAX($G85,$H85),""))</f>
        <v/>
      </c>
      <c r="AF85" s="12" t="str">
        <f aca="false">IF(AC85=0,"",IF(AE85="",AG85,IF(IF($G85&lt;$H85,"Part-Time","Full-Time")="Full-Time","FT",IF(AND(IF($G85&lt;$H85,"Part-Time","Full-Time")="Part-Time",OR($O85="",N($O85)&gt;=PT_MinHours)),"PT","None"))))</f>
        <v/>
      </c>
      <c r="AG85" s="12" t="str">
        <f aca="false">IF(AC85=0,"",IF($C85="Full-Time","FT",IF(AND($C85="Part-Time",OR($O85="",N($O85)&gt;=PT_MinHours)),"PT","None")))</f>
        <v/>
      </c>
      <c r="AH85" s="12" t="str">
        <f aca="false">IF(AC85=0,"",IF(AsOfDate&lt;AD85,-1,12*(YEAR(AsOfDate)-YEAR(AD85))+MONTH(AsOfDate)-MONTH(AD85)-IF(DAY(AsOfDate)&lt;MIN(DAY(AD85),DAY(EOMONTH(AsOfDate,0))),1,0)))</f>
        <v/>
      </c>
      <c r="AI85" s="12" t="str">
        <f aca="false">IF(AC85=0,"",IF(OR(AE85="",AE85&gt;AsOfDate),AH85,IF((AE85-1)&lt;AD85,-1,12*(YEAR((AE85-1))-YEAR(AD85))+MONTH((AE85-1))-MONTH(AD85)-IF(DAY((AE85-1))&lt;MIN(DAY(AD85),DAY(EOMONTH((AE85-1),0))),1,0))))</f>
        <v/>
      </c>
      <c r="AJ85" s="12" t="str">
        <f aca="false">IF(AC85=0,"",IF(PFYDate&lt;AD85,-1,12*(YEAR(PFYDate)-YEAR(AD85))+MONTH(PFYDate)-MONTH(AD85)-IF(DAY(PFYDate)&lt;MIN(DAY(AD85),DAY(EOMONTH(PFYDate,0))),1,0)))</f>
        <v/>
      </c>
      <c r="AK85" s="12" t="str">
        <f aca="false">IF(AC85=0,"",IF(OR(AE85="",AE85&gt;PFYDate),AJ85,IF((AE85-1)&lt;AD85,-1,12*(YEAR((AE85-1))-YEAR(AD85))+MONTH((AE85-1))-MONTH(AD85)-IF(DAY((AE85-1))&lt;MIN(DAY(AD85),DAY(EOMONTH((AE85-1),0))),1,0))))</f>
        <v/>
      </c>
      <c r="AL85" s="12" t="str">
        <f aca="false">IF(AC85=0,"",IF(AF85="FT",IF(AI85&lt;FT_First,0,IF(AI85&lt;FT_Y5,1+INT((AI85-FT_First)/FT_Int1),FT_PreY5+FT_PerYear*INT((AI85-FT_Y5)/12)+FT_AnnivDays+INT(MOD(AI85-FT_Y5,12)/FT_Int2))),IF(AF85="PT",IF(AI85&lt;PT_First,0,1+INT((AI85-PT_First)/PT_Int)),0))+IF(OR(AE85="",AE85&gt;AsOfDate),0,IF(AG85="FT",IF(AH85&lt;FT_First,0,IF(AH85&lt;FT_Y5,1+INT((AH85-FT_First)/FT_Int1),FT_PreY5+FT_PerYear*INT((AH85-FT_Y5)/12)+FT_AnnivDays+INT(MOD(AH85-FT_Y5,12)/FT_Int2))),IF(AG85="PT",IF(AH85&lt;PT_First,0,1+INT((AH85-PT_First)/PT_Int)),0))-IF(AG85="FT",IF(AI85&lt;FT_First,0,IF(AI85&lt;FT_Y5,1+INT((AI85-FT_First)/FT_Int1),FT_PreY5+FT_PerYear*INT((AI85-FT_Y5)/12)+FT_AnnivDays+INT(MOD(AI85-FT_Y5,12)/FT_Int2))),IF(AG85="PT",IF(AI85&lt;PT_First,0,1+INT((AI85-PT_First)/PT_Int)),0))))</f>
        <v/>
      </c>
      <c r="AM85" s="12" t="str">
        <f aca="false">IF(AC85=0,"",IF(AF85="FT",IF(AK85&lt;FT_First,0,IF(AK85&lt;FT_Y5,1+INT((AK85-FT_First)/FT_Int1),FT_PreY5+FT_PerYear*INT((AK85-FT_Y5)/12)+FT_AnnivDays+INT(MOD(AK85-FT_Y5,12)/FT_Int2))),IF(AF85="PT",IF(AK85&lt;PT_First,0,1+INT((AK85-PT_First)/PT_Int)),0))+IF(OR(AE85="",AE85&gt;PFYDate),0,IF(AG85="FT",IF(AJ85&lt;FT_First,0,IF(AJ85&lt;FT_Y5,1+INT((AJ85-FT_First)/FT_Int1),FT_PreY5+FT_PerYear*INT((AJ85-FT_Y5)/12)+FT_AnnivDays+INT(MOD(AJ85-FT_Y5,12)/FT_Int2))),IF(AG85="PT",IF(AJ85&lt;PT_First,0,1+INT((AJ85-PT_First)/PT_Int)),0))-IF(AG85="FT",IF(AK85&lt;FT_First,0,IF(AK85&lt;FT_Y5,1+INT((AK85-FT_First)/FT_Int1),FT_PreY5+FT_PerYear*INT((AK85-FT_Y5)/12)+FT_AnnivDays+INT(MOD(AK85-FT_Y5,12)/FT_Int2))),IF(AG85="PT",IF(AK85&lt;PT_First,0,1+INT((AK85-PT_First)/PT_Int)),0))))</f>
        <v/>
      </c>
      <c r="AN85" s="12" t="str">
        <f aca="false">IF(AC85=0,"",IF(AG85="FT",IF(AH85&lt;FT_First,FT_First,IF(AH85&lt;FT_Y5,MIN(FT_Y5,FT_First+FT_Int1*(INT((AH85-FT_First)/FT_Int1)+1)),FT_Y5+12*INT((AH85-FT_Y5)/12)+FT_Int2*(INT(MOD(AH85-FT_Y5,12)/FT_Int2)+1))),IF(AG85="PT",IF(AH85&lt;PT_First,PT_First,PT_First+PT_Int*(INT((AH85-PT_First)/PT_Int)+1)),"")))</f>
        <v/>
      </c>
      <c r="AO85" s="12" t="str">
        <f aca="false">IF(AC85=0,"",IF(NOT(CFY_Ready),0,COUNTIFS(INDEX(CFY_Data,0,CFY_ColFirst),$A85,INDEX(CFY_Data,0,CFY_ColSur),$B85,INDEX(CFY_Data,0,CFY_ColCat),BonusCat)))</f>
        <v/>
      </c>
    </row>
    <row r="86" customFormat="false" ht="15" hidden="false" customHeight="false" outlineLevel="0" collapsed="false">
      <c r="A86" s="15"/>
      <c r="B86" s="15"/>
      <c r="C86" s="15"/>
      <c r="D86" s="16"/>
      <c r="E86" s="10" t="str">
        <f aca="false">IF(OR(AC86=0,$D86=""),"",DATE(YEAR(AsOfDate)+IF(DATE(YEAR(AsOfDate),MONTH($D86),DAY($D86))&lt;=AsOfDate,1,0),MONTH($D86),DAY($D86)))</f>
        <v/>
      </c>
      <c r="F86" s="16"/>
      <c r="G86" s="16"/>
      <c r="H86" s="16"/>
      <c r="I86" s="16"/>
      <c r="J86" s="10" t="str">
        <f aca="false">IF(AC86=0,"",DATE(YEAR(AsOfDate)+IF(DATE(YEAR(AsOfDate),MONTH($F86),DAY($F86))&lt;=AsOfDate,1,0),MONTH($F86),DAY($F86)))</f>
        <v/>
      </c>
      <c r="K86" s="11" t="str">
        <f aca="false">IF(AC86=0,"",ROUND((AsOfDate-$F86)/365.25,1))</f>
        <v/>
      </c>
      <c r="L86" s="12" t="str">
        <f aca="false">IF(AC86=0,"",IF(AsOfDate&lt;AD86,"-",DATEDIF(AD86,AsOfDate,"y")&amp;"y "&amp;DATEDIF(AD86,AsOfDate,"ym")&amp;"m "&amp;DATEDIF(AD86,AsOfDate,"md")&amp;"d"))</f>
        <v/>
      </c>
      <c r="M86" s="13" t="str">
        <f aca="false">IF(AC86=0,"",N86*HoursPerDay)</f>
        <v/>
      </c>
      <c r="N86" s="13" t="str">
        <f aca="false">IF(AC86=0,"",AL86)</f>
        <v/>
      </c>
      <c r="O86" s="17"/>
      <c r="P86" s="12" t="str">
        <f aca="false">IF(AC86=0,"",IF(AE86="","",IF($G86&lt;$H86,"Part-Time to Full-Time","Full-Time to Part-Time")&amp;" on "&amp;TEXT(AE86,"dd/mm/yyyy")&amp;IF(AE86&gt;AsOfDate," (future)",IF(AF86=AG86,"",IF(AG86="None"," - STOPPED accruing",IF(AF86="None"," - now qualifying"," - pathway changed"))))))</f>
        <v/>
      </c>
      <c r="Q86" s="12" t="str">
        <f aca="false">IF(AC86=0,"",IF(AG86="None",IF(N86&gt;0,"No longer accruing","Not eligible - "&amp;IF(AND($C86="Part-Time",N($O86)&lt;PT_MinHours,$O86&lt;&gt;""),"under "&amp;PT_MinHours&amp;" hrs",$C86)),IF(N86&gt;0,"Yes - accruing","Not yet - from "&amp;TEXT(R86,"dd/mm/yyyy"))))</f>
        <v/>
      </c>
      <c r="R86" s="10" t="str">
        <f aca="false">IF(AC86=0,"",IF(AG86="None","",EDATE(AD86,AN86)))</f>
        <v/>
      </c>
      <c r="S86" s="13" t="str">
        <f aca="false">IF(AC86=0,"",IF(NOT(PFY_Ready),"",SUMIFS(INDEX(PFY_Data,0,PFY_ColBal),INDEX(PFY_Data,0,PFY_ColFirst),$A86,INDEX(PFY_Data,0,PFY_ColSur),$B86,INDEX(PFY_Data,0,PFY_ColCat),BonusCat)))</f>
        <v/>
      </c>
      <c r="T86" s="17"/>
      <c r="U86" s="13" t="str">
        <f aca="false">IF(AC86=0,"",IF(NOT(CFY_Ready),"",SUMIFS(INDEX(CFY_Data,0,CFY_ColBal),INDEX(CFY_Data,0,CFY_ColFirst),$A86,INDEX(CFY_Data,0,CFY_ColSur),$B86,INDEX(CFY_Data,0,CFY_ColCat),BonusCat)))</f>
        <v/>
      </c>
      <c r="V86" s="13" t="str">
        <f aca="false">IF(AC86=0,"",IF(OR(NOT(CFY_Ready),CFY_ColAppr=0),"",SUMIFS(INDEX(CFY_Data,0,CFY_ColAppr),INDEX(CFY_Data,0,CFY_ColFirst),$A86,INDEX(CFY_Data,0,CFY_ColSur),$B86,INDEX(CFY_Data,0,CFY_ColCat),BonusCat)))</f>
        <v/>
      </c>
      <c r="W86" s="13" t="str">
        <f aca="false">IF(OR(AC86=0,S86="",U86=""),"",MAX(0,S86+N($T86)-U86))</f>
        <v/>
      </c>
      <c r="X86" s="13" t="str">
        <f aca="false">IF(AC86=0,"",(AL86-AM86)*HoursPerDay)</f>
        <v/>
      </c>
      <c r="Y86" s="13" t="str">
        <f aca="false">IF(AC86=0,"",X86-N($T86))</f>
        <v/>
      </c>
      <c r="Z86" s="12" t="str">
        <f aca="false">IF(AC86=0,"",IF(Y86&gt;0,"Yes","No"))</f>
        <v/>
      </c>
      <c r="AA86" s="12" t="str">
        <f aca="false">IF(AC86=0,"",IF(NOT(CFY_Ready),"Paste CFY EH export",IF(Y86&gt;0,"ACCRUE "&amp;TEXT(Y86,"0.##")&amp;" hrs ("&amp;TEXT(Y86/HoursPerDay,"0.##")&amp;" days)"&amp;IF(AO86=0," - no Bonus Leave line in EH yet",""),IF(Y86&lt;0,"CHECK - posted "&amp;TEXT(-Y86,"0.##")&amp;" hrs more than policy",IF(AND(N86&gt;0,AO86=0,U86=0),"CHECK - policy says "&amp;TEXT(M86,"0.##")&amp;" hrs to date but nothing in EH",IF(N86&gt;0,"OK","-"))))))</f>
        <v/>
      </c>
      <c r="AB86" s="13" t="str">
        <f aca="false">IF(OR(AC86=0,S86=""),"",AM86*HoursPerDay-S86)</f>
        <v/>
      </c>
      <c r="AC86" s="12" t="n">
        <f aca="false">IF(OR(LEN($A86&amp;$B86)=0,$F86=""),0,1)</f>
        <v>0</v>
      </c>
      <c r="AD86" s="10" t="str">
        <f aca="false">IF(AC86=0,"",IF($I86&lt;&gt;"",$I86,$F86))</f>
        <v/>
      </c>
      <c r="AE86" s="10" t="str">
        <f aca="false">IF(AC86=0,"",IF(AND($G86&lt;&gt;"",$H86&lt;&gt;"",$G86&lt;&gt;$H86),MAX($G86,$H86),""))</f>
        <v/>
      </c>
      <c r="AF86" s="12" t="str">
        <f aca="false">IF(AC86=0,"",IF(AE86="",AG86,IF(IF($G86&lt;$H86,"Part-Time","Full-Time")="Full-Time","FT",IF(AND(IF($G86&lt;$H86,"Part-Time","Full-Time")="Part-Time",OR($O86="",N($O86)&gt;=PT_MinHours)),"PT","None"))))</f>
        <v/>
      </c>
      <c r="AG86" s="12" t="str">
        <f aca="false">IF(AC86=0,"",IF($C86="Full-Time","FT",IF(AND($C86="Part-Time",OR($O86="",N($O86)&gt;=PT_MinHours)),"PT","None")))</f>
        <v/>
      </c>
      <c r="AH86" s="12" t="str">
        <f aca="false">IF(AC86=0,"",IF(AsOfDate&lt;AD86,-1,12*(YEAR(AsOfDate)-YEAR(AD86))+MONTH(AsOfDate)-MONTH(AD86)-IF(DAY(AsOfDate)&lt;MIN(DAY(AD86),DAY(EOMONTH(AsOfDate,0))),1,0)))</f>
        <v/>
      </c>
      <c r="AI86" s="12" t="str">
        <f aca="false">IF(AC86=0,"",IF(OR(AE86="",AE86&gt;AsOfDate),AH86,IF((AE86-1)&lt;AD86,-1,12*(YEAR((AE86-1))-YEAR(AD86))+MONTH((AE86-1))-MONTH(AD86)-IF(DAY((AE86-1))&lt;MIN(DAY(AD86),DAY(EOMONTH((AE86-1),0))),1,0))))</f>
        <v/>
      </c>
      <c r="AJ86" s="12" t="str">
        <f aca="false">IF(AC86=0,"",IF(PFYDate&lt;AD86,-1,12*(YEAR(PFYDate)-YEAR(AD86))+MONTH(PFYDate)-MONTH(AD86)-IF(DAY(PFYDate)&lt;MIN(DAY(AD86),DAY(EOMONTH(PFYDate,0))),1,0)))</f>
        <v/>
      </c>
      <c r="AK86" s="12" t="str">
        <f aca="false">IF(AC86=0,"",IF(OR(AE86="",AE86&gt;PFYDate),AJ86,IF((AE86-1)&lt;AD86,-1,12*(YEAR((AE86-1))-YEAR(AD86))+MONTH((AE86-1))-MONTH(AD86)-IF(DAY((AE86-1))&lt;MIN(DAY(AD86),DAY(EOMONTH((AE86-1),0))),1,0))))</f>
        <v/>
      </c>
      <c r="AL86" s="12" t="str">
        <f aca="false">IF(AC86=0,"",IF(AF86="FT",IF(AI86&lt;FT_First,0,IF(AI86&lt;FT_Y5,1+INT((AI86-FT_First)/FT_Int1),FT_PreY5+FT_PerYear*INT((AI86-FT_Y5)/12)+FT_AnnivDays+INT(MOD(AI86-FT_Y5,12)/FT_Int2))),IF(AF86="PT",IF(AI86&lt;PT_First,0,1+INT((AI86-PT_First)/PT_Int)),0))+IF(OR(AE86="",AE86&gt;AsOfDate),0,IF(AG86="FT",IF(AH86&lt;FT_First,0,IF(AH86&lt;FT_Y5,1+INT((AH86-FT_First)/FT_Int1),FT_PreY5+FT_PerYear*INT((AH86-FT_Y5)/12)+FT_AnnivDays+INT(MOD(AH86-FT_Y5,12)/FT_Int2))),IF(AG86="PT",IF(AH86&lt;PT_First,0,1+INT((AH86-PT_First)/PT_Int)),0))-IF(AG86="FT",IF(AI86&lt;FT_First,0,IF(AI86&lt;FT_Y5,1+INT((AI86-FT_First)/FT_Int1),FT_PreY5+FT_PerYear*INT((AI86-FT_Y5)/12)+FT_AnnivDays+INT(MOD(AI86-FT_Y5,12)/FT_Int2))),IF(AG86="PT",IF(AI86&lt;PT_First,0,1+INT((AI86-PT_First)/PT_Int)),0))))</f>
        <v/>
      </c>
      <c r="AM86" s="12" t="str">
        <f aca="false">IF(AC86=0,"",IF(AF86="FT",IF(AK86&lt;FT_First,0,IF(AK86&lt;FT_Y5,1+INT((AK86-FT_First)/FT_Int1),FT_PreY5+FT_PerYear*INT((AK86-FT_Y5)/12)+FT_AnnivDays+INT(MOD(AK86-FT_Y5,12)/FT_Int2))),IF(AF86="PT",IF(AK86&lt;PT_First,0,1+INT((AK86-PT_First)/PT_Int)),0))+IF(OR(AE86="",AE86&gt;PFYDate),0,IF(AG86="FT",IF(AJ86&lt;FT_First,0,IF(AJ86&lt;FT_Y5,1+INT((AJ86-FT_First)/FT_Int1),FT_PreY5+FT_PerYear*INT((AJ86-FT_Y5)/12)+FT_AnnivDays+INT(MOD(AJ86-FT_Y5,12)/FT_Int2))),IF(AG86="PT",IF(AJ86&lt;PT_First,0,1+INT((AJ86-PT_First)/PT_Int)),0))-IF(AG86="FT",IF(AK86&lt;FT_First,0,IF(AK86&lt;FT_Y5,1+INT((AK86-FT_First)/FT_Int1),FT_PreY5+FT_PerYear*INT((AK86-FT_Y5)/12)+FT_AnnivDays+INT(MOD(AK86-FT_Y5,12)/FT_Int2))),IF(AG86="PT",IF(AK86&lt;PT_First,0,1+INT((AK86-PT_First)/PT_Int)),0))))</f>
        <v/>
      </c>
      <c r="AN86" s="12" t="str">
        <f aca="false">IF(AC86=0,"",IF(AG86="FT",IF(AH86&lt;FT_First,FT_First,IF(AH86&lt;FT_Y5,MIN(FT_Y5,FT_First+FT_Int1*(INT((AH86-FT_First)/FT_Int1)+1)),FT_Y5+12*INT((AH86-FT_Y5)/12)+FT_Int2*(INT(MOD(AH86-FT_Y5,12)/FT_Int2)+1))),IF(AG86="PT",IF(AH86&lt;PT_First,PT_First,PT_First+PT_Int*(INT((AH86-PT_First)/PT_Int)+1)),"")))</f>
        <v/>
      </c>
      <c r="AO86" s="12" t="str">
        <f aca="false">IF(AC86=0,"",IF(NOT(CFY_Ready),0,COUNTIFS(INDEX(CFY_Data,0,CFY_ColFirst),$A86,INDEX(CFY_Data,0,CFY_ColSur),$B86,INDEX(CFY_Data,0,CFY_ColCat),BonusCat)))</f>
        <v/>
      </c>
    </row>
    <row r="87" customFormat="false" ht="15" hidden="false" customHeight="false" outlineLevel="0" collapsed="false">
      <c r="A87" s="15"/>
      <c r="B87" s="15"/>
      <c r="C87" s="15"/>
      <c r="D87" s="16"/>
      <c r="E87" s="10" t="str">
        <f aca="false">IF(OR(AC87=0,$D87=""),"",DATE(YEAR(AsOfDate)+IF(DATE(YEAR(AsOfDate),MONTH($D87),DAY($D87))&lt;=AsOfDate,1,0),MONTH($D87),DAY($D87)))</f>
        <v/>
      </c>
      <c r="F87" s="16"/>
      <c r="G87" s="16"/>
      <c r="H87" s="16"/>
      <c r="I87" s="16"/>
      <c r="J87" s="10" t="str">
        <f aca="false">IF(AC87=0,"",DATE(YEAR(AsOfDate)+IF(DATE(YEAR(AsOfDate),MONTH($F87),DAY($F87))&lt;=AsOfDate,1,0),MONTH($F87),DAY($F87)))</f>
        <v/>
      </c>
      <c r="K87" s="11" t="str">
        <f aca="false">IF(AC87=0,"",ROUND((AsOfDate-$F87)/365.25,1))</f>
        <v/>
      </c>
      <c r="L87" s="12" t="str">
        <f aca="false">IF(AC87=0,"",IF(AsOfDate&lt;AD87,"-",DATEDIF(AD87,AsOfDate,"y")&amp;"y "&amp;DATEDIF(AD87,AsOfDate,"ym")&amp;"m "&amp;DATEDIF(AD87,AsOfDate,"md")&amp;"d"))</f>
        <v/>
      </c>
      <c r="M87" s="13" t="str">
        <f aca="false">IF(AC87=0,"",N87*HoursPerDay)</f>
        <v/>
      </c>
      <c r="N87" s="13" t="str">
        <f aca="false">IF(AC87=0,"",AL87)</f>
        <v/>
      </c>
      <c r="O87" s="17"/>
      <c r="P87" s="12" t="str">
        <f aca="false">IF(AC87=0,"",IF(AE87="","",IF($G87&lt;$H87,"Part-Time to Full-Time","Full-Time to Part-Time")&amp;" on "&amp;TEXT(AE87,"dd/mm/yyyy")&amp;IF(AE87&gt;AsOfDate," (future)",IF(AF87=AG87,"",IF(AG87="None"," - STOPPED accruing",IF(AF87="None"," - now qualifying"," - pathway changed"))))))</f>
        <v/>
      </c>
      <c r="Q87" s="12" t="str">
        <f aca="false">IF(AC87=0,"",IF(AG87="None",IF(N87&gt;0,"No longer accruing","Not eligible - "&amp;IF(AND($C87="Part-Time",N($O87)&lt;PT_MinHours,$O87&lt;&gt;""),"under "&amp;PT_MinHours&amp;" hrs",$C87)),IF(N87&gt;0,"Yes - accruing","Not yet - from "&amp;TEXT(R87,"dd/mm/yyyy"))))</f>
        <v/>
      </c>
      <c r="R87" s="10" t="str">
        <f aca="false">IF(AC87=0,"",IF(AG87="None","",EDATE(AD87,AN87)))</f>
        <v/>
      </c>
      <c r="S87" s="13" t="str">
        <f aca="false">IF(AC87=0,"",IF(NOT(PFY_Ready),"",SUMIFS(INDEX(PFY_Data,0,PFY_ColBal),INDEX(PFY_Data,0,PFY_ColFirst),$A87,INDEX(PFY_Data,0,PFY_ColSur),$B87,INDEX(PFY_Data,0,PFY_ColCat),BonusCat)))</f>
        <v/>
      </c>
      <c r="T87" s="17"/>
      <c r="U87" s="13" t="str">
        <f aca="false">IF(AC87=0,"",IF(NOT(CFY_Ready),"",SUMIFS(INDEX(CFY_Data,0,CFY_ColBal),INDEX(CFY_Data,0,CFY_ColFirst),$A87,INDEX(CFY_Data,0,CFY_ColSur),$B87,INDEX(CFY_Data,0,CFY_ColCat),BonusCat)))</f>
        <v/>
      </c>
      <c r="V87" s="13" t="str">
        <f aca="false">IF(AC87=0,"",IF(OR(NOT(CFY_Ready),CFY_ColAppr=0),"",SUMIFS(INDEX(CFY_Data,0,CFY_ColAppr),INDEX(CFY_Data,0,CFY_ColFirst),$A87,INDEX(CFY_Data,0,CFY_ColSur),$B87,INDEX(CFY_Data,0,CFY_ColCat),BonusCat)))</f>
        <v/>
      </c>
      <c r="W87" s="13" t="str">
        <f aca="false">IF(OR(AC87=0,S87="",U87=""),"",MAX(0,S87+N($T87)-U87))</f>
        <v/>
      </c>
      <c r="X87" s="13" t="str">
        <f aca="false">IF(AC87=0,"",(AL87-AM87)*HoursPerDay)</f>
        <v/>
      </c>
      <c r="Y87" s="13" t="str">
        <f aca="false">IF(AC87=0,"",X87-N($T87))</f>
        <v/>
      </c>
      <c r="Z87" s="12" t="str">
        <f aca="false">IF(AC87=0,"",IF(Y87&gt;0,"Yes","No"))</f>
        <v/>
      </c>
      <c r="AA87" s="12" t="str">
        <f aca="false">IF(AC87=0,"",IF(NOT(CFY_Ready),"Paste CFY EH export",IF(Y87&gt;0,"ACCRUE "&amp;TEXT(Y87,"0.##")&amp;" hrs ("&amp;TEXT(Y87/HoursPerDay,"0.##")&amp;" days)"&amp;IF(AO87=0," - no Bonus Leave line in EH yet",""),IF(Y87&lt;0,"CHECK - posted "&amp;TEXT(-Y87,"0.##")&amp;" hrs more than policy",IF(AND(N87&gt;0,AO87=0,U87=0),"CHECK - policy says "&amp;TEXT(M87,"0.##")&amp;" hrs to date but nothing in EH",IF(N87&gt;0,"OK","-"))))))</f>
        <v/>
      </c>
      <c r="AB87" s="13" t="str">
        <f aca="false">IF(OR(AC87=0,S87=""),"",AM87*HoursPerDay-S87)</f>
        <v/>
      </c>
      <c r="AC87" s="12" t="n">
        <f aca="false">IF(OR(LEN($A87&amp;$B87)=0,$F87=""),0,1)</f>
        <v>0</v>
      </c>
      <c r="AD87" s="10" t="str">
        <f aca="false">IF(AC87=0,"",IF($I87&lt;&gt;"",$I87,$F87))</f>
        <v/>
      </c>
      <c r="AE87" s="10" t="str">
        <f aca="false">IF(AC87=0,"",IF(AND($G87&lt;&gt;"",$H87&lt;&gt;"",$G87&lt;&gt;$H87),MAX($G87,$H87),""))</f>
        <v/>
      </c>
      <c r="AF87" s="12" t="str">
        <f aca="false">IF(AC87=0,"",IF(AE87="",AG87,IF(IF($G87&lt;$H87,"Part-Time","Full-Time")="Full-Time","FT",IF(AND(IF($G87&lt;$H87,"Part-Time","Full-Time")="Part-Time",OR($O87="",N($O87)&gt;=PT_MinHours)),"PT","None"))))</f>
        <v/>
      </c>
      <c r="AG87" s="12" t="str">
        <f aca="false">IF(AC87=0,"",IF($C87="Full-Time","FT",IF(AND($C87="Part-Time",OR($O87="",N($O87)&gt;=PT_MinHours)),"PT","None")))</f>
        <v/>
      </c>
      <c r="AH87" s="12" t="str">
        <f aca="false">IF(AC87=0,"",IF(AsOfDate&lt;AD87,-1,12*(YEAR(AsOfDate)-YEAR(AD87))+MONTH(AsOfDate)-MONTH(AD87)-IF(DAY(AsOfDate)&lt;MIN(DAY(AD87),DAY(EOMONTH(AsOfDate,0))),1,0)))</f>
        <v/>
      </c>
      <c r="AI87" s="12" t="str">
        <f aca="false">IF(AC87=0,"",IF(OR(AE87="",AE87&gt;AsOfDate),AH87,IF((AE87-1)&lt;AD87,-1,12*(YEAR((AE87-1))-YEAR(AD87))+MONTH((AE87-1))-MONTH(AD87)-IF(DAY((AE87-1))&lt;MIN(DAY(AD87),DAY(EOMONTH((AE87-1),0))),1,0))))</f>
        <v/>
      </c>
      <c r="AJ87" s="12" t="str">
        <f aca="false">IF(AC87=0,"",IF(PFYDate&lt;AD87,-1,12*(YEAR(PFYDate)-YEAR(AD87))+MONTH(PFYDate)-MONTH(AD87)-IF(DAY(PFYDate)&lt;MIN(DAY(AD87),DAY(EOMONTH(PFYDate,0))),1,0)))</f>
        <v/>
      </c>
      <c r="AK87" s="12" t="str">
        <f aca="false">IF(AC87=0,"",IF(OR(AE87="",AE87&gt;PFYDate),AJ87,IF((AE87-1)&lt;AD87,-1,12*(YEAR((AE87-1))-YEAR(AD87))+MONTH((AE87-1))-MONTH(AD87)-IF(DAY((AE87-1))&lt;MIN(DAY(AD87),DAY(EOMONTH((AE87-1),0))),1,0))))</f>
        <v/>
      </c>
      <c r="AL87" s="12" t="str">
        <f aca="false">IF(AC87=0,"",IF(AF87="FT",IF(AI87&lt;FT_First,0,IF(AI87&lt;FT_Y5,1+INT((AI87-FT_First)/FT_Int1),FT_PreY5+FT_PerYear*INT((AI87-FT_Y5)/12)+FT_AnnivDays+INT(MOD(AI87-FT_Y5,12)/FT_Int2))),IF(AF87="PT",IF(AI87&lt;PT_First,0,1+INT((AI87-PT_First)/PT_Int)),0))+IF(OR(AE87="",AE87&gt;AsOfDate),0,IF(AG87="FT",IF(AH87&lt;FT_First,0,IF(AH87&lt;FT_Y5,1+INT((AH87-FT_First)/FT_Int1),FT_PreY5+FT_PerYear*INT((AH87-FT_Y5)/12)+FT_AnnivDays+INT(MOD(AH87-FT_Y5,12)/FT_Int2))),IF(AG87="PT",IF(AH87&lt;PT_First,0,1+INT((AH87-PT_First)/PT_Int)),0))-IF(AG87="FT",IF(AI87&lt;FT_First,0,IF(AI87&lt;FT_Y5,1+INT((AI87-FT_First)/FT_Int1),FT_PreY5+FT_PerYear*INT((AI87-FT_Y5)/12)+FT_AnnivDays+INT(MOD(AI87-FT_Y5,12)/FT_Int2))),IF(AG87="PT",IF(AI87&lt;PT_First,0,1+INT((AI87-PT_First)/PT_Int)),0))))</f>
        <v/>
      </c>
      <c r="AM87" s="12" t="str">
        <f aca="false">IF(AC87=0,"",IF(AF87="FT",IF(AK87&lt;FT_First,0,IF(AK87&lt;FT_Y5,1+INT((AK87-FT_First)/FT_Int1),FT_PreY5+FT_PerYear*INT((AK87-FT_Y5)/12)+FT_AnnivDays+INT(MOD(AK87-FT_Y5,12)/FT_Int2))),IF(AF87="PT",IF(AK87&lt;PT_First,0,1+INT((AK87-PT_First)/PT_Int)),0))+IF(OR(AE87="",AE87&gt;PFYDate),0,IF(AG87="FT",IF(AJ87&lt;FT_First,0,IF(AJ87&lt;FT_Y5,1+INT((AJ87-FT_First)/FT_Int1),FT_PreY5+FT_PerYear*INT((AJ87-FT_Y5)/12)+FT_AnnivDays+INT(MOD(AJ87-FT_Y5,12)/FT_Int2))),IF(AG87="PT",IF(AJ87&lt;PT_First,0,1+INT((AJ87-PT_First)/PT_Int)),0))-IF(AG87="FT",IF(AK87&lt;FT_First,0,IF(AK87&lt;FT_Y5,1+INT((AK87-FT_First)/FT_Int1),FT_PreY5+FT_PerYear*INT((AK87-FT_Y5)/12)+FT_AnnivDays+INT(MOD(AK87-FT_Y5,12)/FT_Int2))),IF(AG87="PT",IF(AK87&lt;PT_First,0,1+INT((AK87-PT_First)/PT_Int)),0))))</f>
        <v/>
      </c>
      <c r="AN87" s="12" t="str">
        <f aca="false">IF(AC87=0,"",IF(AG87="FT",IF(AH87&lt;FT_First,FT_First,IF(AH87&lt;FT_Y5,MIN(FT_Y5,FT_First+FT_Int1*(INT((AH87-FT_First)/FT_Int1)+1)),FT_Y5+12*INT((AH87-FT_Y5)/12)+FT_Int2*(INT(MOD(AH87-FT_Y5,12)/FT_Int2)+1))),IF(AG87="PT",IF(AH87&lt;PT_First,PT_First,PT_First+PT_Int*(INT((AH87-PT_First)/PT_Int)+1)),"")))</f>
        <v/>
      </c>
      <c r="AO87" s="12" t="str">
        <f aca="false">IF(AC87=0,"",IF(NOT(CFY_Ready),0,COUNTIFS(INDEX(CFY_Data,0,CFY_ColFirst),$A87,INDEX(CFY_Data,0,CFY_ColSur),$B87,INDEX(CFY_Data,0,CFY_ColCat),BonusCat)))</f>
        <v/>
      </c>
    </row>
    <row r="88" customFormat="false" ht="15" hidden="false" customHeight="false" outlineLevel="0" collapsed="false">
      <c r="A88" s="15"/>
      <c r="B88" s="15"/>
      <c r="C88" s="15"/>
      <c r="D88" s="16"/>
      <c r="E88" s="10" t="str">
        <f aca="false">IF(OR(AC88=0,$D88=""),"",DATE(YEAR(AsOfDate)+IF(DATE(YEAR(AsOfDate),MONTH($D88),DAY($D88))&lt;=AsOfDate,1,0),MONTH($D88),DAY($D88)))</f>
        <v/>
      </c>
      <c r="F88" s="16"/>
      <c r="G88" s="16"/>
      <c r="H88" s="16"/>
      <c r="I88" s="16"/>
      <c r="J88" s="10" t="str">
        <f aca="false">IF(AC88=0,"",DATE(YEAR(AsOfDate)+IF(DATE(YEAR(AsOfDate),MONTH($F88),DAY($F88))&lt;=AsOfDate,1,0),MONTH($F88),DAY($F88)))</f>
        <v/>
      </c>
      <c r="K88" s="11" t="str">
        <f aca="false">IF(AC88=0,"",ROUND((AsOfDate-$F88)/365.25,1))</f>
        <v/>
      </c>
      <c r="L88" s="12" t="str">
        <f aca="false">IF(AC88=0,"",IF(AsOfDate&lt;AD88,"-",DATEDIF(AD88,AsOfDate,"y")&amp;"y "&amp;DATEDIF(AD88,AsOfDate,"ym")&amp;"m "&amp;DATEDIF(AD88,AsOfDate,"md")&amp;"d"))</f>
        <v/>
      </c>
      <c r="M88" s="13" t="str">
        <f aca="false">IF(AC88=0,"",N88*HoursPerDay)</f>
        <v/>
      </c>
      <c r="N88" s="13" t="str">
        <f aca="false">IF(AC88=0,"",AL88)</f>
        <v/>
      </c>
      <c r="O88" s="17"/>
      <c r="P88" s="12" t="str">
        <f aca="false">IF(AC88=0,"",IF(AE88="","",IF($G88&lt;$H88,"Part-Time to Full-Time","Full-Time to Part-Time")&amp;" on "&amp;TEXT(AE88,"dd/mm/yyyy")&amp;IF(AE88&gt;AsOfDate," (future)",IF(AF88=AG88,"",IF(AG88="None"," - STOPPED accruing",IF(AF88="None"," - now qualifying"," - pathway changed"))))))</f>
        <v/>
      </c>
      <c r="Q88" s="12" t="str">
        <f aca="false">IF(AC88=0,"",IF(AG88="None",IF(N88&gt;0,"No longer accruing","Not eligible - "&amp;IF(AND($C88="Part-Time",N($O88)&lt;PT_MinHours,$O88&lt;&gt;""),"under "&amp;PT_MinHours&amp;" hrs",$C88)),IF(N88&gt;0,"Yes - accruing","Not yet - from "&amp;TEXT(R88,"dd/mm/yyyy"))))</f>
        <v/>
      </c>
      <c r="R88" s="10" t="str">
        <f aca="false">IF(AC88=0,"",IF(AG88="None","",EDATE(AD88,AN88)))</f>
        <v/>
      </c>
      <c r="S88" s="13" t="str">
        <f aca="false">IF(AC88=0,"",IF(NOT(PFY_Ready),"",SUMIFS(INDEX(PFY_Data,0,PFY_ColBal),INDEX(PFY_Data,0,PFY_ColFirst),$A88,INDEX(PFY_Data,0,PFY_ColSur),$B88,INDEX(PFY_Data,0,PFY_ColCat),BonusCat)))</f>
        <v/>
      </c>
      <c r="T88" s="17"/>
      <c r="U88" s="13" t="str">
        <f aca="false">IF(AC88=0,"",IF(NOT(CFY_Ready),"",SUMIFS(INDEX(CFY_Data,0,CFY_ColBal),INDEX(CFY_Data,0,CFY_ColFirst),$A88,INDEX(CFY_Data,0,CFY_ColSur),$B88,INDEX(CFY_Data,0,CFY_ColCat),BonusCat)))</f>
        <v/>
      </c>
      <c r="V88" s="13" t="str">
        <f aca="false">IF(AC88=0,"",IF(OR(NOT(CFY_Ready),CFY_ColAppr=0),"",SUMIFS(INDEX(CFY_Data,0,CFY_ColAppr),INDEX(CFY_Data,0,CFY_ColFirst),$A88,INDEX(CFY_Data,0,CFY_ColSur),$B88,INDEX(CFY_Data,0,CFY_ColCat),BonusCat)))</f>
        <v/>
      </c>
      <c r="W88" s="13" t="str">
        <f aca="false">IF(OR(AC88=0,S88="",U88=""),"",MAX(0,S88+N($T88)-U88))</f>
        <v/>
      </c>
      <c r="X88" s="13" t="str">
        <f aca="false">IF(AC88=0,"",(AL88-AM88)*HoursPerDay)</f>
        <v/>
      </c>
      <c r="Y88" s="13" t="str">
        <f aca="false">IF(AC88=0,"",X88-N($T88))</f>
        <v/>
      </c>
      <c r="Z88" s="12" t="str">
        <f aca="false">IF(AC88=0,"",IF(Y88&gt;0,"Yes","No"))</f>
        <v/>
      </c>
      <c r="AA88" s="12" t="str">
        <f aca="false">IF(AC88=0,"",IF(NOT(CFY_Ready),"Paste CFY EH export",IF(Y88&gt;0,"ACCRUE "&amp;TEXT(Y88,"0.##")&amp;" hrs ("&amp;TEXT(Y88/HoursPerDay,"0.##")&amp;" days)"&amp;IF(AO88=0," - no Bonus Leave line in EH yet",""),IF(Y88&lt;0,"CHECK - posted "&amp;TEXT(-Y88,"0.##")&amp;" hrs more than policy",IF(AND(N88&gt;0,AO88=0,U88=0),"CHECK - policy says "&amp;TEXT(M88,"0.##")&amp;" hrs to date but nothing in EH",IF(N88&gt;0,"OK","-"))))))</f>
        <v/>
      </c>
      <c r="AB88" s="13" t="str">
        <f aca="false">IF(OR(AC88=0,S88=""),"",AM88*HoursPerDay-S88)</f>
        <v/>
      </c>
      <c r="AC88" s="12" t="n">
        <f aca="false">IF(OR(LEN($A88&amp;$B88)=0,$F88=""),0,1)</f>
        <v>0</v>
      </c>
      <c r="AD88" s="10" t="str">
        <f aca="false">IF(AC88=0,"",IF($I88&lt;&gt;"",$I88,$F88))</f>
        <v/>
      </c>
      <c r="AE88" s="10" t="str">
        <f aca="false">IF(AC88=0,"",IF(AND($G88&lt;&gt;"",$H88&lt;&gt;"",$G88&lt;&gt;$H88),MAX($G88,$H88),""))</f>
        <v/>
      </c>
      <c r="AF88" s="12" t="str">
        <f aca="false">IF(AC88=0,"",IF(AE88="",AG88,IF(IF($G88&lt;$H88,"Part-Time","Full-Time")="Full-Time","FT",IF(AND(IF($G88&lt;$H88,"Part-Time","Full-Time")="Part-Time",OR($O88="",N($O88)&gt;=PT_MinHours)),"PT","None"))))</f>
        <v/>
      </c>
      <c r="AG88" s="12" t="str">
        <f aca="false">IF(AC88=0,"",IF($C88="Full-Time","FT",IF(AND($C88="Part-Time",OR($O88="",N($O88)&gt;=PT_MinHours)),"PT","None")))</f>
        <v/>
      </c>
      <c r="AH88" s="12" t="str">
        <f aca="false">IF(AC88=0,"",IF(AsOfDate&lt;AD88,-1,12*(YEAR(AsOfDate)-YEAR(AD88))+MONTH(AsOfDate)-MONTH(AD88)-IF(DAY(AsOfDate)&lt;MIN(DAY(AD88),DAY(EOMONTH(AsOfDate,0))),1,0)))</f>
        <v/>
      </c>
      <c r="AI88" s="12" t="str">
        <f aca="false">IF(AC88=0,"",IF(OR(AE88="",AE88&gt;AsOfDate),AH88,IF((AE88-1)&lt;AD88,-1,12*(YEAR((AE88-1))-YEAR(AD88))+MONTH((AE88-1))-MONTH(AD88)-IF(DAY((AE88-1))&lt;MIN(DAY(AD88),DAY(EOMONTH((AE88-1),0))),1,0))))</f>
        <v/>
      </c>
      <c r="AJ88" s="12" t="str">
        <f aca="false">IF(AC88=0,"",IF(PFYDate&lt;AD88,-1,12*(YEAR(PFYDate)-YEAR(AD88))+MONTH(PFYDate)-MONTH(AD88)-IF(DAY(PFYDate)&lt;MIN(DAY(AD88),DAY(EOMONTH(PFYDate,0))),1,0)))</f>
        <v/>
      </c>
      <c r="AK88" s="12" t="str">
        <f aca="false">IF(AC88=0,"",IF(OR(AE88="",AE88&gt;PFYDate),AJ88,IF((AE88-1)&lt;AD88,-1,12*(YEAR((AE88-1))-YEAR(AD88))+MONTH((AE88-1))-MONTH(AD88)-IF(DAY((AE88-1))&lt;MIN(DAY(AD88),DAY(EOMONTH((AE88-1),0))),1,0))))</f>
        <v/>
      </c>
      <c r="AL88" s="12" t="str">
        <f aca="false">IF(AC88=0,"",IF(AF88="FT",IF(AI88&lt;FT_First,0,IF(AI88&lt;FT_Y5,1+INT((AI88-FT_First)/FT_Int1),FT_PreY5+FT_PerYear*INT((AI88-FT_Y5)/12)+FT_AnnivDays+INT(MOD(AI88-FT_Y5,12)/FT_Int2))),IF(AF88="PT",IF(AI88&lt;PT_First,0,1+INT((AI88-PT_First)/PT_Int)),0))+IF(OR(AE88="",AE88&gt;AsOfDate),0,IF(AG88="FT",IF(AH88&lt;FT_First,0,IF(AH88&lt;FT_Y5,1+INT((AH88-FT_First)/FT_Int1),FT_PreY5+FT_PerYear*INT((AH88-FT_Y5)/12)+FT_AnnivDays+INT(MOD(AH88-FT_Y5,12)/FT_Int2))),IF(AG88="PT",IF(AH88&lt;PT_First,0,1+INT((AH88-PT_First)/PT_Int)),0))-IF(AG88="FT",IF(AI88&lt;FT_First,0,IF(AI88&lt;FT_Y5,1+INT((AI88-FT_First)/FT_Int1),FT_PreY5+FT_PerYear*INT((AI88-FT_Y5)/12)+FT_AnnivDays+INT(MOD(AI88-FT_Y5,12)/FT_Int2))),IF(AG88="PT",IF(AI88&lt;PT_First,0,1+INT((AI88-PT_First)/PT_Int)),0))))</f>
        <v/>
      </c>
      <c r="AM88" s="12" t="str">
        <f aca="false">IF(AC88=0,"",IF(AF88="FT",IF(AK88&lt;FT_First,0,IF(AK88&lt;FT_Y5,1+INT((AK88-FT_First)/FT_Int1),FT_PreY5+FT_PerYear*INT((AK88-FT_Y5)/12)+FT_AnnivDays+INT(MOD(AK88-FT_Y5,12)/FT_Int2))),IF(AF88="PT",IF(AK88&lt;PT_First,0,1+INT((AK88-PT_First)/PT_Int)),0))+IF(OR(AE88="",AE88&gt;PFYDate),0,IF(AG88="FT",IF(AJ88&lt;FT_First,0,IF(AJ88&lt;FT_Y5,1+INT((AJ88-FT_First)/FT_Int1),FT_PreY5+FT_PerYear*INT((AJ88-FT_Y5)/12)+FT_AnnivDays+INT(MOD(AJ88-FT_Y5,12)/FT_Int2))),IF(AG88="PT",IF(AJ88&lt;PT_First,0,1+INT((AJ88-PT_First)/PT_Int)),0))-IF(AG88="FT",IF(AK88&lt;FT_First,0,IF(AK88&lt;FT_Y5,1+INT((AK88-FT_First)/FT_Int1),FT_PreY5+FT_PerYear*INT((AK88-FT_Y5)/12)+FT_AnnivDays+INT(MOD(AK88-FT_Y5,12)/FT_Int2))),IF(AG88="PT",IF(AK88&lt;PT_First,0,1+INT((AK88-PT_First)/PT_Int)),0))))</f>
        <v/>
      </c>
      <c r="AN88" s="12" t="str">
        <f aca="false">IF(AC88=0,"",IF(AG88="FT",IF(AH88&lt;FT_First,FT_First,IF(AH88&lt;FT_Y5,MIN(FT_Y5,FT_First+FT_Int1*(INT((AH88-FT_First)/FT_Int1)+1)),FT_Y5+12*INT((AH88-FT_Y5)/12)+FT_Int2*(INT(MOD(AH88-FT_Y5,12)/FT_Int2)+1))),IF(AG88="PT",IF(AH88&lt;PT_First,PT_First,PT_First+PT_Int*(INT((AH88-PT_First)/PT_Int)+1)),"")))</f>
        <v/>
      </c>
      <c r="AO88" s="12" t="str">
        <f aca="false">IF(AC88=0,"",IF(NOT(CFY_Ready),0,COUNTIFS(INDEX(CFY_Data,0,CFY_ColFirst),$A88,INDEX(CFY_Data,0,CFY_ColSur),$B88,INDEX(CFY_Data,0,CFY_ColCat),BonusCat)))</f>
        <v/>
      </c>
    </row>
    <row r="89" customFormat="false" ht="15" hidden="false" customHeight="false" outlineLevel="0" collapsed="false">
      <c r="A89" s="15"/>
      <c r="B89" s="15"/>
      <c r="C89" s="15"/>
      <c r="D89" s="16"/>
      <c r="E89" s="10" t="str">
        <f aca="false">IF(OR(AC89=0,$D89=""),"",DATE(YEAR(AsOfDate)+IF(DATE(YEAR(AsOfDate),MONTH($D89),DAY($D89))&lt;=AsOfDate,1,0),MONTH($D89),DAY($D89)))</f>
        <v/>
      </c>
      <c r="F89" s="16"/>
      <c r="G89" s="16"/>
      <c r="H89" s="16"/>
      <c r="I89" s="16"/>
      <c r="J89" s="10" t="str">
        <f aca="false">IF(AC89=0,"",DATE(YEAR(AsOfDate)+IF(DATE(YEAR(AsOfDate),MONTH($F89),DAY($F89))&lt;=AsOfDate,1,0),MONTH($F89),DAY($F89)))</f>
        <v/>
      </c>
      <c r="K89" s="11" t="str">
        <f aca="false">IF(AC89=0,"",ROUND((AsOfDate-$F89)/365.25,1))</f>
        <v/>
      </c>
      <c r="L89" s="12" t="str">
        <f aca="false">IF(AC89=0,"",IF(AsOfDate&lt;AD89,"-",DATEDIF(AD89,AsOfDate,"y")&amp;"y "&amp;DATEDIF(AD89,AsOfDate,"ym")&amp;"m "&amp;DATEDIF(AD89,AsOfDate,"md")&amp;"d"))</f>
        <v/>
      </c>
      <c r="M89" s="13" t="str">
        <f aca="false">IF(AC89=0,"",N89*HoursPerDay)</f>
        <v/>
      </c>
      <c r="N89" s="13" t="str">
        <f aca="false">IF(AC89=0,"",AL89)</f>
        <v/>
      </c>
      <c r="O89" s="17"/>
      <c r="P89" s="12" t="str">
        <f aca="false">IF(AC89=0,"",IF(AE89="","",IF($G89&lt;$H89,"Part-Time to Full-Time","Full-Time to Part-Time")&amp;" on "&amp;TEXT(AE89,"dd/mm/yyyy")&amp;IF(AE89&gt;AsOfDate," (future)",IF(AF89=AG89,"",IF(AG89="None"," - STOPPED accruing",IF(AF89="None"," - now qualifying"," - pathway changed"))))))</f>
        <v/>
      </c>
      <c r="Q89" s="12" t="str">
        <f aca="false">IF(AC89=0,"",IF(AG89="None",IF(N89&gt;0,"No longer accruing","Not eligible - "&amp;IF(AND($C89="Part-Time",N($O89)&lt;PT_MinHours,$O89&lt;&gt;""),"under "&amp;PT_MinHours&amp;" hrs",$C89)),IF(N89&gt;0,"Yes - accruing","Not yet - from "&amp;TEXT(R89,"dd/mm/yyyy"))))</f>
        <v/>
      </c>
      <c r="R89" s="10" t="str">
        <f aca="false">IF(AC89=0,"",IF(AG89="None","",EDATE(AD89,AN89)))</f>
        <v/>
      </c>
      <c r="S89" s="13" t="str">
        <f aca="false">IF(AC89=0,"",IF(NOT(PFY_Ready),"",SUMIFS(INDEX(PFY_Data,0,PFY_ColBal),INDEX(PFY_Data,0,PFY_ColFirst),$A89,INDEX(PFY_Data,0,PFY_ColSur),$B89,INDEX(PFY_Data,0,PFY_ColCat),BonusCat)))</f>
        <v/>
      </c>
      <c r="T89" s="17"/>
      <c r="U89" s="13" t="str">
        <f aca="false">IF(AC89=0,"",IF(NOT(CFY_Ready),"",SUMIFS(INDEX(CFY_Data,0,CFY_ColBal),INDEX(CFY_Data,0,CFY_ColFirst),$A89,INDEX(CFY_Data,0,CFY_ColSur),$B89,INDEX(CFY_Data,0,CFY_ColCat),BonusCat)))</f>
        <v/>
      </c>
      <c r="V89" s="13" t="str">
        <f aca="false">IF(AC89=0,"",IF(OR(NOT(CFY_Ready),CFY_ColAppr=0),"",SUMIFS(INDEX(CFY_Data,0,CFY_ColAppr),INDEX(CFY_Data,0,CFY_ColFirst),$A89,INDEX(CFY_Data,0,CFY_ColSur),$B89,INDEX(CFY_Data,0,CFY_ColCat),BonusCat)))</f>
        <v/>
      </c>
      <c r="W89" s="13" t="str">
        <f aca="false">IF(OR(AC89=0,S89="",U89=""),"",MAX(0,S89+N($T89)-U89))</f>
        <v/>
      </c>
      <c r="X89" s="13" t="str">
        <f aca="false">IF(AC89=0,"",(AL89-AM89)*HoursPerDay)</f>
        <v/>
      </c>
      <c r="Y89" s="13" t="str">
        <f aca="false">IF(AC89=0,"",X89-N($T89))</f>
        <v/>
      </c>
      <c r="Z89" s="12" t="str">
        <f aca="false">IF(AC89=0,"",IF(Y89&gt;0,"Yes","No"))</f>
        <v/>
      </c>
      <c r="AA89" s="12" t="str">
        <f aca="false">IF(AC89=0,"",IF(NOT(CFY_Ready),"Paste CFY EH export",IF(Y89&gt;0,"ACCRUE "&amp;TEXT(Y89,"0.##")&amp;" hrs ("&amp;TEXT(Y89/HoursPerDay,"0.##")&amp;" days)"&amp;IF(AO89=0," - no Bonus Leave line in EH yet",""),IF(Y89&lt;0,"CHECK - posted "&amp;TEXT(-Y89,"0.##")&amp;" hrs more than policy",IF(AND(N89&gt;0,AO89=0,U89=0),"CHECK - policy says "&amp;TEXT(M89,"0.##")&amp;" hrs to date but nothing in EH",IF(N89&gt;0,"OK","-"))))))</f>
        <v/>
      </c>
      <c r="AB89" s="13" t="str">
        <f aca="false">IF(OR(AC89=0,S89=""),"",AM89*HoursPerDay-S89)</f>
        <v/>
      </c>
      <c r="AC89" s="12" t="n">
        <f aca="false">IF(OR(LEN($A89&amp;$B89)=0,$F89=""),0,1)</f>
        <v>0</v>
      </c>
      <c r="AD89" s="10" t="str">
        <f aca="false">IF(AC89=0,"",IF($I89&lt;&gt;"",$I89,$F89))</f>
        <v/>
      </c>
      <c r="AE89" s="10" t="str">
        <f aca="false">IF(AC89=0,"",IF(AND($G89&lt;&gt;"",$H89&lt;&gt;"",$G89&lt;&gt;$H89),MAX($G89,$H89),""))</f>
        <v/>
      </c>
      <c r="AF89" s="12" t="str">
        <f aca="false">IF(AC89=0,"",IF(AE89="",AG89,IF(IF($G89&lt;$H89,"Part-Time","Full-Time")="Full-Time","FT",IF(AND(IF($G89&lt;$H89,"Part-Time","Full-Time")="Part-Time",OR($O89="",N($O89)&gt;=PT_MinHours)),"PT","None"))))</f>
        <v/>
      </c>
      <c r="AG89" s="12" t="str">
        <f aca="false">IF(AC89=0,"",IF($C89="Full-Time","FT",IF(AND($C89="Part-Time",OR($O89="",N($O89)&gt;=PT_MinHours)),"PT","None")))</f>
        <v/>
      </c>
      <c r="AH89" s="12" t="str">
        <f aca="false">IF(AC89=0,"",IF(AsOfDate&lt;AD89,-1,12*(YEAR(AsOfDate)-YEAR(AD89))+MONTH(AsOfDate)-MONTH(AD89)-IF(DAY(AsOfDate)&lt;MIN(DAY(AD89),DAY(EOMONTH(AsOfDate,0))),1,0)))</f>
        <v/>
      </c>
      <c r="AI89" s="12" t="str">
        <f aca="false">IF(AC89=0,"",IF(OR(AE89="",AE89&gt;AsOfDate),AH89,IF((AE89-1)&lt;AD89,-1,12*(YEAR((AE89-1))-YEAR(AD89))+MONTH((AE89-1))-MONTH(AD89)-IF(DAY((AE89-1))&lt;MIN(DAY(AD89),DAY(EOMONTH((AE89-1),0))),1,0))))</f>
        <v/>
      </c>
      <c r="AJ89" s="12" t="str">
        <f aca="false">IF(AC89=0,"",IF(PFYDate&lt;AD89,-1,12*(YEAR(PFYDate)-YEAR(AD89))+MONTH(PFYDate)-MONTH(AD89)-IF(DAY(PFYDate)&lt;MIN(DAY(AD89),DAY(EOMONTH(PFYDate,0))),1,0)))</f>
        <v/>
      </c>
      <c r="AK89" s="12" t="str">
        <f aca="false">IF(AC89=0,"",IF(OR(AE89="",AE89&gt;PFYDate),AJ89,IF((AE89-1)&lt;AD89,-1,12*(YEAR((AE89-1))-YEAR(AD89))+MONTH((AE89-1))-MONTH(AD89)-IF(DAY((AE89-1))&lt;MIN(DAY(AD89),DAY(EOMONTH((AE89-1),0))),1,0))))</f>
        <v/>
      </c>
      <c r="AL89" s="12" t="str">
        <f aca="false">IF(AC89=0,"",IF(AF89="FT",IF(AI89&lt;FT_First,0,IF(AI89&lt;FT_Y5,1+INT((AI89-FT_First)/FT_Int1),FT_PreY5+FT_PerYear*INT((AI89-FT_Y5)/12)+FT_AnnivDays+INT(MOD(AI89-FT_Y5,12)/FT_Int2))),IF(AF89="PT",IF(AI89&lt;PT_First,0,1+INT((AI89-PT_First)/PT_Int)),0))+IF(OR(AE89="",AE89&gt;AsOfDate),0,IF(AG89="FT",IF(AH89&lt;FT_First,0,IF(AH89&lt;FT_Y5,1+INT((AH89-FT_First)/FT_Int1),FT_PreY5+FT_PerYear*INT((AH89-FT_Y5)/12)+FT_AnnivDays+INT(MOD(AH89-FT_Y5,12)/FT_Int2))),IF(AG89="PT",IF(AH89&lt;PT_First,0,1+INT((AH89-PT_First)/PT_Int)),0))-IF(AG89="FT",IF(AI89&lt;FT_First,0,IF(AI89&lt;FT_Y5,1+INT((AI89-FT_First)/FT_Int1),FT_PreY5+FT_PerYear*INT((AI89-FT_Y5)/12)+FT_AnnivDays+INT(MOD(AI89-FT_Y5,12)/FT_Int2))),IF(AG89="PT",IF(AI89&lt;PT_First,0,1+INT((AI89-PT_First)/PT_Int)),0))))</f>
        <v/>
      </c>
      <c r="AM89" s="12" t="str">
        <f aca="false">IF(AC89=0,"",IF(AF89="FT",IF(AK89&lt;FT_First,0,IF(AK89&lt;FT_Y5,1+INT((AK89-FT_First)/FT_Int1),FT_PreY5+FT_PerYear*INT((AK89-FT_Y5)/12)+FT_AnnivDays+INT(MOD(AK89-FT_Y5,12)/FT_Int2))),IF(AF89="PT",IF(AK89&lt;PT_First,0,1+INT((AK89-PT_First)/PT_Int)),0))+IF(OR(AE89="",AE89&gt;PFYDate),0,IF(AG89="FT",IF(AJ89&lt;FT_First,0,IF(AJ89&lt;FT_Y5,1+INT((AJ89-FT_First)/FT_Int1),FT_PreY5+FT_PerYear*INT((AJ89-FT_Y5)/12)+FT_AnnivDays+INT(MOD(AJ89-FT_Y5,12)/FT_Int2))),IF(AG89="PT",IF(AJ89&lt;PT_First,0,1+INT((AJ89-PT_First)/PT_Int)),0))-IF(AG89="FT",IF(AK89&lt;FT_First,0,IF(AK89&lt;FT_Y5,1+INT((AK89-FT_First)/FT_Int1),FT_PreY5+FT_PerYear*INT((AK89-FT_Y5)/12)+FT_AnnivDays+INT(MOD(AK89-FT_Y5,12)/FT_Int2))),IF(AG89="PT",IF(AK89&lt;PT_First,0,1+INT((AK89-PT_First)/PT_Int)),0))))</f>
        <v/>
      </c>
      <c r="AN89" s="12" t="str">
        <f aca="false">IF(AC89=0,"",IF(AG89="FT",IF(AH89&lt;FT_First,FT_First,IF(AH89&lt;FT_Y5,MIN(FT_Y5,FT_First+FT_Int1*(INT((AH89-FT_First)/FT_Int1)+1)),FT_Y5+12*INT((AH89-FT_Y5)/12)+FT_Int2*(INT(MOD(AH89-FT_Y5,12)/FT_Int2)+1))),IF(AG89="PT",IF(AH89&lt;PT_First,PT_First,PT_First+PT_Int*(INT((AH89-PT_First)/PT_Int)+1)),"")))</f>
        <v/>
      </c>
      <c r="AO89" s="12" t="str">
        <f aca="false">IF(AC89=0,"",IF(NOT(CFY_Ready),0,COUNTIFS(INDEX(CFY_Data,0,CFY_ColFirst),$A89,INDEX(CFY_Data,0,CFY_ColSur),$B89,INDEX(CFY_Data,0,CFY_ColCat),BonusCat)))</f>
        <v/>
      </c>
    </row>
    <row r="90" customFormat="false" ht="15" hidden="false" customHeight="false" outlineLevel="0" collapsed="false">
      <c r="A90" s="15"/>
      <c r="B90" s="15"/>
      <c r="C90" s="15"/>
      <c r="D90" s="16"/>
      <c r="E90" s="10" t="str">
        <f aca="false">IF(OR(AC90=0,$D90=""),"",DATE(YEAR(AsOfDate)+IF(DATE(YEAR(AsOfDate),MONTH($D90),DAY($D90))&lt;=AsOfDate,1,0),MONTH($D90),DAY($D90)))</f>
        <v/>
      </c>
      <c r="F90" s="16"/>
      <c r="G90" s="16"/>
      <c r="H90" s="16"/>
      <c r="I90" s="16"/>
      <c r="J90" s="10" t="str">
        <f aca="false">IF(AC90=0,"",DATE(YEAR(AsOfDate)+IF(DATE(YEAR(AsOfDate),MONTH($F90),DAY($F90))&lt;=AsOfDate,1,0),MONTH($F90),DAY($F90)))</f>
        <v/>
      </c>
      <c r="K90" s="11" t="str">
        <f aca="false">IF(AC90=0,"",ROUND((AsOfDate-$F90)/365.25,1))</f>
        <v/>
      </c>
      <c r="L90" s="12" t="str">
        <f aca="false">IF(AC90=0,"",IF(AsOfDate&lt;AD90,"-",DATEDIF(AD90,AsOfDate,"y")&amp;"y "&amp;DATEDIF(AD90,AsOfDate,"ym")&amp;"m "&amp;DATEDIF(AD90,AsOfDate,"md")&amp;"d"))</f>
        <v/>
      </c>
      <c r="M90" s="13" t="str">
        <f aca="false">IF(AC90=0,"",N90*HoursPerDay)</f>
        <v/>
      </c>
      <c r="N90" s="13" t="str">
        <f aca="false">IF(AC90=0,"",AL90)</f>
        <v/>
      </c>
      <c r="O90" s="17"/>
      <c r="P90" s="12" t="str">
        <f aca="false">IF(AC90=0,"",IF(AE90="","",IF($G90&lt;$H90,"Part-Time to Full-Time","Full-Time to Part-Time")&amp;" on "&amp;TEXT(AE90,"dd/mm/yyyy")&amp;IF(AE90&gt;AsOfDate," (future)",IF(AF90=AG90,"",IF(AG90="None"," - STOPPED accruing",IF(AF90="None"," - now qualifying"," - pathway changed"))))))</f>
        <v/>
      </c>
      <c r="Q90" s="12" t="str">
        <f aca="false">IF(AC90=0,"",IF(AG90="None",IF(N90&gt;0,"No longer accruing","Not eligible - "&amp;IF(AND($C90="Part-Time",N($O90)&lt;PT_MinHours,$O90&lt;&gt;""),"under "&amp;PT_MinHours&amp;" hrs",$C90)),IF(N90&gt;0,"Yes - accruing","Not yet - from "&amp;TEXT(R90,"dd/mm/yyyy"))))</f>
        <v/>
      </c>
      <c r="R90" s="10" t="str">
        <f aca="false">IF(AC90=0,"",IF(AG90="None","",EDATE(AD90,AN90)))</f>
        <v/>
      </c>
      <c r="S90" s="13" t="str">
        <f aca="false">IF(AC90=0,"",IF(NOT(PFY_Ready),"",SUMIFS(INDEX(PFY_Data,0,PFY_ColBal),INDEX(PFY_Data,0,PFY_ColFirst),$A90,INDEX(PFY_Data,0,PFY_ColSur),$B90,INDEX(PFY_Data,0,PFY_ColCat),BonusCat)))</f>
        <v/>
      </c>
      <c r="T90" s="17"/>
      <c r="U90" s="13" t="str">
        <f aca="false">IF(AC90=0,"",IF(NOT(CFY_Ready),"",SUMIFS(INDEX(CFY_Data,0,CFY_ColBal),INDEX(CFY_Data,0,CFY_ColFirst),$A90,INDEX(CFY_Data,0,CFY_ColSur),$B90,INDEX(CFY_Data,0,CFY_ColCat),BonusCat)))</f>
        <v/>
      </c>
      <c r="V90" s="13" t="str">
        <f aca="false">IF(AC90=0,"",IF(OR(NOT(CFY_Ready),CFY_ColAppr=0),"",SUMIFS(INDEX(CFY_Data,0,CFY_ColAppr),INDEX(CFY_Data,0,CFY_ColFirst),$A90,INDEX(CFY_Data,0,CFY_ColSur),$B90,INDEX(CFY_Data,0,CFY_ColCat),BonusCat)))</f>
        <v/>
      </c>
      <c r="W90" s="13" t="str">
        <f aca="false">IF(OR(AC90=0,S90="",U90=""),"",MAX(0,S90+N($T90)-U90))</f>
        <v/>
      </c>
      <c r="X90" s="13" t="str">
        <f aca="false">IF(AC90=0,"",(AL90-AM90)*HoursPerDay)</f>
        <v/>
      </c>
      <c r="Y90" s="13" t="str">
        <f aca="false">IF(AC90=0,"",X90-N($T90))</f>
        <v/>
      </c>
      <c r="Z90" s="12" t="str">
        <f aca="false">IF(AC90=0,"",IF(Y90&gt;0,"Yes","No"))</f>
        <v/>
      </c>
      <c r="AA90" s="12" t="str">
        <f aca="false">IF(AC90=0,"",IF(NOT(CFY_Ready),"Paste CFY EH export",IF(Y90&gt;0,"ACCRUE "&amp;TEXT(Y90,"0.##")&amp;" hrs ("&amp;TEXT(Y90/HoursPerDay,"0.##")&amp;" days)"&amp;IF(AO90=0," - no Bonus Leave line in EH yet",""),IF(Y90&lt;0,"CHECK - posted "&amp;TEXT(-Y90,"0.##")&amp;" hrs more than policy",IF(AND(N90&gt;0,AO90=0,U90=0),"CHECK - policy says "&amp;TEXT(M90,"0.##")&amp;" hrs to date but nothing in EH",IF(N90&gt;0,"OK","-"))))))</f>
        <v/>
      </c>
      <c r="AB90" s="13" t="str">
        <f aca="false">IF(OR(AC90=0,S90=""),"",AM90*HoursPerDay-S90)</f>
        <v/>
      </c>
      <c r="AC90" s="12" t="n">
        <f aca="false">IF(OR(LEN($A90&amp;$B90)=0,$F90=""),0,1)</f>
        <v>0</v>
      </c>
      <c r="AD90" s="10" t="str">
        <f aca="false">IF(AC90=0,"",IF($I90&lt;&gt;"",$I90,$F90))</f>
        <v/>
      </c>
      <c r="AE90" s="10" t="str">
        <f aca="false">IF(AC90=0,"",IF(AND($G90&lt;&gt;"",$H90&lt;&gt;"",$G90&lt;&gt;$H90),MAX($G90,$H90),""))</f>
        <v/>
      </c>
      <c r="AF90" s="12" t="str">
        <f aca="false">IF(AC90=0,"",IF(AE90="",AG90,IF(IF($G90&lt;$H90,"Part-Time","Full-Time")="Full-Time","FT",IF(AND(IF($G90&lt;$H90,"Part-Time","Full-Time")="Part-Time",OR($O90="",N($O90)&gt;=PT_MinHours)),"PT","None"))))</f>
        <v/>
      </c>
      <c r="AG90" s="12" t="str">
        <f aca="false">IF(AC90=0,"",IF($C90="Full-Time","FT",IF(AND($C90="Part-Time",OR($O90="",N($O90)&gt;=PT_MinHours)),"PT","None")))</f>
        <v/>
      </c>
      <c r="AH90" s="12" t="str">
        <f aca="false">IF(AC90=0,"",IF(AsOfDate&lt;AD90,-1,12*(YEAR(AsOfDate)-YEAR(AD90))+MONTH(AsOfDate)-MONTH(AD90)-IF(DAY(AsOfDate)&lt;MIN(DAY(AD90),DAY(EOMONTH(AsOfDate,0))),1,0)))</f>
        <v/>
      </c>
      <c r="AI90" s="12" t="str">
        <f aca="false">IF(AC90=0,"",IF(OR(AE90="",AE90&gt;AsOfDate),AH90,IF((AE90-1)&lt;AD90,-1,12*(YEAR((AE90-1))-YEAR(AD90))+MONTH((AE90-1))-MONTH(AD90)-IF(DAY((AE90-1))&lt;MIN(DAY(AD90),DAY(EOMONTH((AE90-1),0))),1,0))))</f>
        <v/>
      </c>
      <c r="AJ90" s="12" t="str">
        <f aca="false">IF(AC90=0,"",IF(PFYDate&lt;AD90,-1,12*(YEAR(PFYDate)-YEAR(AD90))+MONTH(PFYDate)-MONTH(AD90)-IF(DAY(PFYDate)&lt;MIN(DAY(AD90),DAY(EOMONTH(PFYDate,0))),1,0)))</f>
        <v/>
      </c>
      <c r="AK90" s="12" t="str">
        <f aca="false">IF(AC90=0,"",IF(OR(AE90="",AE90&gt;PFYDate),AJ90,IF((AE90-1)&lt;AD90,-1,12*(YEAR((AE90-1))-YEAR(AD90))+MONTH((AE90-1))-MONTH(AD90)-IF(DAY((AE90-1))&lt;MIN(DAY(AD90),DAY(EOMONTH((AE90-1),0))),1,0))))</f>
        <v/>
      </c>
      <c r="AL90" s="12" t="str">
        <f aca="false">IF(AC90=0,"",IF(AF90="FT",IF(AI90&lt;FT_First,0,IF(AI90&lt;FT_Y5,1+INT((AI90-FT_First)/FT_Int1),FT_PreY5+FT_PerYear*INT((AI90-FT_Y5)/12)+FT_AnnivDays+INT(MOD(AI90-FT_Y5,12)/FT_Int2))),IF(AF90="PT",IF(AI90&lt;PT_First,0,1+INT((AI90-PT_First)/PT_Int)),0))+IF(OR(AE90="",AE90&gt;AsOfDate),0,IF(AG90="FT",IF(AH90&lt;FT_First,0,IF(AH90&lt;FT_Y5,1+INT((AH90-FT_First)/FT_Int1),FT_PreY5+FT_PerYear*INT((AH90-FT_Y5)/12)+FT_AnnivDays+INT(MOD(AH90-FT_Y5,12)/FT_Int2))),IF(AG90="PT",IF(AH90&lt;PT_First,0,1+INT((AH90-PT_First)/PT_Int)),0))-IF(AG90="FT",IF(AI90&lt;FT_First,0,IF(AI90&lt;FT_Y5,1+INT((AI90-FT_First)/FT_Int1),FT_PreY5+FT_PerYear*INT((AI90-FT_Y5)/12)+FT_AnnivDays+INT(MOD(AI90-FT_Y5,12)/FT_Int2))),IF(AG90="PT",IF(AI90&lt;PT_First,0,1+INT((AI90-PT_First)/PT_Int)),0))))</f>
        <v/>
      </c>
      <c r="AM90" s="12" t="str">
        <f aca="false">IF(AC90=0,"",IF(AF90="FT",IF(AK90&lt;FT_First,0,IF(AK90&lt;FT_Y5,1+INT((AK90-FT_First)/FT_Int1),FT_PreY5+FT_PerYear*INT((AK90-FT_Y5)/12)+FT_AnnivDays+INT(MOD(AK90-FT_Y5,12)/FT_Int2))),IF(AF90="PT",IF(AK90&lt;PT_First,0,1+INT((AK90-PT_First)/PT_Int)),0))+IF(OR(AE90="",AE90&gt;PFYDate),0,IF(AG90="FT",IF(AJ90&lt;FT_First,0,IF(AJ90&lt;FT_Y5,1+INT((AJ90-FT_First)/FT_Int1),FT_PreY5+FT_PerYear*INT((AJ90-FT_Y5)/12)+FT_AnnivDays+INT(MOD(AJ90-FT_Y5,12)/FT_Int2))),IF(AG90="PT",IF(AJ90&lt;PT_First,0,1+INT((AJ90-PT_First)/PT_Int)),0))-IF(AG90="FT",IF(AK90&lt;FT_First,0,IF(AK90&lt;FT_Y5,1+INT((AK90-FT_First)/FT_Int1),FT_PreY5+FT_PerYear*INT((AK90-FT_Y5)/12)+FT_AnnivDays+INT(MOD(AK90-FT_Y5,12)/FT_Int2))),IF(AG90="PT",IF(AK90&lt;PT_First,0,1+INT((AK90-PT_First)/PT_Int)),0))))</f>
        <v/>
      </c>
      <c r="AN90" s="12" t="str">
        <f aca="false">IF(AC90=0,"",IF(AG90="FT",IF(AH90&lt;FT_First,FT_First,IF(AH90&lt;FT_Y5,MIN(FT_Y5,FT_First+FT_Int1*(INT((AH90-FT_First)/FT_Int1)+1)),FT_Y5+12*INT((AH90-FT_Y5)/12)+FT_Int2*(INT(MOD(AH90-FT_Y5,12)/FT_Int2)+1))),IF(AG90="PT",IF(AH90&lt;PT_First,PT_First,PT_First+PT_Int*(INT((AH90-PT_First)/PT_Int)+1)),"")))</f>
        <v/>
      </c>
      <c r="AO90" s="12" t="str">
        <f aca="false">IF(AC90=0,"",IF(NOT(CFY_Ready),0,COUNTIFS(INDEX(CFY_Data,0,CFY_ColFirst),$A90,INDEX(CFY_Data,0,CFY_ColSur),$B90,INDEX(CFY_Data,0,CFY_ColCat),BonusCat)))</f>
        <v/>
      </c>
    </row>
    <row r="91" customFormat="false" ht="15" hidden="false" customHeight="false" outlineLevel="0" collapsed="false">
      <c r="A91" s="15"/>
      <c r="B91" s="15"/>
      <c r="C91" s="15"/>
      <c r="D91" s="16"/>
      <c r="E91" s="10" t="str">
        <f aca="false">IF(OR(AC91=0,$D91=""),"",DATE(YEAR(AsOfDate)+IF(DATE(YEAR(AsOfDate),MONTH($D91),DAY($D91))&lt;=AsOfDate,1,0),MONTH($D91),DAY($D91)))</f>
        <v/>
      </c>
      <c r="F91" s="16"/>
      <c r="G91" s="16"/>
      <c r="H91" s="16"/>
      <c r="I91" s="16"/>
      <c r="J91" s="10" t="str">
        <f aca="false">IF(AC91=0,"",DATE(YEAR(AsOfDate)+IF(DATE(YEAR(AsOfDate),MONTH($F91),DAY($F91))&lt;=AsOfDate,1,0),MONTH($F91),DAY($F91)))</f>
        <v/>
      </c>
      <c r="K91" s="11" t="str">
        <f aca="false">IF(AC91=0,"",ROUND((AsOfDate-$F91)/365.25,1))</f>
        <v/>
      </c>
      <c r="L91" s="12" t="str">
        <f aca="false">IF(AC91=0,"",IF(AsOfDate&lt;AD91,"-",DATEDIF(AD91,AsOfDate,"y")&amp;"y "&amp;DATEDIF(AD91,AsOfDate,"ym")&amp;"m "&amp;DATEDIF(AD91,AsOfDate,"md")&amp;"d"))</f>
        <v/>
      </c>
      <c r="M91" s="13" t="str">
        <f aca="false">IF(AC91=0,"",N91*HoursPerDay)</f>
        <v/>
      </c>
      <c r="N91" s="13" t="str">
        <f aca="false">IF(AC91=0,"",AL91)</f>
        <v/>
      </c>
      <c r="O91" s="17"/>
      <c r="P91" s="12" t="str">
        <f aca="false">IF(AC91=0,"",IF(AE91="","",IF($G91&lt;$H91,"Part-Time to Full-Time","Full-Time to Part-Time")&amp;" on "&amp;TEXT(AE91,"dd/mm/yyyy")&amp;IF(AE91&gt;AsOfDate," (future)",IF(AF91=AG91,"",IF(AG91="None"," - STOPPED accruing",IF(AF91="None"," - now qualifying"," - pathway changed"))))))</f>
        <v/>
      </c>
      <c r="Q91" s="12" t="str">
        <f aca="false">IF(AC91=0,"",IF(AG91="None",IF(N91&gt;0,"No longer accruing","Not eligible - "&amp;IF(AND($C91="Part-Time",N($O91)&lt;PT_MinHours,$O91&lt;&gt;""),"under "&amp;PT_MinHours&amp;" hrs",$C91)),IF(N91&gt;0,"Yes - accruing","Not yet - from "&amp;TEXT(R91,"dd/mm/yyyy"))))</f>
        <v/>
      </c>
      <c r="R91" s="10" t="str">
        <f aca="false">IF(AC91=0,"",IF(AG91="None","",EDATE(AD91,AN91)))</f>
        <v/>
      </c>
      <c r="S91" s="13" t="str">
        <f aca="false">IF(AC91=0,"",IF(NOT(PFY_Ready),"",SUMIFS(INDEX(PFY_Data,0,PFY_ColBal),INDEX(PFY_Data,0,PFY_ColFirst),$A91,INDEX(PFY_Data,0,PFY_ColSur),$B91,INDEX(PFY_Data,0,PFY_ColCat),BonusCat)))</f>
        <v/>
      </c>
      <c r="T91" s="17"/>
      <c r="U91" s="13" t="str">
        <f aca="false">IF(AC91=0,"",IF(NOT(CFY_Ready),"",SUMIFS(INDEX(CFY_Data,0,CFY_ColBal),INDEX(CFY_Data,0,CFY_ColFirst),$A91,INDEX(CFY_Data,0,CFY_ColSur),$B91,INDEX(CFY_Data,0,CFY_ColCat),BonusCat)))</f>
        <v/>
      </c>
      <c r="V91" s="13" t="str">
        <f aca="false">IF(AC91=0,"",IF(OR(NOT(CFY_Ready),CFY_ColAppr=0),"",SUMIFS(INDEX(CFY_Data,0,CFY_ColAppr),INDEX(CFY_Data,0,CFY_ColFirst),$A91,INDEX(CFY_Data,0,CFY_ColSur),$B91,INDEX(CFY_Data,0,CFY_ColCat),BonusCat)))</f>
        <v/>
      </c>
      <c r="W91" s="13" t="str">
        <f aca="false">IF(OR(AC91=0,S91="",U91=""),"",MAX(0,S91+N($T91)-U91))</f>
        <v/>
      </c>
      <c r="X91" s="13" t="str">
        <f aca="false">IF(AC91=0,"",(AL91-AM91)*HoursPerDay)</f>
        <v/>
      </c>
      <c r="Y91" s="13" t="str">
        <f aca="false">IF(AC91=0,"",X91-N($T91))</f>
        <v/>
      </c>
      <c r="Z91" s="12" t="str">
        <f aca="false">IF(AC91=0,"",IF(Y91&gt;0,"Yes","No"))</f>
        <v/>
      </c>
      <c r="AA91" s="12" t="str">
        <f aca="false">IF(AC91=0,"",IF(NOT(CFY_Ready),"Paste CFY EH export",IF(Y91&gt;0,"ACCRUE "&amp;TEXT(Y91,"0.##")&amp;" hrs ("&amp;TEXT(Y91/HoursPerDay,"0.##")&amp;" days)"&amp;IF(AO91=0," - no Bonus Leave line in EH yet",""),IF(Y91&lt;0,"CHECK - posted "&amp;TEXT(-Y91,"0.##")&amp;" hrs more than policy",IF(AND(N91&gt;0,AO91=0,U91=0),"CHECK - policy says "&amp;TEXT(M91,"0.##")&amp;" hrs to date but nothing in EH",IF(N91&gt;0,"OK","-"))))))</f>
        <v/>
      </c>
      <c r="AB91" s="13" t="str">
        <f aca="false">IF(OR(AC91=0,S91=""),"",AM91*HoursPerDay-S91)</f>
        <v/>
      </c>
      <c r="AC91" s="12" t="n">
        <f aca="false">IF(OR(LEN($A91&amp;$B91)=0,$F91=""),0,1)</f>
        <v>0</v>
      </c>
      <c r="AD91" s="10" t="str">
        <f aca="false">IF(AC91=0,"",IF($I91&lt;&gt;"",$I91,$F91))</f>
        <v/>
      </c>
      <c r="AE91" s="10" t="str">
        <f aca="false">IF(AC91=0,"",IF(AND($G91&lt;&gt;"",$H91&lt;&gt;"",$G91&lt;&gt;$H91),MAX($G91,$H91),""))</f>
        <v/>
      </c>
      <c r="AF91" s="12" t="str">
        <f aca="false">IF(AC91=0,"",IF(AE91="",AG91,IF(IF($G91&lt;$H91,"Part-Time","Full-Time")="Full-Time","FT",IF(AND(IF($G91&lt;$H91,"Part-Time","Full-Time")="Part-Time",OR($O91="",N($O91)&gt;=PT_MinHours)),"PT","None"))))</f>
        <v/>
      </c>
      <c r="AG91" s="12" t="str">
        <f aca="false">IF(AC91=0,"",IF($C91="Full-Time","FT",IF(AND($C91="Part-Time",OR($O91="",N($O91)&gt;=PT_MinHours)),"PT","None")))</f>
        <v/>
      </c>
      <c r="AH91" s="12" t="str">
        <f aca="false">IF(AC91=0,"",IF(AsOfDate&lt;AD91,-1,12*(YEAR(AsOfDate)-YEAR(AD91))+MONTH(AsOfDate)-MONTH(AD91)-IF(DAY(AsOfDate)&lt;MIN(DAY(AD91),DAY(EOMONTH(AsOfDate,0))),1,0)))</f>
        <v/>
      </c>
      <c r="AI91" s="12" t="str">
        <f aca="false">IF(AC91=0,"",IF(OR(AE91="",AE91&gt;AsOfDate),AH91,IF((AE91-1)&lt;AD91,-1,12*(YEAR((AE91-1))-YEAR(AD91))+MONTH((AE91-1))-MONTH(AD91)-IF(DAY((AE91-1))&lt;MIN(DAY(AD91),DAY(EOMONTH((AE91-1),0))),1,0))))</f>
        <v/>
      </c>
      <c r="AJ91" s="12" t="str">
        <f aca="false">IF(AC91=0,"",IF(PFYDate&lt;AD91,-1,12*(YEAR(PFYDate)-YEAR(AD91))+MONTH(PFYDate)-MONTH(AD91)-IF(DAY(PFYDate)&lt;MIN(DAY(AD91),DAY(EOMONTH(PFYDate,0))),1,0)))</f>
        <v/>
      </c>
      <c r="AK91" s="12" t="str">
        <f aca="false">IF(AC91=0,"",IF(OR(AE91="",AE91&gt;PFYDate),AJ91,IF((AE91-1)&lt;AD91,-1,12*(YEAR((AE91-1))-YEAR(AD91))+MONTH((AE91-1))-MONTH(AD91)-IF(DAY((AE91-1))&lt;MIN(DAY(AD91),DAY(EOMONTH((AE91-1),0))),1,0))))</f>
        <v/>
      </c>
      <c r="AL91" s="12" t="str">
        <f aca="false">IF(AC91=0,"",IF(AF91="FT",IF(AI91&lt;FT_First,0,IF(AI91&lt;FT_Y5,1+INT((AI91-FT_First)/FT_Int1),FT_PreY5+FT_PerYear*INT((AI91-FT_Y5)/12)+FT_AnnivDays+INT(MOD(AI91-FT_Y5,12)/FT_Int2))),IF(AF91="PT",IF(AI91&lt;PT_First,0,1+INT((AI91-PT_First)/PT_Int)),0))+IF(OR(AE91="",AE91&gt;AsOfDate),0,IF(AG91="FT",IF(AH91&lt;FT_First,0,IF(AH91&lt;FT_Y5,1+INT((AH91-FT_First)/FT_Int1),FT_PreY5+FT_PerYear*INT((AH91-FT_Y5)/12)+FT_AnnivDays+INT(MOD(AH91-FT_Y5,12)/FT_Int2))),IF(AG91="PT",IF(AH91&lt;PT_First,0,1+INT((AH91-PT_First)/PT_Int)),0))-IF(AG91="FT",IF(AI91&lt;FT_First,0,IF(AI91&lt;FT_Y5,1+INT((AI91-FT_First)/FT_Int1),FT_PreY5+FT_PerYear*INT((AI91-FT_Y5)/12)+FT_AnnivDays+INT(MOD(AI91-FT_Y5,12)/FT_Int2))),IF(AG91="PT",IF(AI91&lt;PT_First,0,1+INT((AI91-PT_First)/PT_Int)),0))))</f>
        <v/>
      </c>
      <c r="AM91" s="12" t="str">
        <f aca="false">IF(AC91=0,"",IF(AF91="FT",IF(AK91&lt;FT_First,0,IF(AK91&lt;FT_Y5,1+INT((AK91-FT_First)/FT_Int1),FT_PreY5+FT_PerYear*INT((AK91-FT_Y5)/12)+FT_AnnivDays+INT(MOD(AK91-FT_Y5,12)/FT_Int2))),IF(AF91="PT",IF(AK91&lt;PT_First,0,1+INT((AK91-PT_First)/PT_Int)),0))+IF(OR(AE91="",AE91&gt;PFYDate),0,IF(AG91="FT",IF(AJ91&lt;FT_First,0,IF(AJ91&lt;FT_Y5,1+INT((AJ91-FT_First)/FT_Int1),FT_PreY5+FT_PerYear*INT((AJ91-FT_Y5)/12)+FT_AnnivDays+INT(MOD(AJ91-FT_Y5,12)/FT_Int2))),IF(AG91="PT",IF(AJ91&lt;PT_First,0,1+INT((AJ91-PT_First)/PT_Int)),0))-IF(AG91="FT",IF(AK91&lt;FT_First,0,IF(AK91&lt;FT_Y5,1+INT((AK91-FT_First)/FT_Int1),FT_PreY5+FT_PerYear*INT((AK91-FT_Y5)/12)+FT_AnnivDays+INT(MOD(AK91-FT_Y5,12)/FT_Int2))),IF(AG91="PT",IF(AK91&lt;PT_First,0,1+INT((AK91-PT_First)/PT_Int)),0))))</f>
        <v/>
      </c>
      <c r="AN91" s="12" t="str">
        <f aca="false">IF(AC91=0,"",IF(AG91="FT",IF(AH91&lt;FT_First,FT_First,IF(AH91&lt;FT_Y5,MIN(FT_Y5,FT_First+FT_Int1*(INT((AH91-FT_First)/FT_Int1)+1)),FT_Y5+12*INT((AH91-FT_Y5)/12)+FT_Int2*(INT(MOD(AH91-FT_Y5,12)/FT_Int2)+1))),IF(AG91="PT",IF(AH91&lt;PT_First,PT_First,PT_First+PT_Int*(INT((AH91-PT_First)/PT_Int)+1)),"")))</f>
        <v/>
      </c>
      <c r="AO91" s="12" t="str">
        <f aca="false">IF(AC91=0,"",IF(NOT(CFY_Ready),0,COUNTIFS(INDEX(CFY_Data,0,CFY_ColFirst),$A91,INDEX(CFY_Data,0,CFY_ColSur),$B91,INDEX(CFY_Data,0,CFY_ColCat),BonusCat)))</f>
        <v/>
      </c>
    </row>
    <row r="92" customFormat="false" ht="15" hidden="false" customHeight="false" outlineLevel="0" collapsed="false">
      <c r="A92" s="15"/>
      <c r="B92" s="15"/>
      <c r="C92" s="15"/>
      <c r="D92" s="16"/>
      <c r="E92" s="10" t="str">
        <f aca="false">IF(OR(AC92=0,$D92=""),"",DATE(YEAR(AsOfDate)+IF(DATE(YEAR(AsOfDate),MONTH($D92),DAY($D92))&lt;=AsOfDate,1,0),MONTH($D92),DAY($D92)))</f>
        <v/>
      </c>
      <c r="F92" s="16"/>
      <c r="G92" s="16"/>
      <c r="H92" s="16"/>
      <c r="I92" s="16"/>
      <c r="J92" s="10" t="str">
        <f aca="false">IF(AC92=0,"",DATE(YEAR(AsOfDate)+IF(DATE(YEAR(AsOfDate),MONTH($F92),DAY($F92))&lt;=AsOfDate,1,0),MONTH($F92),DAY($F92)))</f>
        <v/>
      </c>
      <c r="K92" s="11" t="str">
        <f aca="false">IF(AC92=0,"",ROUND((AsOfDate-$F92)/365.25,1))</f>
        <v/>
      </c>
      <c r="L92" s="12" t="str">
        <f aca="false">IF(AC92=0,"",IF(AsOfDate&lt;AD92,"-",DATEDIF(AD92,AsOfDate,"y")&amp;"y "&amp;DATEDIF(AD92,AsOfDate,"ym")&amp;"m "&amp;DATEDIF(AD92,AsOfDate,"md")&amp;"d"))</f>
        <v/>
      </c>
      <c r="M92" s="13" t="str">
        <f aca="false">IF(AC92=0,"",N92*HoursPerDay)</f>
        <v/>
      </c>
      <c r="N92" s="13" t="str">
        <f aca="false">IF(AC92=0,"",AL92)</f>
        <v/>
      </c>
      <c r="O92" s="17"/>
      <c r="P92" s="12" t="str">
        <f aca="false">IF(AC92=0,"",IF(AE92="","",IF($G92&lt;$H92,"Part-Time to Full-Time","Full-Time to Part-Time")&amp;" on "&amp;TEXT(AE92,"dd/mm/yyyy")&amp;IF(AE92&gt;AsOfDate," (future)",IF(AF92=AG92,"",IF(AG92="None"," - STOPPED accruing",IF(AF92="None"," - now qualifying"," - pathway changed"))))))</f>
        <v/>
      </c>
      <c r="Q92" s="12" t="str">
        <f aca="false">IF(AC92=0,"",IF(AG92="None",IF(N92&gt;0,"No longer accruing","Not eligible - "&amp;IF(AND($C92="Part-Time",N($O92)&lt;PT_MinHours,$O92&lt;&gt;""),"under "&amp;PT_MinHours&amp;" hrs",$C92)),IF(N92&gt;0,"Yes - accruing","Not yet - from "&amp;TEXT(R92,"dd/mm/yyyy"))))</f>
        <v/>
      </c>
      <c r="R92" s="10" t="str">
        <f aca="false">IF(AC92=0,"",IF(AG92="None","",EDATE(AD92,AN92)))</f>
        <v/>
      </c>
      <c r="S92" s="13" t="str">
        <f aca="false">IF(AC92=0,"",IF(NOT(PFY_Ready),"",SUMIFS(INDEX(PFY_Data,0,PFY_ColBal),INDEX(PFY_Data,0,PFY_ColFirst),$A92,INDEX(PFY_Data,0,PFY_ColSur),$B92,INDEX(PFY_Data,0,PFY_ColCat),BonusCat)))</f>
        <v/>
      </c>
      <c r="T92" s="17"/>
      <c r="U92" s="13" t="str">
        <f aca="false">IF(AC92=0,"",IF(NOT(CFY_Ready),"",SUMIFS(INDEX(CFY_Data,0,CFY_ColBal),INDEX(CFY_Data,0,CFY_ColFirst),$A92,INDEX(CFY_Data,0,CFY_ColSur),$B92,INDEX(CFY_Data,0,CFY_ColCat),BonusCat)))</f>
        <v/>
      </c>
      <c r="V92" s="13" t="str">
        <f aca="false">IF(AC92=0,"",IF(OR(NOT(CFY_Ready),CFY_ColAppr=0),"",SUMIFS(INDEX(CFY_Data,0,CFY_ColAppr),INDEX(CFY_Data,0,CFY_ColFirst),$A92,INDEX(CFY_Data,0,CFY_ColSur),$B92,INDEX(CFY_Data,0,CFY_ColCat),BonusCat)))</f>
        <v/>
      </c>
      <c r="W92" s="13" t="str">
        <f aca="false">IF(OR(AC92=0,S92="",U92=""),"",MAX(0,S92+N($T92)-U92))</f>
        <v/>
      </c>
      <c r="X92" s="13" t="str">
        <f aca="false">IF(AC92=0,"",(AL92-AM92)*HoursPerDay)</f>
        <v/>
      </c>
      <c r="Y92" s="13" t="str">
        <f aca="false">IF(AC92=0,"",X92-N($T92))</f>
        <v/>
      </c>
      <c r="Z92" s="12" t="str">
        <f aca="false">IF(AC92=0,"",IF(Y92&gt;0,"Yes","No"))</f>
        <v/>
      </c>
      <c r="AA92" s="12" t="str">
        <f aca="false">IF(AC92=0,"",IF(NOT(CFY_Ready),"Paste CFY EH export",IF(Y92&gt;0,"ACCRUE "&amp;TEXT(Y92,"0.##")&amp;" hrs ("&amp;TEXT(Y92/HoursPerDay,"0.##")&amp;" days)"&amp;IF(AO92=0," - no Bonus Leave line in EH yet",""),IF(Y92&lt;0,"CHECK - posted "&amp;TEXT(-Y92,"0.##")&amp;" hrs more than policy",IF(AND(N92&gt;0,AO92=0,U92=0),"CHECK - policy says "&amp;TEXT(M92,"0.##")&amp;" hrs to date but nothing in EH",IF(N92&gt;0,"OK","-"))))))</f>
        <v/>
      </c>
      <c r="AB92" s="13" t="str">
        <f aca="false">IF(OR(AC92=0,S92=""),"",AM92*HoursPerDay-S92)</f>
        <v/>
      </c>
      <c r="AC92" s="12" t="n">
        <f aca="false">IF(OR(LEN($A92&amp;$B92)=0,$F92=""),0,1)</f>
        <v>0</v>
      </c>
      <c r="AD92" s="10" t="str">
        <f aca="false">IF(AC92=0,"",IF($I92&lt;&gt;"",$I92,$F92))</f>
        <v/>
      </c>
      <c r="AE92" s="10" t="str">
        <f aca="false">IF(AC92=0,"",IF(AND($G92&lt;&gt;"",$H92&lt;&gt;"",$G92&lt;&gt;$H92),MAX($G92,$H92),""))</f>
        <v/>
      </c>
      <c r="AF92" s="12" t="str">
        <f aca="false">IF(AC92=0,"",IF(AE92="",AG92,IF(IF($G92&lt;$H92,"Part-Time","Full-Time")="Full-Time","FT",IF(AND(IF($G92&lt;$H92,"Part-Time","Full-Time")="Part-Time",OR($O92="",N($O92)&gt;=PT_MinHours)),"PT","None"))))</f>
        <v/>
      </c>
      <c r="AG92" s="12" t="str">
        <f aca="false">IF(AC92=0,"",IF($C92="Full-Time","FT",IF(AND($C92="Part-Time",OR($O92="",N($O92)&gt;=PT_MinHours)),"PT","None")))</f>
        <v/>
      </c>
      <c r="AH92" s="12" t="str">
        <f aca="false">IF(AC92=0,"",IF(AsOfDate&lt;AD92,-1,12*(YEAR(AsOfDate)-YEAR(AD92))+MONTH(AsOfDate)-MONTH(AD92)-IF(DAY(AsOfDate)&lt;MIN(DAY(AD92),DAY(EOMONTH(AsOfDate,0))),1,0)))</f>
        <v/>
      </c>
      <c r="AI92" s="12" t="str">
        <f aca="false">IF(AC92=0,"",IF(OR(AE92="",AE92&gt;AsOfDate),AH92,IF((AE92-1)&lt;AD92,-1,12*(YEAR((AE92-1))-YEAR(AD92))+MONTH((AE92-1))-MONTH(AD92)-IF(DAY((AE92-1))&lt;MIN(DAY(AD92),DAY(EOMONTH((AE92-1),0))),1,0))))</f>
        <v/>
      </c>
      <c r="AJ92" s="12" t="str">
        <f aca="false">IF(AC92=0,"",IF(PFYDate&lt;AD92,-1,12*(YEAR(PFYDate)-YEAR(AD92))+MONTH(PFYDate)-MONTH(AD92)-IF(DAY(PFYDate)&lt;MIN(DAY(AD92),DAY(EOMONTH(PFYDate,0))),1,0)))</f>
        <v/>
      </c>
      <c r="AK92" s="12" t="str">
        <f aca="false">IF(AC92=0,"",IF(OR(AE92="",AE92&gt;PFYDate),AJ92,IF((AE92-1)&lt;AD92,-1,12*(YEAR((AE92-1))-YEAR(AD92))+MONTH((AE92-1))-MONTH(AD92)-IF(DAY((AE92-1))&lt;MIN(DAY(AD92),DAY(EOMONTH((AE92-1),0))),1,0))))</f>
        <v/>
      </c>
      <c r="AL92" s="12" t="str">
        <f aca="false">IF(AC92=0,"",IF(AF92="FT",IF(AI92&lt;FT_First,0,IF(AI92&lt;FT_Y5,1+INT((AI92-FT_First)/FT_Int1),FT_PreY5+FT_PerYear*INT((AI92-FT_Y5)/12)+FT_AnnivDays+INT(MOD(AI92-FT_Y5,12)/FT_Int2))),IF(AF92="PT",IF(AI92&lt;PT_First,0,1+INT((AI92-PT_First)/PT_Int)),0))+IF(OR(AE92="",AE92&gt;AsOfDate),0,IF(AG92="FT",IF(AH92&lt;FT_First,0,IF(AH92&lt;FT_Y5,1+INT((AH92-FT_First)/FT_Int1),FT_PreY5+FT_PerYear*INT((AH92-FT_Y5)/12)+FT_AnnivDays+INT(MOD(AH92-FT_Y5,12)/FT_Int2))),IF(AG92="PT",IF(AH92&lt;PT_First,0,1+INT((AH92-PT_First)/PT_Int)),0))-IF(AG92="FT",IF(AI92&lt;FT_First,0,IF(AI92&lt;FT_Y5,1+INT((AI92-FT_First)/FT_Int1),FT_PreY5+FT_PerYear*INT((AI92-FT_Y5)/12)+FT_AnnivDays+INT(MOD(AI92-FT_Y5,12)/FT_Int2))),IF(AG92="PT",IF(AI92&lt;PT_First,0,1+INT((AI92-PT_First)/PT_Int)),0))))</f>
        <v/>
      </c>
      <c r="AM92" s="12" t="str">
        <f aca="false">IF(AC92=0,"",IF(AF92="FT",IF(AK92&lt;FT_First,0,IF(AK92&lt;FT_Y5,1+INT((AK92-FT_First)/FT_Int1),FT_PreY5+FT_PerYear*INT((AK92-FT_Y5)/12)+FT_AnnivDays+INT(MOD(AK92-FT_Y5,12)/FT_Int2))),IF(AF92="PT",IF(AK92&lt;PT_First,0,1+INT((AK92-PT_First)/PT_Int)),0))+IF(OR(AE92="",AE92&gt;PFYDate),0,IF(AG92="FT",IF(AJ92&lt;FT_First,0,IF(AJ92&lt;FT_Y5,1+INT((AJ92-FT_First)/FT_Int1),FT_PreY5+FT_PerYear*INT((AJ92-FT_Y5)/12)+FT_AnnivDays+INT(MOD(AJ92-FT_Y5,12)/FT_Int2))),IF(AG92="PT",IF(AJ92&lt;PT_First,0,1+INT((AJ92-PT_First)/PT_Int)),0))-IF(AG92="FT",IF(AK92&lt;FT_First,0,IF(AK92&lt;FT_Y5,1+INT((AK92-FT_First)/FT_Int1),FT_PreY5+FT_PerYear*INT((AK92-FT_Y5)/12)+FT_AnnivDays+INT(MOD(AK92-FT_Y5,12)/FT_Int2))),IF(AG92="PT",IF(AK92&lt;PT_First,0,1+INT((AK92-PT_First)/PT_Int)),0))))</f>
        <v/>
      </c>
      <c r="AN92" s="12" t="str">
        <f aca="false">IF(AC92=0,"",IF(AG92="FT",IF(AH92&lt;FT_First,FT_First,IF(AH92&lt;FT_Y5,MIN(FT_Y5,FT_First+FT_Int1*(INT((AH92-FT_First)/FT_Int1)+1)),FT_Y5+12*INT((AH92-FT_Y5)/12)+FT_Int2*(INT(MOD(AH92-FT_Y5,12)/FT_Int2)+1))),IF(AG92="PT",IF(AH92&lt;PT_First,PT_First,PT_First+PT_Int*(INT((AH92-PT_First)/PT_Int)+1)),"")))</f>
        <v/>
      </c>
      <c r="AO92" s="12" t="str">
        <f aca="false">IF(AC92=0,"",IF(NOT(CFY_Ready),0,COUNTIFS(INDEX(CFY_Data,0,CFY_ColFirst),$A92,INDEX(CFY_Data,0,CFY_ColSur),$B92,INDEX(CFY_Data,0,CFY_ColCat),BonusCat)))</f>
        <v/>
      </c>
    </row>
    <row r="93" customFormat="false" ht="15" hidden="false" customHeight="false" outlineLevel="0" collapsed="false">
      <c r="A93" s="15"/>
      <c r="B93" s="15"/>
      <c r="C93" s="15"/>
      <c r="D93" s="16"/>
      <c r="E93" s="10" t="str">
        <f aca="false">IF(OR(AC93=0,$D93=""),"",DATE(YEAR(AsOfDate)+IF(DATE(YEAR(AsOfDate),MONTH($D93),DAY($D93))&lt;=AsOfDate,1,0),MONTH($D93),DAY($D93)))</f>
        <v/>
      </c>
      <c r="F93" s="16"/>
      <c r="G93" s="16"/>
      <c r="H93" s="16"/>
      <c r="I93" s="16"/>
      <c r="J93" s="10" t="str">
        <f aca="false">IF(AC93=0,"",DATE(YEAR(AsOfDate)+IF(DATE(YEAR(AsOfDate),MONTH($F93),DAY($F93))&lt;=AsOfDate,1,0),MONTH($F93),DAY($F93)))</f>
        <v/>
      </c>
      <c r="K93" s="11" t="str">
        <f aca="false">IF(AC93=0,"",ROUND((AsOfDate-$F93)/365.25,1))</f>
        <v/>
      </c>
      <c r="L93" s="12" t="str">
        <f aca="false">IF(AC93=0,"",IF(AsOfDate&lt;AD93,"-",DATEDIF(AD93,AsOfDate,"y")&amp;"y "&amp;DATEDIF(AD93,AsOfDate,"ym")&amp;"m "&amp;DATEDIF(AD93,AsOfDate,"md")&amp;"d"))</f>
        <v/>
      </c>
      <c r="M93" s="13" t="str">
        <f aca="false">IF(AC93=0,"",N93*HoursPerDay)</f>
        <v/>
      </c>
      <c r="N93" s="13" t="str">
        <f aca="false">IF(AC93=0,"",AL93)</f>
        <v/>
      </c>
      <c r="O93" s="17"/>
      <c r="P93" s="12" t="str">
        <f aca="false">IF(AC93=0,"",IF(AE93="","",IF($G93&lt;$H93,"Part-Time to Full-Time","Full-Time to Part-Time")&amp;" on "&amp;TEXT(AE93,"dd/mm/yyyy")&amp;IF(AE93&gt;AsOfDate," (future)",IF(AF93=AG93,"",IF(AG93="None"," - STOPPED accruing",IF(AF93="None"," - now qualifying"," - pathway changed"))))))</f>
        <v/>
      </c>
      <c r="Q93" s="12" t="str">
        <f aca="false">IF(AC93=0,"",IF(AG93="None",IF(N93&gt;0,"No longer accruing","Not eligible - "&amp;IF(AND($C93="Part-Time",N($O93)&lt;PT_MinHours,$O93&lt;&gt;""),"under "&amp;PT_MinHours&amp;" hrs",$C93)),IF(N93&gt;0,"Yes - accruing","Not yet - from "&amp;TEXT(R93,"dd/mm/yyyy"))))</f>
        <v/>
      </c>
      <c r="R93" s="10" t="str">
        <f aca="false">IF(AC93=0,"",IF(AG93="None","",EDATE(AD93,AN93)))</f>
        <v/>
      </c>
      <c r="S93" s="13" t="str">
        <f aca="false">IF(AC93=0,"",IF(NOT(PFY_Ready),"",SUMIFS(INDEX(PFY_Data,0,PFY_ColBal),INDEX(PFY_Data,0,PFY_ColFirst),$A93,INDEX(PFY_Data,0,PFY_ColSur),$B93,INDEX(PFY_Data,0,PFY_ColCat),BonusCat)))</f>
        <v/>
      </c>
      <c r="T93" s="17"/>
      <c r="U93" s="13" t="str">
        <f aca="false">IF(AC93=0,"",IF(NOT(CFY_Ready),"",SUMIFS(INDEX(CFY_Data,0,CFY_ColBal),INDEX(CFY_Data,0,CFY_ColFirst),$A93,INDEX(CFY_Data,0,CFY_ColSur),$B93,INDEX(CFY_Data,0,CFY_ColCat),BonusCat)))</f>
        <v/>
      </c>
      <c r="V93" s="13" t="str">
        <f aca="false">IF(AC93=0,"",IF(OR(NOT(CFY_Ready),CFY_ColAppr=0),"",SUMIFS(INDEX(CFY_Data,0,CFY_ColAppr),INDEX(CFY_Data,0,CFY_ColFirst),$A93,INDEX(CFY_Data,0,CFY_ColSur),$B93,INDEX(CFY_Data,0,CFY_ColCat),BonusCat)))</f>
        <v/>
      </c>
      <c r="W93" s="13" t="str">
        <f aca="false">IF(OR(AC93=0,S93="",U93=""),"",MAX(0,S93+N($T93)-U93))</f>
        <v/>
      </c>
      <c r="X93" s="13" t="str">
        <f aca="false">IF(AC93=0,"",(AL93-AM93)*HoursPerDay)</f>
        <v/>
      </c>
      <c r="Y93" s="13" t="str">
        <f aca="false">IF(AC93=0,"",X93-N($T93))</f>
        <v/>
      </c>
      <c r="Z93" s="12" t="str">
        <f aca="false">IF(AC93=0,"",IF(Y93&gt;0,"Yes","No"))</f>
        <v/>
      </c>
      <c r="AA93" s="12" t="str">
        <f aca="false">IF(AC93=0,"",IF(NOT(CFY_Ready),"Paste CFY EH export",IF(Y93&gt;0,"ACCRUE "&amp;TEXT(Y93,"0.##")&amp;" hrs ("&amp;TEXT(Y93/HoursPerDay,"0.##")&amp;" days)"&amp;IF(AO93=0," - no Bonus Leave line in EH yet",""),IF(Y93&lt;0,"CHECK - posted "&amp;TEXT(-Y93,"0.##")&amp;" hrs more than policy",IF(AND(N93&gt;0,AO93=0,U93=0),"CHECK - policy says "&amp;TEXT(M93,"0.##")&amp;" hrs to date but nothing in EH",IF(N93&gt;0,"OK","-"))))))</f>
        <v/>
      </c>
      <c r="AB93" s="13" t="str">
        <f aca="false">IF(OR(AC93=0,S93=""),"",AM93*HoursPerDay-S93)</f>
        <v/>
      </c>
      <c r="AC93" s="12" t="n">
        <f aca="false">IF(OR(LEN($A93&amp;$B93)=0,$F93=""),0,1)</f>
        <v>0</v>
      </c>
      <c r="AD93" s="10" t="str">
        <f aca="false">IF(AC93=0,"",IF($I93&lt;&gt;"",$I93,$F93))</f>
        <v/>
      </c>
      <c r="AE93" s="10" t="str">
        <f aca="false">IF(AC93=0,"",IF(AND($G93&lt;&gt;"",$H93&lt;&gt;"",$G93&lt;&gt;$H93),MAX($G93,$H93),""))</f>
        <v/>
      </c>
      <c r="AF93" s="12" t="str">
        <f aca="false">IF(AC93=0,"",IF(AE93="",AG93,IF(IF($G93&lt;$H93,"Part-Time","Full-Time")="Full-Time","FT",IF(AND(IF($G93&lt;$H93,"Part-Time","Full-Time")="Part-Time",OR($O93="",N($O93)&gt;=PT_MinHours)),"PT","None"))))</f>
        <v/>
      </c>
      <c r="AG93" s="12" t="str">
        <f aca="false">IF(AC93=0,"",IF($C93="Full-Time","FT",IF(AND($C93="Part-Time",OR($O93="",N($O93)&gt;=PT_MinHours)),"PT","None")))</f>
        <v/>
      </c>
      <c r="AH93" s="12" t="str">
        <f aca="false">IF(AC93=0,"",IF(AsOfDate&lt;AD93,-1,12*(YEAR(AsOfDate)-YEAR(AD93))+MONTH(AsOfDate)-MONTH(AD93)-IF(DAY(AsOfDate)&lt;MIN(DAY(AD93),DAY(EOMONTH(AsOfDate,0))),1,0)))</f>
        <v/>
      </c>
      <c r="AI93" s="12" t="str">
        <f aca="false">IF(AC93=0,"",IF(OR(AE93="",AE93&gt;AsOfDate),AH93,IF((AE93-1)&lt;AD93,-1,12*(YEAR((AE93-1))-YEAR(AD93))+MONTH((AE93-1))-MONTH(AD93)-IF(DAY((AE93-1))&lt;MIN(DAY(AD93),DAY(EOMONTH((AE93-1),0))),1,0))))</f>
        <v/>
      </c>
      <c r="AJ93" s="12" t="str">
        <f aca="false">IF(AC93=0,"",IF(PFYDate&lt;AD93,-1,12*(YEAR(PFYDate)-YEAR(AD93))+MONTH(PFYDate)-MONTH(AD93)-IF(DAY(PFYDate)&lt;MIN(DAY(AD93),DAY(EOMONTH(PFYDate,0))),1,0)))</f>
        <v/>
      </c>
      <c r="AK93" s="12" t="str">
        <f aca="false">IF(AC93=0,"",IF(OR(AE93="",AE93&gt;PFYDate),AJ93,IF((AE93-1)&lt;AD93,-1,12*(YEAR((AE93-1))-YEAR(AD93))+MONTH((AE93-1))-MONTH(AD93)-IF(DAY((AE93-1))&lt;MIN(DAY(AD93),DAY(EOMONTH((AE93-1),0))),1,0))))</f>
        <v/>
      </c>
      <c r="AL93" s="12" t="str">
        <f aca="false">IF(AC93=0,"",IF(AF93="FT",IF(AI93&lt;FT_First,0,IF(AI93&lt;FT_Y5,1+INT((AI93-FT_First)/FT_Int1),FT_PreY5+FT_PerYear*INT((AI93-FT_Y5)/12)+FT_AnnivDays+INT(MOD(AI93-FT_Y5,12)/FT_Int2))),IF(AF93="PT",IF(AI93&lt;PT_First,0,1+INT((AI93-PT_First)/PT_Int)),0))+IF(OR(AE93="",AE93&gt;AsOfDate),0,IF(AG93="FT",IF(AH93&lt;FT_First,0,IF(AH93&lt;FT_Y5,1+INT((AH93-FT_First)/FT_Int1),FT_PreY5+FT_PerYear*INT((AH93-FT_Y5)/12)+FT_AnnivDays+INT(MOD(AH93-FT_Y5,12)/FT_Int2))),IF(AG93="PT",IF(AH93&lt;PT_First,0,1+INT((AH93-PT_First)/PT_Int)),0))-IF(AG93="FT",IF(AI93&lt;FT_First,0,IF(AI93&lt;FT_Y5,1+INT((AI93-FT_First)/FT_Int1),FT_PreY5+FT_PerYear*INT((AI93-FT_Y5)/12)+FT_AnnivDays+INT(MOD(AI93-FT_Y5,12)/FT_Int2))),IF(AG93="PT",IF(AI93&lt;PT_First,0,1+INT((AI93-PT_First)/PT_Int)),0))))</f>
        <v/>
      </c>
      <c r="AM93" s="12" t="str">
        <f aca="false">IF(AC93=0,"",IF(AF93="FT",IF(AK93&lt;FT_First,0,IF(AK93&lt;FT_Y5,1+INT((AK93-FT_First)/FT_Int1),FT_PreY5+FT_PerYear*INT((AK93-FT_Y5)/12)+FT_AnnivDays+INT(MOD(AK93-FT_Y5,12)/FT_Int2))),IF(AF93="PT",IF(AK93&lt;PT_First,0,1+INT((AK93-PT_First)/PT_Int)),0))+IF(OR(AE93="",AE93&gt;PFYDate),0,IF(AG93="FT",IF(AJ93&lt;FT_First,0,IF(AJ93&lt;FT_Y5,1+INT((AJ93-FT_First)/FT_Int1),FT_PreY5+FT_PerYear*INT((AJ93-FT_Y5)/12)+FT_AnnivDays+INT(MOD(AJ93-FT_Y5,12)/FT_Int2))),IF(AG93="PT",IF(AJ93&lt;PT_First,0,1+INT((AJ93-PT_First)/PT_Int)),0))-IF(AG93="FT",IF(AK93&lt;FT_First,0,IF(AK93&lt;FT_Y5,1+INT((AK93-FT_First)/FT_Int1),FT_PreY5+FT_PerYear*INT((AK93-FT_Y5)/12)+FT_AnnivDays+INT(MOD(AK93-FT_Y5,12)/FT_Int2))),IF(AG93="PT",IF(AK93&lt;PT_First,0,1+INT((AK93-PT_First)/PT_Int)),0))))</f>
        <v/>
      </c>
      <c r="AN93" s="12" t="str">
        <f aca="false">IF(AC93=0,"",IF(AG93="FT",IF(AH93&lt;FT_First,FT_First,IF(AH93&lt;FT_Y5,MIN(FT_Y5,FT_First+FT_Int1*(INT((AH93-FT_First)/FT_Int1)+1)),FT_Y5+12*INT((AH93-FT_Y5)/12)+FT_Int2*(INT(MOD(AH93-FT_Y5,12)/FT_Int2)+1))),IF(AG93="PT",IF(AH93&lt;PT_First,PT_First,PT_First+PT_Int*(INT((AH93-PT_First)/PT_Int)+1)),"")))</f>
        <v/>
      </c>
      <c r="AO93" s="12" t="str">
        <f aca="false">IF(AC93=0,"",IF(NOT(CFY_Ready),0,COUNTIFS(INDEX(CFY_Data,0,CFY_ColFirst),$A93,INDEX(CFY_Data,0,CFY_ColSur),$B93,INDEX(CFY_Data,0,CFY_ColCat),BonusCat)))</f>
        <v/>
      </c>
    </row>
    <row r="94" customFormat="false" ht="15" hidden="false" customHeight="false" outlineLevel="0" collapsed="false">
      <c r="A94" s="15"/>
      <c r="B94" s="15"/>
      <c r="C94" s="15"/>
      <c r="D94" s="16"/>
      <c r="E94" s="10" t="str">
        <f aca="false">IF(OR(AC94=0,$D94=""),"",DATE(YEAR(AsOfDate)+IF(DATE(YEAR(AsOfDate),MONTH($D94),DAY($D94))&lt;=AsOfDate,1,0),MONTH($D94),DAY($D94)))</f>
        <v/>
      </c>
      <c r="F94" s="16"/>
      <c r="G94" s="16"/>
      <c r="H94" s="16"/>
      <c r="I94" s="16"/>
      <c r="J94" s="10" t="str">
        <f aca="false">IF(AC94=0,"",DATE(YEAR(AsOfDate)+IF(DATE(YEAR(AsOfDate),MONTH($F94),DAY($F94))&lt;=AsOfDate,1,0),MONTH($F94),DAY($F94)))</f>
        <v/>
      </c>
      <c r="K94" s="11" t="str">
        <f aca="false">IF(AC94=0,"",ROUND((AsOfDate-$F94)/365.25,1))</f>
        <v/>
      </c>
      <c r="L94" s="12" t="str">
        <f aca="false">IF(AC94=0,"",IF(AsOfDate&lt;AD94,"-",DATEDIF(AD94,AsOfDate,"y")&amp;"y "&amp;DATEDIF(AD94,AsOfDate,"ym")&amp;"m "&amp;DATEDIF(AD94,AsOfDate,"md")&amp;"d"))</f>
        <v/>
      </c>
      <c r="M94" s="13" t="str">
        <f aca="false">IF(AC94=0,"",N94*HoursPerDay)</f>
        <v/>
      </c>
      <c r="N94" s="13" t="str">
        <f aca="false">IF(AC94=0,"",AL94)</f>
        <v/>
      </c>
      <c r="O94" s="17"/>
      <c r="P94" s="12" t="str">
        <f aca="false">IF(AC94=0,"",IF(AE94="","",IF($G94&lt;$H94,"Part-Time to Full-Time","Full-Time to Part-Time")&amp;" on "&amp;TEXT(AE94,"dd/mm/yyyy")&amp;IF(AE94&gt;AsOfDate," (future)",IF(AF94=AG94,"",IF(AG94="None"," - STOPPED accruing",IF(AF94="None"," - now qualifying"," - pathway changed"))))))</f>
        <v/>
      </c>
      <c r="Q94" s="12" t="str">
        <f aca="false">IF(AC94=0,"",IF(AG94="None",IF(N94&gt;0,"No longer accruing","Not eligible - "&amp;IF(AND($C94="Part-Time",N($O94)&lt;PT_MinHours,$O94&lt;&gt;""),"under "&amp;PT_MinHours&amp;" hrs",$C94)),IF(N94&gt;0,"Yes - accruing","Not yet - from "&amp;TEXT(R94,"dd/mm/yyyy"))))</f>
        <v/>
      </c>
      <c r="R94" s="10" t="str">
        <f aca="false">IF(AC94=0,"",IF(AG94="None","",EDATE(AD94,AN94)))</f>
        <v/>
      </c>
      <c r="S94" s="13" t="str">
        <f aca="false">IF(AC94=0,"",IF(NOT(PFY_Ready),"",SUMIFS(INDEX(PFY_Data,0,PFY_ColBal),INDEX(PFY_Data,0,PFY_ColFirst),$A94,INDEX(PFY_Data,0,PFY_ColSur),$B94,INDEX(PFY_Data,0,PFY_ColCat),BonusCat)))</f>
        <v/>
      </c>
      <c r="T94" s="17"/>
      <c r="U94" s="13" t="str">
        <f aca="false">IF(AC94=0,"",IF(NOT(CFY_Ready),"",SUMIFS(INDEX(CFY_Data,0,CFY_ColBal),INDEX(CFY_Data,0,CFY_ColFirst),$A94,INDEX(CFY_Data,0,CFY_ColSur),$B94,INDEX(CFY_Data,0,CFY_ColCat),BonusCat)))</f>
        <v/>
      </c>
      <c r="V94" s="13" t="str">
        <f aca="false">IF(AC94=0,"",IF(OR(NOT(CFY_Ready),CFY_ColAppr=0),"",SUMIFS(INDEX(CFY_Data,0,CFY_ColAppr),INDEX(CFY_Data,0,CFY_ColFirst),$A94,INDEX(CFY_Data,0,CFY_ColSur),$B94,INDEX(CFY_Data,0,CFY_ColCat),BonusCat)))</f>
        <v/>
      </c>
      <c r="W94" s="13" t="str">
        <f aca="false">IF(OR(AC94=0,S94="",U94=""),"",MAX(0,S94+N($T94)-U94))</f>
        <v/>
      </c>
      <c r="X94" s="13" t="str">
        <f aca="false">IF(AC94=0,"",(AL94-AM94)*HoursPerDay)</f>
        <v/>
      </c>
      <c r="Y94" s="13" t="str">
        <f aca="false">IF(AC94=0,"",X94-N($T94))</f>
        <v/>
      </c>
      <c r="Z94" s="12" t="str">
        <f aca="false">IF(AC94=0,"",IF(Y94&gt;0,"Yes","No"))</f>
        <v/>
      </c>
      <c r="AA94" s="12" t="str">
        <f aca="false">IF(AC94=0,"",IF(NOT(CFY_Ready),"Paste CFY EH export",IF(Y94&gt;0,"ACCRUE "&amp;TEXT(Y94,"0.##")&amp;" hrs ("&amp;TEXT(Y94/HoursPerDay,"0.##")&amp;" days)"&amp;IF(AO94=0," - no Bonus Leave line in EH yet",""),IF(Y94&lt;0,"CHECK - posted "&amp;TEXT(-Y94,"0.##")&amp;" hrs more than policy",IF(AND(N94&gt;0,AO94=0,U94=0),"CHECK - policy says "&amp;TEXT(M94,"0.##")&amp;" hrs to date but nothing in EH",IF(N94&gt;0,"OK","-"))))))</f>
        <v/>
      </c>
      <c r="AB94" s="13" t="str">
        <f aca="false">IF(OR(AC94=0,S94=""),"",AM94*HoursPerDay-S94)</f>
        <v/>
      </c>
      <c r="AC94" s="12" t="n">
        <f aca="false">IF(OR(LEN($A94&amp;$B94)=0,$F94=""),0,1)</f>
        <v>0</v>
      </c>
      <c r="AD94" s="10" t="str">
        <f aca="false">IF(AC94=0,"",IF($I94&lt;&gt;"",$I94,$F94))</f>
        <v/>
      </c>
      <c r="AE94" s="10" t="str">
        <f aca="false">IF(AC94=0,"",IF(AND($G94&lt;&gt;"",$H94&lt;&gt;"",$G94&lt;&gt;$H94),MAX($G94,$H94),""))</f>
        <v/>
      </c>
      <c r="AF94" s="12" t="str">
        <f aca="false">IF(AC94=0,"",IF(AE94="",AG94,IF(IF($G94&lt;$H94,"Part-Time","Full-Time")="Full-Time","FT",IF(AND(IF($G94&lt;$H94,"Part-Time","Full-Time")="Part-Time",OR($O94="",N($O94)&gt;=PT_MinHours)),"PT","None"))))</f>
        <v/>
      </c>
      <c r="AG94" s="12" t="str">
        <f aca="false">IF(AC94=0,"",IF($C94="Full-Time","FT",IF(AND($C94="Part-Time",OR($O94="",N($O94)&gt;=PT_MinHours)),"PT","None")))</f>
        <v/>
      </c>
      <c r="AH94" s="12" t="str">
        <f aca="false">IF(AC94=0,"",IF(AsOfDate&lt;AD94,-1,12*(YEAR(AsOfDate)-YEAR(AD94))+MONTH(AsOfDate)-MONTH(AD94)-IF(DAY(AsOfDate)&lt;MIN(DAY(AD94),DAY(EOMONTH(AsOfDate,0))),1,0)))</f>
        <v/>
      </c>
      <c r="AI94" s="12" t="str">
        <f aca="false">IF(AC94=0,"",IF(OR(AE94="",AE94&gt;AsOfDate),AH94,IF((AE94-1)&lt;AD94,-1,12*(YEAR((AE94-1))-YEAR(AD94))+MONTH((AE94-1))-MONTH(AD94)-IF(DAY((AE94-1))&lt;MIN(DAY(AD94),DAY(EOMONTH((AE94-1),0))),1,0))))</f>
        <v/>
      </c>
      <c r="AJ94" s="12" t="str">
        <f aca="false">IF(AC94=0,"",IF(PFYDate&lt;AD94,-1,12*(YEAR(PFYDate)-YEAR(AD94))+MONTH(PFYDate)-MONTH(AD94)-IF(DAY(PFYDate)&lt;MIN(DAY(AD94),DAY(EOMONTH(PFYDate,0))),1,0)))</f>
        <v/>
      </c>
      <c r="AK94" s="12" t="str">
        <f aca="false">IF(AC94=0,"",IF(OR(AE94="",AE94&gt;PFYDate),AJ94,IF((AE94-1)&lt;AD94,-1,12*(YEAR((AE94-1))-YEAR(AD94))+MONTH((AE94-1))-MONTH(AD94)-IF(DAY((AE94-1))&lt;MIN(DAY(AD94),DAY(EOMONTH((AE94-1),0))),1,0))))</f>
        <v/>
      </c>
      <c r="AL94" s="12" t="str">
        <f aca="false">IF(AC94=0,"",IF(AF94="FT",IF(AI94&lt;FT_First,0,IF(AI94&lt;FT_Y5,1+INT((AI94-FT_First)/FT_Int1),FT_PreY5+FT_PerYear*INT((AI94-FT_Y5)/12)+FT_AnnivDays+INT(MOD(AI94-FT_Y5,12)/FT_Int2))),IF(AF94="PT",IF(AI94&lt;PT_First,0,1+INT((AI94-PT_First)/PT_Int)),0))+IF(OR(AE94="",AE94&gt;AsOfDate),0,IF(AG94="FT",IF(AH94&lt;FT_First,0,IF(AH94&lt;FT_Y5,1+INT((AH94-FT_First)/FT_Int1),FT_PreY5+FT_PerYear*INT((AH94-FT_Y5)/12)+FT_AnnivDays+INT(MOD(AH94-FT_Y5,12)/FT_Int2))),IF(AG94="PT",IF(AH94&lt;PT_First,0,1+INT((AH94-PT_First)/PT_Int)),0))-IF(AG94="FT",IF(AI94&lt;FT_First,0,IF(AI94&lt;FT_Y5,1+INT((AI94-FT_First)/FT_Int1),FT_PreY5+FT_PerYear*INT((AI94-FT_Y5)/12)+FT_AnnivDays+INT(MOD(AI94-FT_Y5,12)/FT_Int2))),IF(AG94="PT",IF(AI94&lt;PT_First,0,1+INT((AI94-PT_First)/PT_Int)),0))))</f>
        <v/>
      </c>
      <c r="AM94" s="12" t="str">
        <f aca="false">IF(AC94=0,"",IF(AF94="FT",IF(AK94&lt;FT_First,0,IF(AK94&lt;FT_Y5,1+INT((AK94-FT_First)/FT_Int1),FT_PreY5+FT_PerYear*INT((AK94-FT_Y5)/12)+FT_AnnivDays+INT(MOD(AK94-FT_Y5,12)/FT_Int2))),IF(AF94="PT",IF(AK94&lt;PT_First,0,1+INT((AK94-PT_First)/PT_Int)),0))+IF(OR(AE94="",AE94&gt;PFYDate),0,IF(AG94="FT",IF(AJ94&lt;FT_First,0,IF(AJ94&lt;FT_Y5,1+INT((AJ94-FT_First)/FT_Int1),FT_PreY5+FT_PerYear*INT((AJ94-FT_Y5)/12)+FT_AnnivDays+INT(MOD(AJ94-FT_Y5,12)/FT_Int2))),IF(AG94="PT",IF(AJ94&lt;PT_First,0,1+INT((AJ94-PT_First)/PT_Int)),0))-IF(AG94="FT",IF(AK94&lt;FT_First,0,IF(AK94&lt;FT_Y5,1+INT((AK94-FT_First)/FT_Int1),FT_PreY5+FT_PerYear*INT((AK94-FT_Y5)/12)+FT_AnnivDays+INT(MOD(AK94-FT_Y5,12)/FT_Int2))),IF(AG94="PT",IF(AK94&lt;PT_First,0,1+INT((AK94-PT_First)/PT_Int)),0))))</f>
        <v/>
      </c>
      <c r="AN94" s="12" t="str">
        <f aca="false">IF(AC94=0,"",IF(AG94="FT",IF(AH94&lt;FT_First,FT_First,IF(AH94&lt;FT_Y5,MIN(FT_Y5,FT_First+FT_Int1*(INT((AH94-FT_First)/FT_Int1)+1)),FT_Y5+12*INT((AH94-FT_Y5)/12)+FT_Int2*(INT(MOD(AH94-FT_Y5,12)/FT_Int2)+1))),IF(AG94="PT",IF(AH94&lt;PT_First,PT_First,PT_First+PT_Int*(INT((AH94-PT_First)/PT_Int)+1)),"")))</f>
        <v/>
      </c>
      <c r="AO94" s="12" t="str">
        <f aca="false">IF(AC94=0,"",IF(NOT(CFY_Ready),0,COUNTIFS(INDEX(CFY_Data,0,CFY_ColFirst),$A94,INDEX(CFY_Data,0,CFY_ColSur),$B94,INDEX(CFY_Data,0,CFY_ColCat),BonusCat)))</f>
        <v/>
      </c>
    </row>
    <row r="95" customFormat="false" ht="15" hidden="false" customHeight="false" outlineLevel="0" collapsed="false">
      <c r="A95" s="15"/>
      <c r="B95" s="15"/>
      <c r="C95" s="15"/>
      <c r="D95" s="16"/>
      <c r="E95" s="10" t="str">
        <f aca="false">IF(OR(AC95=0,$D95=""),"",DATE(YEAR(AsOfDate)+IF(DATE(YEAR(AsOfDate),MONTH($D95),DAY($D95))&lt;=AsOfDate,1,0),MONTH($D95),DAY($D95)))</f>
        <v/>
      </c>
      <c r="F95" s="16"/>
      <c r="G95" s="16"/>
      <c r="H95" s="16"/>
      <c r="I95" s="16"/>
      <c r="J95" s="10" t="str">
        <f aca="false">IF(AC95=0,"",DATE(YEAR(AsOfDate)+IF(DATE(YEAR(AsOfDate),MONTH($F95),DAY($F95))&lt;=AsOfDate,1,0),MONTH($F95),DAY($F95)))</f>
        <v/>
      </c>
      <c r="K95" s="11" t="str">
        <f aca="false">IF(AC95=0,"",ROUND((AsOfDate-$F95)/365.25,1))</f>
        <v/>
      </c>
      <c r="L95" s="12" t="str">
        <f aca="false">IF(AC95=0,"",IF(AsOfDate&lt;AD95,"-",DATEDIF(AD95,AsOfDate,"y")&amp;"y "&amp;DATEDIF(AD95,AsOfDate,"ym")&amp;"m "&amp;DATEDIF(AD95,AsOfDate,"md")&amp;"d"))</f>
        <v/>
      </c>
      <c r="M95" s="13" t="str">
        <f aca="false">IF(AC95=0,"",N95*HoursPerDay)</f>
        <v/>
      </c>
      <c r="N95" s="13" t="str">
        <f aca="false">IF(AC95=0,"",AL95)</f>
        <v/>
      </c>
      <c r="O95" s="17"/>
      <c r="P95" s="12" t="str">
        <f aca="false">IF(AC95=0,"",IF(AE95="","",IF($G95&lt;$H95,"Part-Time to Full-Time","Full-Time to Part-Time")&amp;" on "&amp;TEXT(AE95,"dd/mm/yyyy")&amp;IF(AE95&gt;AsOfDate," (future)",IF(AF95=AG95,"",IF(AG95="None"," - STOPPED accruing",IF(AF95="None"," - now qualifying"," - pathway changed"))))))</f>
        <v/>
      </c>
      <c r="Q95" s="12" t="str">
        <f aca="false">IF(AC95=0,"",IF(AG95="None",IF(N95&gt;0,"No longer accruing","Not eligible - "&amp;IF(AND($C95="Part-Time",N($O95)&lt;PT_MinHours,$O95&lt;&gt;""),"under "&amp;PT_MinHours&amp;" hrs",$C95)),IF(N95&gt;0,"Yes - accruing","Not yet - from "&amp;TEXT(R95,"dd/mm/yyyy"))))</f>
        <v/>
      </c>
      <c r="R95" s="10" t="str">
        <f aca="false">IF(AC95=0,"",IF(AG95="None","",EDATE(AD95,AN95)))</f>
        <v/>
      </c>
      <c r="S95" s="13" t="str">
        <f aca="false">IF(AC95=0,"",IF(NOT(PFY_Ready),"",SUMIFS(INDEX(PFY_Data,0,PFY_ColBal),INDEX(PFY_Data,0,PFY_ColFirst),$A95,INDEX(PFY_Data,0,PFY_ColSur),$B95,INDEX(PFY_Data,0,PFY_ColCat),BonusCat)))</f>
        <v/>
      </c>
      <c r="T95" s="17"/>
      <c r="U95" s="13" t="str">
        <f aca="false">IF(AC95=0,"",IF(NOT(CFY_Ready),"",SUMIFS(INDEX(CFY_Data,0,CFY_ColBal),INDEX(CFY_Data,0,CFY_ColFirst),$A95,INDEX(CFY_Data,0,CFY_ColSur),$B95,INDEX(CFY_Data,0,CFY_ColCat),BonusCat)))</f>
        <v/>
      </c>
      <c r="V95" s="13" t="str">
        <f aca="false">IF(AC95=0,"",IF(OR(NOT(CFY_Ready),CFY_ColAppr=0),"",SUMIFS(INDEX(CFY_Data,0,CFY_ColAppr),INDEX(CFY_Data,0,CFY_ColFirst),$A95,INDEX(CFY_Data,0,CFY_ColSur),$B95,INDEX(CFY_Data,0,CFY_ColCat),BonusCat)))</f>
        <v/>
      </c>
      <c r="W95" s="13" t="str">
        <f aca="false">IF(OR(AC95=0,S95="",U95=""),"",MAX(0,S95+N($T95)-U95))</f>
        <v/>
      </c>
      <c r="X95" s="13" t="str">
        <f aca="false">IF(AC95=0,"",(AL95-AM95)*HoursPerDay)</f>
        <v/>
      </c>
      <c r="Y95" s="13" t="str">
        <f aca="false">IF(AC95=0,"",X95-N($T95))</f>
        <v/>
      </c>
      <c r="Z95" s="12" t="str">
        <f aca="false">IF(AC95=0,"",IF(Y95&gt;0,"Yes","No"))</f>
        <v/>
      </c>
      <c r="AA95" s="12" t="str">
        <f aca="false">IF(AC95=0,"",IF(NOT(CFY_Ready),"Paste CFY EH export",IF(Y95&gt;0,"ACCRUE "&amp;TEXT(Y95,"0.##")&amp;" hrs ("&amp;TEXT(Y95/HoursPerDay,"0.##")&amp;" days)"&amp;IF(AO95=0," - no Bonus Leave line in EH yet",""),IF(Y95&lt;0,"CHECK - posted "&amp;TEXT(-Y95,"0.##")&amp;" hrs more than policy",IF(AND(N95&gt;0,AO95=0,U95=0),"CHECK - policy says "&amp;TEXT(M95,"0.##")&amp;" hrs to date but nothing in EH",IF(N95&gt;0,"OK","-"))))))</f>
        <v/>
      </c>
      <c r="AB95" s="13" t="str">
        <f aca="false">IF(OR(AC95=0,S95=""),"",AM95*HoursPerDay-S95)</f>
        <v/>
      </c>
      <c r="AC95" s="12" t="n">
        <f aca="false">IF(OR(LEN($A95&amp;$B95)=0,$F95=""),0,1)</f>
        <v>0</v>
      </c>
      <c r="AD95" s="10" t="str">
        <f aca="false">IF(AC95=0,"",IF($I95&lt;&gt;"",$I95,$F95))</f>
        <v/>
      </c>
      <c r="AE95" s="10" t="str">
        <f aca="false">IF(AC95=0,"",IF(AND($G95&lt;&gt;"",$H95&lt;&gt;"",$G95&lt;&gt;$H95),MAX($G95,$H95),""))</f>
        <v/>
      </c>
      <c r="AF95" s="12" t="str">
        <f aca="false">IF(AC95=0,"",IF(AE95="",AG95,IF(IF($G95&lt;$H95,"Part-Time","Full-Time")="Full-Time","FT",IF(AND(IF($G95&lt;$H95,"Part-Time","Full-Time")="Part-Time",OR($O95="",N($O95)&gt;=PT_MinHours)),"PT","None"))))</f>
        <v/>
      </c>
      <c r="AG95" s="12" t="str">
        <f aca="false">IF(AC95=0,"",IF($C95="Full-Time","FT",IF(AND($C95="Part-Time",OR($O95="",N($O95)&gt;=PT_MinHours)),"PT","None")))</f>
        <v/>
      </c>
      <c r="AH95" s="12" t="str">
        <f aca="false">IF(AC95=0,"",IF(AsOfDate&lt;AD95,-1,12*(YEAR(AsOfDate)-YEAR(AD95))+MONTH(AsOfDate)-MONTH(AD95)-IF(DAY(AsOfDate)&lt;MIN(DAY(AD95),DAY(EOMONTH(AsOfDate,0))),1,0)))</f>
        <v/>
      </c>
      <c r="AI95" s="12" t="str">
        <f aca="false">IF(AC95=0,"",IF(OR(AE95="",AE95&gt;AsOfDate),AH95,IF((AE95-1)&lt;AD95,-1,12*(YEAR((AE95-1))-YEAR(AD95))+MONTH((AE95-1))-MONTH(AD95)-IF(DAY((AE95-1))&lt;MIN(DAY(AD95),DAY(EOMONTH((AE95-1),0))),1,0))))</f>
        <v/>
      </c>
      <c r="AJ95" s="12" t="str">
        <f aca="false">IF(AC95=0,"",IF(PFYDate&lt;AD95,-1,12*(YEAR(PFYDate)-YEAR(AD95))+MONTH(PFYDate)-MONTH(AD95)-IF(DAY(PFYDate)&lt;MIN(DAY(AD95),DAY(EOMONTH(PFYDate,0))),1,0)))</f>
        <v/>
      </c>
      <c r="AK95" s="12" t="str">
        <f aca="false">IF(AC95=0,"",IF(OR(AE95="",AE95&gt;PFYDate),AJ95,IF((AE95-1)&lt;AD95,-1,12*(YEAR((AE95-1))-YEAR(AD95))+MONTH((AE95-1))-MONTH(AD95)-IF(DAY((AE95-1))&lt;MIN(DAY(AD95),DAY(EOMONTH((AE95-1),0))),1,0))))</f>
        <v/>
      </c>
      <c r="AL95" s="12" t="str">
        <f aca="false">IF(AC95=0,"",IF(AF95="FT",IF(AI95&lt;FT_First,0,IF(AI95&lt;FT_Y5,1+INT((AI95-FT_First)/FT_Int1),FT_PreY5+FT_PerYear*INT((AI95-FT_Y5)/12)+FT_AnnivDays+INT(MOD(AI95-FT_Y5,12)/FT_Int2))),IF(AF95="PT",IF(AI95&lt;PT_First,0,1+INT((AI95-PT_First)/PT_Int)),0))+IF(OR(AE95="",AE95&gt;AsOfDate),0,IF(AG95="FT",IF(AH95&lt;FT_First,0,IF(AH95&lt;FT_Y5,1+INT((AH95-FT_First)/FT_Int1),FT_PreY5+FT_PerYear*INT((AH95-FT_Y5)/12)+FT_AnnivDays+INT(MOD(AH95-FT_Y5,12)/FT_Int2))),IF(AG95="PT",IF(AH95&lt;PT_First,0,1+INT((AH95-PT_First)/PT_Int)),0))-IF(AG95="FT",IF(AI95&lt;FT_First,0,IF(AI95&lt;FT_Y5,1+INT((AI95-FT_First)/FT_Int1),FT_PreY5+FT_PerYear*INT((AI95-FT_Y5)/12)+FT_AnnivDays+INT(MOD(AI95-FT_Y5,12)/FT_Int2))),IF(AG95="PT",IF(AI95&lt;PT_First,0,1+INT((AI95-PT_First)/PT_Int)),0))))</f>
        <v/>
      </c>
      <c r="AM95" s="12" t="str">
        <f aca="false">IF(AC95=0,"",IF(AF95="FT",IF(AK95&lt;FT_First,0,IF(AK95&lt;FT_Y5,1+INT((AK95-FT_First)/FT_Int1),FT_PreY5+FT_PerYear*INT((AK95-FT_Y5)/12)+FT_AnnivDays+INT(MOD(AK95-FT_Y5,12)/FT_Int2))),IF(AF95="PT",IF(AK95&lt;PT_First,0,1+INT((AK95-PT_First)/PT_Int)),0))+IF(OR(AE95="",AE95&gt;PFYDate),0,IF(AG95="FT",IF(AJ95&lt;FT_First,0,IF(AJ95&lt;FT_Y5,1+INT((AJ95-FT_First)/FT_Int1),FT_PreY5+FT_PerYear*INT((AJ95-FT_Y5)/12)+FT_AnnivDays+INT(MOD(AJ95-FT_Y5,12)/FT_Int2))),IF(AG95="PT",IF(AJ95&lt;PT_First,0,1+INT((AJ95-PT_First)/PT_Int)),0))-IF(AG95="FT",IF(AK95&lt;FT_First,0,IF(AK95&lt;FT_Y5,1+INT((AK95-FT_First)/FT_Int1),FT_PreY5+FT_PerYear*INT((AK95-FT_Y5)/12)+FT_AnnivDays+INT(MOD(AK95-FT_Y5,12)/FT_Int2))),IF(AG95="PT",IF(AK95&lt;PT_First,0,1+INT((AK95-PT_First)/PT_Int)),0))))</f>
        <v/>
      </c>
      <c r="AN95" s="12" t="str">
        <f aca="false">IF(AC95=0,"",IF(AG95="FT",IF(AH95&lt;FT_First,FT_First,IF(AH95&lt;FT_Y5,MIN(FT_Y5,FT_First+FT_Int1*(INT((AH95-FT_First)/FT_Int1)+1)),FT_Y5+12*INT((AH95-FT_Y5)/12)+FT_Int2*(INT(MOD(AH95-FT_Y5,12)/FT_Int2)+1))),IF(AG95="PT",IF(AH95&lt;PT_First,PT_First,PT_First+PT_Int*(INT((AH95-PT_First)/PT_Int)+1)),"")))</f>
        <v/>
      </c>
      <c r="AO95" s="12" t="str">
        <f aca="false">IF(AC95=0,"",IF(NOT(CFY_Ready),0,COUNTIFS(INDEX(CFY_Data,0,CFY_ColFirst),$A95,INDEX(CFY_Data,0,CFY_ColSur),$B95,INDEX(CFY_Data,0,CFY_ColCat),BonusCat)))</f>
        <v/>
      </c>
    </row>
    <row r="96" customFormat="false" ht="15" hidden="false" customHeight="false" outlineLevel="0" collapsed="false">
      <c r="A96" s="15"/>
      <c r="B96" s="15"/>
      <c r="C96" s="15"/>
      <c r="D96" s="16"/>
      <c r="E96" s="10" t="str">
        <f aca="false">IF(OR(AC96=0,$D96=""),"",DATE(YEAR(AsOfDate)+IF(DATE(YEAR(AsOfDate),MONTH($D96),DAY($D96))&lt;=AsOfDate,1,0),MONTH($D96),DAY($D96)))</f>
        <v/>
      </c>
      <c r="F96" s="16"/>
      <c r="G96" s="16"/>
      <c r="H96" s="16"/>
      <c r="I96" s="16"/>
      <c r="J96" s="10" t="str">
        <f aca="false">IF(AC96=0,"",DATE(YEAR(AsOfDate)+IF(DATE(YEAR(AsOfDate),MONTH($F96),DAY($F96))&lt;=AsOfDate,1,0),MONTH($F96),DAY($F96)))</f>
        <v/>
      </c>
      <c r="K96" s="11" t="str">
        <f aca="false">IF(AC96=0,"",ROUND((AsOfDate-$F96)/365.25,1))</f>
        <v/>
      </c>
      <c r="L96" s="12" t="str">
        <f aca="false">IF(AC96=0,"",IF(AsOfDate&lt;AD96,"-",DATEDIF(AD96,AsOfDate,"y")&amp;"y "&amp;DATEDIF(AD96,AsOfDate,"ym")&amp;"m "&amp;DATEDIF(AD96,AsOfDate,"md")&amp;"d"))</f>
        <v/>
      </c>
      <c r="M96" s="13" t="str">
        <f aca="false">IF(AC96=0,"",N96*HoursPerDay)</f>
        <v/>
      </c>
      <c r="N96" s="13" t="str">
        <f aca="false">IF(AC96=0,"",AL96)</f>
        <v/>
      </c>
      <c r="O96" s="17"/>
      <c r="P96" s="12" t="str">
        <f aca="false">IF(AC96=0,"",IF(AE96="","",IF($G96&lt;$H96,"Part-Time to Full-Time","Full-Time to Part-Time")&amp;" on "&amp;TEXT(AE96,"dd/mm/yyyy")&amp;IF(AE96&gt;AsOfDate," (future)",IF(AF96=AG96,"",IF(AG96="None"," - STOPPED accruing",IF(AF96="None"," - now qualifying"," - pathway changed"))))))</f>
        <v/>
      </c>
      <c r="Q96" s="12" t="str">
        <f aca="false">IF(AC96=0,"",IF(AG96="None",IF(N96&gt;0,"No longer accruing","Not eligible - "&amp;IF(AND($C96="Part-Time",N($O96)&lt;PT_MinHours,$O96&lt;&gt;""),"under "&amp;PT_MinHours&amp;" hrs",$C96)),IF(N96&gt;0,"Yes - accruing","Not yet - from "&amp;TEXT(R96,"dd/mm/yyyy"))))</f>
        <v/>
      </c>
      <c r="R96" s="10" t="str">
        <f aca="false">IF(AC96=0,"",IF(AG96="None","",EDATE(AD96,AN96)))</f>
        <v/>
      </c>
      <c r="S96" s="13" t="str">
        <f aca="false">IF(AC96=0,"",IF(NOT(PFY_Ready),"",SUMIFS(INDEX(PFY_Data,0,PFY_ColBal),INDEX(PFY_Data,0,PFY_ColFirst),$A96,INDEX(PFY_Data,0,PFY_ColSur),$B96,INDEX(PFY_Data,0,PFY_ColCat),BonusCat)))</f>
        <v/>
      </c>
      <c r="T96" s="17"/>
      <c r="U96" s="13" t="str">
        <f aca="false">IF(AC96=0,"",IF(NOT(CFY_Ready),"",SUMIFS(INDEX(CFY_Data,0,CFY_ColBal),INDEX(CFY_Data,0,CFY_ColFirst),$A96,INDEX(CFY_Data,0,CFY_ColSur),$B96,INDEX(CFY_Data,0,CFY_ColCat),BonusCat)))</f>
        <v/>
      </c>
      <c r="V96" s="13" t="str">
        <f aca="false">IF(AC96=0,"",IF(OR(NOT(CFY_Ready),CFY_ColAppr=0),"",SUMIFS(INDEX(CFY_Data,0,CFY_ColAppr),INDEX(CFY_Data,0,CFY_ColFirst),$A96,INDEX(CFY_Data,0,CFY_ColSur),$B96,INDEX(CFY_Data,0,CFY_ColCat),BonusCat)))</f>
        <v/>
      </c>
      <c r="W96" s="13" t="str">
        <f aca="false">IF(OR(AC96=0,S96="",U96=""),"",MAX(0,S96+N($T96)-U96))</f>
        <v/>
      </c>
      <c r="X96" s="13" t="str">
        <f aca="false">IF(AC96=0,"",(AL96-AM96)*HoursPerDay)</f>
        <v/>
      </c>
      <c r="Y96" s="13" t="str">
        <f aca="false">IF(AC96=0,"",X96-N($T96))</f>
        <v/>
      </c>
      <c r="Z96" s="12" t="str">
        <f aca="false">IF(AC96=0,"",IF(Y96&gt;0,"Yes","No"))</f>
        <v/>
      </c>
      <c r="AA96" s="12" t="str">
        <f aca="false">IF(AC96=0,"",IF(NOT(CFY_Ready),"Paste CFY EH export",IF(Y96&gt;0,"ACCRUE "&amp;TEXT(Y96,"0.##")&amp;" hrs ("&amp;TEXT(Y96/HoursPerDay,"0.##")&amp;" days)"&amp;IF(AO96=0," - no Bonus Leave line in EH yet",""),IF(Y96&lt;0,"CHECK - posted "&amp;TEXT(-Y96,"0.##")&amp;" hrs more than policy",IF(AND(N96&gt;0,AO96=0,U96=0),"CHECK - policy says "&amp;TEXT(M96,"0.##")&amp;" hrs to date but nothing in EH",IF(N96&gt;0,"OK","-"))))))</f>
        <v/>
      </c>
      <c r="AB96" s="13" t="str">
        <f aca="false">IF(OR(AC96=0,S96=""),"",AM96*HoursPerDay-S96)</f>
        <v/>
      </c>
      <c r="AC96" s="12" t="n">
        <f aca="false">IF(OR(LEN($A96&amp;$B96)=0,$F96=""),0,1)</f>
        <v>0</v>
      </c>
      <c r="AD96" s="10" t="str">
        <f aca="false">IF(AC96=0,"",IF($I96&lt;&gt;"",$I96,$F96))</f>
        <v/>
      </c>
      <c r="AE96" s="10" t="str">
        <f aca="false">IF(AC96=0,"",IF(AND($G96&lt;&gt;"",$H96&lt;&gt;"",$G96&lt;&gt;$H96),MAX($G96,$H96),""))</f>
        <v/>
      </c>
      <c r="AF96" s="12" t="str">
        <f aca="false">IF(AC96=0,"",IF(AE96="",AG96,IF(IF($G96&lt;$H96,"Part-Time","Full-Time")="Full-Time","FT",IF(AND(IF($G96&lt;$H96,"Part-Time","Full-Time")="Part-Time",OR($O96="",N($O96)&gt;=PT_MinHours)),"PT","None"))))</f>
        <v/>
      </c>
      <c r="AG96" s="12" t="str">
        <f aca="false">IF(AC96=0,"",IF($C96="Full-Time","FT",IF(AND($C96="Part-Time",OR($O96="",N($O96)&gt;=PT_MinHours)),"PT","None")))</f>
        <v/>
      </c>
      <c r="AH96" s="12" t="str">
        <f aca="false">IF(AC96=0,"",IF(AsOfDate&lt;AD96,-1,12*(YEAR(AsOfDate)-YEAR(AD96))+MONTH(AsOfDate)-MONTH(AD96)-IF(DAY(AsOfDate)&lt;MIN(DAY(AD96),DAY(EOMONTH(AsOfDate,0))),1,0)))</f>
        <v/>
      </c>
      <c r="AI96" s="12" t="str">
        <f aca="false">IF(AC96=0,"",IF(OR(AE96="",AE96&gt;AsOfDate),AH96,IF((AE96-1)&lt;AD96,-1,12*(YEAR((AE96-1))-YEAR(AD96))+MONTH((AE96-1))-MONTH(AD96)-IF(DAY((AE96-1))&lt;MIN(DAY(AD96),DAY(EOMONTH((AE96-1),0))),1,0))))</f>
        <v/>
      </c>
      <c r="AJ96" s="12" t="str">
        <f aca="false">IF(AC96=0,"",IF(PFYDate&lt;AD96,-1,12*(YEAR(PFYDate)-YEAR(AD96))+MONTH(PFYDate)-MONTH(AD96)-IF(DAY(PFYDate)&lt;MIN(DAY(AD96),DAY(EOMONTH(PFYDate,0))),1,0)))</f>
        <v/>
      </c>
      <c r="AK96" s="12" t="str">
        <f aca="false">IF(AC96=0,"",IF(OR(AE96="",AE96&gt;PFYDate),AJ96,IF((AE96-1)&lt;AD96,-1,12*(YEAR((AE96-1))-YEAR(AD96))+MONTH((AE96-1))-MONTH(AD96)-IF(DAY((AE96-1))&lt;MIN(DAY(AD96),DAY(EOMONTH((AE96-1),0))),1,0))))</f>
        <v/>
      </c>
      <c r="AL96" s="12" t="str">
        <f aca="false">IF(AC96=0,"",IF(AF96="FT",IF(AI96&lt;FT_First,0,IF(AI96&lt;FT_Y5,1+INT((AI96-FT_First)/FT_Int1),FT_PreY5+FT_PerYear*INT((AI96-FT_Y5)/12)+FT_AnnivDays+INT(MOD(AI96-FT_Y5,12)/FT_Int2))),IF(AF96="PT",IF(AI96&lt;PT_First,0,1+INT((AI96-PT_First)/PT_Int)),0))+IF(OR(AE96="",AE96&gt;AsOfDate),0,IF(AG96="FT",IF(AH96&lt;FT_First,0,IF(AH96&lt;FT_Y5,1+INT((AH96-FT_First)/FT_Int1),FT_PreY5+FT_PerYear*INT((AH96-FT_Y5)/12)+FT_AnnivDays+INT(MOD(AH96-FT_Y5,12)/FT_Int2))),IF(AG96="PT",IF(AH96&lt;PT_First,0,1+INT((AH96-PT_First)/PT_Int)),0))-IF(AG96="FT",IF(AI96&lt;FT_First,0,IF(AI96&lt;FT_Y5,1+INT((AI96-FT_First)/FT_Int1),FT_PreY5+FT_PerYear*INT((AI96-FT_Y5)/12)+FT_AnnivDays+INT(MOD(AI96-FT_Y5,12)/FT_Int2))),IF(AG96="PT",IF(AI96&lt;PT_First,0,1+INT((AI96-PT_First)/PT_Int)),0))))</f>
        <v/>
      </c>
      <c r="AM96" s="12" t="str">
        <f aca="false">IF(AC96=0,"",IF(AF96="FT",IF(AK96&lt;FT_First,0,IF(AK96&lt;FT_Y5,1+INT((AK96-FT_First)/FT_Int1),FT_PreY5+FT_PerYear*INT((AK96-FT_Y5)/12)+FT_AnnivDays+INT(MOD(AK96-FT_Y5,12)/FT_Int2))),IF(AF96="PT",IF(AK96&lt;PT_First,0,1+INT((AK96-PT_First)/PT_Int)),0))+IF(OR(AE96="",AE96&gt;PFYDate),0,IF(AG96="FT",IF(AJ96&lt;FT_First,0,IF(AJ96&lt;FT_Y5,1+INT((AJ96-FT_First)/FT_Int1),FT_PreY5+FT_PerYear*INT((AJ96-FT_Y5)/12)+FT_AnnivDays+INT(MOD(AJ96-FT_Y5,12)/FT_Int2))),IF(AG96="PT",IF(AJ96&lt;PT_First,0,1+INT((AJ96-PT_First)/PT_Int)),0))-IF(AG96="FT",IF(AK96&lt;FT_First,0,IF(AK96&lt;FT_Y5,1+INT((AK96-FT_First)/FT_Int1),FT_PreY5+FT_PerYear*INT((AK96-FT_Y5)/12)+FT_AnnivDays+INT(MOD(AK96-FT_Y5,12)/FT_Int2))),IF(AG96="PT",IF(AK96&lt;PT_First,0,1+INT((AK96-PT_First)/PT_Int)),0))))</f>
        <v/>
      </c>
      <c r="AN96" s="12" t="str">
        <f aca="false">IF(AC96=0,"",IF(AG96="FT",IF(AH96&lt;FT_First,FT_First,IF(AH96&lt;FT_Y5,MIN(FT_Y5,FT_First+FT_Int1*(INT((AH96-FT_First)/FT_Int1)+1)),FT_Y5+12*INT((AH96-FT_Y5)/12)+FT_Int2*(INT(MOD(AH96-FT_Y5,12)/FT_Int2)+1))),IF(AG96="PT",IF(AH96&lt;PT_First,PT_First,PT_First+PT_Int*(INT((AH96-PT_First)/PT_Int)+1)),"")))</f>
        <v/>
      </c>
      <c r="AO96" s="12" t="str">
        <f aca="false">IF(AC96=0,"",IF(NOT(CFY_Ready),0,COUNTIFS(INDEX(CFY_Data,0,CFY_ColFirst),$A96,INDEX(CFY_Data,0,CFY_ColSur),$B96,INDEX(CFY_Data,0,CFY_ColCat),BonusCat)))</f>
        <v/>
      </c>
    </row>
    <row r="97" customFormat="false" ht="15" hidden="false" customHeight="false" outlineLevel="0" collapsed="false">
      <c r="A97" s="15"/>
      <c r="B97" s="15"/>
      <c r="C97" s="15"/>
      <c r="D97" s="16"/>
      <c r="E97" s="10" t="str">
        <f aca="false">IF(OR(AC97=0,$D97=""),"",DATE(YEAR(AsOfDate)+IF(DATE(YEAR(AsOfDate),MONTH($D97),DAY($D97))&lt;=AsOfDate,1,0),MONTH($D97),DAY($D97)))</f>
        <v/>
      </c>
      <c r="F97" s="16"/>
      <c r="G97" s="16"/>
      <c r="H97" s="16"/>
      <c r="I97" s="16"/>
      <c r="J97" s="10" t="str">
        <f aca="false">IF(AC97=0,"",DATE(YEAR(AsOfDate)+IF(DATE(YEAR(AsOfDate),MONTH($F97),DAY($F97))&lt;=AsOfDate,1,0),MONTH($F97),DAY($F97)))</f>
        <v/>
      </c>
      <c r="K97" s="11" t="str">
        <f aca="false">IF(AC97=0,"",ROUND((AsOfDate-$F97)/365.25,1))</f>
        <v/>
      </c>
      <c r="L97" s="12" t="str">
        <f aca="false">IF(AC97=0,"",IF(AsOfDate&lt;AD97,"-",DATEDIF(AD97,AsOfDate,"y")&amp;"y "&amp;DATEDIF(AD97,AsOfDate,"ym")&amp;"m "&amp;DATEDIF(AD97,AsOfDate,"md")&amp;"d"))</f>
        <v/>
      </c>
      <c r="M97" s="13" t="str">
        <f aca="false">IF(AC97=0,"",N97*HoursPerDay)</f>
        <v/>
      </c>
      <c r="N97" s="13" t="str">
        <f aca="false">IF(AC97=0,"",AL97)</f>
        <v/>
      </c>
      <c r="O97" s="17"/>
      <c r="P97" s="12" t="str">
        <f aca="false">IF(AC97=0,"",IF(AE97="","",IF($G97&lt;$H97,"Part-Time to Full-Time","Full-Time to Part-Time")&amp;" on "&amp;TEXT(AE97,"dd/mm/yyyy")&amp;IF(AE97&gt;AsOfDate," (future)",IF(AF97=AG97,"",IF(AG97="None"," - STOPPED accruing",IF(AF97="None"," - now qualifying"," - pathway changed"))))))</f>
        <v/>
      </c>
      <c r="Q97" s="12" t="str">
        <f aca="false">IF(AC97=0,"",IF(AG97="None",IF(N97&gt;0,"No longer accruing","Not eligible - "&amp;IF(AND($C97="Part-Time",N($O97)&lt;PT_MinHours,$O97&lt;&gt;""),"under "&amp;PT_MinHours&amp;" hrs",$C97)),IF(N97&gt;0,"Yes - accruing","Not yet - from "&amp;TEXT(R97,"dd/mm/yyyy"))))</f>
        <v/>
      </c>
      <c r="R97" s="10" t="str">
        <f aca="false">IF(AC97=0,"",IF(AG97="None","",EDATE(AD97,AN97)))</f>
        <v/>
      </c>
      <c r="S97" s="13" t="str">
        <f aca="false">IF(AC97=0,"",IF(NOT(PFY_Ready),"",SUMIFS(INDEX(PFY_Data,0,PFY_ColBal),INDEX(PFY_Data,0,PFY_ColFirst),$A97,INDEX(PFY_Data,0,PFY_ColSur),$B97,INDEX(PFY_Data,0,PFY_ColCat),BonusCat)))</f>
        <v/>
      </c>
      <c r="T97" s="17"/>
      <c r="U97" s="13" t="str">
        <f aca="false">IF(AC97=0,"",IF(NOT(CFY_Ready),"",SUMIFS(INDEX(CFY_Data,0,CFY_ColBal),INDEX(CFY_Data,0,CFY_ColFirst),$A97,INDEX(CFY_Data,0,CFY_ColSur),$B97,INDEX(CFY_Data,0,CFY_ColCat),BonusCat)))</f>
        <v/>
      </c>
      <c r="V97" s="13" t="str">
        <f aca="false">IF(AC97=0,"",IF(OR(NOT(CFY_Ready),CFY_ColAppr=0),"",SUMIFS(INDEX(CFY_Data,0,CFY_ColAppr),INDEX(CFY_Data,0,CFY_ColFirst),$A97,INDEX(CFY_Data,0,CFY_ColSur),$B97,INDEX(CFY_Data,0,CFY_ColCat),BonusCat)))</f>
        <v/>
      </c>
      <c r="W97" s="13" t="str">
        <f aca="false">IF(OR(AC97=0,S97="",U97=""),"",MAX(0,S97+N($T97)-U97))</f>
        <v/>
      </c>
      <c r="X97" s="13" t="str">
        <f aca="false">IF(AC97=0,"",(AL97-AM97)*HoursPerDay)</f>
        <v/>
      </c>
      <c r="Y97" s="13" t="str">
        <f aca="false">IF(AC97=0,"",X97-N($T97))</f>
        <v/>
      </c>
      <c r="Z97" s="12" t="str">
        <f aca="false">IF(AC97=0,"",IF(Y97&gt;0,"Yes","No"))</f>
        <v/>
      </c>
      <c r="AA97" s="12" t="str">
        <f aca="false">IF(AC97=0,"",IF(NOT(CFY_Ready),"Paste CFY EH export",IF(Y97&gt;0,"ACCRUE "&amp;TEXT(Y97,"0.##")&amp;" hrs ("&amp;TEXT(Y97/HoursPerDay,"0.##")&amp;" days)"&amp;IF(AO97=0," - no Bonus Leave line in EH yet",""),IF(Y97&lt;0,"CHECK - posted "&amp;TEXT(-Y97,"0.##")&amp;" hrs more than policy",IF(AND(N97&gt;0,AO97=0,U97=0),"CHECK - policy says "&amp;TEXT(M97,"0.##")&amp;" hrs to date but nothing in EH",IF(N97&gt;0,"OK","-"))))))</f>
        <v/>
      </c>
      <c r="AB97" s="13" t="str">
        <f aca="false">IF(OR(AC97=0,S97=""),"",AM97*HoursPerDay-S97)</f>
        <v/>
      </c>
      <c r="AC97" s="12" t="n">
        <f aca="false">IF(OR(LEN($A97&amp;$B97)=0,$F97=""),0,1)</f>
        <v>0</v>
      </c>
      <c r="AD97" s="10" t="str">
        <f aca="false">IF(AC97=0,"",IF($I97&lt;&gt;"",$I97,$F97))</f>
        <v/>
      </c>
      <c r="AE97" s="10" t="str">
        <f aca="false">IF(AC97=0,"",IF(AND($G97&lt;&gt;"",$H97&lt;&gt;"",$G97&lt;&gt;$H97),MAX($G97,$H97),""))</f>
        <v/>
      </c>
      <c r="AF97" s="12" t="str">
        <f aca="false">IF(AC97=0,"",IF(AE97="",AG97,IF(IF($G97&lt;$H97,"Part-Time","Full-Time")="Full-Time","FT",IF(AND(IF($G97&lt;$H97,"Part-Time","Full-Time")="Part-Time",OR($O97="",N($O97)&gt;=PT_MinHours)),"PT","None"))))</f>
        <v/>
      </c>
      <c r="AG97" s="12" t="str">
        <f aca="false">IF(AC97=0,"",IF($C97="Full-Time","FT",IF(AND($C97="Part-Time",OR($O97="",N($O97)&gt;=PT_MinHours)),"PT","None")))</f>
        <v/>
      </c>
      <c r="AH97" s="12" t="str">
        <f aca="false">IF(AC97=0,"",IF(AsOfDate&lt;AD97,-1,12*(YEAR(AsOfDate)-YEAR(AD97))+MONTH(AsOfDate)-MONTH(AD97)-IF(DAY(AsOfDate)&lt;MIN(DAY(AD97),DAY(EOMONTH(AsOfDate,0))),1,0)))</f>
        <v/>
      </c>
      <c r="AI97" s="12" t="str">
        <f aca="false">IF(AC97=0,"",IF(OR(AE97="",AE97&gt;AsOfDate),AH97,IF((AE97-1)&lt;AD97,-1,12*(YEAR((AE97-1))-YEAR(AD97))+MONTH((AE97-1))-MONTH(AD97)-IF(DAY((AE97-1))&lt;MIN(DAY(AD97),DAY(EOMONTH((AE97-1),0))),1,0))))</f>
        <v/>
      </c>
      <c r="AJ97" s="12" t="str">
        <f aca="false">IF(AC97=0,"",IF(PFYDate&lt;AD97,-1,12*(YEAR(PFYDate)-YEAR(AD97))+MONTH(PFYDate)-MONTH(AD97)-IF(DAY(PFYDate)&lt;MIN(DAY(AD97),DAY(EOMONTH(PFYDate,0))),1,0)))</f>
        <v/>
      </c>
      <c r="AK97" s="12" t="str">
        <f aca="false">IF(AC97=0,"",IF(OR(AE97="",AE97&gt;PFYDate),AJ97,IF((AE97-1)&lt;AD97,-1,12*(YEAR((AE97-1))-YEAR(AD97))+MONTH((AE97-1))-MONTH(AD97)-IF(DAY((AE97-1))&lt;MIN(DAY(AD97),DAY(EOMONTH((AE97-1),0))),1,0))))</f>
        <v/>
      </c>
      <c r="AL97" s="12" t="str">
        <f aca="false">IF(AC97=0,"",IF(AF97="FT",IF(AI97&lt;FT_First,0,IF(AI97&lt;FT_Y5,1+INT((AI97-FT_First)/FT_Int1),FT_PreY5+FT_PerYear*INT((AI97-FT_Y5)/12)+FT_AnnivDays+INT(MOD(AI97-FT_Y5,12)/FT_Int2))),IF(AF97="PT",IF(AI97&lt;PT_First,0,1+INT((AI97-PT_First)/PT_Int)),0))+IF(OR(AE97="",AE97&gt;AsOfDate),0,IF(AG97="FT",IF(AH97&lt;FT_First,0,IF(AH97&lt;FT_Y5,1+INT((AH97-FT_First)/FT_Int1),FT_PreY5+FT_PerYear*INT((AH97-FT_Y5)/12)+FT_AnnivDays+INT(MOD(AH97-FT_Y5,12)/FT_Int2))),IF(AG97="PT",IF(AH97&lt;PT_First,0,1+INT((AH97-PT_First)/PT_Int)),0))-IF(AG97="FT",IF(AI97&lt;FT_First,0,IF(AI97&lt;FT_Y5,1+INT((AI97-FT_First)/FT_Int1),FT_PreY5+FT_PerYear*INT((AI97-FT_Y5)/12)+FT_AnnivDays+INT(MOD(AI97-FT_Y5,12)/FT_Int2))),IF(AG97="PT",IF(AI97&lt;PT_First,0,1+INT((AI97-PT_First)/PT_Int)),0))))</f>
        <v/>
      </c>
      <c r="AM97" s="12" t="str">
        <f aca="false">IF(AC97=0,"",IF(AF97="FT",IF(AK97&lt;FT_First,0,IF(AK97&lt;FT_Y5,1+INT((AK97-FT_First)/FT_Int1),FT_PreY5+FT_PerYear*INT((AK97-FT_Y5)/12)+FT_AnnivDays+INT(MOD(AK97-FT_Y5,12)/FT_Int2))),IF(AF97="PT",IF(AK97&lt;PT_First,0,1+INT((AK97-PT_First)/PT_Int)),0))+IF(OR(AE97="",AE97&gt;PFYDate),0,IF(AG97="FT",IF(AJ97&lt;FT_First,0,IF(AJ97&lt;FT_Y5,1+INT((AJ97-FT_First)/FT_Int1),FT_PreY5+FT_PerYear*INT((AJ97-FT_Y5)/12)+FT_AnnivDays+INT(MOD(AJ97-FT_Y5,12)/FT_Int2))),IF(AG97="PT",IF(AJ97&lt;PT_First,0,1+INT((AJ97-PT_First)/PT_Int)),0))-IF(AG97="FT",IF(AK97&lt;FT_First,0,IF(AK97&lt;FT_Y5,1+INT((AK97-FT_First)/FT_Int1),FT_PreY5+FT_PerYear*INT((AK97-FT_Y5)/12)+FT_AnnivDays+INT(MOD(AK97-FT_Y5,12)/FT_Int2))),IF(AG97="PT",IF(AK97&lt;PT_First,0,1+INT((AK97-PT_First)/PT_Int)),0))))</f>
        <v/>
      </c>
      <c r="AN97" s="12" t="str">
        <f aca="false">IF(AC97=0,"",IF(AG97="FT",IF(AH97&lt;FT_First,FT_First,IF(AH97&lt;FT_Y5,MIN(FT_Y5,FT_First+FT_Int1*(INT((AH97-FT_First)/FT_Int1)+1)),FT_Y5+12*INT((AH97-FT_Y5)/12)+FT_Int2*(INT(MOD(AH97-FT_Y5,12)/FT_Int2)+1))),IF(AG97="PT",IF(AH97&lt;PT_First,PT_First,PT_First+PT_Int*(INT((AH97-PT_First)/PT_Int)+1)),"")))</f>
        <v/>
      </c>
      <c r="AO97" s="12" t="str">
        <f aca="false">IF(AC97=0,"",IF(NOT(CFY_Ready),0,COUNTIFS(INDEX(CFY_Data,0,CFY_ColFirst),$A97,INDEX(CFY_Data,0,CFY_ColSur),$B97,INDEX(CFY_Data,0,CFY_ColCat),BonusCat)))</f>
        <v/>
      </c>
    </row>
    <row r="98" customFormat="false" ht="15" hidden="false" customHeight="false" outlineLevel="0" collapsed="false">
      <c r="A98" s="15"/>
      <c r="B98" s="15"/>
      <c r="C98" s="15"/>
      <c r="D98" s="16"/>
      <c r="E98" s="10" t="str">
        <f aca="false">IF(OR(AC98=0,$D98=""),"",DATE(YEAR(AsOfDate)+IF(DATE(YEAR(AsOfDate),MONTH($D98),DAY($D98))&lt;=AsOfDate,1,0),MONTH($D98),DAY($D98)))</f>
        <v/>
      </c>
      <c r="F98" s="16"/>
      <c r="G98" s="16"/>
      <c r="H98" s="16"/>
      <c r="I98" s="16"/>
      <c r="J98" s="10" t="str">
        <f aca="false">IF(AC98=0,"",DATE(YEAR(AsOfDate)+IF(DATE(YEAR(AsOfDate),MONTH($F98),DAY($F98))&lt;=AsOfDate,1,0),MONTH($F98),DAY($F98)))</f>
        <v/>
      </c>
      <c r="K98" s="11" t="str">
        <f aca="false">IF(AC98=0,"",ROUND((AsOfDate-$F98)/365.25,1))</f>
        <v/>
      </c>
      <c r="L98" s="12" t="str">
        <f aca="false">IF(AC98=0,"",IF(AsOfDate&lt;AD98,"-",DATEDIF(AD98,AsOfDate,"y")&amp;"y "&amp;DATEDIF(AD98,AsOfDate,"ym")&amp;"m "&amp;DATEDIF(AD98,AsOfDate,"md")&amp;"d"))</f>
        <v/>
      </c>
      <c r="M98" s="13" t="str">
        <f aca="false">IF(AC98=0,"",N98*HoursPerDay)</f>
        <v/>
      </c>
      <c r="N98" s="13" t="str">
        <f aca="false">IF(AC98=0,"",AL98)</f>
        <v/>
      </c>
      <c r="O98" s="17"/>
      <c r="P98" s="12" t="str">
        <f aca="false">IF(AC98=0,"",IF(AE98="","",IF($G98&lt;$H98,"Part-Time to Full-Time","Full-Time to Part-Time")&amp;" on "&amp;TEXT(AE98,"dd/mm/yyyy")&amp;IF(AE98&gt;AsOfDate," (future)",IF(AF98=AG98,"",IF(AG98="None"," - STOPPED accruing",IF(AF98="None"," - now qualifying"," - pathway changed"))))))</f>
        <v/>
      </c>
      <c r="Q98" s="12" t="str">
        <f aca="false">IF(AC98=0,"",IF(AG98="None",IF(N98&gt;0,"No longer accruing","Not eligible - "&amp;IF(AND($C98="Part-Time",N($O98)&lt;PT_MinHours,$O98&lt;&gt;""),"under "&amp;PT_MinHours&amp;" hrs",$C98)),IF(N98&gt;0,"Yes - accruing","Not yet - from "&amp;TEXT(R98,"dd/mm/yyyy"))))</f>
        <v/>
      </c>
      <c r="R98" s="10" t="str">
        <f aca="false">IF(AC98=0,"",IF(AG98="None","",EDATE(AD98,AN98)))</f>
        <v/>
      </c>
      <c r="S98" s="13" t="str">
        <f aca="false">IF(AC98=0,"",IF(NOT(PFY_Ready),"",SUMIFS(INDEX(PFY_Data,0,PFY_ColBal),INDEX(PFY_Data,0,PFY_ColFirst),$A98,INDEX(PFY_Data,0,PFY_ColSur),$B98,INDEX(PFY_Data,0,PFY_ColCat),BonusCat)))</f>
        <v/>
      </c>
      <c r="T98" s="17"/>
      <c r="U98" s="13" t="str">
        <f aca="false">IF(AC98=0,"",IF(NOT(CFY_Ready),"",SUMIFS(INDEX(CFY_Data,0,CFY_ColBal),INDEX(CFY_Data,0,CFY_ColFirst),$A98,INDEX(CFY_Data,0,CFY_ColSur),$B98,INDEX(CFY_Data,0,CFY_ColCat),BonusCat)))</f>
        <v/>
      </c>
      <c r="V98" s="13" t="str">
        <f aca="false">IF(AC98=0,"",IF(OR(NOT(CFY_Ready),CFY_ColAppr=0),"",SUMIFS(INDEX(CFY_Data,0,CFY_ColAppr),INDEX(CFY_Data,0,CFY_ColFirst),$A98,INDEX(CFY_Data,0,CFY_ColSur),$B98,INDEX(CFY_Data,0,CFY_ColCat),BonusCat)))</f>
        <v/>
      </c>
      <c r="W98" s="13" t="str">
        <f aca="false">IF(OR(AC98=0,S98="",U98=""),"",MAX(0,S98+N($T98)-U98))</f>
        <v/>
      </c>
      <c r="X98" s="13" t="str">
        <f aca="false">IF(AC98=0,"",(AL98-AM98)*HoursPerDay)</f>
        <v/>
      </c>
      <c r="Y98" s="13" t="str">
        <f aca="false">IF(AC98=0,"",X98-N($T98))</f>
        <v/>
      </c>
      <c r="Z98" s="12" t="str">
        <f aca="false">IF(AC98=0,"",IF(Y98&gt;0,"Yes","No"))</f>
        <v/>
      </c>
      <c r="AA98" s="12" t="str">
        <f aca="false">IF(AC98=0,"",IF(NOT(CFY_Ready),"Paste CFY EH export",IF(Y98&gt;0,"ACCRUE "&amp;TEXT(Y98,"0.##")&amp;" hrs ("&amp;TEXT(Y98/HoursPerDay,"0.##")&amp;" days)"&amp;IF(AO98=0," - no Bonus Leave line in EH yet",""),IF(Y98&lt;0,"CHECK - posted "&amp;TEXT(-Y98,"0.##")&amp;" hrs more than policy",IF(AND(N98&gt;0,AO98=0,U98=0),"CHECK - policy says "&amp;TEXT(M98,"0.##")&amp;" hrs to date but nothing in EH",IF(N98&gt;0,"OK","-"))))))</f>
        <v/>
      </c>
      <c r="AB98" s="13" t="str">
        <f aca="false">IF(OR(AC98=0,S98=""),"",AM98*HoursPerDay-S98)</f>
        <v/>
      </c>
      <c r="AC98" s="12" t="n">
        <f aca="false">IF(OR(LEN($A98&amp;$B98)=0,$F98=""),0,1)</f>
        <v>0</v>
      </c>
      <c r="AD98" s="10" t="str">
        <f aca="false">IF(AC98=0,"",IF($I98&lt;&gt;"",$I98,$F98))</f>
        <v/>
      </c>
      <c r="AE98" s="10" t="str">
        <f aca="false">IF(AC98=0,"",IF(AND($G98&lt;&gt;"",$H98&lt;&gt;"",$G98&lt;&gt;$H98),MAX($G98,$H98),""))</f>
        <v/>
      </c>
      <c r="AF98" s="12" t="str">
        <f aca="false">IF(AC98=0,"",IF(AE98="",AG98,IF(IF($G98&lt;$H98,"Part-Time","Full-Time")="Full-Time","FT",IF(AND(IF($G98&lt;$H98,"Part-Time","Full-Time")="Part-Time",OR($O98="",N($O98)&gt;=PT_MinHours)),"PT","None"))))</f>
        <v/>
      </c>
      <c r="AG98" s="12" t="str">
        <f aca="false">IF(AC98=0,"",IF($C98="Full-Time","FT",IF(AND($C98="Part-Time",OR($O98="",N($O98)&gt;=PT_MinHours)),"PT","None")))</f>
        <v/>
      </c>
      <c r="AH98" s="12" t="str">
        <f aca="false">IF(AC98=0,"",IF(AsOfDate&lt;AD98,-1,12*(YEAR(AsOfDate)-YEAR(AD98))+MONTH(AsOfDate)-MONTH(AD98)-IF(DAY(AsOfDate)&lt;MIN(DAY(AD98),DAY(EOMONTH(AsOfDate,0))),1,0)))</f>
        <v/>
      </c>
      <c r="AI98" s="12" t="str">
        <f aca="false">IF(AC98=0,"",IF(OR(AE98="",AE98&gt;AsOfDate),AH98,IF((AE98-1)&lt;AD98,-1,12*(YEAR((AE98-1))-YEAR(AD98))+MONTH((AE98-1))-MONTH(AD98)-IF(DAY((AE98-1))&lt;MIN(DAY(AD98),DAY(EOMONTH((AE98-1),0))),1,0))))</f>
        <v/>
      </c>
      <c r="AJ98" s="12" t="str">
        <f aca="false">IF(AC98=0,"",IF(PFYDate&lt;AD98,-1,12*(YEAR(PFYDate)-YEAR(AD98))+MONTH(PFYDate)-MONTH(AD98)-IF(DAY(PFYDate)&lt;MIN(DAY(AD98),DAY(EOMONTH(PFYDate,0))),1,0)))</f>
        <v/>
      </c>
      <c r="AK98" s="12" t="str">
        <f aca="false">IF(AC98=0,"",IF(OR(AE98="",AE98&gt;PFYDate),AJ98,IF((AE98-1)&lt;AD98,-1,12*(YEAR((AE98-1))-YEAR(AD98))+MONTH((AE98-1))-MONTH(AD98)-IF(DAY((AE98-1))&lt;MIN(DAY(AD98),DAY(EOMONTH((AE98-1),0))),1,0))))</f>
        <v/>
      </c>
      <c r="AL98" s="12" t="str">
        <f aca="false">IF(AC98=0,"",IF(AF98="FT",IF(AI98&lt;FT_First,0,IF(AI98&lt;FT_Y5,1+INT((AI98-FT_First)/FT_Int1),FT_PreY5+FT_PerYear*INT((AI98-FT_Y5)/12)+FT_AnnivDays+INT(MOD(AI98-FT_Y5,12)/FT_Int2))),IF(AF98="PT",IF(AI98&lt;PT_First,0,1+INT((AI98-PT_First)/PT_Int)),0))+IF(OR(AE98="",AE98&gt;AsOfDate),0,IF(AG98="FT",IF(AH98&lt;FT_First,0,IF(AH98&lt;FT_Y5,1+INT((AH98-FT_First)/FT_Int1),FT_PreY5+FT_PerYear*INT((AH98-FT_Y5)/12)+FT_AnnivDays+INT(MOD(AH98-FT_Y5,12)/FT_Int2))),IF(AG98="PT",IF(AH98&lt;PT_First,0,1+INT((AH98-PT_First)/PT_Int)),0))-IF(AG98="FT",IF(AI98&lt;FT_First,0,IF(AI98&lt;FT_Y5,1+INT((AI98-FT_First)/FT_Int1),FT_PreY5+FT_PerYear*INT((AI98-FT_Y5)/12)+FT_AnnivDays+INT(MOD(AI98-FT_Y5,12)/FT_Int2))),IF(AG98="PT",IF(AI98&lt;PT_First,0,1+INT((AI98-PT_First)/PT_Int)),0))))</f>
        <v/>
      </c>
      <c r="AM98" s="12" t="str">
        <f aca="false">IF(AC98=0,"",IF(AF98="FT",IF(AK98&lt;FT_First,0,IF(AK98&lt;FT_Y5,1+INT((AK98-FT_First)/FT_Int1),FT_PreY5+FT_PerYear*INT((AK98-FT_Y5)/12)+FT_AnnivDays+INT(MOD(AK98-FT_Y5,12)/FT_Int2))),IF(AF98="PT",IF(AK98&lt;PT_First,0,1+INT((AK98-PT_First)/PT_Int)),0))+IF(OR(AE98="",AE98&gt;PFYDate),0,IF(AG98="FT",IF(AJ98&lt;FT_First,0,IF(AJ98&lt;FT_Y5,1+INT((AJ98-FT_First)/FT_Int1),FT_PreY5+FT_PerYear*INT((AJ98-FT_Y5)/12)+FT_AnnivDays+INT(MOD(AJ98-FT_Y5,12)/FT_Int2))),IF(AG98="PT",IF(AJ98&lt;PT_First,0,1+INT((AJ98-PT_First)/PT_Int)),0))-IF(AG98="FT",IF(AK98&lt;FT_First,0,IF(AK98&lt;FT_Y5,1+INT((AK98-FT_First)/FT_Int1),FT_PreY5+FT_PerYear*INT((AK98-FT_Y5)/12)+FT_AnnivDays+INT(MOD(AK98-FT_Y5,12)/FT_Int2))),IF(AG98="PT",IF(AK98&lt;PT_First,0,1+INT((AK98-PT_First)/PT_Int)),0))))</f>
        <v/>
      </c>
      <c r="AN98" s="12" t="str">
        <f aca="false">IF(AC98=0,"",IF(AG98="FT",IF(AH98&lt;FT_First,FT_First,IF(AH98&lt;FT_Y5,MIN(FT_Y5,FT_First+FT_Int1*(INT((AH98-FT_First)/FT_Int1)+1)),FT_Y5+12*INT((AH98-FT_Y5)/12)+FT_Int2*(INT(MOD(AH98-FT_Y5,12)/FT_Int2)+1))),IF(AG98="PT",IF(AH98&lt;PT_First,PT_First,PT_First+PT_Int*(INT((AH98-PT_First)/PT_Int)+1)),"")))</f>
        <v/>
      </c>
      <c r="AO98" s="12" t="str">
        <f aca="false">IF(AC98=0,"",IF(NOT(CFY_Ready),0,COUNTIFS(INDEX(CFY_Data,0,CFY_ColFirst),$A98,INDEX(CFY_Data,0,CFY_ColSur),$B98,INDEX(CFY_Data,0,CFY_ColCat),BonusCat)))</f>
        <v/>
      </c>
    </row>
    <row r="99" customFormat="false" ht="15" hidden="false" customHeight="false" outlineLevel="0" collapsed="false">
      <c r="A99" s="15"/>
      <c r="B99" s="15"/>
      <c r="C99" s="15"/>
      <c r="D99" s="16"/>
      <c r="E99" s="10" t="str">
        <f aca="false">IF(OR(AC99=0,$D99=""),"",DATE(YEAR(AsOfDate)+IF(DATE(YEAR(AsOfDate),MONTH($D99),DAY($D99))&lt;=AsOfDate,1,0),MONTH($D99),DAY($D99)))</f>
        <v/>
      </c>
      <c r="F99" s="16"/>
      <c r="G99" s="16"/>
      <c r="H99" s="16"/>
      <c r="I99" s="16"/>
      <c r="J99" s="10" t="str">
        <f aca="false">IF(AC99=0,"",DATE(YEAR(AsOfDate)+IF(DATE(YEAR(AsOfDate),MONTH($F99),DAY($F99))&lt;=AsOfDate,1,0),MONTH($F99),DAY($F99)))</f>
        <v/>
      </c>
      <c r="K99" s="11" t="str">
        <f aca="false">IF(AC99=0,"",ROUND((AsOfDate-$F99)/365.25,1))</f>
        <v/>
      </c>
      <c r="L99" s="12" t="str">
        <f aca="false">IF(AC99=0,"",IF(AsOfDate&lt;AD99,"-",DATEDIF(AD99,AsOfDate,"y")&amp;"y "&amp;DATEDIF(AD99,AsOfDate,"ym")&amp;"m "&amp;DATEDIF(AD99,AsOfDate,"md")&amp;"d"))</f>
        <v/>
      </c>
      <c r="M99" s="13" t="str">
        <f aca="false">IF(AC99=0,"",N99*HoursPerDay)</f>
        <v/>
      </c>
      <c r="N99" s="13" t="str">
        <f aca="false">IF(AC99=0,"",AL99)</f>
        <v/>
      </c>
      <c r="O99" s="17"/>
      <c r="P99" s="12" t="str">
        <f aca="false">IF(AC99=0,"",IF(AE99="","",IF($G99&lt;$H99,"Part-Time to Full-Time","Full-Time to Part-Time")&amp;" on "&amp;TEXT(AE99,"dd/mm/yyyy")&amp;IF(AE99&gt;AsOfDate," (future)",IF(AF99=AG99,"",IF(AG99="None"," - STOPPED accruing",IF(AF99="None"," - now qualifying"," - pathway changed"))))))</f>
        <v/>
      </c>
      <c r="Q99" s="12" t="str">
        <f aca="false">IF(AC99=0,"",IF(AG99="None",IF(N99&gt;0,"No longer accruing","Not eligible - "&amp;IF(AND($C99="Part-Time",N($O99)&lt;PT_MinHours,$O99&lt;&gt;""),"under "&amp;PT_MinHours&amp;" hrs",$C99)),IF(N99&gt;0,"Yes - accruing","Not yet - from "&amp;TEXT(R99,"dd/mm/yyyy"))))</f>
        <v/>
      </c>
      <c r="R99" s="10" t="str">
        <f aca="false">IF(AC99=0,"",IF(AG99="None","",EDATE(AD99,AN99)))</f>
        <v/>
      </c>
      <c r="S99" s="13" t="str">
        <f aca="false">IF(AC99=0,"",IF(NOT(PFY_Ready),"",SUMIFS(INDEX(PFY_Data,0,PFY_ColBal),INDEX(PFY_Data,0,PFY_ColFirst),$A99,INDEX(PFY_Data,0,PFY_ColSur),$B99,INDEX(PFY_Data,0,PFY_ColCat),BonusCat)))</f>
        <v/>
      </c>
      <c r="T99" s="17"/>
      <c r="U99" s="13" t="str">
        <f aca="false">IF(AC99=0,"",IF(NOT(CFY_Ready),"",SUMIFS(INDEX(CFY_Data,0,CFY_ColBal),INDEX(CFY_Data,0,CFY_ColFirst),$A99,INDEX(CFY_Data,0,CFY_ColSur),$B99,INDEX(CFY_Data,0,CFY_ColCat),BonusCat)))</f>
        <v/>
      </c>
      <c r="V99" s="13" t="str">
        <f aca="false">IF(AC99=0,"",IF(OR(NOT(CFY_Ready),CFY_ColAppr=0),"",SUMIFS(INDEX(CFY_Data,0,CFY_ColAppr),INDEX(CFY_Data,0,CFY_ColFirst),$A99,INDEX(CFY_Data,0,CFY_ColSur),$B99,INDEX(CFY_Data,0,CFY_ColCat),BonusCat)))</f>
        <v/>
      </c>
      <c r="W99" s="13" t="str">
        <f aca="false">IF(OR(AC99=0,S99="",U99=""),"",MAX(0,S99+N($T99)-U99))</f>
        <v/>
      </c>
      <c r="X99" s="13" t="str">
        <f aca="false">IF(AC99=0,"",(AL99-AM99)*HoursPerDay)</f>
        <v/>
      </c>
      <c r="Y99" s="13" t="str">
        <f aca="false">IF(AC99=0,"",X99-N($T99))</f>
        <v/>
      </c>
      <c r="Z99" s="12" t="str">
        <f aca="false">IF(AC99=0,"",IF(Y99&gt;0,"Yes","No"))</f>
        <v/>
      </c>
      <c r="AA99" s="12" t="str">
        <f aca="false">IF(AC99=0,"",IF(NOT(CFY_Ready),"Paste CFY EH export",IF(Y99&gt;0,"ACCRUE "&amp;TEXT(Y99,"0.##")&amp;" hrs ("&amp;TEXT(Y99/HoursPerDay,"0.##")&amp;" days)"&amp;IF(AO99=0," - no Bonus Leave line in EH yet",""),IF(Y99&lt;0,"CHECK - posted "&amp;TEXT(-Y99,"0.##")&amp;" hrs more than policy",IF(AND(N99&gt;0,AO99=0,U99=0),"CHECK - policy says "&amp;TEXT(M99,"0.##")&amp;" hrs to date but nothing in EH",IF(N99&gt;0,"OK","-"))))))</f>
        <v/>
      </c>
      <c r="AB99" s="13" t="str">
        <f aca="false">IF(OR(AC99=0,S99=""),"",AM99*HoursPerDay-S99)</f>
        <v/>
      </c>
      <c r="AC99" s="12" t="n">
        <f aca="false">IF(OR(LEN($A99&amp;$B99)=0,$F99=""),0,1)</f>
        <v>0</v>
      </c>
      <c r="AD99" s="10" t="str">
        <f aca="false">IF(AC99=0,"",IF($I99&lt;&gt;"",$I99,$F99))</f>
        <v/>
      </c>
      <c r="AE99" s="10" t="str">
        <f aca="false">IF(AC99=0,"",IF(AND($G99&lt;&gt;"",$H99&lt;&gt;"",$G99&lt;&gt;$H99),MAX($G99,$H99),""))</f>
        <v/>
      </c>
      <c r="AF99" s="12" t="str">
        <f aca="false">IF(AC99=0,"",IF(AE99="",AG99,IF(IF($G99&lt;$H99,"Part-Time","Full-Time")="Full-Time","FT",IF(AND(IF($G99&lt;$H99,"Part-Time","Full-Time")="Part-Time",OR($O99="",N($O99)&gt;=PT_MinHours)),"PT","None"))))</f>
        <v/>
      </c>
      <c r="AG99" s="12" t="str">
        <f aca="false">IF(AC99=0,"",IF($C99="Full-Time","FT",IF(AND($C99="Part-Time",OR($O99="",N($O99)&gt;=PT_MinHours)),"PT","None")))</f>
        <v/>
      </c>
      <c r="AH99" s="12" t="str">
        <f aca="false">IF(AC99=0,"",IF(AsOfDate&lt;AD99,-1,12*(YEAR(AsOfDate)-YEAR(AD99))+MONTH(AsOfDate)-MONTH(AD99)-IF(DAY(AsOfDate)&lt;MIN(DAY(AD99),DAY(EOMONTH(AsOfDate,0))),1,0)))</f>
        <v/>
      </c>
      <c r="AI99" s="12" t="str">
        <f aca="false">IF(AC99=0,"",IF(OR(AE99="",AE99&gt;AsOfDate),AH99,IF((AE99-1)&lt;AD99,-1,12*(YEAR((AE99-1))-YEAR(AD99))+MONTH((AE99-1))-MONTH(AD99)-IF(DAY((AE99-1))&lt;MIN(DAY(AD99),DAY(EOMONTH((AE99-1),0))),1,0))))</f>
        <v/>
      </c>
      <c r="AJ99" s="12" t="str">
        <f aca="false">IF(AC99=0,"",IF(PFYDate&lt;AD99,-1,12*(YEAR(PFYDate)-YEAR(AD99))+MONTH(PFYDate)-MONTH(AD99)-IF(DAY(PFYDate)&lt;MIN(DAY(AD99),DAY(EOMONTH(PFYDate,0))),1,0)))</f>
        <v/>
      </c>
      <c r="AK99" s="12" t="str">
        <f aca="false">IF(AC99=0,"",IF(OR(AE99="",AE99&gt;PFYDate),AJ99,IF((AE99-1)&lt;AD99,-1,12*(YEAR((AE99-1))-YEAR(AD99))+MONTH((AE99-1))-MONTH(AD99)-IF(DAY((AE99-1))&lt;MIN(DAY(AD99),DAY(EOMONTH((AE99-1),0))),1,0))))</f>
        <v/>
      </c>
      <c r="AL99" s="12" t="str">
        <f aca="false">IF(AC99=0,"",IF(AF99="FT",IF(AI99&lt;FT_First,0,IF(AI99&lt;FT_Y5,1+INT((AI99-FT_First)/FT_Int1),FT_PreY5+FT_PerYear*INT((AI99-FT_Y5)/12)+FT_AnnivDays+INT(MOD(AI99-FT_Y5,12)/FT_Int2))),IF(AF99="PT",IF(AI99&lt;PT_First,0,1+INT((AI99-PT_First)/PT_Int)),0))+IF(OR(AE99="",AE99&gt;AsOfDate),0,IF(AG99="FT",IF(AH99&lt;FT_First,0,IF(AH99&lt;FT_Y5,1+INT((AH99-FT_First)/FT_Int1),FT_PreY5+FT_PerYear*INT((AH99-FT_Y5)/12)+FT_AnnivDays+INT(MOD(AH99-FT_Y5,12)/FT_Int2))),IF(AG99="PT",IF(AH99&lt;PT_First,0,1+INT((AH99-PT_First)/PT_Int)),0))-IF(AG99="FT",IF(AI99&lt;FT_First,0,IF(AI99&lt;FT_Y5,1+INT((AI99-FT_First)/FT_Int1),FT_PreY5+FT_PerYear*INT((AI99-FT_Y5)/12)+FT_AnnivDays+INT(MOD(AI99-FT_Y5,12)/FT_Int2))),IF(AG99="PT",IF(AI99&lt;PT_First,0,1+INT((AI99-PT_First)/PT_Int)),0))))</f>
        <v/>
      </c>
      <c r="AM99" s="12" t="str">
        <f aca="false">IF(AC99=0,"",IF(AF99="FT",IF(AK99&lt;FT_First,0,IF(AK99&lt;FT_Y5,1+INT((AK99-FT_First)/FT_Int1),FT_PreY5+FT_PerYear*INT((AK99-FT_Y5)/12)+FT_AnnivDays+INT(MOD(AK99-FT_Y5,12)/FT_Int2))),IF(AF99="PT",IF(AK99&lt;PT_First,0,1+INT((AK99-PT_First)/PT_Int)),0))+IF(OR(AE99="",AE99&gt;PFYDate),0,IF(AG99="FT",IF(AJ99&lt;FT_First,0,IF(AJ99&lt;FT_Y5,1+INT((AJ99-FT_First)/FT_Int1),FT_PreY5+FT_PerYear*INT((AJ99-FT_Y5)/12)+FT_AnnivDays+INT(MOD(AJ99-FT_Y5,12)/FT_Int2))),IF(AG99="PT",IF(AJ99&lt;PT_First,0,1+INT((AJ99-PT_First)/PT_Int)),0))-IF(AG99="FT",IF(AK99&lt;FT_First,0,IF(AK99&lt;FT_Y5,1+INT((AK99-FT_First)/FT_Int1),FT_PreY5+FT_PerYear*INT((AK99-FT_Y5)/12)+FT_AnnivDays+INT(MOD(AK99-FT_Y5,12)/FT_Int2))),IF(AG99="PT",IF(AK99&lt;PT_First,0,1+INT((AK99-PT_First)/PT_Int)),0))))</f>
        <v/>
      </c>
      <c r="AN99" s="12" t="str">
        <f aca="false">IF(AC99=0,"",IF(AG99="FT",IF(AH99&lt;FT_First,FT_First,IF(AH99&lt;FT_Y5,MIN(FT_Y5,FT_First+FT_Int1*(INT((AH99-FT_First)/FT_Int1)+1)),FT_Y5+12*INT((AH99-FT_Y5)/12)+FT_Int2*(INT(MOD(AH99-FT_Y5,12)/FT_Int2)+1))),IF(AG99="PT",IF(AH99&lt;PT_First,PT_First,PT_First+PT_Int*(INT((AH99-PT_First)/PT_Int)+1)),"")))</f>
        <v/>
      </c>
      <c r="AO99" s="12" t="str">
        <f aca="false">IF(AC99=0,"",IF(NOT(CFY_Ready),0,COUNTIFS(INDEX(CFY_Data,0,CFY_ColFirst),$A99,INDEX(CFY_Data,0,CFY_ColSur),$B99,INDEX(CFY_Data,0,CFY_ColCat),BonusCat)))</f>
        <v/>
      </c>
    </row>
    <row r="100" customFormat="false" ht="15" hidden="false" customHeight="false" outlineLevel="0" collapsed="false">
      <c r="A100" s="15"/>
      <c r="B100" s="15"/>
      <c r="C100" s="15"/>
      <c r="D100" s="16"/>
      <c r="E100" s="10" t="str">
        <f aca="false">IF(OR(AC100=0,$D100=""),"",DATE(YEAR(AsOfDate)+IF(DATE(YEAR(AsOfDate),MONTH($D100),DAY($D100))&lt;=AsOfDate,1,0),MONTH($D100),DAY($D100)))</f>
        <v/>
      </c>
      <c r="F100" s="16"/>
      <c r="G100" s="16"/>
      <c r="H100" s="16"/>
      <c r="I100" s="16"/>
      <c r="J100" s="10" t="str">
        <f aca="false">IF(AC100=0,"",DATE(YEAR(AsOfDate)+IF(DATE(YEAR(AsOfDate),MONTH($F100),DAY($F100))&lt;=AsOfDate,1,0),MONTH($F100),DAY($F100)))</f>
        <v/>
      </c>
      <c r="K100" s="11" t="str">
        <f aca="false">IF(AC100=0,"",ROUND((AsOfDate-$F100)/365.25,1))</f>
        <v/>
      </c>
      <c r="L100" s="12" t="str">
        <f aca="false">IF(AC100=0,"",IF(AsOfDate&lt;AD100,"-",DATEDIF(AD100,AsOfDate,"y")&amp;"y "&amp;DATEDIF(AD100,AsOfDate,"ym")&amp;"m "&amp;DATEDIF(AD100,AsOfDate,"md")&amp;"d"))</f>
        <v/>
      </c>
      <c r="M100" s="13" t="str">
        <f aca="false">IF(AC100=0,"",N100*HoursPerDay)</f>
        <v/>
      </c>
      <c r="N100" s="13" t="str">
        <f aca="false">IF(AC100=0,"",AL100)</f>
        <v/>
      </c>
      <c r="O100" s="17"/>
      <c r="P100" s="12" t="str">
        <f aca="false">IF(AC100=0,"",IF(AE100="","",IF($G100&lt;$H100,"Part-Time to Full-Time","Full-Time to Part-Time")&amp;" on "&amp;TEXT(AE100,"dd/mm/yyyy")&amp;IF(AE100&gt;AsOfDate," (future)",IF(AF100=AG100,"",IF(AG100="None"," - STOPPED accruing",IF(AF100="None"," - now qualifying"," - pathway changed"))))))</f>
        <v/>
      </c>
      <c r="Q100" s="12" t="str">
        <f aca="false">IF(AC100=0,"",IF(AG100="None",IF(N100&gt;0,"No longer accruing","Not eligible - "&amp;IF(AND($C100="Part-Time",N($O100)&lt;PT_MinHours,$O100&lt;&gt;""),"under "&amp;PT_MinHours&amp;" hrs",$C100)),IF(N100&gt;0,"Yes - accruing","Not yet - from "&amp;TEXT(R100,"dd/mm/yyyy"))))</f>
        <v/>
      </c>
      <c r="R100" s="10" t="str">
        <f aca="false">IF(AC100=0,"",IF(AG100="None","",EDATE(AD100,AN100)))</f>
        <v/>
      </c>
      <c r="S100" s="13" t="str">
        <f aca="false">IF(AC100=0,"",IF(NOT(PFY_Ready),"",SUMIFS(INDEX(PFY_Data,0,PFY_ColBal),INDEX(PFY_Data,0,PFY_ColFirst),$A100,INDEX(PFY_Data,0,PFY_ColSur),$B100,INDEX(PFY_Data,0,PFY_ColCat),BonusCat)))</f>
        <v/>
      </c>
      <c r="T100" s="17"/>
      <c r="U100" s="13" t="str">
        <f aca="false">IF(AC100=0,"",IF(NOT(CFY_Ready),"",SUMIFS(INDEX(CFY_Data,0,CFY_ColBal),INDEX(CFY_Data,0,CFY_ColFirst),$A100,INDEX(CFY_Data,0,CFY_ColSur),$B100,INDEX(CFY_Data,0,CFY_ColCat),BonusCat)))</f>
        <v/>
      </c>
      <c r="V100" s="13" t="str">
        <f aca="false">IF(AC100=0,"",IF(OR(NOT(CFY_Ready),CFY_ColAppr=0),"",SUMIFS(INDEX(CFY_Data,0,CFY_ColAppr),INDEX(CFY_Data,0,CFY_ColFirst),$A100,INDEX(CFY_Data,0,CFY_ColSur),$B100,INDEX(CFY_Data,0,CFY_ColCat),BonusCat)))</f>
        <v/>
      </c>
      <c r="W100" s="13" t="str">
        <f aca="false">IF(OR(AC100=0,S100="",U100=""),"",MAX(0,S100+N($T100)-U100))</f>
        <v/>
      </c>
      <c r="X100" s="13" t="str">
        <f aca="false">IF(AC100=0,"",(AL100-AM100)*HoursPerDay)</f>
        <v/>
      </c>
      <c r="Y100" s="13" t="str">
        <f aca="false">IF(AC100=0,"",X100-N($T100))</f>
        <v/>
      </c>
      <c r="Z100" s="12" t="str">
        <f aca="false">IF(AC100=0,"",IF(Y100&gt;0,"Yes","No"))</f>
        <v/>
      </c>
      <c r="AA100" s="12" t="str">
        <f aca="false">IF(AC100=0,"",IF(NOT(CFY_Ready),"Paste CFY EH export",IF(Y100&gt;0,"ACCRUE "&amp;TEXT(Y100,"0.##")&amp;" hrs ("&amp;TEXT(Y100/HoursPerDay,"0.##")&amp;" days)"&amp;IF(AO100=0," - no Bonus Leave line in EH yet",""),IF(Y100&lt;0,"CHECK - posted "&amp;TEXT(-Y100,"0.##")&amp;" hrs more than policy",IF(AND(N100&gt;0,AO100=0,U100=0),"CHECK - policy says "&amp;TEXT(M100,"0.##")&amp;" hrs to date but nothing in EH",IF(N100&gt;0,"OK","-"))))))</f>
        <v/>
      </c>
      <c r="AB100" s="13" t="str">
        <f aca="false">IF(OR(AC100=0,S100=""),"",AM100*HoursPerDay-S100)</f>
        <v/>
      </c>
      <c r="AC100" s="12" t="n">
        <f aca="false">IF(OR(LEN($A100&amp;$B100)=0,$F100=""),0,1)</f>
        <v>0</v>
      </c>
      <c r="AD100" s="10" t="str">
        <f aca="false">IF(AC100=0,"",IF($I100&lt;&gt;"",$I100,$F100))</f>
        <v/>
      </c>
      <c r="AE100" s="10" t="str">
        <f aca="false">IF(AC100=0,"",IF(AND($G100&lt;&gt;"",$H100&lt;&gt;"",$G100&lt;&gt;$H100),MAX($G100,$H100),""))</f>
        <v/>
      </c>
      <c r="AF100" s="12" t="str">
        <f aca="false">IF(AC100=0,"",IF(AE100="",AG100,IF(IF($G100&lt;$H100,"Part-Time","Full-Time")="Full-Time","FT",IF(AND(IF($G100&lt;$H100,"Part-Time","Full-Time")="Part-Time",OR($O100="",N($O100)&gt;=PT_MinHours)),"PT","None"))))</f>
        <v/>
      </c>
      <c r="AG100" s="12" t="str">
        <f aca="false">IF(AC100=0,"",IF($C100="Full-Time","FT",IF(AND($C100="Part-Time",OR($O100="",N($O100)&gt;=PT_MinHours)),"PT","None")))</f>
        <v/>
      </c>
      <c r="AH100" s="12" t="str">
        <f aca="false">IF(AC100=0,"",IF(AsOfDate&lt;AD100,-1,12*(YEAR(AsOfDate)-YEAR(AD100))+MONTH(AsOfDate)-MONTH(AD100)-IF(DAY(AsOfDate)&lt;MIN(DAY(AD100),DAY(EOMONTH(AsOfDate,0))),1,0)))</f>
        <v/>
      </c>
      <c r="AI100" s="12" t="str">
        <f aca="false">IF(AC100=0,"",IF(OR(AE100="",AE100&gt;AsOfDate),AH100,IF((AE100-1)&lt;AD100,-1,12*(YEAR((AE100-1))-YEAR(AD100))+MONTH((AE100-1))-MONTH(AD100)-IF(DAY((AE100-1))&lt;MIN(DAY(AD100),DAY(EOMONTH((AE100-1),0))),1,0))))</f>
        <v/>
      </c>
      <c r="AJ100" s="12" t="str">
        <f aca="false">IF(AC100=0,"",IF(PFYDate&lt;AD100,-1,12*(YEAR(PFYDate)-YEAR(AD100))+MONTH(PFYDate)-MONTH(AD100)-IF(DAY(PFYDate)&lt;MIN(DAY(AD100),DAY(EOMONTH(PFYDate,0))),1,0)))</f>
        <v/>
      </c>
      <c r="AK100" s="12" t="str">
        <f aca="false">IF(AC100=0,"",IF(OR(AE100="",AE100&gt;PFYDate),AJ100,IF((AE100-1)&lt;AD100,-1,12*(YEAR((AE100-1))-YEAR(AD100))+MONTH((AE100-1))-MONTH(AD100)-IF(DAY((AE100-1))&lt;MIN(DAY(AD100),DAY(EOMONTH((AE100-1),0))),1,0))))</f>
        <v/>
      </c>
      <c r="AL100" s="12" t="str">
        <f aca="false">IF(AC100=0,"",IF(AF100="FT",IF(AI100&lt;FT_First,0,IF(AI100&lt;FT_Y5,1+INT((AI100-FT_First)/FT_Int1),FT_PreY5+FT_PerYear*INT((AI100-FT_Y5)/12)+FT_AnnivDays+INT(MOD(AI100-FT_Y5,12)/FT_Int2))),IF(AF100="PT",IF(AI100&lt;PT_First,0,1+INT((AI100-PT_First)/PT_Int)),0))+IF(OR(AE100="",AE100&gt;AsOfDate),0,IF(AG100="FT",IF(AH100&lt;FT_First,0,IF(AH100&lt;FT_Y5,1+INT((AH100-FT_First)/FT_Int1),FT_PreY5+FT_PerYear*INT((AH100-FT_Y5)/12)+FT_AnnivDays+INT(MOD(AH100-FT_Y5,12)/FT_Int2))),IF(AG100="PT",IF(AH100&lt;PT_First,0,1+INT((AH100-PT_First)/PT_Int)),0))-IF(AG100="FT",IF(AI100&lt;FT_First,0,IF(AI100&lt;FT_Y5,1+INT((AI100-FT_First)/FT_Int1),FT_PreY5+FT_PerYear*INT((AI100-FT_Y5)/12)+FT_AnnivDays+INT(MOD(AI100-FT_Y5,12)/FT_Int2))),IF(AG100="PT",IF(AI100&lt;PT_First,0,1+INT((AI100-PT_First)/PT_Int)),0))))</f>
        <v/>
      </c>
      <c r="AM100" s="12" t="str">
        <f aca="false">IF(AC100=0,"",IF(AF100="FT",IF(AK100&lt;FT_First,0,IF(AK100&lt;FT_Y5,1+INT((AK100-FT_First)/FT_Int1),FT_PreY5+FT_PerYear*INT((AK100-FT_Y5)/12)+FT_AnnivDays+INT(MOD(AK100-FT_Y5,12)/FT_Int2))),IF(AF100="PT",IF(AK100&lt;PT_First,0,1+INT((AK100-PT_First)/PT_Int)),0))+IF(OR(AE100="",AE100&gt;PFYDate),0,IF(AG100="FT",IF(AJ100&lt;FT_First,0,IF(AJ100&lt;FT_Y5,1+INT((AJ100-FT_First)/FT_Int1),FT_PreY5+FT_PerYear*INT((AJ100-FT_Y5)/12)+FT_AnnivDays+INT(MOD(AJ100-FT_Y5,12)/FT_Int2))),IF(AG100="PT",IF(AJ100&lt;PT_First,0,1+INT((AJ100-PT_First)/PT_Int)),0))-IF(AG100="FT",IF(AK100&lt;FT_First,0,IF(AK100&lt;FT_Y5,1+INT((AK100-FT_First)/FT_Int1),FT_PreY5+FT_PerYear*INT((AK100-FT_Y5)/12)+FT_AnnivDays+INT(MOD(AK100-FT_Y5,12)/FT_Int2))),IF(AG100="PT",IF(AK100&lt;PT_First,0,1+INT((AK100-PT_First)/PT_Int)),0))))</f>
        <v/>
      </c>
      <c r="AN100" s="12" t="str">
        <f aca="false">IF(AC100=0,"",IF(AG100="FT",IF(AH100&lt;FT_First,FT_First,IF(AH100&lt;FT_Y5,MIN(FT_Y5,FT_First+FT_Int1*(INT((AH100-FT_First)/FT_Int1)+1)),FT_Y5+12*INT((AH100-FT_Y5)/12)+FT_Int2*(INT(MOD(AH100-FT_Y5,12)/FT_Int2)+1))),IF(AG100="PT",IF(AH100&lt;PT_First,PT_First,PT_First+PT_Int*(INT((AH100-PT_First)/PT_Int)+1)),"")))</f>
        <v/>
      </c>
      <c r="AO100" s="12" t="str">
        <f aca="false">IF(AC100=0,"",IF(NOT(CFY_Ready),0,COUNTIFS(INDEX(CFY_Data,0,CFY_ColFirst),$A100,INDEX(CFY_Data,0,CFY_ColSur),$B100,INDEX(CFY_Data,0,CFY_ColCat),BonusCat)))</f>
        <v/>
      </c>
    </row>
    <row r="101" customFormat="false" ht="15" hidden="false" customHeight="false" outlineLevel="0" collapsed="false">
      <c r="A101" s="15"/>
      <c r="B101" s="15"/>
      <c r="C101" s="15"/>
      <c r="D101" s="16"/>
      <c r="E101" s="10" t="str">
        <f aca="false">IF(OR(AC101=0,$D101=""),"",DATE(YEAR(AsOfDate)+IF(DATE(YEAR(AsOfDate),MONTH($D101),DAY($D101))&lt;=AsOfDate,1,0),MONTH($D101),DAY($D101)))</f>
        <v/>
      </c>
      <c r="F101" s="16"/>
      <c r="G101" s="16"/>
      <c r="H101" s="16"/>
      <c r="I101" s="16"/>
      <c r="J101" s="10" t="str">
        <f aca="false">IF(AC101=0,"",DATE(YEAR(AsOfDate)+IF(DATE(YEAR(AsOfDate),MONTH($F101),DAY($F101))&lt;=AsOfDate,1,0),MONTH($F101),DAY($F101)))</f>
        <v/>
      </c>
      <c r="K101" s="11" t="str">
        <f aca="false">IF(AC101=0,"",ROUND((AsOfDate-$F101)/365.25,1))</f>
        <v/>
      </c>
      <c r="L101" s="12" t="str">
        <f aca="false">IF(AC101=0,"",IF(AsOfDate&lt;AD101,"-",DATEDIF(AD101,AsOfDate,"y")&amp;"y "&amp;DATEDIF(AD101,AsOfDate,"ym")&amp;"m "&amp;DATEDIF(AD101,AsOfDate,"md")&amp;"d"))</f>
        <v/>
      </c>
      <c r="M101" s="13" t="str">
        <f aca="false">IF(AC101=0,"",N101*HoursPerDay)</f>
        <v/>
      </c>
      <c r="N101" s="13" t="str">
        <f aca="false">IF(AC101=0,"",AL101)</f>
        <v/>
      </c>
      <c r="O101" s="17"/>
      <c r="P101" s="12" t="str">
        <f aca="false">IF(AC101=0,"",IF(AE101="","",IF($G101&lt;$H101,"Part-Time to Full-Time","Full-Time to Part-Time")&amp;" on "&amp;TEXT(AE101,"dd/mm/yyyy")&amp;IF(AE101&gt;AsOfDate," (future)",IF(AF101=AG101,"",IF(AG101="None"," - STOPPED accruing",IF(AF101="None"," - now qualifying"," - pathway changed"))))))</f>
        <v/>
      </c>
      <c r="Q101" s="12" t="str">
        <f aca="false">IF(AC101=0,"",IF(AG101="None",IF(N101&gt;0,"No longer accruing","Not eligible - "&amp;IF(AND($C101="Part-Time",N($O101)&lt;PT_MinHours,$O101&lt;&gt;""),"under "&amp;PT_MinHours&amp;" hrs",$C101)),IF(N101&gt;0,"Yes - accruing","Not yet - from "&amp;TEXT(R101,"dd/mm/yyyy"))))</f>
        <v/>
      </c>
      <c r="R101" s="10" t="str">
        <f aca="false">IF(AC101=0,"",IF(AG101="None","",EDATE(AD101,AN101)))</f>
        <v/>
      </c>
      <c r="S101" s="13" t="str">
        <f aca="false">IF(AC101=0,"",IF(NOT(PFY_Ready),"",SUMIFS(INDEX(PFY_Data,0,PFY_ColBal),INDEX(PFY_Data,0,PFY_ColFirst),$A101,INDEX(PFY_Data,0,PFY_ColSur),$B101,INDEX(PFY_Data,0,PFY_ColCat),BonusCat)))</f>
        <v/>
      </c>
      <c r="T101" s="17"/>
      <c r="U101" s="13" t="str">
        <f aca="false">IF(AC101=0,"",IF(NOT(CFY_Ready),"",SUMIFS(INDEX(CFY_Data,0,CFY_ColBal),INDEX(CFY_Data,0,CFY_ColFirst),$A101,INDEX(CFY_Data,0,CFY_ColSur),$B101,INDEX(CFY_Data,0,CFY_ColCat),BonusCat)))</f>
        <v/>
      </c>
      <c r="V101" s="13" t="str">
        <f aca="false">IF(AC101=0,"",IF(OR(NOT(CFY_Ready),CFY_ColAppr=0),"",SUMIFS(INDEX(CFY_Data,0,CFY_ColAppr),INDEX(CFY_Data,0,CFY_ColFirst),$A101,INDEX(CFY_Data,0,CFY_ColSur),$B101,INDEX(CFY_Data,0,CFY_ColCat),BonusCat)))</f>
        <v/>
      </c>
      <c r="W101" s="13" t="str">
        <f aca="false">IF(OR(AC101=0,S101="",U101=""),"",MAX(0,S101+N($T101)-U101))</f>
        <v/>
      </c>
      <c r="X101" s="13" t="str">
        <f aca="false">IF(AC101=0,"",(AL101-AM101)*HoursPerDay)</f>
        <v/>
      </c>
      <c r="Y101" s="13" t="str">
        <f aca="false">IF(AC101=0,"",X101-N($T101))</f>
        <v/>
      </c>
      <c r="Z101" s="12" t="str">
        <f aca="false">IF(AC101=0,"",IF(Y101&gt;0,"Yes","No"))</f>
        <v/>
      </c>
      <c r="AA101" s="12" t="str">
        <f aca="false">IF(AC101=0,"",IF(NOT(CFY_Ready),"Paste CFY EH export",IF(Y101&gt;0,"ACCRUE "&amp;TEXT(Y101,"0.##")&amp;" hrs ("&amp;TEXT(Y101/HoursPerDay,"0.##")&amp;" days)"&amp;IF(AO101=0," - no Bonus Leave line in EH yet",""),IF(Y101&lt;0,"CHECK - posted "&amp;TEXT(-Y101,"0.##")&amp;" hrs more than policy",IF(AND(N101&gt;0,AO101=0,U101=0),"CHECK - policy says "&amp;TEXT(M101,"0.##")&amp;" hrs to date but nothing in EH",IF(N101&gt;0,"OK","-"))))))</f>
        <v/>
      </c>
      <c r="AB101" s="13" t="str">
        <f aca="false">IF(OR(AC101=0,S101=""),"",AM101*HoursPerDay-S101)</f>
        <v/>
      </c>
      <c r="AC101" s="12" t="n">
        <f aca="false">IF(OR(LEN($A101&amp;$B101)=0,$F101=""),0,1)</f>
        <v>0</v>
      </c>
      <c r="AD101" s="10" t="str">
        <f aca="false">IF(AC101=0,"",IF($I101&lt;&gt;"",$I101,$F101))</f>
        <v/>
      </c>
      <c r="AE101" s="10" t="str">
        <f aca="false">IF(AC101=0,"",IF(AND($G101&lt;&gt;"",$H101&lt;&gt;"",$G101&lt;&gt;$H101),MAX($G101,$H101),""))</f>
        <v/>
      </c>
      <c r="AF101" s="12" t="str">
        <f aca="false">IF(AC101=0,"",IF(AE101="",AG101,IF(IF($G101&lt;$H101,"Part-Time","Full-Time")="Full-Time","FT",IF(AND(IF($G101&lt;$H101,"Part-Time","Full-Time")="Part-Time",OR($O101="",N($O101)&gt;=PT_MinHours)),"PT","None"))))</f>
        <v/>
      </c>
      <c r="AG101" s="12" t="str">
        <f aca="false">IF(AC101=0,"",IF($C101="Full-Time","FT",IF(AND($C101="Part-Time",OR($O101="",N($O101)&gt;=PT_MinHours)),"PT","None")))</f>
        <v/>
      </c>
      <c r="AH101" s="12" t="str">
        <f aca="false">IF(AC101=0,"",IF(AsOfDate&lt;AD101,-1,12*(YEAR(AsOfDate)-YEAR(AD101))+MONTH(AsOfDate)-MONTH(AD101)-IF(DAY(AsOfDate)&lt;MIN(DAY(AD101),DAY(EOMONTH(AsOfDate,0))),1,0)))</f>
        <v/>
      </c>
      <c r="AI101" s="12" t="str">
        <f aca="false">IF(AC101=0,"",IF(OR(AE101="",AE101&gt;AsOfDate),AH101,IF((AE101-1)&lt;AD101,-1,12*(YEAR((AE101-1))-YEAR(AD101))+MONTH((AE101-1))-MONTH(AD101)-IF(DAY((AE101-1))&lt;MIN(DAY(AD101),DAY(EOMONTH((AE101-1),0))),1,0))))</f>
        <v/>
      </c>
      <c r="AJ101" s="12" t="str">
        <f aca="false">IF(AC101=0,"",IF(PFYDate&lt;AD101,-1,12*(YEAR(PFYDate)-YEAR(AD101))+MONTH(PFYDate)-MONTH(AD101)-IF(DAY(PFYDate)&lt;MIN(DAY(AD101),DAY(EOMONTH(PFYDate,0))),1,0)))</f>
        <v/>
      </c>
      <c r="AK101" s="12" t="str">
        <f aca="false">IF(AC101=0,"",IF(OR(AE101="",AE101&gt;PFYDate),AJ101,IF((AE101-1)&lt;AD101,-1,12*(YEAR((AE101-1))-YEAR(AD101))+MONTH((AE101-1))-MONTH(AD101)-IF(DAY((AE101-1))&lt;MIN(DAY(AD101),DAY(EOMONTH((AE101-1),0))),1,0))))</f>
        <v/>
      </c>
      <c r="AL101" s="12" t="str">
        <f aca="false">IF(AC101=0,"",IF(AF101="FT",IF(AI101&lt;FT_First,0,IF(AI101&lt;FT_Y5,1+INT((AI101-FT_First)/FT_Int1),FT_PreY5+FT_PerYear*INT((AI101-FT_Y5)/12)+FT_AnnivDays+INT(MOD(AI101-FT_Y5,12)/FT_Int2))),IF(AF101="PT",IF(AI101&lt;PT_First,0,1+INT((AI101-PT_First)/PT_Int)),0))+IF(OR(AE101="",AE101&gt;AsOfDate),0,IF(AG101="FT",IF(AH101&lt;FT_First,0,IF(AH101&lt;FT_Y5,1+INT((AH101-FT_First)/FT_Int1),FT_PreY5+FT_PerYear*INT((AH101-FT_Y5)/12)+FT_AnnivDays+INT(MOD(AH101-FT_Y5,12)/FT_Int2))),IF(AG101="PT",IF(AH101&lt;PT_First,0,1+INT((AH101-PT_First)/PT_Int)),0))-IF(AG101="FT",IF(AI101&lt;FT_First,0,IF(AI101&lt;FT_Y5,1+INT((AI101-FT_First)/FT_Int1),FT_PreY5+FT_PerYear*INT((AI101-FT_Y5)/12)+FT_AnnivDays+INT(MOD(AI101-FT_Y5,12)/FT_Int2))),IF(AG101="PT",IF(AI101&lt;PT_First,0,1+INT((AI101-PT_First)/PT_Int)),0))))</f>
        <v/>
      </c>
      <c r="AM101" s="12" t="str">
        <f aca="false">IF(AC101=0,"",IF(AF101="FT",IF(AK101&lt;FT_First,0,IF(AK101&lt;FT_Y5,1+INT((AK101-FT_First)/FT_Int1),FT_PreY5+FT_PerYear*INT((AK101-FT_Y5)/12)+FT_AnnivDays+INT(MOD(AK101-FT_Y5,12)/FT_Int2))),IF(AF101="PT",IF(AK101&lt;PT_First,0,1+INT((AK101-PT_First)/PT_Int)),0))+IF(OR(AE101="",AE101&gt;PFYDate),0,IF(AG101="FT",IF(AJ101&lt;FT_First,0,IF(AJ101&lt;FT_Y5,1+INT((AJ101-FT_First)/FT_Int1),FT_PreY5+FT_PerYear*INT((AJ101-FT_Y5)/12)+FT_AnnivDays+INT(MOD(AJ101-FT_Y5,12)/FT_Int2))),IF(AG101="PT",IF(AJ101&lt;PT_First,0,1+INT((AJ101-PT_First)/PT_Int)),0))-IF(AG101="FT",IF(AK101&lt;FT_First,0,IF(AK101&lt;FT_Y5,1+INT((AK101-FT_First)/FT_Int1),FT_PreY5+FT_PerYear*INT((AK101-FT_Y5)/12)+FT_AnnivDays+INT(MOD(AK101-FT_Y5,12)/FT_Int2))),IF(AG101="PT",IF(AK101&lt;PT_First,0,1+INT((AK101-PT_First)/PT_Int)),0))))</f>
        <v/>
      </c>
      <c r="AN101" s="12" t="str">
        <f aca="false">IF(AC101=0,"",IF(AG101="FT",IF(AH101&lt;FT_First,FT_First,IF(AH101&lt;FT_Y5,MIN(FT_Y5,FT_First+FT_Int1*(INT((AH101-FT_First)/FT_Int1)+1)),FT_Y5+12*INT((AH101-FT_Y5)/12)+FT_Int2*(INT(MOD(AH101-FT_Y5,12)/FT_Int2)+1))),IF(AG101="PT",IF(AH101&lt;PT_First,PT_First,PT_First+PT_Int*(INT((AH101-PT_First)/PT_Int)+1)),"")))</f>
        <v/>
      </c>
      <c r="AO101" s="12" t="str">
        <f aca="false">IF(AC101=0,"",IF(NOT(CFY_Ready),0,COUNTIFS(INDEX(CFY_Data,0,CFY_ColFirst),$A101,INDEX(CFY_Data,0,CFY_ColSur),$B101,INDEX(CFY_Data,0,CFY_ColCat),BonusCat)))</f>
        <v/>
      </c>
    </row>
    <row r="102" customFormat="false" ht="15" hidden="false" customHeight="false" outlineLevel="0" collapsed="false">
      <c r="A102" s="15"/>
      <c r="B102" s="15"/>
      <c r="C102" s="15"/>
      <c r="D102" s="16"/>
      <c r="E102" s="10" t="str">
        <f aca="false">IF(OR(AC102=0,$D102=""),"",DATE(YEAR(AsOfDate)+IF(DATE(YEAR(AsOfDate),MONTH($D102),DAY($D102))&lt;=AsOfDate,1,0),MONTH($D102),DAY($D102)))</f>
        <v/>
      </c>
      <c r="F102" s="16"/>
      <c r="G102" s="16"/>
      <c r="H102" s="16"/>
      <c r="I102" s="16"/>
      <c r="J102" s="10" t="str">
        <f aca="false">IF(AC102=0,"",DATE(YEAR(AsOfDate)+IF(DATE(YEAR(AsOfDate),MONTH($F102),DAY($F102))&lt;=AsOfDate,1,0),MONTH($F102),DAY($F102)))</f>
        <v/>
      </c>
      <c r="K102" s="11" t="str">
        <f aca="false">IF(AC102=0,"",ROUND((AsOfDate-$F102)/365.25,1))</f>
        <v/>
      </c>
      <c r="L102" s="12" t="str">
        <f aca="false">IF(AC102=0,"",IF(AsOfDate&lt;AD102,"-",DATEDIF(AD102,AsOfDate,"y")&amp;"y "&amp;DATEDIF(AD102,AsOfDate,"ym")&amp;"m "&amp;DATEDIF(AD102,AsOfDate,"md")&amp;"d"))</f>
        <v/>
      </c>
      <c r="M102" s="13" t="str">
        <f aca="false">IF(AC102=0,"",N102*HoursPerDay)</f>
        <v/>
      </c>
      <c r="N102" s="13" t="str">
        <f aca="false">IF(AC102=0,"",AL102)</f>
        <v/>
      </c>
      <c r="O102" s="17"/>
      <c r="P102" s="12" t="str">
        <f aca="false">IF(AC102=0,"",IF(AE102="","",IF($G102&lt;$H102,"Part-Time to Full-Time","Full-Time to Part-Time")&amp;" on "&amp;TEXT(AE102,"dd/mm/yyyy")&amp;IF(AE102&gt;AsOfDate," (future)",IF(AF102=AG102,"",IF(AG102="None"," - STOPPED accruing",IF(AF102="None"," - now qualifying"," - pathway changed"))))))</f>
        <v/>
      </c>
      <c r="Q102" s="12" t="str">
        <f aca="false">IF(AC102=0,"",IF(AG102="None",IF(N102&gt;0,"No longer accruing","Not eligible - "&amp;IF(AND($C102="Part-Time",N($O102)&lt;PT_MinHours,$O102&lt;&gt;""),"under "&amp;PT_MinHours&amp;" hrs",$C102)),IF(N102&gt;0,"Yes - accruing","Not yet - from "&amp;TEXT(R102,"dd/mm/yyyy"))))</f>
        <v/>
      </c>
      <c r="R102" s="10" t="str">
        <f aca="false">IF(AC102=0,"",IF(AG102="None","",EDATE(AD102,AN102)))</f>
        <v/>
      </c>
      <c r="S102" s="13" t="str">
        <f aca="false">IF(AC102=0,"",IF(NOT(PFY_Ready),"",SUMIFS(INDEX(PFY_Data,0,PFY_ColBal),INDEX(PFY_Data,0,PFY_ColFirst),$A102,INDEX(PFY_Data,0,PFY_ColSur),$B102,INDEX(PFY_Data,0,PFY_ColCat),BonusCat)))</f>
        <v/>
      </c>
      <c r="T102" s="17"/>
      <c r="U102" s="13" t="str">
        <f aca="false">IF(AC102=0,"",IF(NOT(CFY_Ready),"",SUMIFS(INDEX(CFY_Data,0,CFY_ColBal),INDEX(CFY_Data,0,CFY_ColFirst),$A102,INDEX(CFY_Data,0,CFY_ColSur),$B102,INDEX(CFY_Data,0,CFY_ColCat),BonusCat)))</f>
        <v/>
      </c>
      <c r="V102" s="13" t="str">
        <f aca="false">IF(AC102=0,"",IF(OR(NOT(CFY_Ready),CFY_ColAppr=0),"",SUMIFS(INDEX(CFY_Data,0,CFY_ColAppr),INDEX(CFY_Data,0,CFY_ColFirst),$A102,INDEX(CFY_Data,0,CFY_ColSur),$B102,INDEX(CFY_Data,0,CFY_ColCat),BonusCat)))</f>
        <v/>
      </c>
      <c r="W102" s="13" t="str">
        <f aca="false">IF(OR(AC102=0,S102="",U102=""),"",MAX(0,S102+N($T102)-U102))</f>
        <v/>
      </c>
      <c r="X102" s="13" t="str">
        <f aca="false">IF(AC102=0,"",(AL102-AM102)*HoursPerDay)</f>
        <v/>
      </c>
      <c r="Y102" s="13" t="str">
        <f aca="false">IF(AC102=0,"",X102-N($T102))</f>
        <v/>
      </c>
      <c r="Z102" s="12" t="str">
        <f aca="false">IF(AC102=0,"",IF(Y102&gt;0,"Yes","No"))</f>
        <v/>
      </c>
      <c r="AA102" s="12" t="str">
        <f aca="false">IF(AC102=0,"",IF(NOT(CFY_Ready),"Paste CFY EH export",IF(Y102&gt;0,"ACCRUE "&amp;TEXT(Y102,"0.##")&amp;" hrs ("&amp;TEXT(Y102/HoursPerDay,"0.##")&amp;" days)"&amp;IF(AO102=0," - no Bonus Leave line in EH yet",""),IF(Y102&lt;0,"CHECK - posted "&amp;TEXT(-Y102,"0.##")&amp;" hrs more than policy",IF(AND(N102&gt;0,AO102=0,U102=0),"CHECK - policy says "&amp;TEXT(M102,"0.##")&amp;" hrs to date but nothing in EH",IF(N102&gt;0,"OK","-"))))))</f>
        <v/>
      </c>
      <c r="AB102" s="13" t="str">
        <f aca="false">IF(OR(AC102=0,S102=""),"",AM102*HoursPerDay-S102)</f>
        <v/>
      </c>
      <c r="AC102" s="12" t="n">
        <f aca="false">IF(OR(LEN($A102&amp;$B102)=0,$F102=""),0,1)</f>
        <v>0</v>
      </c>
      <c r="AD102" s="10" t="str">
        <f aca="false">IF(AC102=0,"",IF($I102&lt;&gt;"",$I102,$F102))</f>
        <v/>
      </c>
      <c r="AE102" s="10" t="str">
        <f aca="false">IF(AC102=0,"",IF(AND($G102&lt;&gt;"",$H102&lt;&gt;"",$G102&lt;&gt;$H102),MAX($G102,$H102),""))</f>
        <v/>
      </c>
      <c r="AF102" s="12" t="str">
        <f aca="false">IF(AC102=0,"",IF(AE102="",AG102,IF(IF($G102&lt;$H102,"Part-Time","Full-Time")="Full-Time","FT",IF(AND(IF($G102&lt;$H102,"Part-Time","Full-Time")="Part-Time",OR($O102="",N($O102)&gt;=PT_MinHours)),"PT","None"))))</f>
        <v/>
      </c>
      <c r="AG102" s="12" t="str">
        <f aca="false">IF(AC102=0,"",IF($C102="Full-Time","FT",IF(AND($C102="Part-Time",OR($O102="",N($O102)&gt;=PT_MinHours)),"PT","None")))</f>
        <v/>
      </c>
      <c r="AH102" s="12" t="str">
        <f aca="false">IF(AC102=0,"",IF(AsOfDate&lt;AD102,-1,12*(YEAR(AsOfDate)-YEAR(AD102))+MONTH(AsOfDate)-MONTH(AD102)-IF(DAY(AsOfDate)&lt;MIN(DAY(AD102),DAY(EOMONTH(AsOfDate,0))),1,0)))</f>
        <v/>
      </c>
      <c r="AI102" s="12" t="str">
        <f aca="false">IF(AC102=0,"",IF(OR(AE102="",AE102&gt;AsOfDate),AH102,IF((AE102-1)&lt;AD102,-1,12*(YEAR((AE102-1))-YEAR(AD102))+MONTH((AE102-1))-MONTH(AD102)-IF(DAY((AE102-1))&lt;MIN(DAY(AD102),DAY(EOMONTH((AE102-1),0))),1,0))))</f>
        <v/>
      </c>
      <c r="AJ102" s="12" t="str">
        <f aca="false">IF(AC102=0,"",IF(PFYDate&lt;AD102,-1,12*(YEAR(PFYDate)-YEAR(AD102))+MONTH(PFYDate)-MONTH(AD102)-IF(DAY(PFYDate)&lt;MIN(DAY(AD102),DAY(EOMONTH(PFYDate,0))),1,0)))</f>
        <v/>
      </c>
      <c r="AK102" s="12" t="str">
        <f aca="false">IF(AC102=0,"",IF(OR(AE102="",AE102&gt;PFYDate),AJ102,IF((AE102-1)&lt;AD102,-1,12*(YEAR((AE102-1))-YEAR(AD102))+MONTH((AE102-1))-MONTH(AD102)-IF(DAY((AE102-1))&lt;MIN(DAY(AD102),DAY(EOMONTH((AE102-1),0))),1,0))))</f>
        <v/>
      </c>
      <c r="AL102" s="12" t="str">
        <f aca="false">IF(AC102=0,"",IF(AF102="FT",IF(AI102&lt;FT_First,0,IF(AI102&lt;FT_Y5,1+INT((AI102-FT_First)/FT_Int1),FT_PreY5+FT_PerYear*INT((AI102-FT_Y5)/12)+FT_AnnivDays+INT(MOD(AI102-FT_Y5,12)/FT_Int2))),IF(AF102="PT",IF(AI102&lt;PT_First,0,1+INT((AI102-PT_First)/PT_Int)),0))+IF(OR(AE102="",AE102&gt;AsOfDate),0,IF(AG102="FT",IF(AH102&lt;FT_First,0,IF(AH102&lt;FT_Y5,1+INT((AH102-FT_First)/FT_Int1),FT_PreY5+FT_PerYear*INT((AH102-FT_Y5)/12)+FT_AnnivDays+INT(MOD(AH102-FT_Y5,12)/FT_Int2))),IF(AG102="PT",IF(AH102&lt;PT_First,0,1+INT((AH102-PT_First)/PT_Int)),0))-IF(AG102="FT",IF(AI102&lt;FT_First,0,IF(AI102&lt;FT_Y5,1+INT((AI102-FT_First)/FT_Int1),FT_PreY5+FT_PerYear*INT((AI102-FT_Y5)/12)+FT_AnnivDays+INT(MOD(AI102-FT_Y5,12)/FT_Int2))),IF(AG102="PT",IF(AI102&lt;PT_First,0,1+INT((AI102-PT_First)/PT_Int)),0))))</f>
        <v/>
      </c>
      <c r="AM102" s="12" t="str">
        <f aca="false">IF(AC102=0,"",IF(AF102="FT",IF(AK102&lt;FT_First,0,IF(AK102&lt;FT_Y5,1+INT((AK102-FT_First)/FT_Int1),FT_PreY5+FT_PerYear*INT((AK102-FT_Y5)/12)+FT_AnnivDays+INT(MOD(AK102-FT_Y5,12)/FT_Int2))),IF(AF102="PT",IF(AK102&lt;PT_First,0,1+INT((AK102-PT_First)/PT_Int)),0))+IF(OR(AE102="",AE102&gt;PFYDate),0,IF(AG102="FT",IF(AJ102&lt;FT_First,0,IF(AJ102&lt;FT_Y5,1+INT((AJ102-FT_First)/FT_Int1),FT_PreY5+FT_PerYear*INT((AJ102-FT_Y5)/12)+FT_AnnivDays+INT(MOD(AJ102-FT_Y5,12)/FT_Int2))),IF(AG102="PT",IF(AJ102&lt;PT_First,0,1+INT((AJ102-PT_First)/PT_Int)),0))-IF(AG102="FT",IF(AK102&lt;FT_First,0,IF(AK102&lt;FT_Y5,1+INT((AK102-FT_First)/FT_Int1),FT_PreY5+FT_PerYear*INT((AK102-FT_Y5)/12)+FT_AnnivDays+INT(MOD(AK102-FT_Y5,12)/FT_Int2))),IF(AG102="PT",IF(AK102&lt;PT_First,0,1+INT((AK102-PT_First)/PT_Int)),0))))</f>
        <v/>
      </c>
      <c r="AN102" s="12" t="str">
        <f aca="false">IF(AC102=0,"",IF(AG102="FT",IF(AH102&lt;FT_First,FT_First,IF(AH102&lt;FT_Y5,MIN(FT_Y5,FT_First+FT_Int1*(INT((AH102-FT_First)/FT_Int1)+1)),FT_Y5+12*INT((AH102-FT_Y5)/12)+FT_Int2*(INT(MOD(AH102-FT_Y5,12)/FT_Int2)+1))),IF(AG102="PT",IF(AH102&lt;PT_First,PT_First,PT_First+PT_Int*(INT((AH102-PT_First)/PT_Int)+1)),"")))</f>
        <v/>
      </c>
      <c r="AO102" s="12" t="str">
        <f aca="false">IF(AC102=0,"",IF(NOT(CFY_Ready),0,COUNTIFS(INDEX(CFY_Data,0,CFY_ColFirst),$A102,INDEX(CFY_Data,0,CFY_ColSur),$B102,INDEX(CFY_Data,0,CFY_ColCat),BonusCat)))</f>
        <v/>
      </c>
    </row>
    <row r="103" customFormat="false" ht="15" hidden="false" customHeight="false" outlineLevel="0" collapsed="false">
      <c r="A103" s="15"/>
      <c r="B103" s="15"/>
      <c r="C103" s="15"/>
      <c r="D103" s="16"/>
      <c r="E103" s="10" t="str">
        <f aca="false">IF(OR(AC103=0,$D103=""),"",DATE(YEAR(AsOfDate)+IF(DATE(YEAR(AsOfDate),MONTH($D103),DAY($D103))&lt;=AsOfDate,1,0),MONTH($D103),DAY($D103)))</f>
        <v/>
      </c>
      <c r="F103" s="16"/>
      <c r="G103" s="16"/>
      <c r="H103" s="16"/>
      <c r="I103" s="16"/>
      <c r="J103" s="10" t="str">
        <f aca="false">IF(AC103=0,"",DATE(YEAR(AsOfDate)+IF(DATE(YEAR(AsOfDate),MONTH($F103),DAY($F103))&lt;=AsOfDate,1,0),MONTH($F103),DAY($F103)))</f>
        <v/>
      </c>
      <c r="K103" s="11" t="str">
        <f aca="false">IF(AC103=0,"",ROUND((AsOfDate-$F103)/365.25,1))</f>
        <v/>
      </c>
      <c r="L103" s="12" t="str">
        <f aca="false">IF(AC103=0,"",IF(AsOfDate&lt;AD103,"-",DATEDIF(AD103,AsOfDate,"y")&amp;"y "&amp;DATEDIF(AD103,AsOfDate,"ym")&amp;"m "&amp;DATEDIF(AD103,AsOfDate,"md")&amp;"d"))</f>
        <v/>
      </c>
      <c r="M103" s="13" t="str">
        <f aca="false">IF(AC103=0,"",N103*HoursPerDay)</f>
        <v/>
      </c>
      <c r="N103" s="13" t="str">
        <f aca="false">IF(AC103=0,"",AL103)</f>
        <v/>
      </c>
      <c r="O103" s="17"/>
      <c r="P103" s="12" t="str">
        <f aca="false">IF(AC103=0,"",IF(AE103="","",IF($G103&lt;$H103,"Part-Time to Full-Time","Full-Time to Part-Time")&amp;" on "&amp;TEXT(AE103,"dd/mm/yyyy")&amp;IF(AE103&gt;AsOfDate," (future)",IF(AF103=AG103,"",IF(AG103="None"," - STOPPED accruing",IF(AF103="None"," - now qualifying"," - pathway changed"))))))</f>
        <v/>
      </c>
      <c r="Q103" s="12" t="str">
        <f aca="false">IF(AC103=0,"",IF(AG103="None",IF(N103&gt;0,"No longer accruing","Not eligible - "&amp;IF(AND($C103="Part-Time",N($O103)&lt;PT_MinHours,$O103&lt;&gt;""),"under "&amp;PT_MinHours&amp;" hrs",$C103)),IF(N103&gt;0,"Yes - accruing","Not yet - from "&amp;TEXT(R103,"dd/mm/yyyy"))))</f>
        <v/>
      </c>
      <c r="R103" s="10" t="str">
        <f aca="false">IF(AC103=0,"",IF(AG103="None","",EDATE(AD103,AN103)))</f>
        <v/>
      </c>
      <c r="S103" s="13" t="str">
        <f aca="false">IF(AC103=0,"",IF(NOT(PFY_Ready),"",SUMIFS(INDEX(PFY_Data,0,PFY_ColBal),INDEX(PFY_Data,0,PFY_ColFirst),$A103,INDEX(PFY_Data,0,PFY_ColSur),$B103,INDEX(PFY_Data,0,PFY_ColCat),BonusCat)))</f>
        <v/>
      </c>
      <c r="T103" s="17"/>
      <c r="U103" s="13" t="str">
        <f aca="false">IF(AC103=0,"",IF(NOT(CFY_Ready),"",SUMIFS(INDEX(CFY_Data,0,CFY_ColBal),INDEX(CFY_Data,0,CFY_ColFirst),$A103,INDEX(CFY_Data,0,CFY_ColSur),$B103,INDEX(CFY_Data,0,CFY_ColCat),BonusCat)))</f>
        <v/>
      </c>
      <c r="V103" s="13" t="str">
        <f aca="false">IF(AC103=0,"",IF(OR(NOT(CFY_Ready),CFY_ColAppr=0),"",SUMIFS(INDEX(CFY_Data,0,CFY_ColAppr),INDEX(CFY_Data,0,CFY_ColFirst),$A103,INDEX(CFY_Data,0,CFY_ColSur),$B103,INDEX(CFY_Data,0,CFY_ColCat),BonusCat)))</f>
        <v/>
      </c>
      <c r="W103" s="13" t="str">
        <f aca="false">IF(OR(AC103=0,S103="",U103=""),"",MAX(0,S103+N($T103)-U103))</f>
        <v/>
      </c>
      <c r="X103" s="13" t="str">
        <f aca="false">IF(AC103=0,"",(AL103-AM103)*HoursPerDay)</f>
        <v/>
      </c>
      <c r="Y103" s="13" t="str">
        <f aca="false">IF(AC103=0,"",X103-N($T103))</f>
        <v/>
      </c>
      <c r="Z103" s="12" t="str">
        <f aca="false">IF(AC103=0,"",IF(Y103&gt;0,"Yes","No"))</f>
        <v/>
      </c>
      <c r="AA103" s="12" t="str">
        <f aca="false">IF(AC103=0,"",IF(NOT(CFY_Ready),"Paste CFY EH export",IF(Y103&gt;0,"ACCRUE "&amp;TEXT(Y103,"0.##")&amp;" hrs ("&amp;TEXT(Y103/HoursPerDay,"0.##")&amp;" days)"&amp;IF(AO103=0," - no Bonus Leave line in EH yet",""),IF(Y103&lt;0,"CHECK - posted "&amp;TEXT(-Y103,"0.##")&amp;" hrs more than policy",IF(AND(N103&gt;0,AO103=0,U103=0),"CHECK - policy says "&amp;TEXT(M103,"0.##")&amp;" hrs to date but nothing in EH",IF(N103&gt;0,"OK","-"))))))</f>
        <v/>
      </c>
      <c r="AB103" s="13" t="str">
        <f aca="false">IF(OR(AC103=0,S103=""),"",AM103*HoursPerDay-S103)</f>
        <v/>
      </c>
      <c r="AC103" s="12" t="n">
        <f aca="false">IF(OR(LEN($A103&amp;$B103)=0,$F103=""),0,1)</f>
        <v>0</v>
      </c>
      <c r="AD103" s="10" t="str">
        <f aca="false">IF(AC103=0,"",IF($I103&lt;&gt;"",$I103,$F103))</f>
        <v/>
      </c>
      <c r="AE103" s="10" t="str">
        <f aca="false">IF(AC103=0,"",IF(AND($G103&lt;&gt;"",$H103&lt;&gt;"",$G103&lt;&gt;$H103),MAX($G103,$H103),""))</f>
        <v/>
      </c>
      <c r="AF103" s="12" t="str">
        <f aca="false">IF(AC103=0,"",IF(AE103="",AG103,IF(IF($G103&lt;$H103,"Part-Time","Full-Time")="Full-Time","FT",IF(AND(IF($G103&lt;$H103,"Part-Time","Full-Time")="Part-Time",OR($O103="",N($O103)&gt;=PT_MinHours)),"PT","None"))))</f>
        <v/>
      </c>
      <c r="AG103" s="12" t="str">
        <f aca="false">IF(AC103=0,"",IF($C103="Full-Time","FT",IF(AND($C103="Part-Time",OR($O103="",N($O103)&gt;=PT_MinHours)),"PT","None")))</f>
        <v/>
      </c>
      <c r="AH103" s="12" t="str">
        <f aca="false">IF(AC103=0,"",IF(AsOfDate&lt;AD103,-1,12*(YEAR(AsOfDate)-YEAR(AD103))+MONTH(AsOfDate)-MONTH(AD103)-IF(DAY(AsOfDate)&lt;MIN(DAY(AD103),DAY(EOMONTH(AsOfDate,0))),1,0)))</f>
        <v/>
      </c>
      <c r="AI103" s="12" t="str">
        <f aca="false">IF(AC103=0,"",IF(OR(AE103="",AE103&gt;AsOfDate),AH103,IF((AE103-1)&lt;AD103,-1,12*(YEAR((AE103-1))-YEAR(AD103))+MONTH((AE103-1))-MONTH(AD103)-IF(DAY((AE103-1))&lt;MIN(DAY(AD103),DAY(EOMONTH((AE103-1),0))),1,0))))</f>
        <v/>
      </c>
      <c r="AJ103" s="12" t="str">
        <f aca="false">IF(AC103=0,"",IF(PFYDate&lt;AD103,-1,12*(YEAR(PFYDate)-YEAR(AD103))+MONTH(PFYDate)-MONTH(AD103)-IF(DAY(PFYDate)&lt;MIN(DAY(AD103),DAY(EOMONTH(PFYDate,0))),1,0)))</f>
        <v/>
      </c>
      <c r="AK103" s="12" t="str">
        <f aca="false">IF(AC103=0,"",IF(OR(AE103="",AE103&gt;PFYDate),AJ103,IF((AE103-1)&lt;AD103,-1,12*(YEAR((AE103-1))-YEAR(AD103))+MONTH((AE103-1))-MONTH(AD103)-IF(DAY((AE103-1))&lt;MIN(DAY(AD103),DAY(EOMONTH((AE103-1),0))),1,0))))</f>
        <v/>
      </c>
      <c r="AL103" s="12" t="str">
        <f aca="false">IF(AC103=0,"",IF(AF103="FT",IF(AI103&lt;FT_First,0,IF(AI103&lt;FT_Y5,1+INT((AI103-FT_First)/FT_Int1),FT_PreY5+FT_PerYear*INT((AI103-FT_Y5)/12)+FT_AnnivDays+INT(MOD(AI103-FT_Y5,12)/FT_Int2))),IF(AF103="PT",IF(AI103&lt;PT_First,0,1+INT((AI103-PT_First)/PT_Int)),0))+IF(OR(AE103="",AE103&gt;AsOfDate),0,IF(AG103="FT",IF(AH103&lt;FT_First,0,IF(AH103&lt;FT_Y5,1+INT((AH103-FT_First)/FT_Int1),FT_PreY5+FT_PerYear*INT((AH103-FT_Y5)/12)+FT_AnnivDays+INT(MOD(AH103-FT_Y5,12)/FT_Int2))),IF(AG103="PT",IF(AH103&lt;PT_First,0,1+INT((AH103-PT_First)/PT_Int)),0))-IF(AG103="FT",IF(AI103&lt;FT_First,0,IF(AI103&lt;FT_Y5,1+INT((AI103-FT_First)/FT_Int1),FT_PreY5+FT_PerYear*INT((AI103-FT_Y5)/12)+FT_AnnivDays+INT(MOD(AI103-FT_Y5,12)/FT_Int2))),IF(AG103="PT",IF(AI103&lt;PT_First,0,1+INT((AI103-PT_First)/PT_Int)),0))))</f>
        <v/>
      </c>
      <c r="AM103" s="12" t="str">
        <f aca="false">IF(AC103=0,"",IF(AF103="FT",IF(AK103&lt;FT_First,0,IF(AK103&lt;FT_Y5,1+INT((AK103-FT_First)/FT_Int1),FT_PreY5+FT_PerYear*INT((AK103-FT_Y5)/12)+FT_AnnivDays+INT(MOD(AK103-FT_Y5,12)/FT_Int2))),IF(AF103="PT",IF(AK103&lt;PT_First,0,1+INT((AK103-PT_First)/PT_Int)),0))+IF(OR(AE103="",AE103&gt;PFYDate),0,IF(AG103="FT",IF(AJ103&lt;FT_First,0,IF(AJ103&lt;FT_Y5,1+INT((AJ103-FT_First)/FT_Int1),FT_PreY5+FT_PerYear*INT((AJ103-FT_Y5)/12)+FT_AnnivDays+INT(MOD(AJ103-FT_Y5,12)/FT_Int2))),IF(AG103="PT",IF(AJ103&lt;PT_First,0,1+INT((AJ103-PT_First)/PT_Int)),0))-IF(AG103="FT",IF(AK103&lt;FT_First,0,IF(AK103&lt;FT_Y5,1+INT((AK103-FT_First)/FT_Int1),FT_PreY5+FT_PerYear*INT((AK103-FT_Y5)/12)+FT_AnnivDays+INT(MOD(AK103-FT_Y5,12)/FT_Int2))),IF(AG103="PT",IF(AK103&lt;PT_First,0,1+INT((AK103-PT_First)/PT_Int)),0))))</f>
        <v/>
      </c>
      <c r="AN103" s="12" t="str">
        <f aca="false">IF(AC103=0,"",IF(AG103="FT",IF(AH103&lt;FT_First,FT_First,IF(AH103&lt;FT_Y5,MIN(FT_Y5,FT_First+FT_Int1*(INT((AH103-FT_First)/FT_Int1)+1)),FT_Y5+12*INT((AH103-FT_Y5)/12)+FT_Int2*(INT(MOD(AH103-FT_Y5,12)/FT_Int2)+1))),IF(AG103="PT",IF(AH103&lt;PT_First,PT_First,PT_First+PT_Int*(INT((AH103-PT_First)/PT_Int)+1)),"")))</f>
        <v/>
      </c>
      <c r="AO103" s="12" t="str">
        <f aca="false">IF(AC103=0,"",IF(NOT(CFY_Ready),0,COUNTIFS(INDEX(CFY_Data,0,CFY_ColFirst),$A103,INDEX(CFY_Data,0,CFY_ColSur),$B103,INDEX(CFY_Data,0,CFY_ColCat),BonusCat)))</f>
        <v/>
      </c>
    </row>
    <row r="104" customFormat="false" ht="15" hidden="false" customHeight="false" outlineLevel="0" collapsed="false">
      <c r="A104" s="15"/>
      <c r="B104" s="15"/>
      <c r="C104" s="15"/>
      <c r="D104" s="16"/>
      <c r="E104" s="10" t="str">
        <f aca="false">IF(OR(AC104=0,$D104=""),"",DATE(YEAR(AsOfDate)+IF(DATE(YEAR(AsOfDate),MONTH($D104),DAY($D104))&lt;=AsOfDate,1,0),MONTH($D104),DAY($D104)))</f>
        <v/>
      </c>
      <c r="F104" s="16"/>
      <c r="G104" s="16"/>
      <c r="H104" s="16"/>
      <c r="I104" s="16"/>
      <c r="J104" s="10" t="str">
        <f aca="false">IF(AC104=0,"",DATE(YEAR(AsOfDate)+IF(DATE(YEAR(AsOfDate),MONTH($F104),DAY($F104))&lt;=AsOfDate,1,0),MONTH($F104),DAY($F104)))</f>
        <v/>
      </c>
      <c r="K104" s="11" t="str">
        <f aca="false">IF(AC104=0,"",ROUND((AsOfDate-$F104)/365.25,1))</f>
        <v/>
      </c>
      <c r="L104" s="12" t="str">
        <f aca="false">IF(AC104=0,"",IF(AsOfDate&lt;AD104,"-",DATEDIF(AD104,AsOfDate,"y")&amp;"y "&amp;DATEDIF(AD104,AsOfDate,"ym")&amp;"m "&amp;DATEDIF(AD104,AsOfDate,"md")&amp;"d"))</f>
        <v/>
      </c>
      <c r="M104" s="13" t="str">
        <f aca="false">IF(AC104=0,"",N104*HoursPerDay)</f>
        <v/>
      </c>
      <c r="N104" s="13" t="str">
        <f aca="false">IF(AC104=0,"",AL104)</f>
        <v/>
      </c>
      <c r="O104" s="17"/>
      <c r="P104" s="12" t="str">
        <f aca="false">IF(AC104=0,"",IF(AE104="","",IF($G104&lt;$H104,"Part-Time to Full-Time","Full-Time to Part-Time")&amp;" on "&amp;TEXT(AE104,"dd/mm/yyyy")&amp;IF(AE104&gt;AsOfDate," (future)",IF(AF104=AG104,"",IF(AG104="None"," - STOPPED accruing",IF(AF104="None"," - now qualifying"," - pathway changed"))))))</f>
        <v/>
      </c>
      <c r="Q104" s="12" t="str">
        <f aca="false">IF(AC104=0,"",IF(AG104="None",IF(N104&gt;0,"No longer accruing","Not eligible - "&amp;IF(AND($C104="Part-Time",N($O104)&lt;PT_MinHours,$O104&lt;&gt;""),"under "&amp;PT_MinHours&amp;" hrs",$C104)),IF(N104&gt;0,"Yes - accruing","Not yet - from "&amp;TEXT(R104,"dd/mm/yyyy"))))</f>
        <v/>
      </c>
      <c r="R104" s="10" t="str">
        <f aca="false">IF(AC104=0,"",IF(AG104="None","",EDATE(AD104,AN104)))</f>
        <v/>
      </c>
      <c r="S104" s="13" t="str">
        <f aca="false">IF(AC104=0,"",IF(NOT(PFY_Ready),"",SUMIFS(INDEX(PFY_Data,0,PFY_ColBal),INDEX(PFY_Data,0,PFY_ColFirst),$A104,INDEX(PFY_Data,0,PFY_ColSur),$B104,INDEX(PFY_Data,0,PFY_ColCat),BonusCat)))</f>
        <v/>
      </c>
      <c r="T104" s="17"/>
      <c r="U104" s="13" t="str">
        <f aca="false">IF(AC104=0,"",IF(NOT(CFY_Ready),"",SUMIFS(INDEX(CFY_Data,0,CFY_ColBal),INDEX(CFY_Data,0,CFY_ColFirst),$A104,INDEX(CFY_Data,0,CFY_ColSur),$B104,INDEX(CFY_Data,0,CFY_ColCat),BonusCat)))</f>
        <v/>
      </c>
      <c r="V104" s="13" t="str">
        <f aca="false">IF(AC104=0,"",IF(OR(NOT(CFY_Ready),CFY_ColAppr=0),"",SUMIFS(INDEX(CFY_Data,0,CFY_ColAppr),INDEX(CFY_Data,0,CFY_ColFirst),$A104,INDEX(CFY_Data,0,CFY_ColSur),$B104,INDEX(CFY_Data,0,CFY_ColCat),BonusCat)))</f>
        <v/>
      </c>
      <c r="W104" s="13" t="str">
        <f aca="false">IF(OR(AC104=0,S104="",U104=""),"",MAX(0,S104+N($T104)-U104))</f>
        <v/>
      </c>
      <c r="X104" s="13" t="str">
        <f aca="false">IF(AC104=0,"",(AL104-AM104)*HoursPerDay)</f>
        <v/>
      </c>
      <c r="Y104" s="13" t="str">
        <f aca="false">IF(AC104=0,"",X104-N($T104))</f>
        <v/>
      </c>
      <c r="Z104" s="12" t="str">
        <f aca="false">IF(AC104=0,"",IF(Y104&gt;0,"Yes","No"))</f>
        <v/>
      </c>
      <c r="AA104" s="12" t="str">
        <f aca="false">IF(AC104=0,"",IF(NOT(CFY_Ready),"Paste CFY EH export",IF(Y104&gt;0,"ACCRUE "&amp;TEXT(Y104,"0.##")&amp;" hrs ("&amp;TEXT(Y104/HoursPerDay,"0.##")&amp;" days)"&amp;IF(AO104=0," - no Bonus Leave line in EH yet",""),IF(Y104&lt;0,"CHECK - posted "&amp;TEXT(-Y104,"0.##")&amp;" hrs more than policy",IF(AND(N104&gt;0,AO104=0,U104=0),"CHECK - policy says "&amp;TEXT(M104,"0.##")&amp;" hrs to date but nothing in EH",IF(N104&gt;0,"OK","-"))))))</f>
        <v/>
      </c>
      <c r="AB104" s="13" t="str">
        <f aca="false">IF(OR(AC104=0,S104=""),"",AM104*HoursPerDay-S104)</f>
        <v/>
      </c>
      <c r="AC104" s="12" t="n">
        <f aca="false">IF(OR(LEN($A104&amp;$B104)=0,$F104=""),0,1)</f>
        <v>0</v>
      </c>
      <c r="AD104" s="10" t="str">
        <f aca="false">IF(AC104=0,"",IF($I104&lt;&gt;"",$I104,$F104))</f>
        <v/>
      </c>
      <c r="AE104" s="10" t="str">
        <f aca="false">IF(AC104=0,"",IF(AND($G104&lt;&gt;"",$H104&lt;&gt;"",$G104&lt;&gt;$H104),MAX($G104,$H104),""))</f>
        <v/>
      </c>
      <c r="AF104" s="12" t="str">
        <f aca="false">IF(AC104=0,"",IF(AE104="",AG104,IF(IF($G104&lt;$H104,"Part-Time","Full-Time")="Full-Time","FT",IF(AND(IF($G104&lt;$H104,"Part-Time","Full-Time")="Part-Time",OR($O104="",N($O104)&gt;=PT_MinHours)),"PT","None"))))</f>
        <v/>
      </c>
      <c r="AG104" s="12" t="str">
        <f aca="false">IF(AC104=0,"",IF($C104="Full-Time","FT",IF(AND($C104="Part-Time",OR($O104="",N($O104)&gt;=PT_MinHours)),"PT","None")))</f>
        <v/>
      </c>
      <c r="AH104" s="12" t="str">
        <f aca="false">IF(AC104=0,"",IF(AsOfDate&lt;AD104,-1,12*(YEAR(AsOfDate)-YEAR(AD104))+MONTH(AsOfDate)-MONTH(AD104)-IF(DAY(AsOfDate)&lt;MIN(DAY(AD104),DAY(EOMONTH(AsOfDate,0))),1,0)))</f>
        <v/>
      </c>
      <c r="AI104" s="12" t="str">
        <f aca="false">IF(AC104=0,"",IF(OR(AE104="",AE104&gt;AsOfDate),AH104,IF((AE104-1)&lt;AD104,-1,12*(YEAR((AE104-1))-YEAR(AD104))+MONTH((AE104-1))-MONTH(AD104)-IF(DAY((AE104-1))&lt;MIN(DAY(AD104),DAY(EOMONTH((AE104-1),0))),1,0))))</f>
        <v/>
      </c>
      <c r="AJ104" s="12" t="str">
        <f aca="false">IF(AC104=0,"",IF(PFYDate&lt;AD104,-1,12*(YEAR(PFYDate)-YEAR(AD104))+MONTH(PFYDate)-MONTH(AD104)-IF(DAY(PFYDate)&lt;MIN(DAY(AD104),DAY(EOMONTH(PFYDate,0))),1,0)))</f>
        <v/>
      </c>
      <c r="AK104" s="12" t="str">
        <f aca="false">IF(AC104=0,"",IF(OR(AE104="",AE104&gt;PFYDate),AJ104,IF((AE104-1)&lt;AD104,-1,12*(YEAR((AE104-1))-YEAR(AD104))+MONTH((AE104-1))-MONTH(AD104)-IF(DAY((AE104-1))&lt;MIN(DAY(AD104),DAY(EOMONTH((AE104-1),0))),1,0))))</f>
        <v/>
      </c>
      <c r="AL104" s="12" t="str">
        <f aca="false">IF(AC104=0,"",IF(AF104="FT",IF(AI104&lt;FT_First,0,IF(AI104&lt;FT_Y5,1+INT((AI104-FT_First)/FT_Int1),FT_PreY5+FT_PerYear*INT((AI104-FT_Y5)/12)+FT_AnnivDays+INT(MOD(AI104-FT_Y5,12)/FT_Int2))),IF(AF104="PT",IF(AI104&lt;PT_First,0,1+INT((AI104-PT_First)/PT_Int)),0))+IF(OR(AE104="",AE104&gt;AsOfDate),0,IF(AG104="FT",IF(AH104&lt;FT_First,0,IF(AH104&lt;FT_Y5,1+INT((AH104-FT_First)/FT_Int1),FT_PreY5+FT_PerYear*INT((AH104-FT_Y5)/12)+FT_AnnivDays+INT(MOD(AH104-FT_Y5,12)/FT_Int2))),IF(AG104="PT",IF(AH104&lt;PT_First,0,1+INT((AH104-PT_First)/PT_Int)),0))-IF(AG104="FT",IF(AI104&lt;FT_First,0,IF(AI104&lt;FT_Y5,1+INT((AI104-FT_First)/FT_Int1),FT_PreY5+FT_PerYear*INT((AI104-FT_Y5)/12)+FT_AnnivDays+INT(MOD(AI104-FT_Y5,12)/FT_Int2))),IF(AG104="PT",IF(AI104&lt;PT_First,0,1+INT((AI104-PT_First)/PT_Int)),0))))</f>
        <v/>
      </c>
      <c r="AM104" s="12" t="str">
        <f aca="false">IF(AC104=0,"",IF(AF104="FT",IF(AK104&lt;FT_First,0,IF(AK104&lt;FT_Y5,1+INT((AK104-FT_First)/FT_Int1),FT_PreY5+FT_PerYear*INT((AK104-FT_Y5)/12)+FT_AnnivDays+INT(MOD(AK104-FT_Y5,12)/FT_Int2))),IF(AF104="PT",IF(AK104&lt;PT_First,0,1+INT((AK104-PT_First)/PT_Int)),0))+IF(OR(AE104="",AE104&gt;PFYDate),0,IF(AG104="FT",IF(AJ104&lt;FT_First,0,IF(AJ104&lt;FT_Y5,1+INT((AJ104-FT_First)/FT_Int1),FT_PreY5+FT_PerYear*INT((AJ104-FT_Y5)/12)+FT_AnnivDays+INT(MOD(AJ104-FT_Y5,12)/FT_Int2))),IF(AG104="PT",IF(AJ104&lt;PT_First,0,1+INT((AJ104-PT_First)/PT_Int)),0))-IF(AG104="FT",IF(AK104&lt;FT_First,0,IF(AK104&lt;FT_Y5,1+INT((AK104-FT_First)/FT_Int1),FT_PreY5+FT_PerYear*INT((AK104-FT_Y5)/12)+FT_AnnivDays+INT(MOD(AK104-FT_Y5,12)/FT_Int2))),IF(AG104="PT",IF(AK104&lt;PT_First,0,1+INT((AK104-PT_First)/PT_Int)),0))))</f>
        <v/>
      </c>
      <c r="AN104" s="12" t="str">
        <f aca="false">IF(AC104=0,"",IF(AG104="FT",IF(AH104&lt;FT_First,FT_First,IF(AH104&lt;FT_Y5,MIN(FT_Y5,FT_First+FT_Int1*(INT((AH104-FT_First)/FT_Int1)+1)),FT_Y5+12*INT((AH104-FT_Y5)/12)+FT_Int2*(INT(MOD(AH104-FT_Y5,12)/FT_Int2)+1))),IF(AG104="PT",IF(AH104&lt;PT_First,PT_First,PT_First+PT_Int*(INT((AH104-PT_First)/PT_Int)+1)),"")))</f>
        <v/>
      </c>
      <c r="AO104" s="12" t="str">
        <f aca="false">IF(AC104=0,"",IF(NOT(CFY_Ready),0,COUNTIFS(INDEX(CFY_Data,0,CFY_ColFirst),$A104,INDEX(CFY_Data,0,CFY_ColSur),$B104,INDEX(CFY_Data,0,CFY_ColCat),BonusCat)))</f>
        <v/>
      </c>
    </row>
    <row r="105" customFormat="false" ht="15" hidden="false" customHeight="false" outlineLevel="0" collapsed="false">
      <c r="A105" s="15"/>
      <c r="B105" s="15"/>
      <c r="C105" s="15"/>
      <c r="D105" s="16"/>
      <c r="E105" s="10" t="str">
        <f aca="false">IF(OR(AC105=0,$D105=""),"",DATE(YEAR(AsOfDate)+IF(DATE(YEAR(AsOfDate),MONTH($D105),DAY($D105))&lt;=AsOfDate,1,0),MONTH($D105),DAY($D105)))</f>
        <v/>
      </c>
      <c r="F105" s="16"/>
      <c r="G105" s="16"/>
      <c r="H105" s="16"/>
      <c r="I105" s="16"/>
      <c r="J105" s="10" t="str">
        <f aca="false">IF(AC105=0,"",DATE(YEAR(AsOfDate)+IF(DATE(YEAR(AsOfDate),MONTH($F105),DAY($F105))&lt;=AsOfDate,1,0),MONTH($F105),DAY($F105)))</f>
        <v/>
      </c>
      <c r="K105" s="11" t="str">
        <f aca="false">IF(AC105=0,"",ROUND((AsOfDate-$F105)/365.25,1))</f>
        <v/>
      </c>
      <c r="L105" s="12" t="str">
        <f aca="false">IF(AC105=0,"",IF(AsOfDate&lt;AD105,"-",DATEDIF(AD105,AsOfDate,"y")&amp;"y "&amp;DATEDIF(AD105,AsOfDate,"ym")&amp;"m "&amp;DATEDIF(AD105,AsOfDate,"md")&amp;"d"))</f>
        <v/>
      </c>
      <c r="M105" s="13" t="str">
        <f aca="false">IF(AC105=0,"",N105*HoursPerDay)</f>
        <v/>
      </c>
      <c r="N105" s="13" t="str">
        <f aca="false">IF(AC105=0,"",AL105)</f>
        <v/>
      </c>
      <c r="O105" s="17"/>
      <c r="P105" s="12" t="str">
        <f aca="false">IF(AC105=0,"",IF(AE105="","",IF($G105&lt;$H105,"Part-Time to Full-Time","Full-Time to Part-Time")&amp;" on "&amp;TEXT(AE105,"dd/mm/yyyy")&amp;IF(AE105&gt;AsOfDate," (future)",IF(AF105=AG105,"",IF(AG105="None"," - STOPPED accruing",IF(AF105="None"," - now qualifying"," - pathway changed"))))))</f>
        <v/>
      </c>
      <c r="Q105" s="12" t="str">
        <f aca="false">IF(AC105=0,"",IF(AG105="None",IF(N105&gt;0,"No longer accruing","Not eligible - "&amp;IF(AND($C105="Part-Time",N($O105)&lt;PT_MinHours,$O105&lt;&gt;""),"under "&amp;PT_MinHours&amp;" hrs",$C105)),IF(N105&gt;0,"Yes - accruing","Not yet - from "&amp;TEXT(R105,"dd/mm/yyyy"))))</f>
        <v/>
      </c>
      <c r="R105" s="10" t="str">
        <f aca="false">IF(AC105=0,"",IF(AG105="None","",EDATE(AD105,AN105)))</f>
        <v/>
      </c>
      <c r="S105" s="13" t="str">
        <f aca="false">IF(AC105=0,"",IF(NOT(PFY_Ready),"",SUMIFS(INDEX(PFY_Data,0,PFY_ColBal),INDEX(PFY_Data,0,PFY_ColFirst),$A105,INDEX(PFY_Data,0,PFY_ColSur),$B105,INDEX(PFY_Data,0,PFY_ColCat),BonusCat)))</f>
        <v/>
      </c>
      <c r="T105" s="17"/>
      <c r="U105" s="13" t="str">
        <f aca="false">IF(AC105=0,"",IF(NOT(CFY_Ready),"",SUMIFS(INDEX(CFY_Data,0,CFY_ColBal),INDEX(CFY_Data,0,CFY_ColFirst),$A105,INDEX(CFY_Data,0,CFY_ColSur),$B105,INDEX(CFY_Data,0,CFY_ColCat),BonusCat)))</f>
        <v/>
      </c>
      <c r="V105" s="13" t="str">
        <f aca="false">IF(AC105=0,"",IF(OR(NOT(CFY_Ready),CFY_ColAppr=0),"",SUMIFS(INDEX(CFY_Data,0,CFY_ColAppr),INDEX(CFY_Data,0,CFY_ColFirst),$A105,INDEX(CFY_Data,0,CFY_ColSur),$B105,INDEX(CFY_Data,0,CFY_ColCat),BonusCat)))</f>
        <v/>
      </c>
      <c r="W105" s="13" t="str">
        <f aca="false">IF(OR(AC105=0,S105="",U105=""),"",MAX(0,S105+N($T105)-U105))</f>
        <v/>
      </c>
      <c r="X105" s="13" t="str">
        <f aca="false">IF(AC105=0,"",(AL105-AM105)*HoursPerDay)</f>
        <v/>
      </c>
      <c r="Y105" s="13" t="str">
        <f aca="false">IF(AC105=0,"",X105-N($T105))</f>
        <v/>
      </c>
      <c r="Z105" s="12" t="str">
        <f aca="false">IF(AC105=0,"",IF(Y105&gt;0,"Yes","No"))</f>
        <v/>
      </c>
      <c r="AA105" s="12" t="str">
        <f aca="false">IF(AC105=0,"",IF(NOT(CFY_Ready),"Paste CFY EH export",IF(Y105&gt;0,"ACCRUE "&amp;TEXT(Y105,"0.##")&amp;" hrs ("&amp;TEXT(Y105/HoursPerDay,"0.##")&amp;" days)"&amp;IF(AO105=0," - no Bonus Leave line in EH yet",""),IF(Y105&lt;0,"CHECK - posted "&amp;TEXT(-Y105,"0.##")&amp;" hrs more than policy",IF(AND(N105&gt;0,AO105=0,U105=0),"CHECK - policy says "&amp;TEXT(M105,"0.##")&amp;" hrs to date but nothing in EH",IF(N105&gt;0,"OK","-"))))))</f>
        <v/>
      </c>
      <c r="AB105" s="13" t="str">
        <f aca="false">IF(OR(AC105=0,S105=""),"",AM105*HoursPerDay-S105)</f>
        <v/>
      </c>
      <c r="AC105" s="12" t="n">
        <f aca="false">IF(OR(LEN($A105&amp;$B105)=0,$F105=""),0,1)</f>
        <v>0</v>
      </c>
      <c r="AD105" s="10" t="str">
        <f aca="false">IF(AC105=0,"",IF($I105&lt;&gt;"",$I105,$F105))</f>
        <v/>
      </c>
      <c r="AE105" s="10" t="str">
        <f aca="false">IF(AC105=0,"",IF(AND($G105&lt;&gt;"",$H105&lt;&gt;"",$G105&lt;&gt;$H105),MAX($G105,$H105),""))</f>
        <v/>
      </c>
      <c r="AF105" s="12" t="str">
        <f aca="false">IF(AC105=0,"",IF(AE105="",AG105,IF(IF($G105&lt;$H105,"Part-Time","Full-Time")="Full-Time","FT",IF(AND(IF($G105&lt;$H105,"Part-Time","Full-Time")="Part-Time",OR($O105="",N($O105)&gt;=PT_MinHours)),"PT","None"))))</f>
        <v/>
      </c>
      <c r="AG105" s="12" t="str">
        <f aca="false">IF(AC105=0,"",IF($C105="Full-Time","FT",IF(AND($C105="Part-Time",OR($O105="",N($O105)&gt;=PT_MinHours)),"PT","None")))</f>
        <v/>
      </c>
      <c r="AH105" s="12" t="str">
        <f aca="false">IF(AC105=0,"",IF(AsOfDate&lt;AD105,-1,12*(YEAR(AsOfDate)-YEAR(AD105))+MONTH(AsOfDate)-MONTH(AD105)-IF(DAY(AsOfDate)&lt;MIN(DAY(AD105),DAY(EOMONTH(AsOfDate,0))),1,0)))</f>
        <v/>
      </c>
      <c r="AI105" s="12" t="str">
        <f aca="false">IF(AC105=0,"",IF(OR(AE105="",AE105&gt;AsOfDate),AH105,IF((AE105-1)&lt;AD105,-1,12*(YEAR((AE105-1))-YEAR(AD105))+MONTH((AE105-1))-MONTH(AD105)-IF(DAY((AE105-1))&lt;MIN(DAY(AD105),DAY(EOMONTH((AE105-1),0))),1,0))))</f>
        <v/>
      </c>
      <c r="AJ105" s="12" t="str">
        <f aca="false">IF(AC105=0,"",IF(PFYDate&lt;AD105,-1,12*(YEAR(PFYDate)-YEAR(AD105))+MONTH(PFYDate)-MONTH(AD105)-IF(DAY(PFYDate)&lt;MIN(DAY(AD105),DAY(EOMONTH(PFYDate,0))),1,0)))</f>
        <v/>
      </c>
      <c r="AK105" s="12" t="str">
        <f aca="false">IF(AC105=0,"",IF(OR(AE105="",AE105&gt;PFYDate),AJ105,IF((AE105-1)&lt;AD105,-1,12*(YEAR((AE105-1))-YEAR(AD105))+MONTH((AE105-1))-MONTH(AD105)-IF(DAY((AE105-1))&lt;MIN(DAY(AD105),DAY(EOMONTH((AE105-1),0))),1,0))))</f>
        <v/>
      </c>
      <c r="AL105" s="12" t="str">
        <f aca="false">IF(AC105=0,"",IF(AF105="FT",IF(AI105&lt;FT_First,0,IF(AI105&lt;FT_Y5,1+INT((AI105-FT_First)/FT_Int1),FT_PreY5+FT_PerYear*INT((AI105-FT_Y5)/12)+FT_AnnivDays+INT(MOD(AI105-FT_Y5,12)/FT_Int2))),IF(AF105="PT",IF(AI105&lt;PT_First,0,1+INT((AI105-PT_First)/PT_Int)),0))+IF(OR(AE105="",AE105&gt;AsOfDate),0,IF(AG105="FT",IF(AH105&lt;FT_First,0,IF(AH105&lt;FT_Y5,1+INT((AH105-FT_First)/FT_Int1),FT_PreY5+FT_PerYear*INT((AH105-FT_Y5)/12)+FT_AnnivDays+INT(MOD(AH105-FT_Y5,12)/FT_Int2))),IF(AG105="PT",IF(AH105&lt;PT_First,0,1+INT((AH105-PT_First)/PT_Int)),0))-IF(AG105="FT",IF(AI105&lt;FT_First,0,IF(AI105&lt;FT_Y5,1+INT((AI105-FT_First)/FT_Int1),FT_PreY5+FT_PerYear*INT((AI105-FT_Y5)/12)+FT_AnnivDays+INT(MOD(AI105-FT_Y5,12)/FT_Int2))),IF(AG105="PT",IF(AI105&lt;PT_First,0,1+INT((AI105-PT_First)/PT_Int)),0))))</f>
        <v/>
      </c>
      <c r="AM105" s="12" t="str">
        <f aca="false">IF(AC105=0,"",IF(AF105="FT",IF(AK105&lt;FT_First,0,IF(AK105&lt;FT_Y5,1+INT((AK105-FT_First)/FT_Int1),FT_PreY5+FT_PerYear*INT((AK105-FT_Y5)/12)+FT_AnnivDays+INT(MOD(AK105-FT_Y5,12)/FT_Int2))),IF(AF105="PT",IF(AK105&lt;PT_First,0,1+INT((AK105-PT_First)/PT_Int)),0))+IF(OR(AE105="",AE105&gt;PFYDate),0,IF(AG105="FT",IF(AJ105&lt;FT_First,0,IF(AJ105&lt;FT_Y5,1+INT((AJ105-FT_First)/FT_Int1),FT_PreY5+FT_PerYear*INT((AJ105-FT_Y5)/12)+FT_AnnivDays+INT(MOD(AJ105-FT_Y5,12)/FT_Int2))),IF(AG105="PT",IF(AJ105&lt;PT_First,0,1+INT((AJ105-PT_First)/PT_Int)),0))-IF(AG105="FT",IF(AK105&lt;FT_First,0,IF(AK105&lt;FT_Y5,1+INT((AK105-FT_First)/FT_Int1),FT_PreY5+FT_PerYear*INT((AK105-FT_Y5)/12)+FT_AnnivDays+INT(MOD(AK105-FT_Y5,12)/FT_Int2))),IF(AG105="PT",IF(AK105&lt;PT_First,0,1+INT((AK105-PT_First)/PT_Int)),0))))</f>
        <v/>
      </c>
      <c r="AN105" s="12" t="str">
        <f aca="false">IF(AC105=0,"",IF(AG105="FT",IF(AH105&lt;FT_First,FT_First,IF(AH105&lt;FT_Y5,MIN(FT_Y5,FT_First+FT_Int1*(INT((AH105-FT_First)/FT_Int1)+1)),FT_Y5+12*INT((AH105-FT_Y5)/12)+FT_Int2*(INT(MOD(AH105-FT_Y5,12)/FT_Int2)+1))),IF(AG105="PT",IF(AH105&lt;PT_First,PT_First,PT_First+PT_Int*(INT((AH105-PT_First)/PT_Int)+1)),"")))</f>
        <v/>
      </c>
      <c r="AO105" s="12" t="str">
        <f aca="false">IF(AC105=0,"",IF(NOT(CFY_Ready),0,COUNTIFS(INDEX(CFY_Data,0,CFY_ColFirst),$A105,INDEX(CFY_Data,0,CFY_ColSur),$B105,INDEX(CFY_Data,0,CFY_ColCat),BonusCat)))</f>
        <v/>
      </c>
    </row>
    <row r="106" customFormat="false" ht="15" hidden="false" customHeight="false" outlineLevel="0" collapsed="false">
      <c r="A106" s="15"/>
      <c r="B106" s="15"/>
      <c r="C106" s="15"/>
      <c r="D106" s="16"/>
      <c r="E106" s="10" t="str">
        <f aca="false">IF(OR(AC106=0,$D106=""),"",DATE(YEAR(AsOfDate)+IF(DATE(YEAR(AsOfDate),MONTH($D106),DAY($D106))&lt;=AsOfDate,1,0),MONTH($D106),DAY($D106)))</f>
        <v/>
      </c>
      <c r="F106" s="16"/>
      <c r="G106" s="16"/>
      <c r="H106" s="16"/>
      <c r="I106" s="16"/>
      <c r="J106" s="10" t="str">
        <f aca="false">IF(AC106=0,"",DATE(YEAR(AsOfDate)+IF(DATE(YEAR(AsOfDate),MONTH($F106),DAY($F106))&lt;=AsOfDate,1,0),MONTH($F106),DAY($F106)))</f>
        <v/>
      </c>
      <c r="K106" s="11" t="str">
        <f aca="false">IF(AC106=0,"",ROUND((AsOfDate-$F106)/365.25,1))</f>
        <v/>
      </c>
      <c r="L106" s="12" t="str">
        <f aca="false">IF(AC106=0,"",IF(AsOfDate&lt;AD106,"-",DATEDIF(AD106,AsOfDate,"y")&amp;"y "&amp;DATEDIF(AD106,AsOfDate,"ym")&amp;"m "&amp;DATEDIF(AD106,AsOfDate,"md")&amp;"d"))</f>
        <v/>
      </c>
      <c r="M106" s="13" t="str">
        <f aca="false">IF(AC106=0,"",N106*HoursPerDay)</f>
        <v/>
      </c>
      <c r="N106" s="13" t="str">
        <f aca="false">IF(AC106=0,"",AL106)</f>
        <v/>
      </c>
      <c r="O106" s="17"/>
      <c r="P106" s="12" t="str">
        <f aca="false">IF(AC106=0,"",IF(AE106="","",IF($G106&lt;$H106,"Part-Time to Full-Time","Full-Time to Part-Time")&amp;" on "&amp;TEXT(AE106,"dd/mm/yyyy")&amp;IF(AE106&gt;AsOfDate," (future)",IF(AF106=AG106,"",IF(AG106="None"," - STOPPED accruing",IF(AF106="None"," - now qualifying"," - pathway changed"))))))</f>
        <v/>
      </c>
      <c r="Q106" s="12" t="str">
        <f aca="false">IF(AC106=0,"",IF(AG106="None",IF(N106&gt;0,"No longer accruing","Not eligible - "&amp;IF(AND($C106="Part-Time",N($O106)&lt;PT_MinHours,$O106&lt;&gt;""),"under "&amp;PT_MinHours&amp;" hrs",$C106)),IF(N106&gt;0,"Yes - accruing","Not yet - from "&amp;TEXT(R106,"dd/mm/yyyy"))))</f>
        <v/>
      </c>
      <c r="R106" s="10" t="str">
        <f aca="false">IF(AC106=0,"",IF(AG106="None","",EDATE(AD106,AN106)))</f>
        <v/>
      </c>
      <c r="S106" s="13" t="str">
        <f aca="false">IF(AC106=0,"",IF(NOT(PFY_Ready),"",SUMIFS(INDEX(PFY_Data,0,PFY_ColBal),INDEX(PFY_Data,0,PFY_ColFirst),$A106,INDEX(PFY_Data,0,PFY_ColSur),$B106,INDEX(PFY_Data,0,PFY_ColCat),BonusCat)))</f>
        <v/>
      </c>
      <c r="T106" s="17"/>
      <c r="U106" s="13" t="str">
        <f aca="false">IF(AC106=0,"",IF(NOT(CFY_Ready),"",SUMIFS(INDEX(CFY_Data,0,CFY_ColBal),INDEX(CFY_Data,0,CFY_ColFirst),$A106,INDEX(CFY_Data,0,CFY_ColSur),$B106,INDEX(CFY_Data,0,CFY_ColCat),BonusCat)))</f>
        <v/>
      </c>
      <c r="V106" s="13" t="str">
        <f aca="false">IF(AC106=0,"",IF(OR(NOT(CFY_Ready),CFY_ColAppr=0),"",SUMIFS(INDEX(CFY_Data,0,CFY_ColAppr),INDEX(CFY_Data,0,CFY_ColFirst),$A106,INDEX(CFY_Data,0,CFY_ColSur),$B106,INDEX(CFY_Data,0,CFY_ColCat),BonusCat)))</f>
        <v/>
      </c>
      <c r="W106" s="13" t="str">
        <f aca="false">IF(OR(AC106=0,S106="",U106=""),"",MAX(0,S106+N($T106)-U106))</f>
        <v/>
      </c>
      <c r="X106" s="13" t="str">
        <f aca="false">IF(AC106=0,"",(AL106-AM106)*HoursPerDay)</f>
        <v/>
      </c>
      <c r="Y106" s="13" t="str">
        <f aca="false">IF(AC106=0,"",X106-N($T106))</f>
        <v/>
      </c>
      <c r="Z106" s="12" t="str">
        <f aca="false">IF(AC106=0,"",IF(Y106&gt;0,"Yes","No"))</f>
        <v/>
      </c>
      <c r="AA106" s="12" t="str">
        <f aca="false">IF(AC106=0,"",IF(NOT(CFY_Ready),"Paste CFY EH export",IF(Y106&gt;0,"ACCRUE "&amp;TEXT(Y106,"0.##")&amp;" hrs ("&amp;TEXT(Y106/HoursPerDay,"0.##")&amp;" days)"&amp;IF(AO106=0," - no Bonus Leave line in EH yet",""),IF(Y106&lt;0,"CHECK - posted "&amp;TEXT(-Y106,"0.##")&amp;" hrs more than policy",IF(AND(N106&gt;0,AO106=0,U106=0),"CHECK - policy says "&amp;TEXT(M106,"0.##")&amp;" hrs to date but nothing in EH",IF(N106&gt;0,"OK","-"))))))</f>
        <v/>
      </c>
      <c r="AB106" s="13" t="str">
        <f aca="false">IF(OR(AC106=0,S106=""),"",AM106*HoursPerDay-S106)</f>
        <v/>
      </c>
      <c r="AC106" s="12" t="n">
        <f aca="false">IF(OR(LEN($A106&amp;$B106)=0,$F106=""),0,1)</f>
        <v>0</v>
      </c>
      <c r="AD106" s="10" t="str">
        <f aca="false">IF(AC106=0,"",IF($I106&lt;&gt;"",$I106,$F106))</f>
        <v/>
      </c>
      <c r="AE106" s="10" t="str">
        <f aca="false">IF(AC106=0,"",IF(AND($G106&lt;&gt;"",$H106&lt;&gt;"",$G106&lt;&gt;$H106),MAX($G106,$H106),""))</f>
        <v/>
      </c>
      <c r="AF106" s="12" t="str">
        <f aca="false">IF(AC106=0,"",IF(AE106="",AG106,IF(IF($G106&lt;$H106,"Part-Time","Full-Time")="Full-Time","FT",IF(AND(IF($G106&lt;$H106,"Part-Time","Full-Time")="Part-Time",OR($O106="",N($O106)&gt;=PT_MinHours)),"PT","None"))))</f>
        <v/>
      </c>
      <c r="AG106" s="12" t="str">
        <f aca="false">IF(AC106=0,"",IF($C106="Full-Time","FT",IF(AND($C106="Part-Time",OR($O106="",N($O106)&gt;=PT_MinHours)),"PT","None")))</f>
        <v/>
      </c>
      <c r="AH106" s="12" t="str">
        <f aca="false">IF(AC106=0,"",IF(AsOfDate&lt;AD106,-1,12*(YEAR(AsOfDate)-YEAR(AD106))+MONTH(AsOfDate)-MONTH(AD106)-IF(DAY(AsOfDate)&lt;MIN(DAY(AD106),DAY(EOMONTH(AsOfDate,0))),1,0)))</f>
        <v/>
      </c>
      <c r="AI106" s="12" t="str">
        <f aca="false">IF(AC106=0,"",IF(OR(AE106="",AE106&gt;AsOfDate),AH106,IF((AE106-1)&lt;AD106,-1,12*(YEAR((AE106-1))-YEAR(AD106))+MONTH((AE106-1))-MONTH(AD106)-IF(DAY((AE106-1))&lt;MIN(DAY(AD106),DAY(EOMONTH((AE106-1),0))),1,0))))</f>
        <v/>
      </c>
      <c r="AJ106" s="12" t="str">
        <f aca="false">IF(AC106=0,"",IF(PFYDate&lt;AD106,-1,12*(YEAR(PFYDate)-YEAR(AD106))+MONTH(PFYDate)-MONTH(AD106)-IF(DAY(PFYDate)&lt;MIN(DAY(AD106),DAY(EOMONTH(PFYDate,0))),1,0)))</f>
        <v/>
      </c>
      <c r="AK106" s="12" t="str">
        <f aca="false">IF(AC106=0,"",IF(OR(AE106="",AE106&gt;PFYDate),AJ106,IF((AE106-1)&lt;AD106,-1,12*(YEAR((AE106-1))-YEAR(AD106))+MONTH((AE106-1))-MONTH(AD106)-IF(DAY((AE106-1))&lt;MIN(DAY(AD106),DAY(EOMONTH((AE106-1),0))),1,0))))</f>
        <v/>
      </c>
      <c r="AL106" s="12" t="str">
        <f aca="false">IF(AC106=0,"",IF(AF106="FT",IF(AI106&lt;FT_First,0,IF(AI106&lt;FT_Y5,1+INT((AI106-FT_First)/FT_Int1),FT_PreY5+FT_PerYear*INT((AI106-FT_Y5)/12)+FT_AnnivDays+INT(MOD(AI106-FT_Y5,12)/FT_Int2))),IF(AF106="PT",IF(AI106&lt;PT_First,0,1+INT((AI106-PT_First)/PT_Int)),0))+IF(OR(AE106="",AE106&gt;AsOfDate),0,IF(AG106="FT",IF(AH106&lt;FT_First,0,IF(AH106&lt;FT_Y5,1+INT((AH106-FT_First)/FT_Int1),FT_PreY5+FT_PerYear*INT((AH106-FT_Y5)/12)+FT_AnnivDays+INT(MOD(AH106-FT_Y5,12)/FT_Int2))),IF(AG106="PT",IF(AH106&lt;PT_First,0,1+INT((AH106-PT_First)/PT_Int)),0))-IF(AG106="FT",IF(AI106&lt;FT_First,0,IF(AI106&lt;FT_Y5,1+INT((AI106-FT_First)/FT_Int1),FT_PreY5+FT_PerYear*INT((AI106-FT_Y5)/12)+FT_AnnivDays+INT(MOD(AI106-FT_Y5,12)/FT_Int2))),IF(AG106="PT",IF(AI106&lt;PT_First,0,1+INT((AI106-PT_First)/PT_Int)),0))))</f>
        <v/>
      </c>
      <c r="AM106" s="12" t="str">
        <f aca="false">IF(AC106=0,"",IF(AF106="FT",IF(AK106&lt;FT_First,0,IF(AK106&lt;FT_Y5,1+INT((AK106-FT_First)/FT_Int1),FT_PreY5+FT_PerYear*INT((AK106-FT_Y5)/12)+FT_AnnivDays+INT(MOD(AK106-FT_Y5,12)/FT_Int2))),IF(AF106="PT",IF(AK106&lt;PT_First,0,1+INT((AK106-PT_First)/PT_Int)),0))+IF(OR(AE106="",AE106&gt;PFYDate),0,IF(AG106="FT",IF(AJ106&lt;FT_First,0,IF(AJ106&lt;FT_Y5,1+INT((AJ106-FT_First)/FT_Int1),FT_PreY5+FT_PerYear*INT((AJ106-FT_Y5)/12)+FT_AnnivDays+INT(MOD(AJ106-FT_Y5,12)/FT_Int2))),IF(AG106="PT",IF(AJ106&lt;PT_First,0,1+INT((AJ106-PT_First)/PT_Int)),0))-IF(AG106="FT",IF(AK106&lt;FT_First,0,IF(AK106&lt;FT_Y5,1+INT((AK106-FT_First)/FT_Int1),FT_PreY5+FT_PerYear*INT((AK106-FT_Y5)/12)+FT_AnnivDays+INT(MOD(AK106-FT_Y5,12)/FT_Int2))),IF(AG106="PT",IF(AK106&lt;PT_First,0,1+INT((AK106-PT_First)/PT_Int)),0))))</f>
        <v/>
      </c>
      <c r="AN106" s="12" t="str">
        <f aca="false">IF(AC106=0,"",IF(AG106="FT",IF(AH106&lt;FT_First,FT_First,IF(AH106&lt;FT_Y5,MIN(FT_Y5,FT_First+FT_Int1*(INT((AH106-FT_First)/FT_Int1)+1)),FT_Y5+12*INT((AH106-FT_Y5)/12)+FT_Int2*(INT(MOD(AH106-FT_Y5,12)/FT_Int2)+1))),IF(AG106="PT",IF(AH106&lt;PT_First,PT_First,PT_First+PT_Int*(INT((AH106-PT_First)/PT_Int)+1)),"")))</f>
        <v/>
      </c>
      <c r="AO106" s="12" t="str">
        <f aca="false">IF(AC106=0,"",IF(NOT(CFY_Ready),0,COUNTIFS(INDEX(CFY_Data,0,CFY_ColFirst),$A106,INDEX(CFY_Data,0,CFY_ColSur),$B106,INDEX(CFY_Data,0,CFY_ColCat),BonusCat)))</f>
        <v/>
      </c>
    </row>
    <row r="107" customFormat="false" ht="15" hidden="false" customHeight="false" outlineLevel="0" collapsed="false">
      <c r="A107" s="15"/>
      <c r="B107" s="15"/>
      <c r="C107" s="15"/>
      <c r="D107" s="16"/>
      <c r="E107" s="10" t="str">
        <f aca="false">IF(OR(AC107=0,$D107=""),"",DATE(YEAR(AsOfDate)+IF(DATE(YEAR(AsOfDate),MONTH($D107),DAY($D107))&lt;=AsOfDate,1,0),MONTH($D107),DAY($D107)))</f>
        <v/>
      </c>
      <c r="F107" s="16"/>
      <c r="G107" s="16"/>
      <c r="H107" s="16"/>
      <c r="I107" s="16"/>
      <c r="J107" s="10" t="str">
        <f aca="false">IF(AC107=0,"",DATE(YEAR(AsOfDate)+IF(DATE(YEAR(AsOfDate),MONTH($F107),DAY($F107))&lt;=AsOfDate,1,0),MONTH($F107),DAY($F107)))</f>
        <v/>
      </c>
      <c r="K107" s="11" t="str">
        <f aca="false">IF(AC107=0,"",ROUND((AsOfDate-$F107)/365.25,1))</f>
        <v/>
      </c>
      <c r="L107" s="12" t="str">
        <f aca="false">IF(AC107=0,"",IF(AsOfDate&lt;AD107,"-",DATEDIF(AD107,AsOfDate,"y")&amp;"y "&amp;DATEDIF(AD107,AsOfDate,"ym")&amp;"m "&amp;DATEDIF(AD107,AsOfDate,"md")&amp;"d"))</f>
        <v/>
      </c>
      <c r="M107" s="13" t="str">
        <f aca="false">IF(AC107=0,"",N107*HoursPerDay)</f>
        <v/>
      </c>
      <c r="N107" s="13" t="str">
        <f aca="false">IF(AC107=0,"",AL107)</f>
        <v/>
      </c>
      <c r="O107" s="17"/>
      <c r="P107" s="12" t="str">
        <f aca="false">IF(AC107=0,"",IF(AE107="","",IF($G107&lt;$H107,"Part-Time to Full-Time","Full-Time to Part-Time")&amp;" on "&amp;TEXT(AE107,"dd/mm/yyyy")&amp;IF(AE107&gt;AsOfDate," (future)",IF(AF107=AG107,"",IF(AG107="None"," - STOPPED accruing",IF(AF107="None"," - now qualifying"," - pathway changed"))))))</f>
        <v/>
      </c>
      <c r="Q107" s="12" t="str">
        <f aca="false">IF(AC107=0,"",IF(AG107="None",IF(N107&gt;0,"No longer accruing","Not eligible - "&amp;IF(AND($C107="Part-Time",N($O107)&lt;PT_MinHours,$O107&lt;&gt;""),"under "&amp;PT_MinHours&amp;" hrs",$C107)),IF(N107&gt;0,"Yes - accruing","Not yet - from "&amp;TEXT(R107,"dd/mm/yyyy"))))</f>
        <v/>
      </c>
      <c r="R107" s="10" t="str">
        <f aca="false">IF(AC107=0,"",IF(AG107="None","",EDATE(AD107,AN107)))</f>
        <v/>
      </c>
      <c r="S107" s="13" t="str">
        <f aca="false">IF(AC107=0,"",IF(NOT(PFY_Ready),"",SUMIFS(INDEX(PFY_Data,0,PFY_ColBal),INDEX(PFY_Data,0,PFY_ColFirst),$A107,INDEX(PFY_Data,0,PFY_ColSur),$B107,INDEX(PFY_Data,0,PFY_ColCat),BonusCat)))</f>
        <v/>
      </c>
      <c r="T107" s="17"/>
      <c r="U107" s="13" t="str">
        <f aca="false">IF(AC107=0,"",IF(NOT(CFY_Ready),"",SUMIFS(INDEX(CFY_Data,0,CFY_ColBal),INDEX(CFY_Data,0,CFY_ColFirst),$A107,INDEX(CFY_Data,0,CFY_ColSur),$B107,INDEX(CFY_Data,0,CFY_ColCat),BonusCat)))</f>
        <v/>
      </c>
      <c r="V107" s="13" t="str">
        <f aca="false">IF(AC107=0,"",IF(OR(NOT(CFY_Ready),CFY_ColAppr=0),"",SUMIFS(INDEX(CFY_Data,0,CFY_ColAppr),INDEX(CFY_Data,0,CFY_ColFirst),$A107,INDEX(CFY_Data,0,CFY_ColSur),$B107,INDEX(CFY_Data,0,CFY_ColCat),BonusCat)))</f>
        <v/>
      </c>
      <c r="W107" s="13" t="str">
        <f aca="false">IF(OR(AC107=0,S107="",U107=""),"",MAX(0,S107+N($T107)-U107))</f>
        <v/>
      </c>
      <c r="X107" s="13" t="str">
        <f aca="false">IF(AC107=0,"",(AL107-AM107)*HoursPerDay)</f>
        <v/>
      </c>
      <c r="Y107" s="13" t="str">
        <f aca="false">IF(AC107=0,"",X107-N($T107))</f>
        <v/>
      </c>
      <c r="Z107" s="12" t="str">
        <f aca="false">IF(AC107=0,"",IF(Y107&gt;0,"Yes","No"))</f>
        <v/>
      </c>
      <c r="AA107" s="12" t="str">
        <f aca="false">IF(AC107=0,"",IF(NOT(CFY_Ready),"Paste CFY EH export",IF(Y107&gt;0,"ACCRUE "&amp;TEXT(Y107,"0.##")&amp;" hrs ("&amp;TEXT(Y107/HoursPerDay,"0.##")&amp;" days)"&amp;IF(AO107=0," - no Bonus Leave line in EH yet",""),IF(Y107&lt;0,"CHECK - posted "&amp;TEXT(-Y107,"0.##")&amp;" hrs more than policy",IF(AND(N107&gt;0,AO107=0,U107=0),"CHECK - policy says "&amp;TEXT(M107,"0.##")&amp;" hrs to date but nothing in EH",IF(N107&gt;0,"OK","-"))))))</f>
        <v/>
      </c>
      <c r="AB107" s="13" t="str">
        <f aca="false">IF(OR(AC107=0,S107=""),"",AM107*HoursPerDay-S107)</f>
        <v/>
      </c>
      <c r="AC107" s="12" t="n">
        <f aca="false">IF(OR(LEN($A107&amp;$B107)=0,$F107=""),0,1)</f>
        <v>0</v>
      </c>
      <c r="AD107" s="10" t="str">
        <f aca="false">IF(AC107=0,"",IF($I107&lt;&gt;"",$I107,$F107))</f>
        <v/>
      </c>
      <c r="AE107" s="10" t="str">
        <f aca="false">IF(AC107=0,"",IF(AND($G107&lt;&gt;"",$H107&lt;&gt;"",$G107&lt;&gt;$H107),MAX($G107,$H107),""))</f>
        <v/>
      </c>
      <c r="AF107" s="12" t="str">
        <f aca="false">IF(AC107=0,"",IF(AE107="",AG107,IF(IF($G107&lt;$H107,"Part-Time","Full-Time")="Full-Time","FT",IF(AND(IF($G107&lt;$H107,"Part-Time","Full-Time")="Part-Time",OR($O107="",N($O107)&gt;=PT_MinHours)),"PT","None"))))</f>
        <v/>
      </c>
      <c r="AG107" s="12" t="str">
        <f aca="false">IF(AC107=0,"",IF($C107="Full-Time","FT",IF(AND($C107="Part-Time",OR($O107="",N($O107)&gt;=PT_MinHours)),"PT","None")))</f>
        <v/>
      </c>
      <c r="AH107" s="12" t="str">
        <f aca="false">IF(AC107=0,"",IF(AsOfDate&lt;AD107,-1,12*(YEAR(AsOfDate)-YEAR(AD107))+MONTH(AsOfDate)-MONTH(AD107)-IF(DAY(AsOfDate)&lt;MIN(DAY(AD107),DAY(EOMONTH(AsOfDate,0))),1,0)))</f>
        <v/>
      </c>
      <c r="AI107" s="12" t="str">
        <f aca="false">IF(AC107=0,"",IF(OR(AE107="",AE107&gt;AsOfDate),AH107,IF((AE107-1)&lt;AD107,-1,12*(YEAR((AE107-1))-YEAR(AD107))+MONTH((AE107-1))-MONTH(AD107)-IF(DAY((AE107-1))&lt;MIN(DAY(AD107),DAY(EOMONTH((AE107-1),0))),1,0))))</f>
        <v/>
      </c>
      <c r="AJ107" s="12" t="str">
        <f aca="false">IF(AC107=0,"",IF(PFYDate&lt;AD107,-1,12*(YEAR(PFYDate)-YEAR(AD107))+MONTH(PFYDate)-MONTH(AD107)-IF(DAY(PFYDate)&lt;MIN(DAY(AD107),DAY(EOMONTH(PFYDate,0))),1,0)))</f>
        <v/>
      </c>
      <c r="AK107" s="12" t="str">
        <f aca="false">IF(AC107=0,"",IF(OR(AE107="",AE107&gt;PFYDate),AJ107,IF((AE107-1)&lt;AD107,-1,12*(YEAR((AE107-1))-YEAR(AD107))+MONTH((AE107-1))-MONTH(AD107)-IF(DAY((AE107-1))&lt;MIN(DAY(AD107),DAY(EOMONTH((AE107-1),0))),1,0))))</f>
        <v/>
      </c>
      <c r="AL107" s="12" t="str">
        <f aca="false">IF(AC107=0,"",IF(AF107="FT",IF(AI107&lt;FT_First,0,IF(AI107&lt;FT_Y5,1+INT((AI107-FT_First)/FT_Int1),FT_PreY5+FT_PerYear*INT((AI107-FT_Y5)/12)+FT_AnnivDays+INT(MOD(AI107-FT_Y5,12)/FT_Int2))),IF(AF107="PT",IF(AI107&lt;PT_First,0,1+INT((AI107-PT_First)/PT_Int)),0))+IF(OR(AE107="",AE107&gt;AsOfDate),0,IF(AG107="FT",IF(AH107&lt;FT_First,0,IF(AH107&lt;FT_Y5,1+INT((AH107-FT_First)/FT_Int1),FT_PreY5+FT_PerYear*INT((AH107-FT_Y5)/12)+FT_AnnivDays+INT(MOD(AH107-FT_Y5,12)/FT_Int2))),IF(AG107="PT",IF(AH107&lt;PT_First,0,1+INT((AH107-PT_First)/PT_Int)),0))-IF(AG107="FT",IF(AI107&lt;FT_First,0,IF(AI107&lt;FT_Y5,1+INT((AI107-FT_First)/FT_Int1),FT_PreY5+FT_PerYear*INT((AI107-FT_Y5)/12)+FT_AnnivDays+INT(MOD(AI107-FT_Y5,12)/FT_Int2))),IF(AG107="PT",IF(AI107&lt;PT_First,0,1+INT((AI107-PT_First)/PT_Int)),0))))</f>
        <v/>
      </c>
      <c r="AM107" s="12" t="str">
        <f aca="false">IF(AC107=0,"",IF(AF107="FT",IF(AK107&lt;FT_First,0,IF(AK107&lt;FT_Y5,1+INT((AK107-FT_First)/FT_Int1),FT_PreY5+FT_PerYear*INT((AK107-FT_Y5)/12)+FT_AnnivDays+INT(MOD(AK107-FT_Y5,12)/FT_Int2))),IF(AF107="PT",IF(AK107&lt;PT_First,0,1+INT((AK107-PT_First)/PT_Int)),0))+IF(OR(AE107="",AE107&gt;PFYDate),0,IF(AG107="FT",IF(AJ107&lt;FT_First,0,IF(AJ107&lt;FT_Y5,1+INT((AJ107-FT_First)/FT_Int1),FT_PreY5+FT_PerYear*INT((AJ107-FT_Y5)/12)+FT_AnnivDays+INT(MOD(AJ107-FT_Y5,12)/FT_Int2))),IF(AG107="PT",IF(AJ107&lt;PT_First,0,1+INT((AJ107-PT_First)/PT_Int)),0))-IF(AG107="FT",IF(AK107&lt;FT_First,0,IF(AK107&lt;FT_Y5,1+INT((AK107-FT_First)/FT_Int1),FT_PreY5+FT_PerYear*INT((AK107-FT_Y5)/12)+FT_AnnivDays+INT(MOD(AK107-FT_Y5,12)/FT_Int2))),IF(AG107="PT",IF(AK107&lt;PT_First,0,1+INT((AK107-PT_First)/PT_Int)),0))))</f>
        <v/>
      </c>
      <c r="AN107" s="12" t="str">
        <f aca="false">IF(AC107=0,"",IF(AG107="FT",IF(AH107&lt;FT_First,FT_First,IF(AH107&lt;FT_Y5,MIN(FT_Y5,FT_First+FT_Int1*(INT((AH107-FT_First)/FT_Int1)+1)),FT_Y5+12*INT((AH107-FT_Y5)/12)+FT_Int2*(INT(MOD(AH107-FT_Y5,12)/FT_Int2)+1))),IF(AG107="PT",IF(AH107&lt;PT_First,PT_First,PT_First+PT_Int*(INT((AH107-PT_First)/PT_Int)+1)),"")))</f>
        <v/>
      </c>
      <c r="AO107" s="12" t="str">
        <f aca="false">IF(AC107=0,"",IF(NOT(CFY_Ready),0,COUNTIFS(INDEX(CFY_Data,0,CFY_ColFirst),$A107,INDEX(CFY_Data,0,CFY_ColSur),$B107,INDEX(CFY_Data,0,CFY_ColCat),BonusCat)))</f>
        <v/>
      </c>
    </row>
    <row r="108" customFormat="false" ht="15" hidden="false" customHeight="false" outlineLevel="0" collapsed="false">
      <c r="A108" s="15"/>
      <c r="B108" s="15"/>
      <c r="C108" s="15"/>
      <c r="D108" s="16"/>
      <c r="E108" s="10" t="str">
        <f aca="false">IF(OR(AC108=0,$D108=""),"",DATE(YEAR(AsOfDate)+IF(DATE(YEAR(AsOfDate),MONTH($D108),DAY($D108))&lt;=AsOfDate,1,0),MONTH($D108),DAY($D108)))</f>
        <v/>
      </c>
      <c r="F108" s="16"/>
      <c r="G108" s="16"/>
      <c r="H108" s="16"/>
      <c r="I108" s="16"/>
      <c r="J108" s="10" t="str">
        <f aca="false">IF(AC108=0,"",DATE(YEAR(AsOfDate)+IF(DATE(YEAR(AsOfDate),MONTH($F108),DAY($F108))&lt;=AsOfDate,1,0),MONTH($F108),DAY($F108)))</f>
        <v/>
      </c>
      <c r="K108" s="11" t="str">
        <f aca="false">IF(AC108=0,"",ROUND((AsOfDate-$F108)/365.25,1))</f>
        <v/>
      </c>
      <c r="L108" s="12" t="str">
        <f aca="false">IF(AC108=0,"",IF(AsOfDate&lt;AD108,"-",DATEDIF(AD108,AsOfDate,"y")&amp;"y "&amp;DATEDIF(AD108,AsOfDate,"ym")&amp;"m "&amp;DATEDIF(AD108,AsOfDate,"md")&amp;"d"))</f>
        <v/>
      </c>
      <c r="M108" s="13" t="str">
        <f aca="false">IF(AC108=0,"",N108*HoursPerDay)</f>
        <v/>
      </c>
      <c r="N108" s="13" t="str">
        <f aca="false">IF(AC108=0,"",AL108)</f>
        <v/>
      </c>
      <c r="O108" s="17"/>
      <c r="P108" s="12" t="str">
        <f aca="false">IF(AC108=0,"",IF(AE108="","",IF($G108&lt;$H108,"Part-Time to Full-Time","Full-Time to Part-Time")&amp;" on "&amp;TEXT(AE108,"dd/mm/yyyy")&amp;IF(AE108&gt;AsOfDate," (future)",IF(AF108=AG108,"",IF(AG108="None"," - STOPPED accruing",IF(AF108="None"," - now qualifying"," - pathway changed"))))))</f>
        <v/>
      </c>
      <c r="Q108" s="12" t="str">
        <f aca="false">IF(AC108=0,"",IF(AG108="None",IF(N108&gt;0,"No longer accruing","Not eligible - "&amp;IF(AND($C108="Part-Time",N($O108)&lt;PT_MinHours,$O108&lt;&gt;""),"under "&amp;PT_MinHours&amp;" hrs",$C108)),IF(N108&gt;0,"Yes - accruing","Not yet - from "&amp;TEXT(R108,"dd/mm/yyyy"))))</f>
        <v/>
      </c>
      <c r="R108" s="10" t="str">
        <f aca="false">IF(AC108=0,"",IF(AG108="None","",EDATE(AD108,AN108)))</f>
        <v/>
      </c>
      <c r="S108" s="13" t="str">
        <f aca="false">IF(AC108=0,"",IF(NOT(PFY_Ready),"",SUMIFS(INDEX(PFY_Data,0,PFY_ColBal),INDEX(PFY_Data,0,PFY_ColFirst),$A108,INDEX(PFY_Data,0,PFY_ColSur),$B108,INDEX(PFY_Data,0,PFY_ColCat),BonusCat)))</f>
        <v/>
      </c>
      <c r="T108" s="17"/>
      <c r="U108" s="13" t="str">
        <f aca="false">IF(AC108=0,"",IF(NOT(CFY_Ready),"",SUMIFS(INDEX(CFY_Data,0,CFY_ColBal),INDEX(CFY_Data,0,CFY_ColFirst),$A108,INDEX(CFY_Data,0,CFY_ColSur),$B108,INDEX(CFY_Data,0,CFY_ColCat),BonusCat)))</f>
        <v/>
      </c>
      <c r="V108" s="13" t="str">
        <f aca="false">IF(AC108=0,"",IF(OR(NOT(CFY_Ready),CFY_ColAppr=0),"",SUMIFS(INDEX(CFY_Data,0,CFY_ColAppr),INDEX(CFY_Data,0,CFY_ColFirst),$A108,INDEX(CFY_Data,0,CFY_ColSur),$B108,INDEX(CFY_Data,0,CFY_ColCat),BonusCat)))</f>
        <v/>
      </c>
      <c r="W108" s="13" t="str">
        <f aca="false">IF(OR(AC108=0,S108="",U108=""),"",MAX(0,S108+N($T108)-U108))</f>
        <v/>
      </c>
      <c r="X108" s="13" t="str">
        <f aca="false">IF(AC108=0,"",(AL108-AM108)*HoursPerDay)</f>
        <v/>
      </c>
      <c r="Y108" s="13" t="str">
        <f aca="false">IF(AC108=0,"",X108-N($T108))</f>
        <v/>
      </c>
      <c r="Z108" s="12" t="str">
        <f aca="false">IF(AC108=0,"",IF(Y108&gt;0,"Yes","No"))</f>
        <v/>
      </c>
      <c r="AA108" s="12" t="str">
        <f aca="false">IF(AC108=0,"",IF(NOT(CFY_Ready),"Paste CFY EH export",IF(Y108&gt;0,"ACCRUE "&amp;TEXT(Y108,"0.##")&amp;" hrs ("&amp;TEXT(Y108/HoursPerDay,"0.##")&amp;" days)"&amp;IF(AO108=0," - no Bonus Leave line in EH yet",""),IF(Y108&lt;0,"CHECK - posted "&amp;TEXT(-Y108,"0.##")&amp;" hrs more than policy",IF(AND(N108&gt;0,AO108=0,U108=0),"CHECK - policy says "&amp;TEXT(M108,"0.##")&amp;" hrs to date but nothing in EH",IF(N108&gt;0,"OK","-"))))))</f>
        <v/>
      </c>
      <c r="AB108" s="13" t="str">
        <f aca="false">IF(OR(AC108=0,S108=""),"",AM108*HoursPerDay-S108)</f>
        <v/>
      </c>
      <c r="AC108" s="12" t="n">
        <f aca="false">IF(OR(LEN($A108&amp;$B108)=0,$F108=""),0,1)</f>
        <v>0</v>
      </c>
      <c r="AD108" s="10" t="str">
        <f aca="false">IF(AC108=0,"",IF($I108&lt;&gt;"",$I108,$F108))</f>
        <v/>
      </c>
      <c r="AE108" s="10" t="str">
        <f aca="false">IF(AC108=0,"",IF(AND($G108&lt;&gt;"",$H108&lt;&gt;"",$G108&lt;&gt;$H108),MAX($G108,$H108),""))</f>
        <v/>
      </c>
      <c r="AF108" s="12" t="str">
        <f aca="false">IF(AC108=0,"",IF(AE108="",AG108,IF(IF($G108&lt;$H108,"Part-Time","Full-Time")="Full-Time","FT",IF(AND(IF($G108&lt;$H108,"Part-Time","Full-Time")="Part-Time",OR($O108="",N($O108)&gt;=PT_MinHours)),"PT","None"))))</f>
        <v/>
      </c>
      <c r="AG108" s="12" t="str">
        <f aca="false">IF(AC108=0,"",IF($C108="Full-Time","FT",IF(AND($C108="Part-Time",OR($O108="",N($O108)&gt;=PT_MinHours)),"PT","None")))</f>
        <v/>
      </c>
      <c r="AH108" s="12" t="str">
        <f aca="false">IF(AC108=0,"",IF(AsOfDate&lt;AD108,-1,12*(YEAR(AsOfDate)-YEAR(AD108))+MONTH(AsOfDate)-MONTH(AD108)-IF(DAY(AsOfDate)&lt;MIN(DAY(AD108),DAY(EOMONTH(AsOfDate,0))),1,0)))</f>
        <v/>
      </c>
      <c r="AI108" s="12" t="str">
        <f aca="false">IF(AC108=0,"",IF(OR(AE108="",AE108&gt;AsOfDate),AH108,IF((AE108-1)&lt;AD108,-1,12*(YEAR((AE108-1))-YEAR(AD108))+MONTH((AE108-1))-MONTH(AD108)-IF(DAY((AE108-1))&lt;MIN(DAY(AD108),DAY(EOMONTH((AE108-1),0))),1,0))))</f>
        <v/>
      </c>
      <c r="AJ108" s="12" t="str">
        <f aca="false">IF(AC108=0,"",IF(PFYDate&lt;AD108,-1,12*(YEAR(PFYDate)-YEAR(AD108))+MONTH(PFYDate)-MONTH(AD108)-IF(DAY(PFYDate)&lt;MIN(DAY(AD108),DAY(EOMONTH(PFYDate,0))),1,0)))</f>
        <v/>
      </c>
      <c r="AK108" s="12" t="str">
        <f aca="false">IF(AC108=0,"",IF(OR(AE108="",AE108&gt;PFYDate),AJ108,IF((AE108-1)&lt;AD108,-1,12*(YEAR((AE108-1))-YEAR(AD108))+MONTH((AE108-1))-MONTH(AD108)-IF(DAY((AE108-1))&lt;MIN(DAY(AD108),DAY(EOMONTH((AE108-1),0))),1,0))))</f>
        <v/>
      </c>
      <c r="AL108" s="12" t="str">
        <f aca="false">IF(AC108=0,"",IF(AF108="FT",IF(AI108&lt;FT_First,0,IF(AI108&lt;FT_Y5,1+INT((AI108-FT_First)/FT_Int1),FT_PreY5+FT_PerYear*INT((AI108-FT_Y5)/12)+FT_AnnivDays+INT(MOD(AI108-FT_Y5,12)/FT_Int2))),IF(AF108="PT",IF(AI108&lt;PT_First,0,1+INT((AI108-PT_First)/PT_Int)),0))+IF(OR(AE108="",AE108&gt;AsOfDate),0,IF(AG108="FT",IF(AH108&lt;FT_First,0,IF(AH108&lt;FT_Y5,1+INT((AH108-FT_First)/FT_Int1),FT_PreY5+FT_PerYear*INT((AH108-FT_Y5)/12)+FT_AnnivDays+INT(MOD(AH108-FT_Y5,12)/FT_Int2))),IF(AG108="PT",IF(AH108&lt;PT_First,0,1+INT((AH108-PT_First)/PT_Int)),0))-IF(AG108="FT",IF(AI108&lt;FT_First,0,IF(AI108&lt;FT_Y5,1+INT((AI108-FT_First)/FT_Int1),FT_PreY5+FT_PerYear*INT((AI108-FT_Y5)/12)+FT_AnnivDays+INT(MOD(AI108-FT_Y5,12)/FT_Int2))),IF(AG108="PT",IF(AI108&lt;PT_First,0,1+INT((AI108-PT_First)/PT_Int)),0))))</f>
        <v/>
      </c>
      <c r="AM108" s="12" t="str">
        <f aca="false">IF(AC108=0,"",IF(AF108="FT",IF(AK108&lt;FT_First,0,IF(AK108&lt;FT_Y5,1+INT((AK108-FT_First)/FT_Int1),FT_PreY5+FT_PerYear*INT((AK108-FT_Y5)/12)+FT_AnnivDays+INT(MOD(AK108-FT_Y5,12)/FT_Int2))),IF(AF108="PT",IF(AK108&lt;PT_First,0,1+INT((AK108-PT_First)/PT_Int)),0))+IF(OR(AE108="",AE108&gt;PFYDate),0,IF(AG108="FT",IF(AJ108&lt;FT_First,0,IF(AJ108&lt;FT_Y5,1+INT((AJ108-FT_First)/FT_Int1),FT_PreY5+FT_PerYear*INT((AJ108-FT_Y5)/12)+FT_AnnivDays+INT(MOD(AJ108-FT_Y5,12)/FT_Int2))),IF(AG108="PT",IF(AJ108&lt;PT_First,0,1+INT((AJ108-PT_First)/PT_Int)),0))-IF(AG108="FT",IF(AK108&lt;FT_First,0,IF(AK108&lt;FT_Y5,1+INT((AK108-FT_First)/FT_Int1),FT_PreY5+FT_PerYear*INT((AK108-FT_Y5)/12)+FT_AnnivDays+INT(MOD(AK108-FT_Y5,12)/FT_Int2))),IF(AG108="PT",IF(AK108&lt;PT_First,0,1+INT((AK108-PT_First)/PT_Int)),0))))</f>
        <v/>
      </c>
      <c r="AN108" s="12" t="str">
        <f aca="false">IF(AC108=0,"",IF(AG108="FT",IF(AH108&lt;FT_First,FT_First,IF(AH108&lt;FT_Y5,MIN(FT_Y5,FT_First+FT_Int1*(INT((AH108-FT_First)/FT_Int1)+1)),FT_Y5+12*INT((AH108-FT_Y5)/12)+FT_Int2*(INT(MOD(AH108-FT_Y5,12)/FT_Int2)+1))),IF(AG108="PT",IF(AH108&lt;PT_First,PT_First,PT_First+PT_Int*(INT((AH108-PT_First)/PT_Int)+1)),"")))</f>
        <v/>
      </c>
      <c r="AO108" s="12" t="str">
        <f aca="false">IF(AC108=0,"",IF(NOT(CFY_Ready),0,COUNTIFS(INDEX(CFY_Data,0,CFY_ColFirst),$A108,INDEX(CFY_Data,0,CFY_ColSur),$B108,INDEX(CFY_Data,0,CFY_ColCat),BonusCat)))</f>
        <v/>
      </c>
    </row>
    <row r="109" customFormat="false" ht="15" hidden="false" customHeight="false" outlineLevel="0" collapsed="false">
      <c r="A109" s="15"/>
      <c r="B109" s="15"/>
      <c r="C109" s="15"/>
      <c r="D109" s="16"/>
      <c r="E109" s="10" t="str">
        <f aca="false">IF(OR(AC109=0,$D109=""),"",DATE(YEAR(AsOfDate)+IF(DATE(YEAR(AsOfDate),MONTH($D109),DAY($D109))&lt;=AsOfDate,1,0),MONTH($D109),DAY($D109)))</f>
        <v/>
      </c>
      <c r="F109" s="16"/>
      <c r="G109" s="16"/>
      <c r="H109" s="16"/>
      <c r="I109" s="16"/>
      <c r="J109" s="10" t="str">
        <f aca="false">IF(AC109=0,"",DATE(YEAR(AsOfDate)+IF(DATE(YEAR(AsOfDate),MONTH($F109),DAY($F109))&lt;=AsOfDate,1,0),MONTH($F109),DAY($F109)))</f>
        <v/>
      </c>
      <c r="K109" s="11" t="str">
        <f aca="false">IF(AC109=0,"",ROUND((AsOfDate-$F109)/365.25,1))</f>
        <v/>
      </c>
      <c r="L109" s="12" t="str">
        <f aca="false">IF(AC109=0,"",IF(AsOfDate&lt;AD109,"-",DATEDIF(AD109,AsOfDate,"y")&amp;"y "&amp;DATEDIF(AD109,AsOfDate,"ym")&amp;"m "&amp;DATEDIF(AD109,AsOfDate,"md")&amp;"d"))</f>
        <v/>
      </c>
      <c r="M109" s="13" t="str">
        <f aca="false">IF(AC109=0,"",N109*HoursPerDay)</f>
        <v/>
      </c>
      <c r="N109" s="13" t="str">
        <f aca="false">IF(AC109=0,"",AL109)</f>
        <v/>
      </c>
      <c r="O109" s="17"/>
      <c r="P109" s="12" t="str">
        <f aca="false">IF(AC109=0,"",IF(AE109="","",IF($G109&lt;$H109,"Part-Time to Full-Time","Full-Time to Part-Time")&amp;" on "&amp;TEXT(AE109,"dd/mm/yyyy")&amp;IF(AE109&gt;AsOfDate," (future)",IF(AF109=AG109,"",IF(AG109="None"," - STOPPED accruing",IF(AF109="None"," - now qualifying"," - pathway changed"))))))</f>
        <v/>
      </c>
      <c r="Q109" s="12" t="str">
        <f aca="false">IF(AC109=0,"",IF(AG109="None",IF(N109&gt;0,"No longer accruing","Not eligible - "&amp;IF(AND($C109="Part-Time",N($O109)&lt;PT_MinHours,$O109&lt;&gt;""),"under "&amp;PT_MinHours&amp;" hrs",$C109)),IF(N109&gt;0,"Yes - accruing","Not yet - from "&amp;TEXT(R109,"dd/mm/yyyy"))))</f>
        <v/>
      </c>
      <c r="R109" s="10" t="str">
        <f aca="false">IF(AC109=0,"",IF(AG109="None","",EDATE(AD109,AN109)))</f>
        <v/>
      </c>
      <c r="S109" s="13" t="str">
        <f aca="false">IF(AC109=0,"",IF(NOT(PFY_Ready),"",SUMIFS(INDEX(PFY_Data,0,PFY_ColBal),INDEX(PFY_Data,0,PFY_ColFirst),$A109,INDEX(PFY_Data,0,PFY_ColSur),$B109,INDEX(PFY_Data,0,PFY_ColCat),BonusCat)))</f>
        <v/>
      </c>
      <c r="T109" s="17"/>
      <c r="U109" s="13" t="str">
        <f aca="false">IF(AC109=0,"",IF(NOT(CFY_Ready),"",SUMIFS(INDEX(CFY_Data,0,CFY_ColBal),INDEX(CFY_Data,0,CFY_ColFirst),$A109,INDEX(CFY_Data,0,CFY_ColSur),$B109,INDEX(CFY_Data,0,CFY_ColCat),BonusCat)))</f>
        <v/>
      </c>
      <c r="V109" s="13" t="str">
        <f aca="false">IF(AC109=0,"",IF(OR(NOT(CFY_Ready),CFY_ColAppr=0),"",SUMIFS(INDEX(CFY_Data,0,CFY_ColAppr),INDEX(CFY_Data,0,CFY_ColFirst),$A109,INDEX(CFY_Data,0,CFY_ColSur),$B109,INDEX(CFY_Data,0,CFY_ColCat),BonusCat)))</f>
        <v/>
      </c>
      <c r="W109" s="13" t="str">
        <f aca="false">IF(OR(AC109=0,S109="",U109=""),"",MAX(0,S109+N($T109)-U109))</f>
        <v/>
      </c>
      <c r="X109" s="13" t="str">
        <f aca="false">IF(AC109=0,"",(AL109-AM109)*HoursPerDay)</f>
        <v/>
      </c>
      <c r="Y109" s="13" t="str">
        <f aca="false">IF(AC109=0,"",X109-N($T109))</f>
        <v/>
      </c>
      <c r="Z109" s="12" t="str">
        <f aca="false">IF(AC109=0,"",IF(Y109&gt;0,"Yes","No"))</f>
        <v/>
      </c>
      <c r="AA109" s="12" t="str">
        <f aca="false">IF(AC109=0,"",IF(NOT(CFY_Ready),"Paste CFY EH export",IF(Y109&gt;0,"ACCRUE "&amp;TEXT(Y109,"0.##")&amp;" hrs ("&amp;TEXT(Y109/HoursPerDay,"0.##")&amp;" days)"&amp;IF(AO109=0," - no Bonus Leave line in EH yet",""),IF(Y109&lt;0,"CHECK - posted "&amp;TEXT(-Y109,"0.##")&amp;" hrs more than policy",IF(AND(N109&gt;0,AO109=0,U109=0),"CHECK - policy says "&amp;TEXT(M109,"0.##")&amp;" hrs to date but nothing in EH",IF(N109&gt;0,"OK","-"))))))</f>
        <v/>
      </c>
      <c r="AB109" s="13" t="str">
        <f aca="false">IF(OR(AC109=0,S109=""),"",AM109*HoursPerDay-S109)</f>
        <v/>
      </c>
      <c r="AC109" s="12" t="n">
        <f aca="false">IF(OR(LEN($A109&amp;$B109)=0,$F109=""),0,1)</f>
        <v>0</v>
      </c>
      <c r="AD109" s="10" t="str">
        <f aca="false">IF(AC109=0,"",IF($I109&lt;&gt;"",$I109,$F109))</f>
        <v/>
      </c>
      <c r="AE109" s="10" t="str">
        <f aca="false">IF(AC109=0,"",IF(AND($G109&lt;&gt;"",$H109&lt;&gt;"",$G109&lt;&gt;$H109),MAX($G109,$H109),""))</f>
        <v/>
      </c>
      <c r="AF109" s="12" t="str">
        <f aca="false">IF(AC109=0,"",IF(AE109="",AG109,IF(IF($G109&lt;$H109,"Part-Time","Full-Time")="Full-Time","FT",IF(AND(IF($G109&lt;$H109,"Part-Time","Full-Time")="Part-Time",OR($O109="",N($O109)&gt;=PT_MinHours)),"PT","None"))))</f>
        <v/>
      </c>
      <c r="AG109" s="12" t="str">
        <f aca="false">IF(AC109=0,"",IF($C109="Full-Time","FT",IF(AND($C109="Part-Time",OR($O109="",N($O109)&gt;=PT_MinHours)),"PT","None")))</f>
        <v/>
      </c>
      <c r="AH109" s="12" t="str">
        <f aca="false">IF(AC109=0,"",IF(AsOfDate&lt;AD109,-1,12*(YEAR(AsOfDate)-YEAR(AD109))+MONTH(AsOfDate)-MONTH(AD109)-IF(DAY(AsOfDate)&lt;MIN(DAY(AD109),DAY(EOMONTH(AsOfDate,0))),1,0)))</f>
        <v/>
      </c>
      <c r="AI109" s="12" t="str">
        <f aca="false">IF(AC109=0,"",IF(OR(AE109="",AE109&gt;AsOfDate),AH109,IF((AE109-1)&lt;AD109,-1,12*(YEAR((AE109-1))-YEAR(AD109))+MONTH((AE109-1))-MONTH(AD109)-IF(DAY((AE109-1))&lt;MIN(DAY(AD109),DAY(EOMONTH((AE109-1),0))),1,0))))</f>
        <v/>
      </c>
      <c r="AJ109" s="12" t="str">
        <f aca="false">IF(AC109=0,"",IF(PFYDate&lt;AD109,-1,12*(YEAR(PFYDate)-YEAR(AD109))+MONTH(PFYDate)-MONTH(AD109)-IF(DAY(PFYDate)&lt;MIN(DAY(AD109),DAY(EOMONTH(PFYDate,0))),1,0)))</f>
        <v/>
      </c>
      <c r="AK109" s="12" t="str">
        <f aca="false">IF(AC109=0,"",IF(OR(AE109="",AE109&gt;PFYDate),AJ109,IF((AE109-1)&lt;AD109,-1,12*(YEAR((AE109-1))-YEAR(AD109))+MONTH((AE109-1))-MONTH(AD109)-IF(DAY((AE109-1))&lt;MIN(DAY(AD109),DAY(EOMONTH((AE109-1),0))),1,0))))</f>
        <v/>
      </c>
      <c r="AL109" s="12" t="str">
        <f aca="false">IF(AC109=0,"",IF(AF109="FT",IF(AI109&lt;FT_First,0,IF(AI109&lt;FT_Y5,1+INT((AI109-FT_First)/FT_Int1),FT_PreY5+FT_PerYear*INT((AI109-FT_Y5)/12)+FT_AnnivDays+INT(MOD(AI109-FT_Y5,12)/FT_Int2))),IF(AF109="PT",IF(AI109&lt;PT_First,0,1+INT((AI109-PT_First)/PT_Int)),0))+IF(OR(AE109="",AE109&gt;AsOfDate),0,IF(AG109="FT",IF(AH109&lt;FT_First,0,IF(AH109&lt;FT_Y5,1+INT((AH109-FT_First)/FT_Int1),FT_PreY5+FT_PerYear*INT((AH109-FT_Y5)/12)+FT_AnnivDays+INT(MOD(AH109-FT_Y5,12)/FT_Int2))),IF(AG109="PT",IF(AH109&lt;PT_First,0,1+INT((AH109-PT_First)/PT_Int)),0))-IF(AG109="FT",IF(AI109&lt;FT_First,0,IF(AI109&lt;FT_Y5,1+INT((AI109-FT_First)/FT_Int1),FT_PreY5+FT_PerYear*INT((AI109-FT_Y5)/12)+FT_AnnivDays+INT(MOD(AI109-FT_Y5,12)/FT_Int2))),IF(AG109="PT",IF(AI109&lt;PT_First,0,1+INT((AI109-PT_First)/PT_Int)),0))))</f>
        <v/>
      </c>
      <c r="AM109" s="12" t="str">
        <f aca="false">IF(AC109=0,"",IF(AF109="FT",IF(AK109&lt;FT_First,0,IF(AK109&lt;FT_Y5,1+INT((AK109-FT_First)/FT_Int1),FT_PreY5+FT_PerYear*INT((AK109-FT_Y5)/12)+FT_AnnivDays+INT(MOD(AK109-FT_Y5,12)/FT_Int2))),IF(AF109="PT",IF(AK109&lt;PT_First,0,1+INT((AK109-PT_First)/PT_Int)),0))+IF(OR(AE109="",AE109&gt;PFYDate),0,IF(AG109="FT",IF(AJ109&lt;FT_First,0,IF(AJ109&lt;FT_Y5,1+INT((AJ109-FT_First)/FT_Int1),FT_PreY5+FT_PerYear*INT((AJ109-FT_Y5)/12)+FT_AnnivDays+INT(MOD(AJ109-FT_Y5,12)/FT_Int2))),IF(AG109="PT",IF(AJ109&lt;PT_First,0,1+INT((AJ109-PT_First)/PT_Int)),0))-IF(AG109="FT",IF(AK109&lt;FT_First,0,IF(AK109&lt;FT_Y5,1+INT((AK109-FT_First)/FT_Int1),FT_PreY5+FT_PerYear*INT((AK109-FT_Y5)/12)+FT_AnnivDays+INT(MOD(AK109-FT_Y5,12)/FT_Int2))),IF(AG109="PT",IF(AK109&lt;PT_First,0,1+INT((AK109-PT_First)/PT_Int)),0))))</f>
        <v/>
      </c>
      <c r="AN109" s="12" t="str">
        <f aca="false">IF(AC109=0,"",IF(AG109="FT",IF(AH109&lt;FT_First,FT_First,IF(AH109&lt;FT_Y5,MIN(FT_Y5,FT_First+FT_Int1*(INT((AH109-FT_First)/FT_Int1)+1)),FT_Y5+12*INT((AH109-FT_Y5)/12)+FT_Int2*(INT(MOD(AH109-FT_Y5,12)/FT_Int2)+1))),IF(AG109="PT",IF(AH109&lt;PT_First,PT_First,PT_First+PT_Int*(INT((AH109-PT_First)/PT_Int)+1)),"")))</f>
        <v/>
      </c>
      <c r="AO109" s="12" t="str">
        <f aca="false">IF(AC109=0,"",IF(NOT(CFY_Ready),0,COUNTIFS(INDEX(CFY_Data,0,CFY_ColFirst),$A109,INDEX(CFY_Data,0,CFY_ColSur),$B109,INDEX(CFY_Data,0,CFY_ColCat),BonusCat)))</f>
        <v/>
      </c>
    </row>
    <row r="110" customFormat="false" ht="15" hidden="false" customHeight="false" outlineLevel="0" collapsed="false">
      <c r="A110" s="15"/>
      <c r="B110" s="15"/>
      <c r="C110" s="15"/>
      <c r="D110" s="16"/>
      <c r="E110" s="10" t="str">
        <f aca="false">IF(OR(AC110=0,$D110=""),"",DATE(YEAR(AsOfDate)+IF(DATE(YEAR(AsOfDate),MONTH($D110),DAY($D110))&lt;=AsOfDate,1,0),MONTH($D110),DAY($D110)))</f>
        <v/>
      </c>
      <c r="F110" s="16"/>
      <c r="G110" s="16"/>
      <c r="H110" s="16"/>
      <c r="I110" s="16"/>
      <c r="J110" s="10" t="str">
        <f aca="false">IF(AC110=0,"",DATE(YEAR(AsOfDate)+IF(DATE(YEAR(AsOfDate),MONTH($F110),DAY($F110))&lt;=AsOfDate,1,0),MONTH($F110),DAY($F110)))</f>
        <v/>
      </c>
      <c r="K110" s="11" t="str">
        <f aca="false">IF(AC110=0,"",ROUND((AsOfDate-$F110)/365.25,1))</f>
        <v/>
      </c>
      <c r="L110" s="12" t="str">
        <f aca="false">IF(AC110=0,"",IF(AsOfDate&lt;AD110,"-",DATEDIF(AD110,AsOfDate,"y")&amp;"y "&amp;DATEDIF(AD110,AsOfDate,"ym")&amp;"m "&amp;DATEDIF(AD110,AsOfDate,"md")&amp;"d"))</f>
        <v/>
      </c>
      <c r="M110" s="13" t="str">
        <f aca="false">IF(AC110=0,"",N110*HoursPerDay)</f>
        <v/>
      </c>
      <c r="N110" s="13" t="str">
        <f aca="false">IF(AC110=0,"",AL110)</f>
        <v/>
      </c>
      <c r="O110" s="17"/>
      <c r="P110" s="12" t="str">
        <f aca="false">IF(AC110=0,"",IF(AE110="","",IF($G110&lt;$H110,"Part-Time to Full-Time","Full-Time to Part-Time")&amp;" on "&amp;TEXT(AE110,"dd/mm/yyyy")&amp;IF(AE110&gt;AsOfDate," (future)",IF(AF110=AG110,"",IF(AG110="None"," - STOPPED accruing",IF(AF110="None"," - now qualifying"," - pathway changed"))))))</f>
        <v/>
      </c>
      <c r="Q110" s="12" t="str">
        <f aca="false">IF(AC110=0,"",IF(AG110="None",IF(N110&gt;0,"No longer accruing","Not eligible - "&amp;IF(AND($C110="Part-Time",N($O110)&lt;PT_MinHours,$O110&lt;&gt;""),"under "&amp;PT_MinHours&amp;" hrs",$C110)),IF(N110&gt;0,"Yes - accruing","Not yet - from "&amp;TEXT(R110,"dd/mm/yyyy"))))</f>
        <v/>
      </c>
      <c r="R110" s="10" t="str">
        <f aca="false">IF(AC110=0,"",IF(AG110="None","",EDATE(AD110,AN110)))</f>
        <v/>
      </c>
      <c r="S110" s="13" t="str">
        <f aca="false">IF(AC110=0,"",IF(NOT(PFY_Ready),"",SUMIFS(INDEX(PFY_Data,0,PFY_ColBal),INDEX(PFY_Data,0,PFY_ColFirst),$A110,INDEX(PFY_Data,0,PFY_ColSur),$B110,INDEX(PFY_Data,0,PFY_ColCat),BonusCat)))</f>
        <v/>
      </c>
      <c r="T110" s="17"/>
      <c r="U110" s="13" t="str">
        <f aca="false">IF(AC110=0,"",IF(NOT(CFY_Ready),"",SUMIFS(INDEX(CFY_Data,0,CFY_ColBal),INDEX(CFY_Data,0,CFY_ColFirst),$A110,INDEX(CFY_Data,0,CFY_ColSur),$B110,INDEX(CFY_Data,0,CFY_ColCat),BonusCat)))</f>
        <v/>
      </c>
      <c r="V110" s="13" t="str">
        <f aca="false">IF(AC110=0,"",IF(OR(NOT(CFY_Ready),CFY_ColAppr=0),"",SUMIFS(INDEX(CFY_Data,0,CFY_ColAppr),INDEX(CFY_Data,0,CFY_ColFirst),$A110,INDEX(CFY_Data,0,CFY_ColSur),$B110,INDEX(CFY_Data,0,CFY_ColCat),BonusCat)))</f>
        <v/>
      </c>
      <c r="W110" s="13" t="str">
        <f aca="false">IF(OR(AC110=0,S110="",U110=""),"",MAX(0,S110+N($T110)-U110))</f>
        <v/>
      </c>
      <c r="X110" s="13" t="str">
        <f aca="false">IF(AC110=0,"",(AL110-AM110)*HoursPerDay)</f>
        <v/>
      </c>
      <c r="Y110" s="13" t="str">
        <f aca="false">IF(AC110=0,"",X110-N($T110))</f>
        <v/>
      </c>
      <c r="Z110" s="12" t="str">
        <f aca="false">IF(AC110=0,"",IF(Y110&gt;0,"Yes","No"))</f>
        <v/>
      </c>
      <c r="AA110" s="12" t="str">
        <f aca="false">IF(AC110=0,"",IF(NOT(CFY_Ready),"Paste CFY EH export",IF(Y110&gt;0,"ACCRUE "&amp;TEXT(Y110,"0.##")&amp;" hrs ("&amp;TEXT(Y110/HoursPerDay,"0.##")&amp;" days)"&amp;IF(AO110=0," - no Bonus Leave line in EH yet",""),IF(Y110&lt;0,"CHECK - posted "&amp;TEXT(-Y110,"0.##")&amp;" hrs more than policy",IF(AND(N110&gt;0,AO110=0,U110=0),"CHECK - policy says "&amp;TEXT(M110,"0.##")&amp;" hrs to date but nothing in EH",IF(N110&gt;0,"OK","-"))))))</f>
        <v/>
      </c>
      <c r="AB110" s="13" t="str">
        <f aca="false">IF(OR(AC110=0,S110=""),"",AM110*HoursPerDay-S110)</f>
        <v/>
      </c>
      <c r="AC110" s="12" t="n">
        <f aca="false">IF(OR(LEN($A110&amp;$B110)=0,$F110=""),0,1)</f>
        <v>0</v>
      </c>
      <c r="AD110" s="10" t="str">
        <f aca="false">IF(AC110=0,"",IF($I110&lt;&gt;"",$I110,$F110))</f>
        <v/>
      </c>
      <c r="AE110" s="10" t="str">
        <f aca="false">IF(AC110=0,"",IF(AND($G110&lt;&gt;"",$H110&lt;&gt;"",$G110&lt;&gt;$H110),MAX($G110,$H110),""))</f>
        <v/>
      </c>
      <c r="AF110" s="12" t="str">
        <f aca="false">IF(AC110=0,"",IF(AE110="",AG110,IF(IF($G110&lt;$H110,"Part-Time","Full-Time")="Full-Time","FT",IF(AND(IF($G110&lt;$H110,"Part-Time","Full-Time")="Part-Time",OR($O110="",N($O110)&gt;=PT_MinHours)),"PT","None"))))</f>
        <v/>
      </c>
      <c r="AG110" s="12" t="str">
        <f aca="false">IF(AC110=0,"",IF($C110="Full-Time","FT",IF(AND($C110="Part-Time",OR($O110="",N($O110)&gt;=PT_MinHours)),"PT","None")))</f>
        <v/>
      </c>
      <c r="AH110" s="12" t="str">
        <f aca="false">IF(AC110=0,"",IF(AsOfDate&lt;AD110,-1,12*(YEAR(AsOfDate)-YEAR(AD110))+MONTH(AsOfDate)-MONTH(AD110)-IF(DAY(AsOfDate)&lt;MIN(DAY(AD110),DAY(EOMONTH(AsOfDate,0))),1,0)))</f>
        <v/>
      </c>
      <c r="AI110" s="12" t="str">
        <f aca="false">IF(AC110=0,"",IF(OR(AE110="",AE110&gt;AsOfDate),AH110,IF((AE110-1)&lt;AD110,-1,12*(YEAR((AE110-1))-YEAR(AD110))+MONTH((AE110-1))-MONTH(AD110)-IF(DAY((AE110-1))&lt;MIN(DAY(AD110),DAY(EOMONTH((AE110-1),0))),1,0))))</f>
        <v/>
      </c>
      <c r="AJ110" s="12" t="str">
        <f aca="false">IF(AC110=0,"",IF(PFYDate&lt;AD110,-1,12*(YEAR(PFYDate)-YEAR(AD110))+MONTH(PFYDate)-MONTH(AD110)-IF(DAY(PFYDate)&lt;MIN(DAY(AD110),DAY(EOMONTH(PFYDate,0))),1,0)))</f>
        <v/>
      </c>
      <c r="AK110" s="12" t="str">
        <f aca="false">IF(AC110=0,"",IF(OR(AE110="",AE110&gt;PFYDate),AJ110,IF((AE110-1)&lt;AD110,-1,12*(YEAR((AE110-1))-YEAR(AD110))+MONTH((AE110-1))-MONTH(AD110)-IF(DAY((AE110-1))&lt;MIN(DAY(AD110),DAY(EOMONTH((AE110-1),0))),1,0))))</f>
        <v/>
      </c>
      <c r="AL110" s="12" t="str">
        <f aca="false">IF(AC110=0,"",IF(AF110="FT",IF(AI110&lt;FT_First,0,IF(AI110&lt;FT_Y5,1+INT((AI110-FT_First)/FT_Int1),FT_PreY5+FT_PerYear*INT((AI110-FT_Y5)/12)+FT_AnnivDays+INT(MOD(AI110-FT_Y5,12)/FT_Int2))),IF(AF110="PT",IF(AI110&lt;PT_First,0,1+INT((AI110-PT_First)/PT_Int)),0))+IF(OR(AE110="",AE110&gt;AsOfDate),0,IF(AG110="FT",IF(AH110&lt;FT_First,0,IF(AH110&lt;FT_Y5,1+INT((AH110-FT_First)/FT_Int1),FT_PreY5+FT_PerYear*INT((AH110-FT_Y5)/12)+FT_AnnivDays+INT(MOD(AH110-FT_Y5,12)/FT_Int2))),IF(AG110="PT",IF(AH110&lt;PT_First,0,1+INT((AH110-PT_First)/PT_Int)),0))-IF(AG110="FT",IF(AI110&lt;FT_First,0,IF(AI110&lt;FT_Y5,1+INT((AI110-FT_First)/FT_Int1),FT_PreY5+FT_PerYear*INT((AI110-FT_Y5)/12)+FT_AnnivDays+INT(MOD(AI110-FT_Y5,12)/FT_Int2))),IF(AG110="PT",IF(AI110&lt;PT_First,0,1+INT((AI110-PT_First)/PT_Int)),0))))</f>
        <v/>
      </c>
      <c r="AM110" s="12" t="str">
        <f aca="false">IF(AC110=0,"",IF(AF110="FT",IF(AK110&lt;FT_First,0,IF(AK110&lt;FT_Y5,1+INT((AK110-FT_First)/FT_Int1),FT_PreY5+FT_PerYear*INT((AK110-FT_Y5)/12)+FT_AnnivDays+INT(MOD(AK110-FT_Y5,12)/FT_Int2))),IF(AF110="PT",IF(AK110&lt;PT_First,0,1+INT((AK110-PT_First)/PT_Int)),0))+IF(OR(AE110="",AE110&gt;PFYDate),0,IF(AG110="FT",IF(AJ110&lt;FT_First,0,IF(AJ110&lt;FT_Y5,1+INT((AJ110-FT_First)/FT_Int1),FT_PreY5+FT_PerYear*INT((AJ110-FT_Y5)/12)+FT_AnnivDays+INT(MOD(AJ110-FT_Y5,12)/FT_Int2))),IF(AG110="PT",IF(AJ110&lt;PT_First,0,1+INT((AJ110-PT_First)/PT_Int)),0))-IF(AG110="FT",IF(AK110&lt;FT_First,0,IF(AK110&lt;FT_Y5,1+INT((AK110-FT_First)/FT_Int1),FT_PreY5+FT_PerYear*INT((AK110-FT_Y5)/12)+FT_AnnivDays+INT(MOD(AK110-FT_Y5,12)/FT_Int2))),IF(AG110="PT",IF(AK110&lt;PT_First,0,1+INT((AK110-PT_First)/PT_Int)),0))))</f>
        <v/>
      </c>
      <c r="AN110" s="12" t="str">
        <f aca="false">IF(AC110=0,"",IF(AG110="FT",IF(AH110&lt;FT_First,FT_First,IF(AH110&lt;FT_Y5,MIN(FT_Y5,FT_First+FT_Int1*(INT((AH110-FT_First)/FT_Int1)+1)),FT_Y5+12*INT((AH110-FT_Y5)/12)+FT_Int2*(INT(MOD(AH110-FT_Y5,12)/FT_Int2)+1))),IF(AG110="PT",IF(AH110&lt;PT_First,PT_First,PT_First+PT_Int*(INT((AH110-PT_First)/PT_Int)+1)),"")))</f>
        <v/>
      </c>
      <c r="AO110" s="12" t="str">
        <f aca="false">IF(AC110=0,"",IF(NOT(CFY_Ready),0,COUNTIFS(INDEX(CFY_Data,0,CFY_ColFirst),$A110,INDEX(CFY_Data,0,CFY_ColSur),$B110,INDEX(CFY_Data,0,CFY_ColCat),BonusCat)))</f>
        <v/>
      </c>
    </row>
    <row r="111" customFormat="false" ht="15" hidden="false" customHeight="false" outlineLevel="0" collapsed="false">
      <c r="A111" s="15"/>
      <c r="B111" s="15"/>
      <c r="C111" s="15"/>
      <c r="D111" s="16"/>
      <c r="E111" s="10" t="str">
        <f aca="false">IF(OR(AC111=0,$D111=""),"",DATE(YEAR(AsOfDate)+IF(DATE(YEAR(AsOfDate),MONTH($D111),DAY($D111))&lt;=AsOfDate,1,0),MONTH($D111),DAY($D111)))</f>
        <v/>
      </c>
      <c r="F111" s="16"/>
      <c r="G111" s="16"/>
      <c r="H111" s="16"/>
      <c r="I111" s="16"/>
      <c r="J111" s="10" t="str">
        <f aca="false">IF(AC111=0,"",DATE(YEAR(AsOfDate)+IF(DATE(YEAR(AsOfDate),MONTH($F111),DAY($F111))&lt;=AsOfDate,1,0),MONTH($F111),DAY($F111)))</f>
        <v/>
      </c>
      <c r="K111" s="11" t="str">
        <f aca="false">IF(AC111=0,"",ROUND((AsOfDate-$F111)/365.25,1))</f>
        <v/>
      </c>
      <c r="L111" s="12" t="str">
        <f aca="false">IF(AC111=0,"",IF(AsOfDate&lt;AD111,"-",DATEDIF(AD111,AsOfDate,"y")&amp;"y "&amp;DATEDIF(AD111,AsOfDate,"ym")&amp;"m "&amp;DATEDIF(AD111,AsOfDate,"md")&amp;"d"))</f>
        <v/>
      </c>
      <c r="M111" s="13" t="str">
        <f aca="false">IF(AC111=0,"",N111*HoursPerDay)</f>
        <v/>
      </c>
      <c r="N111" s="13" t="str">
        <f aca="false">IF(AC111=0,"",AL111)</f>
        <v/>
      </c>
      <c r="O111" s="17"/>
      <c r="P111" s="12" t="str">
        <f aca="false">IF(AC111=0,"",IF(AE111="","",IF($G111&lt;$H111,"Part-Time to Full-Time","Full-Time to Part-Time")&amp;" on "&amp;TEXT(AE111,"dd/mm/yyyy")&amp;IF(AE111&gt;AsOfDate," (future)",IF(AF111=AG111,"",IF(AG111="None"," - STOPPED accruing",IF(AF111="None"," - now qualifying"," - pathway changed"))))))</f>
        <v/>
      </c>
      <c r="Q111" s="12" t="str">
        <f aca="false">IF(AC111=0,"",IF(AG111="None",IF(N111&gt;0,"No longer accruing","Not eligible - "&amp;IF(AND($C111="Part-Time",N($O111)&lt;PT_MinHours,$O111&lt;&gt;""),"under "&amp;PT_MinHours&amp;" hrs",$C111)),IF(N111&gt;0,"Yes - accruing","Not yet - from "&amp;TEXT(R111,"dd/mm/yyyy"))))</f>
        <v/>
      </c>
      <c r="R111" s="10" t="str">
        <f aca="false">IF(AC111=0,"",IF(AG111="None","",EDATE(AD111,AN111)))</f>
        <v/>
      </c>
      <c r="S111" s="13" t="str">
        <f aca="false">IF(AC111=0,"",IF(NOT(PFY_Ready),"",SUMIFS(INDEX(PFY_Data,0,PFY_ColBal),INDEX(PFY_Data,0,PFY_ColFirst),$A111,INDEX(PFY_Data,0,PFY_ColSur),$B111,INDEX(PFY_Data,0,PFY_ColCat),BonusCat)))</f>
        <v/>
      </c>
      <c r="T111" s="17"/>
      <c r="U111" s="13" t="str">
        <f aca="false">IF(AC111=0,"",IF(NOT(CFY_Ready),"",SUMIFS(INDEX(CFY_Data,0,CFY_ColBal),INDEX(CFY_Data,0,CFY_ColFirst),$A111,INDEX(CFY_Data,0,CFY_ColSur),$B111,INDEX(CFY_Data,0,CFY_ColCat),BonusCat)))</f>
        <v/>
      </c>
      <c r="V111" s="13" t="str">
        <f aca="false">IF(AC111=0,"",IF(OR(NOT(CFY_Ready),CFY_ColAppr=0),"",SUMIFS(INDEX(CFY_Data,0,CFY_ColAppr),INDEX(CFY_Data,0,CFY_ColFirst),$A111,INDEX(CFY_Data,0,CFY_ColSur),$B111,INDEX(CFY_Data,0,CFY_ColCat),BonusCat)))</f>
        <v/>
      </c>
      <c r="W111" s="13" t="str">
        <f aca="false">IF(OR(AC111=0,S111="",U111=""),"",MAX(0,S111+N($T111)-U111))</f>
        <v/>
      </c>
      <c r="X111" s="13" t="str">
        <f aca="false">IF(AC111=0,"",(AL111-AM111)*HoursPerDay)</f>
        <v/>
      </c>
      <c r="Y111" s="13" t="str">
        <f aca="false">IF(AC111=0,"",X111-N($T111))</f>
        <v/>
      </c>
      <c r="Z111" s="12" t="str">
        <f aca="false">IF(AC111=0,"",IF(Y111&gt;0,"Yes","No"))</f>
        <v/>
      </c>
      <c r="AA111" s="12" t="str">
        <f aca="false">IF(AC111=0,"",IF(NOT(CFY_Ready),"Paste CFY EH export",IF(Y111&gt;0,"ACCRUE "&amp;TEXT(Y111,"0.##")&amp;" hrs ("&amp;TEXT(Y111/HoursPerDay,"0.##")&amp;" days)"&amp;IF(AO111=0," - no Bonus Leave line in EH yet",""),IF(Y111&lt;0,"CHECK - posted "&amp;TEXT(-Y111,"0.##")&amp;" hrs more than policy",IF(AND(N111&gt;0,AO111=0,U111=0),"CHECK - policy says "&amp;TEXT(M111,"0.##")&amp;" hrs to date but nothing in EH",IF(N111&gt;0,"OK","-"))))))</f>
        <v/>
      </c>
      <c r="AB111" s="13" t="str">
        <f aca="false">IF(OR(AC111=0,S111=""),"",AM111*HoursPerDay-S111)</f>
        <v/>
      </c>
      <c r="AC111" s="12" t="n">
        <f aca="false">IF(OR(LEN($A111&amp;$B111)=0,$F111=""),0,1)</f>
        <v>0</v>
      </c>
      <c r="AD111" s="10" t="str">
        <f aca="false">IF(AC111=0,"",IF($I111&lt;&gt;"",$I111,$F111))</f>
        <v/>
      </c>
      <c r="AE111" s="10" t="str">
        <f aca="false">IF(AC111=0,"",IF(AND($G111&lt;&gt;"",$H111&lt;&gt;"",$G111&lt;&gt;$H111),MAX($G111,$H111),""))</f>
        <v/>
      </c>
      <c r="AF111" s="12" t="str">
        <f aca="false">IF(AC111=0,"",IF(AE111="",AG111,IF(IF($G111&lt;$H111,"Part-Time","Full-Time")="Full-Time","FT",IF(AND(IF($G111&lt;$H111,"Part-Time","Full-Time")="Part-Time",OR($O111="",N($O111)&gt;=PT_MinHours)),"PT","None"))))</f>
        <v/>
      </c>
      <c r="AG111" s="12" t="str">
        <f aca="false">IF(AC111=0,"",IF($C111="Full-Time","FT",IF(AND($C111="Part-Time",OR($O111="",N($O111)&gt;=PT_MinHours)),"PT","None")))</f>
        <v/>
      </c>
      <c r="AH111" s="12" t="str">
        <f aca="false">IF(AC111=0,"",IF(AsOfDate&lt;AD111,-1,12*(YEAR(AsOfDate)-YEAR(AD111))+MONTH(AsOfDate)-MONTH(AD111)-IF(DAY(AsOfDate)&lt;MIN(DAY(AD111),DAY(EOMONTH(AsOfDate,0))),1,0)))</f>
        <v/>
      </c>
      <c r="AI111" s="12" t="str">
        <f aca="false">IF(AC111=0,"",IF(OR(AE111="",AE111&gt;AsOfDate),AH111,IF((AE111-1)&lt;AD111,-1,12*(YEAR((AE111-1))-YEAR(AD111))+MONTH((AE111-1))-MONTH(AD111)-IF(DAY((AE111-1))&lt;MIN(DAY(AD111),DAY(EOMONTH((AE111-1),0))),1,0))))</f>
        <v/>
      </c>
      <c r="AJ111" s="12" t="str">
        <f aca="false">IF(AC111=0,"",IF(PFYDate&lt;AD111,-1,12*(YEAR(PFYDate)-YEAR(AD111))+MONTH(PFYDate)-MONTH(AD111)-IF(DAY(PFYDate)&lt;MIN(DAY(AD111),DAY(EOMONTH(PFYDate,0))),1,0)))</f>
        <v/>
      </c>
      <c r="AK111" s="12" t="str">
        <f aca="false">IF(AC111=0,"",IF(OR(AE111="",AE111&gt;PFYDate),AJ111,IF((AE111-1)&lt;AD111,-1,12*(YEAR((AE111-1))-YEAR(AD111))+MONTH((AE111-1))-MONTH(AD111)-IF(DAY((AE111-1))&lt;MIN(DAY(AD111),DAY(EOMONTH((AE111-1),0))),1,0))))</f>
        <v/>
      </c>
      <c r="AL111" s="12" t="str">
        <f aca="false">IF(AC111=0,"",IF(AF111="FT",IF(AI111&lt;FT_First,0,IF(AI111&lt;FT_Y5,1+INT((AI111-FT_First)/FT_Int1),FT_PreY5+FT_PerYear*INT((AI111-FT_Y5)/12)+FT_AnnivDays+INT(MOD(AI111-FT_Y5,12)/FT_Int2))),IF(AF111="PT",IF(AI111&lt;PT_First,0,1+INT((AI111-PT_First)/PT_Int)),0))+IF(OR(AE111="",AE111&gt;AsOfDate),0,IF(AG111="FT",IF(AH111&lt;FT_First,0,IF(AH111&lt;FT_Y5,1+INT((AH111-FT_First)/FT_Int1),FT_PreY5+FT_PerYear*INT((AH111-FT_Y5)/12)+FT_AnnivDays+INT(MOD(AH111-FT_Y5,12)/FT_Int2))),IF(AG111="PT",IF(AH111&lt;PT_First,0,1+INT((AH111-PT_First)/PT_Int)),0))-IF(AG111="FT",IF(AI111&lt;FT_First,0,IF(AI111&lt;FT_Y5,1+INT((AI111-FT_First)/FT_Int1),FT_PreY5+FT_PerYear*INT((AI111-FT_Y5)/12)+FT_AnnivDays+INT(MOD(AI111-FT_Y5,12)/FT_Int2))),IF(AG111="PT",IF(AI111&lt;PT_First,0,1+INT((AI111-PT_First)/PT_Int)),0))))</f>
        <v/>
      </c>
      <c r="AM111" s="12" t="str">
        <f aca="false">IF(AC111=0,"",IF(AF111="FT",IF(AK111&lt;FT_First,0,IF(AK111&lt;FT_Y5,1+INT((AK111-FT_First)/FT_Int1),FT_PreY5+FT_PerYear*INT((AK111-FT_Y5)/12)+FT_AnnivDays+INT(MOD(AK111-FT_Y5,12)/FT_Int2))),IF(AF111="PT",IF(AK111&lt;PT_First,0,1+INT((AK111-PT_First)/PT_Int)),0))+IF(OR(AE111="",AE111&gt;PFYDate),0,IF(AG111="FT",IF(AJ111&lt;FT_First,0,IF(AJ111&lt;FT_Y5,1+INT((AJ111-FT_First)/FT_Int1),FT_PreY5+FT_PerYear*INT((AJ111-FT_Y5)/12)+FT_AnnivDays+INT(MOD(AJ111-FT_Y5,12)/FT_Int2))),IF(AG111="PT",IF(AJ111&lt;PT_First,0,1+INT((AJ111-PT_First)/PT_Int)),0))-IF(AG111="FT",IF(AK111&lt;FT_First,0,IF(AK111&lt;FT_Y5,1+INT((AK111-FT_First)/FT_Int1),FT_PreY5+FT_PerYear*INT((AK111-FT_Y5)/12)+FT_AnnivDays+INT(MOD(AK111-FT_Y5,12)/FT_Int2))),IF(AG111="PT",IF(AK111&lt;PT_First,0,1+INT((AK111-PT_First)/PT_Int)),0))))</f>
        <v/>
      </c>
      <c r="AN111" s="12" t="str">
        <f aca="false">IF(AC111=0,"",IF(AG111="FT",IF(AH111&lt;FT_First,FT_First,IF(AH111&lt;FT_Y5,MIN(FT_Y5,FT_First+FT_Int1*(INT((AH111-FT_First)/FT_Int1)+1)),FT_Y5+12*INT((AH111-FT_Y5)/12)+FT_Int2*(INT(MOD(AH111-FT_Y5,12)/FT_Int2)+1))),IF(AG111="PT",IF(AH111&lt;PT_First,PT_First,PT_First+PT_Int*(INT((AH111-PT_First)/PT_Int)+1)),"")))</f>
        <v/>
      </c>
      <c r="AO111" s="12" t="str">
        <f aca="false">IF(AC111=0,"",IF(NOT(CFY_Ready),0,COUNTIFS(INDEX(CFY_Data,0,CFY_ColFirst),$A111,INDEX(CFY_Data,0,CFY_ColSur),$B111,INDEX(CFY_Data,0,CFY_ColCat),BonusCat)))</f>
        <v/>
      </c>
    </row>
    <row r="112" customFormat="false" ht="15" hidden="false" customHeight="false" outlineLevel="0" collapsed="false">
      <c r="A112" s="15"/>
      <c r="B112" s="15"/>
      <c r="C112" s="15"/>
      <c r="D112" s="16"/>
      <c r="E112" s="10" t="str">
        <f aca="false">IF(OR(AC112=0,$D112=""),"",DATE(YEAR(AsOfDate)+IF(DATE(YEAR(AsOfDate),MONTH($D112),DAY($D112))&lt;=AsOfDate,1,0),MONTH($D112),DAY($D112)))</f>
        <v/>
      </c>
      <c r="F112" s="16"/>
      <c r="G112" s="16"/>
      <c r="H112" s="16"/>
      <c r="I112" s="16"/>
      <c r="J112" s="10" t="str">
        <f aca="false">IF(AC112=0,"",DATE(YEAR(AsOfDate)+IF(DATE(YEAR(AsOfDate),MONTH($F112),DAY($F112))&lt;=AsOfDate,1,0),MONTH($F112),DAY($F112)))</f>
        <v/>
      </c>
      <c r="K112" s="11" t="str">
        <f aca="false">IF(AC112=0,"",ROUND((AsOfDate-$F112)/365.25,1))</f>
        <v/>
      </c>
      <c r="L112" s="12" t="str">
        <f aca="false">IF(AC112=0,"",IF(AsOfDate&lt;AD112,"-",DATEDIF(AD112,AsOfDate,"y")&amp;"y "&amp;DATEDIF(AD112,AsOfDate,"ym")&amp;"m "&amp;DATEDIF(AD112,AsOfDate,"md")&amp;"d"))</f>
        <v/>
      </c>
      <c r="M112" s="13" t="str">
        <f aca="false">IF(AC112=0,"",N112*HoursPerDay)</f>
        <v/>
      </c>
      <c r="N112" s="13" t="str">
        <f aca="false">IF(AC112=0,"",AL112)</f>
        <v/>
      </c>
      <c r="O112" s="17"/>
      <c r="P112" s="12" t="str">
        <f aca="false">IF(AC112=0,"",IF(AE112="","",IF($G112&lt;$H112,"Part-Time to Full-Time","Full-Time to Part-Time")&amp;" on "&amp;TEXT(AE112,"dd/mm/yyyy")&amp;IF(AE112&gt;AsOfDate," (future)",IF(AF112=AG112,"",IF(AG112="None"," - STOPPED accruing",IF(AF112="None"," - now qualifying"," - pathway changed"))))))</f>
        <v/>
      </c>
      <c r="Q112" s="12" t="str">
        <f aca="false">IF(AC112=0,"",IF(AG112="None",IF(N112&gt;0,"No longer accruing","Not eligible - "&amp;IF(AND($C112="Part-Time",N($O112)&lt;PT_MinHours,$O112&lt;&gt;""),"under "&amp;PT_MinHours&amp;" hrs",$C112)),IF(N112&gt;0,"Yes - accruing","Not yet - from "&amp;TEXT(R112,"dd/mm/yyyy"))))</f>
        <v/>
      </c>
      <c r="R112" s="10" t="str">
        <f aca="false">IF(AC112=0,"",IF(AG112="None","",EDATE(AD112,AN112)))</f>
        <v/>
      </c>
      <c r="S112" s="13" t="str">
        <f aca="false">IF(AC112=0,"",IF(NOT(PFY_Ready),"",SUMIFS(INDEX(PFY_Data,0,PFY_ColBal),INDEX(PFY_Data,0,PFY_ColFirst),$A112,INDEX(PFY_Data,0,PFY_ColSur),$B112,INDEX(PFY_Data,0,PFY_ColCat),BonusCat)))</f>
        <v/>
      </c>
      <c r="T112" s="17"/>
      <c r="U112" s="13" t="str">
        <f aca="false">IF(AC112=0,"",IF(NOT(CFY_Ready),"",SUMIFS(INDEX(CFY_Data,0,CFY_ColBal),INDEX(CFY_Data,0,CFY_ColFirst),$A112,INDEX(CFY_Data,0,CFY_ColSur),$B112,INDEX(CFY_Data,0,CFY_ColCat),BonusCat)))</f>
        <v/>
      </c>
      <c r="V112" s="13" t="str">
        <f aca="false">IF(AC112=0,"",IF(OR(NOT(CFY_Ready),CFY_ColAppr=0),"",SUMIFS(INDEX(CFY_Data,0,CFY_ColAppr),INDEX(CFY_Data,0,CFY_ColFirst),$A112,INDEX(CFY_Data,0,CFY_ColSur),$B112,INDEX(CFY_Data,0,CFY_ColCat),BonusCat)))</f>
        <v/>
      </c>
      <c r="W112" s="13" t="str">
        <f aca="false">IF(OR(AC112=0,S112="",U112=""),"",MAX(0,S112+N($T112)-U112))</f>
        <v/>
      </c>
      <c r="X112" s="13" t="str">
        <f aca="false">IF(AC112=0,"",(AL112-AM112)*HoursPerDay)</f>
        <v/>
      </c>
      <c r="Y112" s="13" t="str">
        <f aca="false">IF(AC112=0,"",X112-N($T112))</f>
        <v/>
      </c>
      <c r="Z112" s="12" t="str">
        <f aca="false">IF(AC112=0,"",IF(Y112&gt;0,"Yes","No"))</f>
        <v/>
      </c>
      <c r="AA112" s="12" t="str">
        <f aca="false">IF(AC112=0,"",IF(NOT(CFY_Ready),"Paste CFY EH export",IF(Y112&gt;0,"ACCRUE "&amp;TEXT(Y112,"0.##")&amp;" hrs ("&amp;TEXT(Y112/HoursPerDay,"0.##")&amp;" days)"&amp;IF(AO112=0," - no Bonus Leave line in EH yet",""),IF(Y112&lt;0,"CHECK - posted "&amp;TEXT(-Y112,"0.##")&amp;" hrs more than policy",IF(AND(N112&gt;0,AO112=0,U112=0),"CHECK - policy says "&amp;TEXT(M112,"0.##")&amp;" hrs to date but nothing in EH",IF(N112&gt;0,"OK","-"))))))</f>
        <v/>
      </c>
      <c r="AB112" s="13" t="str">
        <f aca="false">IF(OR(AC112=0,S112=""),"",AM112*HoursPerDay-S112)</f>
        <v/>
      </c>
      <c r="AC112" s="12" t="n">
        <f aca="false">IF(OR(LEN($A112&amp;$B112)=0,$F112=""),0,1)</f>
        <v>0</v>
      </c>
      <c r="AD112" s="10" t="str">
        <f aca="false">IF(AC112=0,"",IF($I112&lt;&gt;"",$I112,$F112))</f>
        <v/>
      </c>
      <c r="AE112" s="10" t="str">
        <f aca="false">IF(AC112=0,"",IF(AND($G112&lt;&gt;"",$H112&lt;&gt;"",$G112&lt;&gt;$H112),MAX($G112,$H112),""))</f>
        <v/>
      </c>
      <c r="AF112" s="12" t="str">
        <f aca="false">IF(AC112=0,"",IF(AE112="",AG112,IF(IF($G112&lt;$H112,"Part-Time","Full-Time")="Full-Time","FT",IF(AND(IF($G112&lt;$H112,"Part-Time","Full-Time")="Part-Time",OR($O112="",N($O112)&gt;=PT_MinHours)),"PT","None"))))</f>
        <v/>
      </c>
      <c r="AG112" s="12" t="str">
        <f aca="false">IF(AC112=0,"",IF($C112="Full-Time","FT",IF(AND($C112="Part-Time",OR($O112="",N($O112)&gt;=PT_MinHours)),"PT","None")))</f>
        <v/>
      </c>
      <c r="AH112" s="12" t="str">
        <f aca="false">IF(AC112=0,"",IF(AsOfDate&lt;AD112,-1,12*(YEAR(AsOfDate)-YEAR(AD112))+MONTH(AsOfDate)-MONTH(AD112)-IF(DAY(AsOfDate)&lt;MIN(DAY(AD112),DAY(EOMONTH(AsOfDate,0))),1,0)))</f>
        <v/>
      </c>
      <c r="AI112" s="12" t="str">
        <f aca="false">IF(AC112=0,"",IF(OR(AE112="",AE112&gt;AsOfDate),AH112,IF((AE112-1)&lt;AD112,-1,12*(YEAR((AE112-1))-YEAR(AD112))+MONTH((AE112-1))-MONTH(AD112)-IF(DAY((AE112-1))&lt;MIN(DAY(AD112),DAY(EOMONTH((AE112-1),0))),1,0))))</f>
        <v/>
      </c>
      <c r="AJ112" s="12" t="str">
        <f aca="false">IF(AC112=0,"",IF(PFYDate&lt;AD112,-1,12*(YEAR(PFYDate)-YEAR(AD112))+MONTH(PFYDate)-MONTH(AD112)-IF(DAY(PFYDate)&lt;MIN(DAY(AD112),DAY(EOMONTH(PFYDate,0))),1,0)))</f>
        <v/>
      </c>
      <c r="AK112" s="12" t="str">
        <f aca="false">IF(AC112=0,"",IF(OR(AE112="",AE112&gt;PFYDate),AJ112,IF((AE112-1)&lt;AD112,-1,12*(YEAR((AE112-1))-YEAR(AD112))+MONTH((AE112-1))-MONTH(AD112)-IF(DAY((AE112-1))&lt;MIN(DAY(AD112),DAY(EOMONTH((AE112-1),0))),1,0))))</f>
        <v/>
      </c>
      <c r="AL112" s="12" t="str">
        <f aca="false">IF(AC112=0,"",IF(AF112="FT",IF(AI112&lt;FT_First,0,IF(AI112&lt;FT_Y5,1+INT((AI112-FT_First)/FT_Int1),FT_PreY5+FT_PerYear*INT((AI112-FT_Y5)/12)+FT_AnnivDays+INT(MOD(AI112-FT_Y5,12)/FT_Int2))),IF(AF112="PT",IF(AI112&lt;PT_First,0,1+INT((AI112-PT_First)/PT_Int)),0))+IF(OR(AE112="",AE112&gt;AsOfDate),0,IF(AG112="FT",IF(AH112&lt;FT_First,0,IF(AH112&lt;FT_Y5,1+INT((AH112-FT_First)/FT_Int1),FT_PreY5+FT_PerYear*INT((AH112-FT_Y5)/12)+FT_AnnivDays+INT(MOD(AH112-FT_Y5,12)/FT_Int2))),IF(AG112="PT",IF(AH112&lt;PT_First,0,1+INT((AH112-PT_First)/PT_Int)),0))-IF(AG112="FT",IF(AI112&lt;FT_First,0,IF(AI112&lt;FT_Y5,1+INT((AI112-FT_First)/FT_Int1),FT_PreY5+FT_PerYear*INT((AI112-FT_Y5)/12)+FT_AnnivDays+INT(MOD(AI112-FT_Y5,12)/FT_Int2))),IF(AG112="PT",IF(AI112&lt;PT_First,0,1+INT((AI112-PT_First)/PT_Int)),0))))</f>
        <v/>
      </c>
      <c r="AM112" s="12" t="str">
        <f aca="false">IF(AC112=0,"",IF(AF112="FT",IF(AK112&lt;FT_First,0,IF(AK112&lt;FT_Y5,1+INT((AK112-FT_First)/FT_Int1),FT_PreY5+FT_PerYear*INT((AK112-FT_Y5)/12)+FT_AnnivDays+INT(MOD(AK112-FT_Y5,12)/FT_Int2))),IF(AF112="PT",IF(AK112&lt;PT_First,0,1+INT((AK112-PT_First)/PT_Int)),0))+IF(OR(AE112="",AE112&gt;PFYDate),0,IF(AG112="FT",IF(AJ112&lt;FT_First,0,IF(AJ112&lt;FT_Y5,1+INT((AJ112-FT_First)/FT_Int1),FT_PreY5+FT_PerYear*INT((AJ112-FT_Y5)/12)+FT_AnnivDays+INT(MOD(AJ112-FT_Y5,12)/FT_Int2))),IF(AG112="PT",IF(AJ112&lt;PT_First,0,1+INT((AJ112-PT_First)/PT_Int)),0))-IF(AG112="FT",IF(AK112&lt;FT_First,0,IF(AK112&lt;FT_Y5,1+INT((AK112-FT_First)/FT_Int1),FT_PreY5+FT_PerYear*INT((AK112-FT_Y5)/12)+FT_AnnivDays+INT(MOD(AK112-FT_Y5,12)/FT_Int2))),IF(AG112="PT",IF(AK112&lt;PT_First,0,1+INT((AK112-PT_First)/PT_Int)),0))))</f>
        <v/>
      </c>
      <c r="AN112" s="12" t="str">
        <f aca="false">IF(AC112=0,"",IF(AG112="FT",IF(AH112&lt;FT_First,FT_First,IF(AH112&lt;FT_Y5,MIN(FT_Y5,FT_First+FT_Int1*(INT((AH112-FT_First)/FT_Int1)+1)),FT_Y5+12*INT((AH112-FT_Y5)/12)+FT_Int2*(INT(MOD(AH112-FT_Y5,12)/FT_Int2)+1))),IF(AG112="PT",IF(AH112&lt;PT_First,PT_First,PT_First+PT_Int*(INT((AH112-PT_First)/PT_Int)+1)),"")))</f>
        <v/>
      </c>
      <c r="AO112" s="12" t="str">
        <f aca="false">IF(AC112=0,"",IF(NOT(CFY_Ready),0,COUNTIFS(INDEX(CFY_Data,0,CFY_ColFirst),$A112,INDEX(CFY_Data,0,CFY_ColSur),$B112,INDEX(CFY_Data,0,CFY_ColCat),BonusCat)))</f>
        <v/>
      </c>
    </row>
    <row r="113" customFormat="false" ht="15" hidden="false" customHeight="false" outlineLevel="0" collapsed="false">
      <c r="A113" s="15"/>
      <c r="B113" s="15"/>
      <c r="C113" s="15"/>
      <c r="D113" s="16"/>
      <c r="E113" s="10" t="str">
        <f aca="false">IF(OR(AC113=0,$D113=""),"",DATE(YEAR(AsOfDate)+IF(DATE(YEAR(AsOfDate),MONTH($D113),DAY($D113))&lt;=AsOfDate,1,0),MONTH($D113),DAY($D113)))</f>
        <v/>
      </c>
      <c r="F113" s="16"/>
      <c r="G113" s="16"/>
      <c r="H113" s="16"/>
      <c r="I113" s="16"/>
      <c r="J113" s="10" t="str">
        <f aca="false">IF(AC113=0,"",DATE(YEAR(AsOfDate)+IF(DATE(YEAR(AsOfDate),MONTH($F113),DAY($F113))&lt;=AsOfDate,1,0),MONTH($F113),DAY($F113)))</f>
        <v/>
      </c>
      <c r="K113" s="11" t="str">
        <f aca="false">IF(AC113=0,"",ROUND((AsOfDate-$F113)/365.25,1))</f>
        <v/>
      </c>
      <c r="L113" s="12" t="str">
        <f aca="false">IF(AC113=0,"",IF(AsOfDate&lt;AD113,"-",DATEDIF(AD113,AsOfDate,"y")&amp;"y "&amp;DATEDIF(AD113,AsOfDate,"ym")&amp;"m "&amp;DATEDIF(AD113,AsOfDate,"md")&amp;"d"))</f>
        <v/>
      </c>
      <c r="M113" s="13" t="str">
        <f aca="false">IF(AC113=0,"",N113*HoursPerDay)</f>
        <v/>
      </c>
      <c r="N113" s="13" t="str">
        <f aca="false">IF(AC113=0,"",AL113)</f>
        <v/>
      </c>
      <c r="O113" s="17"/>
      <c r="P113" s="12" t="str">
        <f aca="false">IF(AC113=0,"",IF(AE113="","",IF($G113&lt;$H113,"Part-Time to Full-Time","Full-Time to Part-Time")&amp;" on "&amp;TEXT(AE113,"dd/mm/yyyy")&amp;IF(AE113&gt;AsOfDate," (future)",IF(AF113=AG113,"",IF(AG113="None"," - STOPPED accruing",IF(AF113="None"," - now qualifying"," - pathway changed"))))))</f>
        <v/>
      </c>
      <c r="Q113" s="12" t="str">
        <f aca="false">IF(AC113=0,"",IF(AG113="None",IF(N113&gt;0,"No longer accruing","Not eligible - "&amp;IF(AND($C113="Part-Time",N($O113)&lt;PT_MinHours,$O113&lt;&gt;""),"under "&amp;PT_MinHours&amp;" hrs",$C113)),IF(N113&gt;0,"Yes - accruing","Not yet - from "&amp;TEXT(R113,"dd/mm/yyyy"))))</f>
        <v/>
      </c>
      <c r="R113" s="10" t="str">
        <f aca="false">IF(AC113=0,"",IF(AG113="None","",EDATE(AD113,AN113)))</f>
        <v/>
      </c>
      <c r="S113" s="13" t="str">
        <f aca="false">IF(AC113=0,"",IF(NOT(PFY_Ready),"",SUMIFS(INDEX(PFY_Data,0,PFY_ColBal),INDEX(PFY_Data,0,PFY_ColFirst),$A113,INDEX(PFY_Data,0,PFY_ColSur),$B113,INDEX(PFY_Data,0,PFY_ColCat),BonusCat)))</f>
        <v/>
      </c>
      <c r="T113" s="17"/>
      <c r="U113" s="13" t="str">
        <f aca="false">IF(AC113=0,"",IF(NOT(CFY_Ready),"",SUMIFS(INDEX(CFY_Data,0,CFY_ColBal),INDEX(CFY_Data,0,CFY_ColFirst),$A113,INDEX(CFY_Data,0,CFY_ColSur),$B113,INDEX(CFY_Data,0,CFY_ColCat),BonusCat)))</f>
        <v/>
      </c>
      <c r="V113" s="13" t="str">
        <f aca="false">IF(AC113=0,"",IF(OR(NOT(CFY_Ready),CFY_ColAppr=0),"",SUMIFS(INDEX(CFY_Data,0,CFY_ColAppr),INDEX(CFY_Data,0,CFY_ColFirst),$A113,INDEX(CFY_Data,0,CFY_ColSur),$B113,INDEX(CFY_Data,0,CFY_ColCat),BonusCat)))</f>
        <v/>
      </c>
      <c r="W113" s="13" t="str">
        <f aca="false">IF(OR(AC113=0,S113="",U113=""),"",MAX(0,S113+N($T113)-U113))</f>
        <v/>
      </c>
      <c r="X113" s="13" t="str">
        <f aca="false">IF(AC113=0,"",(AL113-AM113)*HoursPerDay)</f>
        <v/>
      </c>
      <c r="Y113" s="13" t="str">
        <f aca="false">IF(AC113=0,"",X113-N($T113))</f>
        <v/>
      </c>
      <c r="Z113" s="12" t="str">
        <f aca="false">IF(AC113=0,"",IF(Y113&gt;0,"Yes","No"))</f>
        <v/>
      </c>
      <c r="AA113" s="12" t="str">
        <f aca="false">IF(AC113=0,"",IF(NOT(CFY_Ready),"Paste CFY EH export",IF(Y113&gt;0,"ACCRUE "&amp;TEXT(Y113,"0.##")&amp;" hrs ("&amp;TEXT(Y113/HoursPerDay,"0.##")&amp;" days)"&amp;IF(AO113=0," - no Bonus Leave line in EH yet",""),IF(Y113&lt;0,"CHECK - posted "&amp;TEXT(-Y113,"0.##")&amp;" hrs more than policy",IF(AND(N113&gt;0,AO113=0,U113=0),"CHECK - policy says "&amp;TEXT(M113,"0.##")&amp;" hrs to date but nothing in EH",IF(N113&gt;0,"OK","-"))))))</f>
        <v/>
      </c>
      <c r="AB113" s="13" t="str">
        <f aca="false">IF(OR(AC113=0,S113=""),"",AM113*HoursPerDay-S113)</f>
        <v/>
      </c>
      <c r="AC113" s="12" t="n">
        <f aca="false">IF(OR(LEN($A113&amp;$B113)=0,$F113=""),0,1)</f>
        <v>0</v>
      </c>
      <c r="AD113" s="10" t="str">
        <f aca="false">IF(AC113=0,"",IF($I113&lt;&gt;"",$I113,$F113))</f>
        <v/>
      </c>
      <c r="AE113" s="10" t="str">
        <f aca="false">IF(AC113=0,"",IF(AND($G113&lt;&gt;"",$H113&lt;&gt;"",$G113&lt;&gt;$H113),MAX($G113,$H113),""))</f>
        <v/>
      </c>
      <c r="AF113" s="12" t="str">
        <f aca="false">IF(AC113=0,"",IF(AE113="",AG113,IF(IF($G113&lt;$H113,"Part-Time","Full-Time")="Full-Time","FT",IF(AND(IF($G113&lt;$H113,"Part-Time","Full-Time")="Part-Time",OR($O113="",N($O113)&gt;=PT_MinHours)),"PT","None"))))</f>
        <v/>
      </c>
      <c r="AG113" s="12" t="str">
        <f aca="false">IF(AC113=0,"",IF($C113="Full-Time","FT",IF(AND($C113="Part-Time",OR($O113="",N($O113)&gt;=PT_MinHours)),"PT","None")))</f>
        <v/>
      </c>
      <c r="AH113" s="12" t="str">
        <f aca="false">IF(AC113=0,"",IF(AsOfDate&lt;AD113,-1,12*(YEAR(AsOfDate)-YEAR(AD113))+MONTH(AsOfDate)-MONTH(AD113)-IF(DAY(AsOfDate)&lt;MIN(DAY(AD113),DAY(EOMONTH(AsOfDate,0))),1,0)))</f>
        <v/>
      </c>
      <c r="AI113" s="12" t="str">
        <f aca="false">IF(AC113=0,"",IF(OR(AE113="",AE113&gt;AsOfDate),AH113,IF((AE113-1)&lt;AD113,-1,12*(YEAR((AE113-1))-YEAR(AD113))+MONTH((AE113-1))-MONTH(AD113)-IF(DAY((AE113-1))&lt;MIN(DAY(AD113),DAY(EOMONTH((AE113-1),0))),1,0))))</f>
        <v/>
      </c>
      <c r="AJ113" s="12" t="str">
        <f aca="false">IF(AC113=0,"",IF(PFYDate&lt;AD113,-1,12*(YEAR(PFYDate)-YEAR(AD113))+MONTH(PFYDate)-MONTH(AD113)-IF(DAY(PFYDate)&lt;MIN(DAY(AD113),DAY(EOMONTH(PFYDate,0))),1,0)))</f>
        <v/>
      </c>
      <c r="AK113" s="12" t="str">
        <f aca="false">IF(AC113=0,"",IF(OR(AE113="",AE113&gt;PFYDate),AJ113,IF((AE113-1)&lt;AD113,-1,12*(YEAR((AE113-1))-YEAR(AD113))+MONTH((AE113-1))-MONTH(AD113)-IF(DAY((AE113-1))&lt;MIN(DAY(AD113),DAY(EOMONTH((AE113-1),0))),1,0))))</f>
        <v/>
      </c>
      <c r="AL113" s="12" t="str">
        <f aca="false">IF(AC113=0,"",IF(AF113="FT",IF(AI113&lt;FT_First,0,IF(AI113&lt;FT_Y5,1+INT((AI113-FT_First)/FT_Int1),FT_PreY5+FT_PerYear*INT((AI113-FT_Y5)/12)+FT_AnnivDays+INT(MOD(AI113-FT_Y5,12)/FT_Int2))),IF(AF113="PT",IF(AI113&lt;PT_First,0,1+INT((AI113-PT_First)/PT_Int)),0))+IF(OR(AE113="",AE113&gt;AsOfDate),0,IF(AG113="FT",IF(AH113&lt;FT_First,0,IF(AH113&lt;FT_Y5,1+INT((AH113-FT_First)/FT_Int1),FT_PreY5+FT_PerYear*INT((AH113-FT_Y5)/12)+FT_AnnivDays+INT(MOD(AH113-FT_Y5,12)/FT_Int2))),IF(AG113="PT",IF(AH113&lt;PT_First,0,1+INT((AH113-PT_First)/PT_Int)),0))-IF(AG113="FT",IF(AI113&lt;FT_First,0,IF(AI113&lt;FT_Y5,1+INT((AI113-FT_First)/FT_Int1),FT_PreY5+FT_PerYear*INT((AI113-FT_Y5)/12)+FT_AnnivDays+INT(MOD(AI113-FT_Y5,12)/FT_Int2))),IF(AG113="PT",IF(AI113&lt;PT_First,0,1+INT((AI113-PT_First)/PT_Int)),0))))</f>
        <v/>
      </c>
      <c r="AM113" s="12" t="str">
        <f aca="false">IF(AC113=0,"",IF(AF113="FT",IF(AK113&lt;FT_First,0,IF(AK113&lt;FT_Y5,1+INT((AK113-FT_First)/FT_Int1),FT_PreY5+FT_PerYear*INT((AK113-FT_Y5)/12)+FT_AnnivDays+INT(MOD(AK113-FT_Y5,12)/FT_Int2))),IF(AF113="PT",IF(AK113&lt;PT_First,0,1+INT((AK113-PT_First)/PT_Int)),0))+IF(OR(AE113="",AE113&gt;PFYDate),0,IF(AG113="FT",IF(AJ113&lt;FT_First,0,IF(AJ113&lt;FT_Y5,1+INT((AJ113-FT_First)/FT_Int1),FT_PreY5+FT_PerYear*INT((AJ113-FT_Y5)/12)+FT_AnnivDays+INT(MOD(AJ113-FT_Y5,12)/FT_Int2))),IF(AG113="PT",IF(AJ113&lt;PT_First,0,1+INT((AJ113-PT_First)/PT_Int)),0))-IF(AG113="FT",IF(AK113&lt;FT_First,0,IF(AK113&lt;FT_Y5,1+INT((AK113-FT_First)/FT_Int1),FT_PreY5+FT_PerYear*INT((AK113-FT_Y5)/12)+FT_AnnivDays+INT(MOD(AK113-FT_Y5,12)/FT_Int2))),IF(AG113="PT",IF(AK113&lt;PT_First,0,1+INT((AK113-PT_First)/PT_Int)),0))))</f>
        <v/>
      </c>
      <c r="AN113" s="12" t="str">
        <f aca="false">IF(AC113=0,"",IF(AG113="FT",IF(AH113&lt;FT_First,FT_First,IF(AH113&lt;FT_Y5,MIN(FT_Y5,FT_First+FT_Int1*(INT((AH113-FT_First)/FT_Int1)+1)),FT_Y5+12*INT((AH113-FT_Y5)/12)+FT_Int2*(INT(MOD(AH113-FT_Y5,12)/FT_Int2)+1))),IF(AG113="PT",IF(AH113&lt;PT_First,PT_First,PT_First+PT_Int*(INT((AH113-PT_First)/PT_Int)+1)),"")))</f>
        <v/>
      </c>
      <c r="AO113" s="12" t="str">
        <f aca="false">IF(AC113=0,"",IF(NOT(CFY_Ready),0,COUNTIFS(INDEX(CFY_Data,0,CFY_ColFirst),$A113,INDEX(CFY_Data,0,CFY_ColSur),$B113,INDEX(CFY_Data,0,CFY_ColCat),BonusCat)))</f>
        <v/>
      </c>
    </row>
    <row r="114" customFormat="false" ht="15" hidden="false" customHeight="false" outlineLevel="0" collapsed="false">
      <c r="A114" s="15"/>
      <c r="B114" s="15"/>
      <c r="C114" s="15"/>
      <c r="D114" s="16"/>
      <c r="E114" s="10" t="str">
        <f aca="false">IF(OR(AC114=0,$D114=""),"",DATE(YEAR(AsOfDate)+IF(DATE(YEAR(AsOfDate),MONTH($D114),DAY($D114))&lt;=AsOfDate,1,0),MONTH($D114),DAY($D114)))</f>
        <v/>
      </c>
      <c r="F114" s="16"/>
      <c r="G114" s="16"/>
      <c r="H114" s="16"/>
      <c r="I114" s="16"/>
      <c r="J114" s="10" t="str">
        <f aca="false">IF(AC114=0,"",DATE(YEAR(AsOfDate)+IF(DATE(YEAR(AsOfDate),MONTH($F114),DAY($F114))&lt;=AsOfDate,1,0),MONTH($F114),DAY($F114)))</f>
        <v/>
      </c>
      <c r="K114" s="11" t="str">
        <f aca="false">IF(AC114=0,"",ROUND((AsOfDate-$F114)/365.25,1))</f>
        <v/>
      </c>
      <c r="L114" s="12" t="str">
        <f aca="false">IF(AC114=0,"",IF(AsOfDate&lt;AD114,"-",DATEDIF(AD114,AsOfDate,"y")&amp;"y "&amp;DATEDIF(AD114,AsOfDate,"ym")&amp;"m "&amp;DATEDIF(AD114,AsOfDate,"md")&amp;"d"))</f>
        <v/>
      </c>
      <c r="M114" s="13" t="str">
        <f aca="false">IF(AC114=0,"",N114*HoursPerDay)</f>
        <v/>
      </c>
      <c r="N114" s="13" t="str">
        <f aca="false">IF(AC114=0,"",AL114)</f>
        <v/>
      </c>
      <c r="O114" s="17"/>
      <c r="P114" s="12" t="str">
        <f aca="false">IF(AC114=0,"",IF(AE114="","",IF($G114&lt;$H114,"Part-Time to Full-Time","Full-Time to Part-Time")&amp;" on "&amp;TEXT(AE114,"dd/mm/yyyy")&amp;IF(AE114&gt;AsOfDate," (future)",IF(AF114=AG114,"",IF(AG114="None"," - STOPPED accruing",IF(AF114="None"," - now qualifying"," - pathway changed"))))))</f>
        <v/>
      </c>
      <c r="Q114" s="12" t="str">
        <f aca="false">IF(AC114=0,"",IF(AG114="None",IF(N114&gt;0,"No longer accruing","Not eligible - "&amp;IF(AND($C114="Part-Time",N($O114)&lt;PT_MinHours,$O114&lt;&gt;""),"under "&amp;PT_MinHours&amp;" hrs",$C114)),IF(N114&gt;0,"Yes - accruing","Not yet - from "&amp;TEXT(R114,"dd/mm/yyyy"))))</f>
        <v/>
      </c>
      <c r="R114" s="10" t="str">
        <f aca="false">IF(AC114=0,"",IF(AG114="None","",EDATE(AD114,AN114)))</f>
        <v/>
      </c>
      <c r="S114" s="13" t="str">
        <f aca="false">IF(AC114=0,"",IF(NOT(PFY_Ready),"",SUMIFS(INDEX(PFY_Data,0,PFY_ColBal),INDEX(PFY_Data,0,PFY_ColFirst),$A114,INDEX(PFY_Data,0,PFY_ColSur),$B114,INDEX(PFY_Data,0,PFY_ColCat),BonusCat)))</f>
        <v/>
      </c>
      <c r="T114" s="17"/>
      <c r="U114" s="13" t="str">
        <f aca="false">IF(AC114=0,"",IF(NOT(CFY_Ready),"",SUMIFS(INDEX(CFY_Data,0,CFY_ColBal),INDEX(CFY_Data,0,CFY_ColFirst),$A114,INDEX(CFY_Data,0,CFY_ColSur),$B114,INDEX(CFY_Data,0,CFY_ColCat),BonusCat)))</f>
        <v/>
      </c>
      <c r="V114" s="13" t="str">
        <f aca="false">IF(AC114=0,"",IF(OR(NOT(CFY_Ready),CFY_ColAppr=0),"",SUMIFS(INDEX(CFY_Data,0,CFY_ColAppr),INDEX(CFY_Data,0,CFY_ColFirst),$A114,INDEX(CFY_Data,0,CFY_ColSur),$B114,INDEX(CFY_Data,0,CFY_ColCat),BonusCat)))</f>
        <v/>
      </c>
      <c r="W114" s="13" t="str">
        <f aca="false">IF(OR(AC114=0,S114="",U114=""),"",MAX(0,S114+N($T114)-U114))</f>
        <v/>
      </c>
      <c r="X114" s="13" t="str">
        <f aca="false">IF(AC114=0,"",(AL114-AM114)*HoursPerDay)</f>
        <v/>
      </c>
      <c r="Y114" s="13" t="str">
        <f aca="false">IF(AC114=0,"",X114-N($T114))</f>
        <v/>
      </c>
      <c r="Z114" s="12" t="str">
        <f aca="false">IF(AC114=0,"",IF(Y114&gt;0,"Yes","No"))</f>
        <v/>
      </c>
      <c r="AA114" s="12" t="str">
        <f aca="false">IF(AC114=0,"",IF(NOT(CFY_Ready),"Paste CFY EH export",IF(Y114&gt;0,"ACCRUE "&amp;TEXT(Y114,"0.##")&amp;" hrs ("&amp;TEXT(Y114/HoursPerDay,"0.##")&amp;" days)"&amp;IF(AO114=0," - no Bonus Leave line in EH yet",""),IF(Y114&lt;0,"CHECK - posted "&amp;TEXT(-Y114,"0.##")&amp;" hrs more than policy",IF(AND(N114&gt;0,AO114=0,U114=0),"CHECK - policy says "&amp;TEXT(M114,"0.##")&amp;" hrs to date but nothing in EH",IF(N114&gt;0,"OK","-"))))))</f>
        <v/>
      </c>
      <c r="AB114" s="13" t="str">
        <f aca="false">IF(OR(AC114=0,S114=""),"",AM114*HoursPerDay-S114)</f>
        <v/>
      </c>
      <c r="AC114" s="12" t="n">
        <f aca="false">IF(OR(LEN($A114&amp;$B114)=0,$F114=""),0,1)</f>
        <v>0</v>
      </c>
      <c r="AD114" s="10" t="str">
        <f aca="false">IF(AC114=0,"",IF($I114&lt;&gt;"",$I114,$F114))</f>
        <v/>
      </c>
      <c r="AE114" s="10" t="str">
        <f aca="false">IF(AC114=0,"",IF(AND($G114&lt;&gt;"",$H114&lt;&gt;"",$G114&lt;&gt;$H114),MAX($G114,$H114),""))</f>
        <v/>
      </c>
      <c r="AF114" s="12" t="str">
        <f aca="false">IF(AC114=0,"",IF(AE114="",AG114,IF(IF($G114&lt;$H114,"Part-Time","Full-Time")="Full-Time","FT",IF(AND(IF($G114&lt;$H114,"Part-Time","Full-Time")="Part-Time",OR($O114="",N($O114)&gt;=PT_MinHours)),"PT","None"))))</f>
        <v/>
      </c>
      <c r="AG114" s="12" t="str">
        <f aca="false">IF(AC114=0,"",IF($C114="Full-Time","FT",IF(AND($C114="Part-Time",OR($O114="",N($O114)&gt;=PT_MinHours)),"PT","None")))</f>
        <v/>
      </c>
      <c r="AH114" s="12" t="str">
        <f aca="false">IF(AC114=0,"",IF(AsOfDate&lt;AD114,-1,12*(YEAR(AsOfDate)-YEAR(AD114))+MONTH(AsOfDate)-MONTH(AD114)-IF(DAY(AsOfDate)&lt;MIN(DAY(AD114),DAY(EOMONTH(AsOfDate,0))),1,0)))</f>
        <v/>
      </c>
      <c r="AI114" s="12" t="str">
        <f aca="false">IF(AC114=0,"",IF(OR(AE114="",AE114&gt;AsOfDate),AH114,IF((AE114-1)&lt;AD114,-1,12*(YEAR((AE114-1))-YEAR(AD114))+MONTH((AE114-1))-MONTH(AD114)-IF(DAY((AE114-1))&lt;MIN(DAY(AD114),DAY(EOMONTH((AE114-1),0))),1,0))))</f>
        <v/>
      </c>
      <c r="AJ114" s="12" t="str">
        <f aca="false">IF(AC114=0,"",IF(PFYDate&lt;AD114,-1,12*(YEAR(PFYDate)-YEAR(AD114))+MONTH(PFYDate)-MONTH(AD114)-IF(DAY(PFYDate)&lt;MIN(DAY(AD114),DAY(EOMONTH(PFYDate,0))),1,0)))</f>
        <v/>
      </c>
      <c r="AK114" s="12" t="str">
        <f aca="false">IF(AC114=0,"",IF(OR(AE114="",AE114&gt;PFYDate),AJ114,IF((AE114-1)&lt;AD114,-1,12*(YEAR((AE114-1))-YEAR(AD114))+MONTH((AE114-1))-MONTH(AD114)-IF(DAY((AE114-1))&lt;MIN(DAY(AD114),DAY(EOMONTH((AE114-1),0))),1,0))))</f>
        <v/>
      </c>
      <c r="AL114" s="12" t="str">
        <f aca="false">IF(AC114=0,"",IF(AF114="FT",IF(AI114&lt;FT_First,0,IF(AI114&lt;FT_Y5,1+INT((AI114-FT_First)/FT_Int1),FT_PreY5+FT_PerYear*INT((AI114-FT_Y5)/12)+FT_AnnivDays+INT(MOD(AI114-FT_Y5,12)/FT_Int2))),IF(AF114="PT",IF(AI114&lt;PT_First,0,1+INT((AI114-PT_First)/PT_Int)),0))+IF(OR(AE114="",AE114&gt;AsOfDate),0,IF(AG114="FT",IF(AH114&lt;FT_First,0,IF(AH114&lt;FT_Y5,1+INT((AH114-FT_First)/FT_Int1),FT_PreY5+FT_PerYear*INT((AH114-FT_Y5)/12)+FT_AnnivDays+INT(MOD(AH114-FT_Y5,12)/FT_Int2))),IF(AG114="PT",IF(AH114&lt;PT_First,0,1+INT((AH114-PT_First)/PT_Int)),0))-IF(AG114="FT",IF(AI114&lt;FT_First,0,IF(AI114&lt;FT_Y5,1+INT((AI114-FT_First)/FT_Int1),FT_PreY5+FT_PerYear*INT((AI114-FT_Y5)/12)+FT_AnnivDays+INT(MOD(AI114-FT_Y5,12)/FT_Int2))),IF(AG114="PT",IF(AI114&lt;PT_First,0,1+INT((AI114-PT_First)/PT_Int)),0))))</f>
        <v/>
      </c>
      <c r="AM114" s="12" t="str">
        <f aca="false">IF(AC114=0,"",IF(AF114="FT",IF(AK114&lt;FT_First,0,IF(AK114&lt;FT_Y5,1+INT((AK114-FT_First)/FT_Int1),FT_PreY5+FT_PerYear*INT((AK114-FT_Y5)/12)+FT_AnnivDays+INT(MOD(AK114-FT_Y5,12)/FT_Int2))),IF(AF114="PT",IF(AK114&lt;PT_First,0,1+INT((AK114-PT_First)/PT_Int)),0))+IF(OR(AE114="",AE114&gt;PFYDate),0,IF(AG114="FT",IF(AJ114&lt;FT_First,0,IF(AJ114&lt;FT_Y5,1+INT((AJ114-FT_First)/FT_Int1),FT_PreY5+FT_PerYear*INT((AJ114-FT_Y5)/12)+FT_AnnivDays+INT(MOD(AJ114-FT_Y5,12)/FT_Int2))),IF(AG114="PT",IF(AJ114&lt;PT_First,0,1+INT((AJ114-PT_First)/PT_Int)),0))-IF(AG114="FT",IF(AK114&lt;FT_First,0,IF(AK114&lt;FT_Y5,1+INT((AK114-FT_First)/FT_Int1),FT_PreY5+FT_PerYear*INT((AK114-FT_Y5)/12)+FT_AnnivDays+INT(MOD(AK114-FT_Y5,12)/FT_Int2))),IF(AG114="PT",IF(AK114&lt;PT_First,0,1+INT((AK114-PT_First)/PT_Int)),0))))</f>
        <v/>
      </c>
      <c r="AN114" s="12" t="str">
        <f aca="false">IF(AC114=0,"",IF(AG114="FT",IF(AH114&lt;FT_First,FT_First,IF(AH114&lt;FT_Y5,MIN(FT_Y5,FT_First+FT_Int1*(INT((AH114-FT_First)/FT_Int1)+1)),FT_Y5+12*INT((AH114-FT_Y5)/12)+FT_Int2*(INT(MOD(AH114-FT_Y5,12)/FT_Int2)+1))),IF(AG114="PT",IF(AH114&lt;PT_First,PT_First,PT_First+PT_Int*(INT((AH114-PT_First)/PT_Int)+1)),"")))</f>
        <v/>
      </c>
      <c r="AO114" s="12" t="str">
        <f aca="false">IF(AC114=0,"",IF(NOT(CFY_Ready),0,COUNTIFS(INDEX(CFY_Data,0,CFY_ColFirst),$A114,INDEX(CFY_Data,0,CFY_ColSur),$B114,INDEX(CFY_Data,0,CFY_ColCat),BonusCat)))</f>
        <v/>
      </c>
    </row>
    <row r="115" customFormat="false" ht="15" hidden="false" customHeight="false" outlineLevel="0" collapsed="false">
      <c r="A115" s="15"/>
      <c r="B115" s="15"/>
      <c r="C115" s="15"/>
      <c r="D115" s="16"/>
      <c r="E115" s="10" t="str">
        <f aca="false">IF(OR(AC115=0,$D115=""),"",DATE(YEAR(AsOfDate)+IF(DATE(YEAR(AsOfDate),MONTH($D115),DAY($D115))&lt;=AsOfDate,1,0),MONTH($D115),DAY($D115)))</f>
        <v/>
      </c>
      <c r="F115" s="16"/>
      <c r="G115" s="16"/>
      <c r="H115" s="16"/>
      <c r="I115" s="16"/>
      <c r="J115" s="10" t="str">
        <f aca="false">IF(AC115=0,"",DATE(YEAR(AsOfDate)+IF(DATE(YEAR(AsOfDate),MONTH($F115),DAY($F115))&lt;=AsOfDate,1,0),MONTH($F115),DAY($F115)))</f>
        <v/>
      </c>
      <c r="K115" s="11" t="str">
        <f aca="false">IF(AC115=0,"",ROUND((AsOfDate-$F115)/365.25,1))</f>
        <v/>
      </c>
      <c r="L115" s="12" t="str">
        <f aca="false">IF(AC115=0,"",IF(AsOfDate&lt;AD115,"-",DATEDIF(AD115,AsOfDate,"y")&amp;"y "&amp;DATEDIF(AD115,AsOfDate,"ym")&amp;"m "&amp;DATEDIF(AD115,AsOfDate,"md")&amp;"d"))</f>
        <v/>
      </c>
      <c r="M115" s="13" t="str">
        <f aca="false">IF(AC115=0,"",N115*HoursPerDay)</f>
        <v/>
      </c>
      <c r="N115" s="13" t="str">
        <f aca="false">IF(AC115=0,"",AL115)</f>
        <v/>
      </c>
      <c r="O115" s="17"/>
      <c r="P115" s="12" t="str">
        <f aca="false">IF(AC115=0,"",IF(AE115="","",IF($G115&lt;$H115,"Part-Time to Full-Time","Full-Time to Part-Time")&amp;" on "&amp;TEXT(AE115,"dd/mm/yyyy")&amp;IF(AE115&gt;AsOfDate," (future)",IF(AF115=AG115,"",IF(AG115="None"," - STOPPED accruing",IF(AF115="None"," - now qualifying"," - pathway changed"))))))</f>
        <v/>
      </c>
      <c r="Q115" s="12" t="str">
        <f aca="false">IF(AC115=0,"",IF(AG115="None",IF(N115&gt;0,"No longer accruing","Not eligible - "&amp;IF(AND($C115="Part-Time",N($O115)&lt;PT_MinHours,$O115&lt;&gt;""),"under "&amp;PT_MinHours&amp;" hrs",$C115)),IF(N115&gt;0,"Yes - accruing","Not yet - from "&amp;TEXT(R115,"dd/mm/yyyy"))))</f>
        <v/>
      </c>
      <c r="R115" s="10" t="str">
        <f aca="false">IF(AC115=0,"",IF(AG115="None","",EDATE(AD115,AN115)))</f>
        <v/>
      </c>
      <c r="S115" s="13" t="str">
        <f aca="false">IF(AC115=0,"",IF(NOT(PFY_Ready),"",SUMIFS(INDEX(PFY_Data,0,PFY_ColBal),INDEX(PFY_Data,0,PFY_ColFirst),$A115,INDEX(PFY_Data,0,PFY_ColSur),$B115,INDEX(PFY_Data,0,PFY_ColCat),BonusCat)))</f>
        <v/>
      </c>
      <c r="T115" s="17"/>
      <c r="U115" s="13" t="str">
        <f aca="false">IF(AC115=0,"",IF(NOT(CFY_Ready),"",SUMIFS(INDEX(CFY_Data,0,CFY_ColBal),INDEX(CFY_Data,0,CFY_ColFirst),$A115,INDEX(CFY_Data,0,CFY_ColSur),$B115,INDEX(CFY_Data,0,CFY_ColCat),BonusCat)))</f>
        <v/>
      </c>
      <c r="V115" s="13" t="str">
        <f aca="false">IF(AC115=0,"",IF(OR(NOT(CFY_Ready),CFY_ColAppr=0),"",SUMIFS(INDEX(CFY_Data,0,CFY_ColAppr),INDEX(CFY_Data,0,CFY_ColFirst),$A115,INDEX(CFY_Data,0,CFY_ColSur),$B115,INDEX(CFY_Data,0,CFY_ColCat),BonusCat)))</f>
        <v/>
      </c>
      <c r="W115" s="13" t="str">
        <f aca="false">IF(OR(AC115=0,S115="",U115=""),"",MAX(0,S115+N($T115)-U115))</f>
        <v/>
      </c>
      <c r="X115" s="13" t="str">
        <f aca="false">IF(AC115=0,"",(AL115-AM115)*HoursPerDay)</f>
        <v/>
      </c>
      <c r="Y115" s="13" t="str">
        <f aca="false">IF(AC115=0,"",X115-N($T115))</f>
        <v/>
      </c>
      <c r="Z115" s="12" t="str">
        <f aca="false">IF(AC115=0,"",IF(Y115&gt;0,"Yes","No"))</f>
        <v/>
      </c>
      <c r="AA115" s="12" t="str">
        <f aca="false">IF(AC115=0,"",IF(NOT(CFY_Ready),"Paste CFY EH export",IF(Y115&gt;0,"ACCRUE "&amp;TEXT(Y115,"0.##")&amp;" hrs ("&amp;TEXT(Y115/HoursPerDay,"0.##")&amp;" days)"&amp;IF(AO115=0," - no Bonus Leave line in EH yet",""),IF(Y115&lt;0,"CHECK - posted "&amp;TEXT(-Y115,"0.##")&amp;" hrs more than policy",IF(AND(N115&gt;0,AO115=0,U115=0),"CHECK - policy says "&amp;TEXT(M115,"0.##")&amp;" hrs to date but nothing in EH",IF(N115&gt;0,"OK","-"))))))</f>
        <v/>
      </c>
      <c r="AB115" s="13" t="str">
        <f aca="false">IF(OR(AC115=0,S115=""),"",AM115*HoursPerDay-S115)</f>
        <v/>
      </c>
      <c r="AC115" s="12" t="n">
        <f aca="false">IF(OR(LEN($A115&amp;$B115)=0,$F115=""),0,1)</f>
        <v>0</v>
      </c>
      <c r="AD115" s="10" t="str">
        <f aca="false">IF(AC115=0,"",IF($I115&lt;&gt;"",$I115,$F115))</f>
        <v/>
      </c>
      <c r="AE115" s="10" t="str">
        <f aca="false">IF(AC115=0,"",IF(AND($G115&lt;&gt;"",$H115&lt;&gt;"",$G115&lt;&gt;$H115),MAX($G115,$H115),""))</f>
        <v/>
      </c>
      <c r="AF115" s="12" t="str">
        <f aca="false">IF(AC115=0,"",IF(AE115="",AG115,IF(IF($G115&lt;$H115,"Part-Time","Full-Time")="Full-Time","FT",IF(AND(IF($G115&lt;$H115,"Part-Time","Full-Time")="Part-Time",OR($O115="",N($O115)&gt;=PT_MinHours)),"PT","None"))))</f>
        <v/>
      </c>
      <c r="AG115" s="12" t="str">
        <f aca="false">IF(AC115=0,"",IF($C115="Full-Time","FT",IF(AND($C115="Part-Time",OR($O115="",N($O115)&gt;=PT_MinHours)),"PT","None")))</f>
        <v/>
      </c>
      <c r="AH115" s="12" t="str">
        <f aca="false">IF(AC115=0,"",IF(AsOfDate&lt;AD115,-1,12*(YEAR(AsOfDate)-YEAR(AD115))+MONTH(AsOfDate)-MONTH(AD115)-IF(DAY(AsOfDate)&lt;MIN(DAY(AD115),DAY(EOMONTH(AsOfDate,0))),1,0)))</f>
        <v/>
      </c>
      <c r="AI115" s="12" t="str">
        <f aca="false">IF(AC115=0,"",IF(OR(AE115="",AE115&gt;AsOfDate),AH115,IF((AE115-1)&lt;AD115,-1,12*(YEAR((AE115-1))-YEAR(AD115))+MONTH((AE115-1))-MONTH(AD115)-IF(DAY((AE115-1))&lt;MIN(DAY(AD115),DAY(EOMONTH((AE115-1),0))),1,0))))</f>
        <v/>
      </c>
      <c r="AJ115" s="12" t="str">
        <f aca="false">IF(AC115=0,"",IF(PFYDate&lt;AD115,-1,12*(YEAR(PFYDate)-YEAR(AD115))+MONTH(PFYDate)-MONTH(AD115)-IF(DAY(PFYDate)&lt;MIN(DAY(AD115),DAY(EOMONTH(PFYDate,0))),1,0)))</f>
        <v/>
      </c>
      <c r="AK115" s="12" t="str">
        <f aca="false">IF(AC115=0,"",IF(OR(AE115="",AE115&gt;PFYDate),AJ115,IF((AE115-1)&lt;AD115,-1,12*(YEAR((AE115-1))-YEAR(AD115))+MONTH((AE115-1))-MONTH(AD115)-IF(DAY((AE115-1))&lt;MIN(DAY(AD115),DAY(EOMONTH((AE115-1),0))),1,0))))</f>
        <v/>
      </c>
      <c r="AL115" s="12" t="str">
        <f aca="false">IF(AC115=0,"",IF(AF115="FT",IF(AI115&lt;FT_First,0,IF(AI115&lt;FT_Y5,1+INT((AI115-FT_First)/FT_Int1),FT_PreY5+FT_PerYear*INT((AI115-FT_Y5)/12)+FT_AnnivDays+INT(MOD(AI115-FT_Y5,12)/FT_Int2))),IF(AF115="PT",IF(AI115&lt;PT_First,0,1+INT((AI115-PT_First)/PT_Int)),0))+IF(OR(AE115="",AE115&gt;AsOfDate),0,IF(AG115="FT",IF(AH115&lt;FT_First,0,IF(AH115&lt;FT_Y5,1+INT((AH115-FT_First)/FT_Int1),FT_PreY5+FT_PerYear*INT((AH115-FT_Y5)/12)+FT_AnnivDays+INT(MOD(AH115-FT_Y5,12)/FT_Int2))),IF(AG115="PT",IF(AH115&lt;PT_First,0,1+INT((AH115-PT_First)/PT_Int)),0))-IF(AG115="FT",IF(AI115&lt;FT_First,0,IF(AI115&lt;FT_Y5,1+INT((AI115-FT_First)/FT_Int1),FT_PreY5+FT_PerYear*INT((AI115-FT_Y5)/12)+FT_AnnivDays+INT(MOD(AI115-FT_Y5,12)/FT_Int2))),IF(AG115="PT",IF(AI115&lt;PT_First,0,1+INT((AI115-PT_First)/PT_Int)),0))))</f>
        <v/>
      </c>
      <c r="AM115" s="12" t="str">
        <f aca="false">IF(AC115=0,"",IF(AF115="FT",IF(AK115&lt;FT_First,0,IF(AK115&lt;FT_Y5,1+INT((AK115-FT_First)/FT_Int1),FT_PreY5+FT_PerYear*INT((AK115-FT_Y5)/12)+FT_AnnivDays+INT(MOD(AK115-FT_Y5,12)/FT_Int2))),IF(AF115="PT",IF(AK115&lt;PT_First,0,1+INT((AK115-PT_First)/PT_Int)),0))+IF(OR(AE115="",AE115&gt;PFYDate),0,IF(AG115="FT",IF(AJ115&lt;FT_First,0,IF(AJ115&lt;FT_Y5,1+INT((AJ115-FT_First)/FT_Int1),FT_PreY5+FT_PerYear*INT((AJ115-FT_Y5)/12)+FT_AnnivDays+INT(MOD(AJ115-FT_Y5,12)/FT_Int2))),IF(AG115="PT",IF(AJ115&lt;PT_First,0,1+INT((AJ115-PT_First)/PT_Int)),0))-IF(AG115="FT",IF(AK115&lt;FT_First,0,IF(AK115&lt;FT_Y5,1+INT((AK115-FT_First)/FT_Int1),FT_PreY5+FT_PerYear*INT((AK115-FT_Y5)/12)+FT_AnnivDays+INT(MOD(AK115-FT_Y5,12)/FT_Int2))),IF(AG115="PT",IF(AK115&lt;PT_First,0,1+INT((AK115-PT_First)/PT_Int)),0))))</f>
        <v/>
      </c>
      <c r="AN115" s="12" t="str">
        <f aca="false">IF(AC115=0,"",IF(AG115="FT",IF(AH115&lt;FT_First,FT_First,IF(AH115&lt;FT_Y5,MIN(FT_Y5,FT_First+FT_Int1*(INT((AH115-FT_First)/FT_Int1)+1)),FT_Y5+12*INT((AH115-FT_Y5)/12)+FT_Int2*(INT(MOD(AH115-FT_Y5,12)/FT_Int2)+1))),IF(AG115="PT",IF(AH115&lt;PT_First,PT_First,PT_First+PT_Int*(INT((AH115-PT_First)/PT_Int)+1)),"")))</f>
        <v/>
      </c>
      <c r="AO115" s="12" t="str">
        <f aca="false">IF(AC115=0,"",IF(NOT(CFY_Ready),0,COUNTIFS(INDEX(CFY_Data,0,CFY_ColFirst),$A115,INDEX(CFY_Data,0,CFY_ColSur),$B115,INDEX(CFY_Data,0,CFY_ColCat),BonusCat)))</f>
        <v/>
      </c>
    </row>
    <row r="116" customFormat="false" ht="15" hidden="false" customHeight="false" outlineLevel="0" collapsed="false">
      <c r="A116" s="15"/>
      <c r="B116" s="15"/>
      <c r="C116" s="15"/>
      <c r="D116" s="16"/>
      <c r="E116" s="10" t="str">
        <f aca="false">IF(OR(AC116=0,$D116=""),"",DATE(YEAR(AsOfDate)+IF(DATE(YEAR(AsOfDate),MONTH($D116),DAY($D116))&lt;=AsOfDate,1,0),MONTH($D116),DAY($D116)))</f>
        <v/>
      </c>
      <c r="F116" s="16"/>
      <c r="G116" s="16"/>
      <c r="H116" s="16"/>
      <c r="I116" s="16"/>
      <c r="J116" s="10" t="str">
        <f aca="false">IF(AC116=0,"",DATE(YEAR(AsOfDate)+IF(DATE(YEAR(AsOfDate),MONTH($F116),DAY($F116))&lt;=AsOfDate,1,0),MONTH($F116),DAY($F116)))</f>
        <v/>
      </c>
      <c r="K116" s="11" t="str">
        <f aca="false">IF(AC116=0,"",ROUND((AsOfDate-$F116)/365.25,1))</f>
        <v/>
      </c>
      <c r="L116" s="12" t="str">
        <f aca="false">IF(AC116=0,"",IF(AsOfDate&lt;AD116,"-",DATEDIF(AD116,AsOfDate,"y")&amp;"y "&amp;DATEDIF(AD116,AsOfDate,"ym")&amp;"m "&amp;DATEDIF(AD116,AsOfDate,"md")&amp;"d"))</f>
        <v/>
      </c>
      <c r="M116" s="13" t="str">
        <f aca="false">IF(AC116=0,"",N116*HoursPerDay)</f>
        <v/>
      </c>
      <c r="N116" s="13" t="str">
        <f aca="false">IF(AC116=0,"",AL116)</f>
        <v/>
      </c>
      <c r="O116" s="17"/>
      <c r="P116" s="12" t="str">
        <f aca="false">IF(AC116=0,"",IF(AE116="","",IF($G116&lt;$H116,"Part-Time to Full-Time","Full-Time to Part-Time")&amp;" on "&amp;TEXT(AE116,"dd/mm/yyyy")&amp;IF(AE116&gt;AsOfDate," (future)",IF(AF116=AG116,"",IF(AG116="None"," - STOPPED accruing",IF(AF116="None"," - now qualifying"," - pathway changed"))))))</f>
        <v/>
      </c>
      <c r="Q116" s="12" t="str">
        <f aca="false">IF(AC116=0,"",IF(AG116="None",IF(N116&gt;0,"No longer accruing","Not eligible - "&amp;IF(AND($C116="Part-Time",N($O116)&lt;PT_MinHours,$O116&lt;&gt;""),"under "&amp;PT_MinHours&amp;" hrs",$C116)),IF(N116&gt;0,"Yes - accruing","Not yet - from "&amp;TEXT(R116,"dd/mm/yyyy"))))</f>
        <v/>
      </c>
      <c r="R116" s="10" t="str">
        <f aca="false">IF(AC116=0,"",IF(AG116="None","",EDATE(AD116,AN116)))</f>
        <v/>
      </c>
      <c r="S116" s="13" t="str">
        <f aca="false">IF(AC116=0,"",IF(NOT(PFY_Ready),"",SUMIFS(INDEX(PFY_Data,0,PFY_ColBal),INDEX(PFY_Data,0,PFY_ColFirst),$A116,INDEX(PFY_Data,0,PFY_ColSur),$B116,INDEX(PFY_Data,0,PFY_ColCat),BonusCat)))</f>
        <v/>
      </c>
      <c r="T116" s="17"/>
      <c r="U116" s="13" t="str">
        <f aca="false">IF(AC116=0,"",IF(NOT(CFY_Ready),"",SUMIFS(INDEX(CFY_Data,0,CFY_ColBal),INDEX(CFY_Data,0,CFY_ColFirst),$A116,INDEX(CFY_Data,0,CFY_ColSur),$B116,INDEX(CFY_Data,0,CFY_ColCat),BonusCat)))</f>
        <v/>
      </c>
      <c r="V116" s="13" t="str">
        <f aca="false">IF(AC116=0,"",IF(OR(NOT(CFY_Ready),CFY_ColAppr=0),"",SUMIFS(INDEX(CFY_Data,0,CFY_ColAppr),INDEX(CFY_Data,0,CFY_ColFirst),$A116,INDEX(CFY_Data,0,CFY_ColSur),$B116,INDEX(CFY_Data,0,CFY_ColCat),BonusCat)))</f>
        <v/>
      </c>
      <c r="W116" s="13" t="str">
        <f aca="false">IF(OR(AC116=0,S116="",U116=""),"",MAX(0,S116+N($T116)-U116))</f>
        <v/>
      </c>
      <c r="X116" s="13" t="str">
        <f aca="false">IF(AC116=0,"",(AL116-AM116)*HoursPerDay)</f>
        <v/>
      </c>
      <c r="Y116" s="13" t="str">
        <f aca="false">IF(AC116=0,"",X116-N($T116))</f>
        <v/>
      </c>
      <c r="Z116" s="12" t="str">
        <f aca="false">IF(AC116=0,"",IF(Y116&gt;0,"Yes","No"))</f>
        <v/>
      </c>
      <c r="AA116" s="12" t="str">
        <f aca="false">IF(AC116=0,"",IF(NOT(CFY_Ready),"Paste CFY EH export",IF(Y116&gt;0,"ACCRUE "&amp;TEXT(Y116,"0.##")&amp;" hrs ("&amp;TEXT(Y116/HoursPerDay,"0.##")&amp;" days)"&amp;IF(AO116=0," - no Bonus Leave line in EH yet",""),IF(Y116&lt;0,"CHECK - posted "&amp;TEXT(-Y116,"0.##")&amp;" hrs more than policy",IF(AND(N116&gt;0,AO116=0,U116=0),"CHECK - policy says "&amp;TEXT(M116,"0.##")&amp;" hrs to date but nothing in EH",IF(N116&gt;0,"OK","-"))))))</f>
        <v/>
      </c>
      <c r="AB116" s="13" t="str">
        <f aca="false">IF(OR(AC116=0,S116=""),"",AM116*HoursPerDay-S116)</f>
        <v/>
      </c>
      <c r="AC116" s="12" t="n">
        <f aca="false">IF(OR(LEN($A116&amp;$B116)=0,$F116=""),0,1)</f>
        <v>0</v>
      </c>
      <c r="AD116" s="10" t="str">
        <f aca="false">IF(AC116=0,"",IF($I116&lt;&gt;"",$I116,$F116))</f>
        <v/>
      </c>
      <c r="AE116" s="10" t="str">
        <f aca="false">IF(AC116=0,"",IF(AND($G116&lt;&gt;"",$H116&lt;&gt;"",$G116&lt;&gt;$H116),MAX($G116,$H116),""))</f>
        <v/>
      </c>
      <c r="AF116" s="12" t="str">
        <f aca="false">IF(AC116=0,"",IF(AE116="",AG116,IF(IF($G116&lt;$H116,"Part-Time","Full-Time")="Full-Time","FT",IF(AND(IF($G116&lt;$H116,"Part-Time","Full-Time")="Part-Time",OR($O116="",N($O116)&gt;=PT_MinHours)),"PT","None"))))</f>
        <v/>
      </c>
      <c r="AG116" s="12" t="str">
        <f aca="false">IF(AC116=0,"",IF($C116="Full-Time","FT",IF(AND($C116="Part-Time",OR($O116="",N($O116)&gt;=PT_MinHours)),"PT","None")))</f>
        <v/>
      </c>
      <c r="AH116" s="12" t="str">
        <f aca="false">IF(AC116=0,"",IF(AsOfDate&lt;AD116,-1,12*(YEAR(AsOfDate)-YEAR(AD116))+MONTH(AsOfDate)-MONTH(AD116)-IF(DAY(AsOfDate)&lt;MIN(DAY(AD116),DAY(EOMONTH(AsOfDate,0))),1,0)))</f>
        <v/>
      </c>
      <c r="AI116" s="12" t="str">
        <f aca="false">IF(AC116=0,"",IF(OR(AE116="",AE116&gt;AsOfDate),AH116,IF((AE116-1)&lt;AD116,-1,12*(YEAR((AE116-1))-YEAR(AD116))+MONTH((AE116-1))-MONTH(AD116)-IF(DAY((AE116-1))&lt;MIN(DAY(AD116),DAY(EOMONTH((AE116-1),0))),1,0))))</f>
        <v/>
      </c>
      <c r="AJ116" s="12" t="str">
        <f aca="false">IF(AC116=0,"",IF(PFYDate&lt;AD116,-1,12*(YEAR(PFYDate)-YEAR(AD116))+MONTH(PFYDate)-MONTH(AD116)-IF(DAY(PFYDate)&lt;MIN(DAY(AD116),DAY(EOMONTH(PFYDate,0))),1,0)))</f>
        <v/>
      </c>
      <c r="AK116" s="12" t="str">
        <f aca="false">IF(AC116=0,"",IF(OR(AE116="",AE116&gt;PFYDate),AJ116,IF((AE116-1)&lt;AD116,-1,12*(YEAR((AE116-1))-YEAR(AD116))+MONTH((AE116-1))-MONTH(AD116)-IF(DAY((AE116-1))&lt;MIN(DAY(AD116),DAY(EOMONTH((AE116-1),0))),1,0))))</f>
        <v/>
      </c>
      <c r="AL116" s="12" t="str">
        <f aca="false">IF(AC116=0,"",IF(AF116="FT",IF(AI116&lt;FT_First,0,IF(AI116&lt;FT_Y5,1+INT((AI116-FT_First)/FT_Int1),FT_PreY5+FT_PerYear*INT((AI116-FT_Y5)/12)+FT_AnnivDays+INT(MOD(AI116-FT_Y5,12)/FT_Int2))),IF(AF116="PT",IF(AI116&lt;PT_First,0,1+INT((AI116-PT_First)/PT_Int)),0))+IF(OR(AE116="",AE116&gt;AsOfDate),0,IF(AG116="FT",IF(AH116&lt;FT_First,0,IF(AH116&lt;FT_Y5,1+INT((AH116-FT_First)/FT_Int1),FT_PreY5+FT_PerYear*INT((AH116-FT_Y5)/12)+FT_AnnivDays+INT(MOD(AH116-FT_Y5,12)/FT_Int2))),IF(AG116="PT",IF(AH116&lt;PT_First,0,1+INT((AH116-PT_First)/PT_Int)),0))-IF(AG116="FT",IF(AI116&lt;FT_First,0,IF(AI116&lt;FT_Y5,1+INT((AI116-FT_First)/FT_Int1),FT_PreY5+FT_PerYear*INT((AI116-FT_Y5)/12)+FT_AnnivDays+INT(MOD(AI116-FT_Y5,12)/FT_Int2))),IF(AG116="PT",IF(AI116&lt;PT_First,0,1+INT((AI116-PT_First)/PT_Int)),0))))</f>
        <v/>
      </c>
      <c r="AM116" s="12" t="str">
        <f aca="false">IF(AC116=0,"",IF(AF116="FT",IF(AK116&lt;FT_First,0,IF(AK116&lt;FT_Y5,1+INT((AK116-FT_First)/FT_Int1),FT_PreY5+FT_PerYear*INT((AK116-FT_Y5)/12)+FT_AnnivDays+INT(MOD(AK116-FT_Y5,12)/FT_Int2))),IF(AF116="PT",IF(AK116&lt;PT_First,0,1+INT((AK116-PT_First)/PT_Int)),0))+IF(OR(AE116="",AE116&gt;PFYDate),0,IF(AG116="FT",IF(AJ116&lt;FT_First,0,IF(AJ116&lt;FT_Y5,1+INT((AJ116-FT_First)/FT_Int1),FT_PreY5+FT_PerYear*INT((AJ116-FT_Y5)/12)+FT_AnnivDays+INT(MOD(AJ116-FT_Y5,12)/FT_Int2))),IF(AG116="PT",IF(AJ116&lt;PT_First,0,1+INT((AJ116-PT_First)/PT_Int)),0))-IF(AG116="FT",IF(AK116&lt;FT_First,0,IF(AK116&lt;FT_Y5,1+INT((AK116-FT_First)/FT_Int1),FT_PreY5+FT_PerYear*INT((AK116-FT_Y5)/12)+FT_AnnivDays+INT(MOD(AK116-FT_Y5,12)/FT_Int2))),IF(AG116="PT",IF(AK116&lt;PT_First,0,1+INT((AK116-PT_First)/PT_Int)),0))))</f>
        <v/>
      </c>
      <c r="AN116" s="12" t="str">
        <f aca="false">IF(AC116=0,"",IF(AG116="FT",IF(AH116&lt;FT_First,FT_First,IF(AH116&lt;FT_Y5,MIN(FT_Y5,FT_First+FT_Int1*(INT((AH116-FT_First)/FT_Int1)+1)),FT_Y5+12*INT((AH116-FT_Y5)/12)+FT_Int2*(INT(MOD(AH116-FT_Y5,12)/FT_Int2)+1))),IF(AG116="PT",IF(AH116&lt;PT_First,PT_First,PT_First+PT_Int*(INT((AH116-PT_First)/PT_Int)+1)),"")))</f>
        <v/>
      </c>
      <c r="AO116" s="12" t="str">
        <f aca="false">IF(AC116=0,"",IF(NOT(CFY_Ready),0,COUNTIFS(INDEX(CFY_Data,0,CFY_ColFirst),$A116,INDEX(CFY_Data,0,CFY_ColSur),$B116,INDEX(CFY_Data,0,CFY_ColCat),BonusCat)))</f>
        <v/>
      </c>
    </row>
    <row r="117" customFormat="false" ht="15" hidden="false" customHeight="false" outlineLevel="0" collapsed="false">
      <c r="A117" s="15"/>
      <c r="B117" s="15"/>
      <c r="C117" s="15"/>
      <c r="D117" s="16"/>
      <c r="E117" s="10" t="str">
        <f aca="false">IF(OR(AC117=0,$D117=""),"",DATE(YEAR(AsOfDate)+IF(DATE(YEAR(AsOfDate),MONTH($D117),DAY($D117))&lt;=AsOfDate,1,0),MONTH($D117),DAY($D117)))</f>
        <v/>
      </c>
      <c r="F117" s="16"/>
      <c r="G117" s="16"/>
      <c r="H117" s="16"/>
      <c r="I117" s="16"/>
      <c r="J117" s="10" t="str">
        <f aca="false">IF(AC117=0,"",DATE(YEAR(AsOfDate)+IF(DATE(YEAR(AsOfDate),MONTH($F117),DAY($F117))&lt;=AsOfDate,1,0),MONTH($F117),DAY($F117)))</f>
        <v/>
      </c>
      <c r="K117" s="11" t="str">
        <f aca="false">IF(AC117=0,"",ROUND((AsOfDate-$F117)/365.25,1))</f>
        <v/>
      </c>
      <c r="L117" s="12" t="str">
        <f aca="false">IF(AC117=0,"",IF(AsOfDate&lt;AD117,"-",DATEDIF(AD117,AsOfDate,"y")&amp;"y "&amp;DATEDIF(AD117,AsOfDate,"ym")&amp;"m "&amp;DATEDIF(AD117,AsOfDate,"md")&amp;"d"))</f>
        <v/>
      </c>
      <c r="M117" s="13" t="str">
        <f aca="false">IF(AC117=0,"",N117*HoursPerDay)</f>
        <v/>
      </c>
      <c r="N117" s="13" t="str">
        <f aca="false">IF(AC117=0,"",AL117)</f>
        <v/>
      </c>
      <c r="O117" s="17"/>
      <c r="P117" s="12" t="str">
        <f aca="false">IF(AC117=0,"",IF(AE117="","",IF($G117&lt;$H117,"Part-Time to Full-Time","Full-Time to Part-Time")&amp;" on "&amp;TEXT(AE117,"dd/mm/yyyy")&amp;IF(AE117&gt;AsOfDate," (future)",IF(AF117=AG117,"",IF(AG117="None"," - STOPPED accruing",IF(AF117="None"," - now qualifying"," - pathway changed"))))))</f>
        <v/>
      </c>
      <c r="Q117" s="12" t="str">
        <f aca="false">IF(AC117=0,"",IF(AG117="None",IF(N117&gt;0,"No longer accruing","Not eligible - "&amp;IF(AND($C117="Part-Time",N($O117)&lt;PT_MinHours,$O117&lt;&gt;""),"under "&amp;PT_MinHours&amp;" hrs",$C117)),IF(N117&gt;0,"Yes - accruing","Not yet - from "&amp;TEXT(R117,"dd/mm/yyyy"))))</f>
        <v/>
      </c>
      <c r="R117" s="10" t="str">
        <f aca="false">IF(AC117=0,"",IF(AG117="None","",EDATE(AD117,AN117)))</f>
        <v/>
      </c>
      <c r="S117" s="13" t="str">
        <f aca="false">IF(AC117=0,"",IF(NOT(PFY_Ready),"",SUMIFS(INDEX(PFY_Data,0,PFY_ColBal),INDEX(PFY_Data,0,PFY_ColFirst),$A117,INDEX(PFY_Data,0,PFY_ColSur),$B117,INDEX(PFY_Data,0,PFY_ColCat),BonusCat)))</f>
        <v/>
      </c>
      <c r="T117" s="17"/>
      <c r="U117" s="13" t="str">
        <f aca="false">IF(AC117=0,"",IF(NOT(CFY_Ready),"",SUMIFS(INDEX(CFY_Data,0,CFY_ColBal),INDEX(CFY_Data,0,CFY_ColFirst),$A117,INDEX(CFY_Data,0,CFY_ColSur),$B117,INDEX(CFY_Data,0,CFY_ColCat),BonusCat)))</f>
        <v/>
      </c>
      <c r="V117" s="13" t="str">
        <f aca="false">IF(AC117=0,"",IF(OR(NOT(CFY_Ready),CFY_ColAppr=0),"",SUMIFS(INDEX(CFY_Data,0,CFY_ColAppr),INDEX(CFY_Data,0,CFY_ColFirst),$A117,INDEX(CFY_Data,0,CFY_ColSur),$B117,INDEX(CFY_Data,0,CFY_ColCat),BonusCat)))</f>
        <v/>
      </c>
      <c r="W117" s="13" t="str">
        <f aca="false">IF(OR(AC117=0,S117="",U117=""),"",MAX(0,S117+N($T117)-U117))</f>
        <v/>
      </c>
      <c r="X117" s="13" t="str">
        <f aca="false">IF(AC117=0,"",(AL117-AM117)*HoursPerDay)</f>
        <v/>
      </c>
      <c r="Y117" s="13" t="str">
        <f aca="false">IF(AC117=0,"",X117-N($T117))</f>
        <v/>
      </c>
      <c r="Z117" s="12" t="str">
        <f aca="false">IF(AC117=0,"",IF(Y117&gt;0,"Yes","No"))</f>
        <v/>
      </c>
      <c r="AA117" s="12" t="str">
        <f aca="false">IF(AC117=0,"",IF(NOT(CFY_Ready),"Paste CFY EH export",IF(Y117&gt;0,"ACCRUE "&amp;TEXT(Y117,"0.##")&amp;" hrs ("&amp;TEXT(Y117/HoursPerDay,"0.##")&amp;" days)"&amp;IF(AO117=0," - no Bonus Leave line in EH yet",""),IF(Y117&lt;0,"CHECK - posted "&amp;TEXT(-Y117,"0.##")&amp;" hrs more than policy",IF(AND(N117&gt;0,AO117=0,U117=0),"CHECK - policy says "&amp;TEXT(M117,"0.##")&amp;" hrs to date but nothing in EH",IF(N117&gt;0,"OK","-"))))))</f>
        <v/>
      </c>
      <c r="AB117" s="13" t="str">
        <f aca="false">IF(OR(AC117=0,S117=""),"",AM117*HoursPerDay-S117)</f>
        <v/>
      </c>
      <c r="AC117" s="12" t="n">
        <f aca="false">IF(OR(LEN($A117&amp;$B117)=0,$F117=""),0,1)</f>
        <v>0</v>
      </c>
      <c r="AD117" s="10" t="str">
        <f aca="false">IF(AC117=0,"",IF($I117&lt;&gt;"",$I117,$F117))</f>
        <v/>
      </c>
      <c r="AE117" s="10" t="str">
        <f aca="false">IF(AC117=0,"",IF(AND($G117&lt;&gt;"",$H117&lt;&gt;"",$G117&lt;&gt;$H117),MAX($G117,$H117),""))</f>
        <v/>
      </c>
      <c r="AF117" s="12" t="str">
        <f aca="false">IF(AC117=0,"",IF(AE117="",AG117,IF(IF($G117&lt;$H117,"Part-Time","Full-Time")="Full-Time","FT",IF(AND(IF($G117&lt;$H117,"Part-Time","Full-Time")="Part-Time",OR($O117="",N($O117)&gt;=PT_MinHours)),"PT","None"))))</f>
        <v/>
      </c>
      <c r="AG117" s="12" t="str">
        <f aca="false">IF(AC117=0,"",IF($C117="Full-Time","FT",IF(AND($C117="Part-Time",OR($O117="",N($O117)&gt;=PT_MinHours)),"PT","None")))</f>
        <v/>
      </c>
      <c r="AH117" s="12" t="str">
        <f aca="false">IF(AC117=0,"",IF(AsOfDate&lt;AD117,-1,12*(YEAR(AsOfDate)-YEAR(AD117))+MONTH(AsOfDate)-MONTH(AD117)-IF(DAY(AsOfDate)&lt;MIN(DAY(AD117),DAY(EOMONTH(AsOfDate,0))),1,0)))</f>
        <v/>
      </c>
      <c r="AI117" s="12" t="str">
        <f aca="false">IF(AC117=0,"",IF(OR(AE117="",AE117&gt;AsOfDate),AH117,IF((AE117-1)&lt;AD117,-1,12*(YEAR((AE117-1))-YEAR(AD117))+MONTH((AE117-1))-MONTH(AD117)-IF(DAY((AE117-1))&lt;MIN(DAY(AD117),DAY(EOMONTH((AE117-1),0))),1,0))))</f>
        <v/>
      </c>
      <c r="AJ117" s="12" t="str">
        <f aca="false">IF(AC117=0,"",IF(PFYDate&lt;AD117,-1,12*(YEAR(PFYDate)-YEAR(AD117))+MONTH(PFYDate)-MONTH(AD117)-IF(DAY(PFYDate)&lt;MIN(DAY(AD117),DAY(EOMONTH(PFYDate,0))),1,0)))</f>
        <v/>
      </c>
      <c r="AK117" s="12" t="str">
        <f aca="false">IF(AC117=0,"",IF(OR(AE117="",AE117&gt;PFYDate),AJ117,IF((AE117-1)&lt;AD117,-1,12*(YEAR((AE117-1))-YEAR(AD117))+MONTH((AE117-1))-MONTH(AD117)-IF(DAY((AE117-1))&lt;MIN(DAY(AD117),DAY(EOMONTH((AE117-1),0))),1,0))))</f>
        <v/>
      </c>
      <c r="AL117" s="12" t="str">
        <f aca="false">IF(AC117=0,"",IF(AF117="FT",IF(AI117&lt;FT_First,0,IF(AI117&lt;FT_Y5,1+INT((AI117-FT_First)/FT_Int1),FT_PreY5+FT_PerYear*INT((AI117-FT_Y5)/12)+FT_AnnivDays+INT(MOD(AI117-FT_Y5,12)/FT_Int2))),IF(AF117="PT",IF(AI117&lt;PT_First,0,1+INT((AI117-PT_First)/PT_Int)),0))+IF(OR(AE117="",AE117&gt;AsOfDate),0,IF(AG117="FT",IF(AH117&lt;FT_First,0,IF(AH117&lt;FT_Y5,1+INT((AH117-FT_First)/FT_Int1),FT_PreY5+FT_PerYear*INT((AH117-FT_Y5)/12)+FT_AnnivDays+INT(MOD(AH117-FT_Y5,12)/FT_Int2))),IF(AG117="PT",IF(AH117&lt;PT_First,0,1+INT((AH117-PT_First)/PT_Int)),0))-IF(AG117="FT",IF(AI117&lt;FT_First,0,IF(AI117&lt;FT_Y5,1+INT((AI117-FT_First)/FT_Int1),FT_PreY5+FT_PerYear*INT((AI117-FT_Y5)/12)+FT_AnnivDays+INT(MOD(AI117-FT_Y5,12)/FT_Int2))),IF(AG117="PT",IF(AI117&lt;PT_First,0,1+INT((AI117-PT_First)/PT_Int)),0))))</f>
        <v/>
      </c>
      <c r="AM117" s="12" t="str">
        <f aca="false">IF(AC117=0,"",IF(AF117="FT",IF(AK117&lt;FT_First,0,IF(AK117&lt;FT_Y5,1+INT((AK117-FT_First)/FT_Int1),FT_PreY5+FT_PerYear*INT((AK117-FT_Y5)/12)+FT_AnnivDays+INT(MOD(AK117-FT_Y5,12)/FT_Int2))),IF(AF117="PT",IF(AK117&lt;PT_First,0,1+INT((AK117-PT_First)/PT_Int)),0))+IF(OR(AE117="",AE117&gt;PFYDate),0,IF(AG117="FT",IF(AJ117&lt;FT_First,0,IF(AJ117&lt;FT_Y5,1+INT((AJ117-FT_First)/FT_Int1),FT_PreY5+FT_PerYear*INT((AJ117-FT_Y5)/12)+FT_AnnivDays+INT(MOD(AJ117-FT_Y5,12)/FT_Int2))),IF(AG117="PT",IF(AJ117&lt;PT_First,0,1+INT((AJ117-PT_First)/PT_Int)),0))-IF(AG117="FT",IF(AK117&lt;FT_First,0,IF(AK117&lt;FT_Y5,1+INT((AK117-FT_First)/FT_Int1),FT_PreY5+FT_PerYear*INT((AK117-FT_Y5)/12)+FT_AnnivDays+INT(MOD(AK117-FT_Y5,12)/FT_Int2))),IF(AG117="PT",IF(AK117&lt;PT_First,0,1+INT((AK117-PT_First)/PT_Int)),0))))</f>
        <v/>
      </c>
      <c r="AN117" s="12" t="str">
        <f aca="false">IF(AC117=0,"",IF(AG117="FT",IF(AH117&lt;FT_First,FT_First,IF(AH117&lt;FT_Y5,MIN(FT_Y5,FT_First+FT_Int1*(INT((AH117-FT_First)/FT_Int1)+1)),FT_Y5+12*INT((AH117-FT_Y5)/12)+FT_Int2*(INT(MOD(AH117-FT_Y5,12)/FT_Int2)+1))),IF(AG117="PT",IF(AH117&lt;PT_First,PT_First,PT_First+PT_Int*(INT((AH117-PT_First)/PT_Int)+1)),"")))</f>
        <v/>
      </c>
      <c r="AO117" s="12" t="str">
        <f aca="false">IF(AC117=0,"",IF(NOT(CFY_Ready),0,COUNTIFS(INDEX(CFY_Data,0,CFY_ColFirst),$A117,INDEX(CFY_Data,0,CFY_ColSur),$B117,INDEX(CFY_Data,0,CFY_ColCat),BonusCat)))</f>
        <v/>
      </c>
    </row>
    <row r="118" customFormat="false" ht="15" hidden="false" customHeight="false" outlineLevel="0" collapsed="false">
      <c r="A118" s="15"/>
      <c r="B118" s="15"/>
      <c r="C118" s="15"/>
      <c r="D118" s="16"/>
      <c r="E118" s="10" t="str">
        <f aca="false">IF(OR(AC118=0,$D118=""),"",DATE(YEAR(AsOfDate)+IF(DATE(YEAR(AsOfDate),MONTH($D118),DAY($D118))&lt;=AsOfDate,1,0),MONTH($D118),DAY($D118)))</f>
        <v/>
      </c>
      <c r="F118" s="16"/>
      <c r="G118" s="16"/>
      <c r="H118" s="16"/>
      <c r="I118" s="16"/>
      <c r="J118" s="10" t="str">
        <f aca="false">IF(AC118=0,"",DATE(YEAR(AsOfDate)+IF(DATE(YEAR(AsOfDate),MONTH($F118),DAY($F118))&lt;=AsOfDate,1,0),MONTH($F118),DAY($F118)))</f>
        <v/>
      </c>
      <c r="K118" s="11" t="str">
        <f aca="false">IF(AC118=0,"",ROUND((AsOfDate-$F118)/365.25,1))</f>
        <v/>
      </c>
      <c r="L118" s="12" t="str">
        <f aca="false">IF(AC118=0,"",IF(AsOfDate&lt;AD118,"-",DATEDIF(AD118,AsOfDate,"y")&amp;"y "&amp;DATEDIF(AD118,AsOfDate,"ym")&amp;"m "&amp;DATEDIF(AD118,AsOfDate,"md")&amp;"d"))</f>
        <v/>
      </c>
      <c r="M118" s="13" t="str">
        <f aca="false">IF(AC118=0,"",N118*HoursPerDay)</f>
        <v/>
      </c>
      <c r="N118" s="13" t="str">
        <f aca="false">IF(AC118=0,"",AL118)</f>
        <v/>
      </c>
      <c r="O118" s="17"/>
      <c r="P118" s="12" t="str">
        <f aca="false">IF(AC118=0,"",IF(AE118="","",IF($G118&lt;$H118,"Part-Time to Full-Time","Full-Time to Part-Time")&amp;" on "&amp;TEXT(AE118,"dd/mm/yyyy")&amp;IF(AE118&gt;AsOfDate," (future)",IF(AF118=AG118,"",IF(AG118="None"," - STOPPED accruing",IF(AF118="None"," - now qualifying"," - pathway changed"))))))</f>
        <v/>
      </c>
      <c r="Q118" s="12" t="str">
        <f aca="false">IF(AC118=0,"",IF(AG118="None",IF(N118&gt;0,"No longer accruing","Not eligible - "&amp;IF(AND($C118="Part-Time",N($O118)&lt;PT_MinHours,$O118&lt;&gt;""),"under "&amp;PT_MinHours&amp;" hrs",$C118)),IF(N118&gt;0,"Yes - accruing","Not yet - from "&amp;TEXT(R118,"dd/mm/yyyy"))))</f>
        <v/>
      </c>
      <c r="R118" s="10" t="str">
        <f aca="false">IF(AC118=0,"",IF(AG118="None","",EDATE(AD118,AN118)))</f>
        <v/>
      </c>
      <c r="S118" s="13" t="str">
        <f aca="false">IF(AC118=0,"",IF(NOT(PFY_Ready),"",SUMIFS(INDEX(PFY_Data,0,PFY_ColBal),INDEX(PFY_Data,0,PFY_ColFirst),$A118,INDEX(PFY_Data,0,PFY_ColSur),$B118,INDEX(PFY_Data,0,PFY_ColCat),BonusCat)))</f>
        <v/>
      </c>
      <c r="T118" s="17"/>
      <c r="U118" s="13" t="str">
        <f aca="false">IF(AC118=0,"",IF(NOT(CFY_Ready),"",SUMIFS(INDEX(CFY_Data,0,CFY_ColBal),INDEX(CFY_Data,0,CFY_ColFirst),$A118,INDEX(CFY_Data,0,CFY_ColSur),$B118,INDEX(CFY_Data,0,CFY_ColCat),BonusCat)))</f>
        <v/>
      </c>
      <c r="V118" s="13" t="str">
        <f aca="false">IF(AC118=0,"",IF(OR(NOT(CFY_Ready),CFY_ColAppr=0),"",SUMIFS(INDEX(CFY_Data,0,CFY_ColAppr),INDEX(CFY_Data,0,CFY_ColFirst),$A118,INDEX(CFY_Data,0,CFY_ColSur),$B118,INDEX(CFY_Data,0,CFY_ColCat),BonusCat)))</f>
        <v/>
      </c>
      <c r="W118" s="13" t="str">
        <f aca="false">IF(OR(AC118=0,S118="",U118=""),"",MAX(0,S118+N($T118)-U118))</f>
        <v/>
      </c>
      <c r="X118" s="13" t="str">
        <f aca="false">IF(AC118=0,"",(AL118-AM118)*HoursPerDay)</f>
        <v/>
      </c>
      <c r="Y118" s="13" t="str">
        <f aca="false">IF(AC118=0,"",X118-N($T118))</f>
        <v/>
      </c>
      <c r="Z118" s="12" t="str">
        <f aca="false">IF(AC118=0,"",IF(Y118&gt;0,"Yes","No"))</f>
        <v/>
      </c>
      <c r="AA118" s="12" t="str">
        <f aca="false">IF(AC118=0,"",IF(NOT(CFY_Ready),"Paste CFY EH export",IF(Y118&gt;0,"ACCRUE "&amp;TEXT(Y118,"0.##")&amp;" hrs ("&amp;TEXT(Y118/HoursPerDay,"0.##")&amp;" days)"&amp;IF(AO118=0," - no Bonus Leave line in EH yet",""),IF(Y118&lt;0,"CHECK - posted "&amp;TEXT(-Y118,"0.##")&amp;" hrs more than policy",IF(AND(N118&gt;0,AO118=0,U118=0),"CHECK - policy says "&amp;TEXT(M118,"0.##")&amp;" hrs to date but nothing in EH",IF(N118&gt;0,"OK","-"))))))</f>
        <v/>
      </c>
      <c r="AB118" s="13" t="str">
        <f aca="false">IF(OR(AC118=0,S118=""),"",AM118*HoursPerDay-S118)</f>
        <v/>
      </c>
      <c r="AC118" s="12" t="n">
        <f aca="false">IF(OR(LEN($A118&amp;$B118)=0,$F118=""),0,1)</f>
        <v>0</v>
      </c>
      <c r="AD118" s="10" t="str">
        <f aca="false">IF(AC118=0,"",IF($I118&lt;&gt;"",$I118,$F118))</f>
        <v/>
      </c>
      <c r="AE118" s="10" t="str">
        <f aca="false">IF(AC118=0,"",IF(AND($G118&lt;&gt;"",$H118&lt;&gt;"",$G118&lt;&gt;$H118),MAX($G118,$H118),""))</f>
        <v/>
      </c>
      <c r="AF118" s="12" t="str">
        <f aca="false">IF(AC118=0,"",IF(AE118="",AG118,IF(IF($G118&lt;$H118,"Part-Time","Full-Time")="Full-Time","FT",IF(AND(IF($G118&lt;$H118,"Part-Time","Full-Time")="Part-Time",OR($O118="",N($O118)&gt;=PT_MinHours)),"PT","None"))))</f>
        <v/>
      </c>
      <c r="AG118" s="12" t="str">
        <f aca="false">IF(AC118=0,"",IF($C118="Full-Time","FT",IF(AND($C118="Part-Time",OR($O118="",N($O118)&gt;=PT_MinHours)),"PT","None")))</f>
        <v/>
      </c>
      <c r="AH118" s="12" t="str">
        <f aca="false">IF(AC118=0,"",IF(AsOfDate&lt;AD118,-1,12*(YEAR(AsOfDate)-YEAR(AD118))+MONTH(AsOfDate)-MONTH(AD118)-IF(DAY(AsOfDate)&lt;MIN(DAY(AD118),DAY(EOMONTH(AsOfDate,0))),1,0)))</f>
        <v/>
      </c>
      <c r="AI118" s="12" t="str">
        <f aca="false">IF(AC118=0,"",IF(OR(AE118="",AE118&gt;AsOfDate),AH118,IF((AE118-1)&lt;AD118,-1,12*(YEAR((AE118-1))-YEAR(AD118))+MONTH((AE118-1))-MONTH(AD118)-IF(DAY((AE118-1))&lt;MIN(DAY(AD118),DAY(EOMONTH((AE118-1),0))),1,0))))</f>
        <v/>
      </c>
      <c r="AJ118" s="12" t="str">
        <f aca="false">IF(AC118=0,"",IF(PFYDate&lt;AD118,-1,12*(YEAR(PFYDate)-YEAR(AD118))+MONTH(PFYDate)-MONTH(AD118)-IF(DAY(PFYDate)&lt;MIN(DAY(AD118),DAY(EOMONTH(PFYDate,0))),1,0)))</f>
        <v/>
      </c>
      <c r="AK118" s="12" t="str">
        <f aca="false">IF(AC118=0,"",IF(OR(AE118="",AE118&gt;PFYDate),AJ118,IF((AE118-1)&lt;AD118,-1,12*(YEAR((AE118-1))-YEAR(AD118))+MONTH((AE118-1))-MONTH(AD118)-IF(DAY((AE118-1))&lt;MIN(DAY(AD118),DAY(EOMONTH((AE118-1),0))),1,0))))</f>
        <v/>
      </c>
      <c r="AL118" s="12" t="str">
        <f aca="false">IF(AC118=0,"",IF(AF118="FT",IF(AI118&lt;FT_First,0,IF(AI118&lt;FT_Y5,1+INT((AI118-FT_First)/FT_Int1),FT_PreY5+FT_PerYear*INT((AI118-FT_Y5)/12)+FT_AnnivDays+INT(MOD(AI118-FT_Y5,12)/FT_Int2))),IF(AF118="PT",IF(AI118&lt;PT_First,0,1+INT((AI118-PT_First)/PT_Int)),0))+IF(OR(AE118="",AE118&gt;AsOfDate),0,IF(AG118="FT",IF(AH118&lt;FT_First,0,IF(AH118&lt;FT_Y5,1+INT((AH118-FT_First)/FT_Int1),FT_PreY5+FT_PerYear*INT((AH118-FT_Y5)/12)+FT_AnnivDays+INT(MOD(AH118-FT_Y5,12)/FT_Int2))),IF(AG118="PT",IF(AH118&lt;PT_First,0,1+INT((AH118-PT_First)/PT_Int)),0))-IF(AG118="FT",IF(AI118&lt;FT_First,0,IF(AI118&lt;FT_Y5,1+INT((AI118-FT_First)/FT_Int1),FT_PreY5+FT_PerYear*INT((AI118-FT_Y5)/12)+FT_AnnivDays+INT(MOD(AI118-FT_Y5,12)/FT_Int2))),IF(AG118="PT",IF(AI118&lt;PT_First,0,1+INT((AI118-PT_First)/PT_Int)),0))))</f>
        <v/>
      </c>
      <c r="AM118" s="12" t="str">
        <f aca="false">IF(AC118=0,"",IF(AF118="FT",IF(AK118&lt;FT_First,0,IF(AK118&lt;FT_Y5,1+INT((AK118-FT_First)/FT_Int1),FT_PreY5+FT_PerYear*INT((AK118-FT_Y5)/12)+FT_AnnivDays+INT(MOD(AK118-FT_Y5,12)/FT_Int2))),IF(AF118="PT",IF(AK118&lt;PT_First,0,1+INT((AK118-PT_First)/PT_Int)),0))+IF(OR(AE118="",AE118&gt;PFYDate),0,IF(AG118="FT",IF(AJ118&lt;FT_First,0,IF(AJ118&lt;FT_Y5,1+INT((AJ118-FT_First)/FT_Int1),FT_PreY5+FT_PerYear*INT((AJ118-FT_Y5)/12)+FT_AnnivDays+INT(MOD(AJ118-FT_Y5,12)/FT_Int2))),IF(AG118="PT",IF(AJ118&lt;PT_First,0,1+INT((AJ118-PT_First)/PT_Int)),0))-IF(AG118="FT",IF(AK118&lt;FT_First,0,IF(AK118&lt;FT_Y5,1+INT((AK118-FT_First)/FT_Int1),FT_PreY5+FT_PerYear*INT((AK118-FT_Y5)/12)+FT_AnnivDays+INT(MOD(AK118-FT_Y5,12)/FT_Int2))),IF(AG118="PT",IF(AK118&lt;PT_First,0,1+INT((AK118-PT_First)/PT_Int)),0))))</f>
        <v/>
      </c>
      <c r="AN118" s="12" t="str">
        <f aca="false">IF(AC118=0,"",IF(AG118="FT",IF(AH118&lt;FT_First,FT_First,IF(AH118&lt;FT_Y5,MIN(FT_Y5,FT_First+FT_Int1*(INT((AH118-FT_First)/FT_Int1)+1)),FT_Y5+12*INT((AH118-FT_Y5)/12)+FT_Int2*(INT(MOD(AH118-FT_Y5,12)/FT_Int2)+1))),IF(AG118="PT",IF(AH118&lt;PT_First,PT_First,PT_First+PT_Int*(INT((AH118-PT_First)/PT_Int)+1)),"")))</f>
        <v/>
      </c>
      <c r="AO118" s="12" t="str">
        <f aca="false">IF(AC118=0,"",IF(NOT(CFY_Ready),0,COUNTIFS(INDEX(CFY_Data,0,CFY_ColFirst),$A118,INDEX(CFY_Data,0,CFY_ColSur),$B118,INDEX(CFY_Data,0,CFY_ColCat),BonusCat)))</f>
        <v/>
      </c>
    </row>
    <row r="119" customFormat="false" ht="15" hidden="false" customHeight="false" outlineLevel="0" collapsed="false">
      <c r="A119" s="15"/>
      <c r="B119" s="15"/>
      <c r="C119" s="15"/>
      <c r="D119" s="16"/>
      <c r="E119" s="10" t="str">
        <f aca="false">IF(OR(AC119=0,$D119=""),"",DATE(YEAR(AsOfDate)+IF(DATE(YEAR(AsOfDate),MONTH($D119),DAY($D119))&lt;=AsOfDate,1,0),MONTH($D119),DAY($D119)))</f>
        <v/>
      </c>
      <c r="F119" s="16"/>
      <c r="G119" s="16"/>
      <c r="H119" s="16"/>
      <c r="I119" s="16"/>
      <c r="J119" s="10" t="str">
        <f aca="false">IF(AC119=0,"",DATE(YEAR(AsOfDate)+IF(DATE(YEAR(AsOfDate),MONTH($F119),DAY($F119))&lt;=AsOfDate,1,0),MONTH($F119),DAY($F119)))</f>
        <v/>
      </c>
      <c r="K119" s="11" t="str">
        <f aca="false">IF(AC119=0,"",ROUND((AsOfDate-$F119)/365.25,1))</f>
        <v/>
      </c>
      <c r="L119" s="12" t="str">
        <f aca="false">IF(AC119=0,"",IF(AsOfDate&lt;AD119,"-",DATEDIF(AD119,AsOfDate,"y")&amp;"y "&amp;DATEDIF(AD119,AsOfDate,"ym")&amp;"m "&amp;DATEDIF(AD119,AsOfDate,"md")&amp;"d"))</f>
        <v/>
      </c>
      <c r="M119" s="13" t="str">
        <f aca="false">IF(AC119=0,"",N119*HoursPerDay)</f>
        <v/>
      </c>
      <c r="N119" s="13" t="str">
        <f aca="false">IF(AC119=0,"",AL119)</f>
        <v/>
      </c>
      <c r="O119" s="17"/>
      <c r="P119" s="12" t="str">
        <f aca="false">IF(AC119=0,"",IF(AE119="","",IF($G119&lt;$H119,"Part-Time to Full-Time","Full-Time to Part-Time")&amp;" on "&amp;TEXT(AE119,"dd/mm/yyyy")&amp;IF(AE119&gt;AsOfDate," (future)",IF(AF119=AG119,"",IF(AG119="None"," - STOPPED accruing",IF(AF119="None"," - now qualifying"," - pathway changed"))))))</f>
        <v/>
      </c>
      <c r="Q119" s="12" t="str">
        <f aca="false">IF(AC119=0,"",IF(AG119="None",IF(N119&gt;0,"No longer accruing","Not eligible - "&amp;IF(AND($C119="Part-Time",N($O119)&lt;PT_MinHours,$O119&lt;&gt;""),"under "&amp;PT_MinHours&amp;" hrs",$C119)),IF(N119&gt;0,"Yes - accruing","Not yet - from "&amp;TEXT(R119,"dd/mm/yyyy"))))</f>
        <v/>
      </c>
      <c r="R119" s="10" t="str">
        <f aca="false">IF(AC119=0,"",IF(AG119="None","",EDATE(AD119,AN119)))</f>
        <v/>
      </c>
      <c r="S119" s="13" t="str">
        <f aca="false">IF(AC119=0,"",IF(NOT(PFY_Ready),"",SUMIFS(INDEX(PFY_Data,0,PFY_ColBal),INDEX(PFY_Data,0,PFY_ColFirst),$A119,INDEX(PFY_Data,0,PFY_ColSur),$B119,INDEX(PFY_Data,0,PFY_ColCat),BonusCat)))</f>
        <v/>
      </c>
      <c r="T119" s="17"/>
      <c r="U119" s="13" t="str">
        <f aca="false">IF(AC119=0,"",IF(NOT(CFY_Ready),"",SUMIFS(INDEX(CFY_Data,0,CFY_ColBal),INDEX(CFY_Data,0,CFY_ColFirst),$A119,INDEX(CFY_Data,0,CFY_ColSur),$B119,INDEX(CFY_Data,0,CFY_ColCat),BonusCat)))</f>
        <v/>
      </c>
      <c r="V119" s="13" t="str">
        <f aca="false">IF(AC119=0,"",IF(OR(NOT(CFY_Ready),CFY_ColAppr=0),"",SUMIFS(INDEX(CFY_Data,0,CFY_ColAppr),INDEX(CFY_Data,0,CFY_ColFirst),$A119,INDEX(CFY_Data,0,CFY_ColSur),$B119,INDEX(CFY_Data,0,CFY_ColCat),BonusCat)))</f>
        <v/>
      </c>
      <c r="W119" s="13" t="str">
        <f aca="false">IF(OR(AC119=0,S119="",U119=""),"",MAX(0,S119+N($T119)-U119))</f>
        <v/>
      </c>
      <c r="X119" s="13" t="str">
        <f aca="false">IF(AC119=0,"",(AL119-AM119)*HoursPerDay)</f>
        <v/>
      </c>
      <c r="Y119" s="13" t="str">
        <f aca="false">IF(AC119=0,"",X119-N($T119))</f>
        <v/>
      </c>
      <c r="Z119" s="12" t="str">
        <f aca="false">IF(AC119=0,"",IF(Y119&gt;0,"Yes","No"))</f>
        <v/>
      </c>
      <c r="AA119" s="12" t="str">
        <f aca="false">IF(AC119=0,"",IF(NOT(CFY_Ready),"Paste CFY EH export",IF(Y119&gt;0,"ACCRUE "&amp;TEXT(Y119,"0.##")&amp;" hrs ("&amp;TEXT(Y119/HoursPerDay,"0.##")&amp;" days)"&amp;IF(AO119=0," - no Bonus Leave line in EH yet",""),IF(Y119&lt;0,"CHECK - posted "&amp;TEXT(-Y119,"0.##")&amp;" hrs more than policy",IF(AND(N119&gt;0,AO119=0,U119=0),"CHECK - policy says "&amp;TEXT(M119,"0.##")&amp;" hrs to date but nothing in EH",IF(N119&gt;0,"OK","-"))))))</f>
        <v/>
      </c>
      <c r="AB119" s="13" t="str">
        <f aca="false">IF(OR(AC119=0,S119=""),"",AM119*HoursPerDay-S119)</f>
        <v/>
      </c>
      <c r="AC119" s="12" t="n">
        <f aca="false">IF(OR(LEN($A119&amp;$B119)=0,$F119=""),0,1)</f>
        <v>0</v>
      </c>
      <c r="AD119" s="10" t="str">
        <f aca="false">IF(AC119=0,"",IF($I119&lt;&gt;"",$I119,$F119))</f>
        <v/>
      </c>
      <c r="AE119" s="10" t="str">
        <f aca="false">IF(AC119=0,"",IF(AND($G119&lt;&gt;"",$H119&lt;&gt;"",$G119&lt;&gt;$H119),MAX($G119,$H119),""))</f>
        <v/>
      </c>
      <c r="AF119" s="12" t="str">
        <f aca="false">IF(AC119=0,"",IF(AE119="",AG119,IF(IF($G119&lt;$H119,"Part-Time","Full-Time")="Full-Time","FT",IF(AND(IF($G119&lt;$H119,"Part-Time","Full-Time")="Part-Time",OR($O119="",N($O119)&gt;=PT_MinHours)),"PT","None"))))</f>
        <v/>
      </c>
      <c r="AG119" s="12" t="str">
        <f aca="false">IF(AC119=0,"",IF($C119="Full-Time","FT",IF(AND($C119="Part-Time",OR($O119="",N($O119)&gt;=PT_MinHours)),"PT","None")))</f>
        <v/>
      </c>
      <c r="AH119" s="12" t="str">
        <f aca="false">IF(AC119=0,"",IF(AsOfDate&lt;AD119,-1,12*(YEAR(AsOfDate)-YEAR(AD119))+MONTH(AsOfDate)-MONTH(AD119)-IF(DAY(AsOfDate)&lt;MIN(DAY(AD119),DAY(EOMONTH(AsOfDate,0))),1,0)))</f>
        <v/>
      </c>
      <c r="AI119" s="12" t="str">
        <f aca="false">IF(AC119=0,"",IF(OR(AE119="",AE119&gt;AsOfDate),AH119,IF((AE119-1)&lt;AD119,-1,12*(YEAR((AE119-1))-YEAR(AD119))+MONTH((AE119-1))-MONTH(AD119)-IF(DAY((AE119-1))&lt;MIN(DAY(AD119),DAY(EOMONTH((AE119-1),0))),1,0))))</f>
        <v/>
      </c>
      <c r="AJ119" s="12" t="str">
        <f aca="false">IF(AC119=0,"",IF(PFYDate&lt;AD119,-1,12*(YEAR(PFYDate)-YEAR(AD119))+MONTH(PFYDate)-MONTH(AD119)-IF(DAY(PFYDate)&lt;MIN(DAY(AD119),DAY(EOMONTH(PFYDate,0))),1,0)))</f>
        <v/>
      </c>
      <c r="AK119" s="12" t="str">
        <f aca="false">IF(AC119=0,"",IF(OR(AE119="",AE119&gt;PFYDate),AJ119,IF((AE119-1)&lt;AD119,-1,12*(YEAR((AE119-1))-YEAR(AD119))+MONTH((AE119-1))-MONTH(AD119)-IF(DAY((AE119-1))&lt;MIN(DAY(AD119),DAY(EOMONTH((AE119-1),0))),1,0))))</f>
        <v/>
      </c>
      <c r="AL119" s="12" t="str">
        <f aca="false">IF(AC119=0,"",IF(AF119="FT",IF(AI119&lt;FT_First,0,IF(AI119&lt;FT_Y5,1+INT((AI119-FT_First)/FT_Int1),FT_PreY5+FT_PerYear*INT((AI119-FT_Y5)/12)+FT_AnnivDays+INT(MOD(AI119-FT_Y5,12)/FT_Int2))),IF(AF119="PT",IF(AI119&lt;PT_First,0,1+INT((AI119-PT_First)/PT_Int)),0))+IF(OR(AE119="",AE119&gt;AsOfDate),0,IF(AG119="FT",IF(AH119&lt;FT_First,0,IF(AH119&lt;FT_Y5,1+INT((AH119-FT_First)/FT_Int1),FT_PreY5+FT_PerYear*INT((AH119-FT_Y5)/12)+FT_AnnivDays+INT(MOD(AH119-FT_Y5,12)/FT_Int2))),IF(AG119="PT",IF(AH119&lt;PT_First,0,1+INT((AH119-PT_First)/PT_Int)),0))-IF(AG119="FT",IF(AI119&lt;FT_First,0,IF(AI119&lt;FT_Y5,1+INT((AI119-FT_First)/FT_Int1),FT_PreY5+FT_PerYear*INT((AI119-FT_Y5)/12)+FT_AnnivDays+INT(MOD(AI119-FT_Y5,12)/FT_Int2))),IF(AG119="PT",IF(AI119&lt;PT_First,0,1+INT((AI119-PT_First)/PT_Int)),0))))</f>
        <v/>
      </c>
      <c r="AM119" s="12" t="str">
        <f aca="false">IF(AC119=0,"",IF(AF119="FT",IF(AK119&lt;FT_First,0,IF(AK119&lt;FT_Y5,1+INT((AK119-FT_First)/FT_Int1),FT_PreY5+FT_PerYear*INT((AK119-FT_Y5)/12)+FT_AnnivDays+INT(MOD(AK119-FT_Y5,12)/FT_Int2))),IF(AF119="PT",IF(AK119&lt;PT_First,0,1+INT((AK119-PT_First)/PT_Int)),0))+IF(OR(AE119="",AE119&gt;PFYDate),0,IF(AG119="FT",IF(AJ119&lt;FT_First,0,IF(AJ119&lt;FT_Y5,1+INT((AJ119-FT_First)/FT_Int1),FT_PreY5+FT_PerYear*INT((AJ119-FT_Y5)/12)+FT_AnnivDays+INT(MOD(AJ119-FT_Y5,12)/FT_Int2))),IF(AG119="PT",IF(AJ119&lt;PT_First,0,1+INT((AJ119-PT_First)/PT_Int)),0))-IF(AG119="FT",IF(AK119&lt;FT_First,0,IF(AK119&lt;FT_Y5,1+INT((AK119-FT_First)/FT_Int1),FT_PreY5+FT_PerYear*INT((AK119-FT_Y5)/12)+FT_AnnivDays+INT(MOD(AK119-FT_Y5,12)/FT_Int2))),IF(AG119="PT",IF(AK119&lt;PT_First,0,1+INT((AK119-PT_First)/PT_Int)),0))))</f>
        <v/>
      </c>
      <c r="AN119" s="12" t="str">
        <f aca="false">IF(AC119=0,"",IF(AG119="FT",IF(AH119&lt;FT_First,FT_First,IF(AH119&lt;FT_Y5,MIN(FT_Y5,FT_First+FT_Int1*(INT((AH119-FT_First)/FT_Int1)+1)),FT_Y5+12*INT((AH119-FT_Y5)/12)+FT_Int2*(INT(MOD(AH119-FT_Y5,12)/FT_Int2)+1))),IF(AG119="PT",IF(AH119&lt;PT_First,PT_First,PT_First+PT_Int*(INT((AH119-PT_First)/PT_Int)+1)),"")))</f>
        <v/>
      </c>
      <c r="AO119" s="12" t="str">
        <f aca="false">IF(AC119=0,"",IF(NOT(CFY_Ready),0,COUNTIFS(INDEX(CFY_Data,0,CFY_ColFirst),$A119,INDEX(CFY_Data,0,CFY_ColSur),$B119,INDEX(CFY_Data,0,CFY_ColCat),BonusCat)))</f>
        <v/>
      </c>
    </row>
    <row r="120" customFormat="false" ht="15" hidden="false" customHeight="false" outlineLevel="0" collapsed="false">
      <c r="A120" s="15"/>
      <c r="B120" s="15"/>
      <c r="C120" s="15"/>
      <c r="D120" s="16"/>
      <c r="E120" s="10" t="str">
        <f aca="false">IF(OR(AC120=0,$D120=""),"",DATE(YEAR(AsOfDate)+IF(DATE(YEAR(AsOfDate),MONTH($D120),DAY($D120))&lt;=AsOfDate,1,0),MONTH($D120),DAY($D120)))</f>
        <v/>
      </c>
      <c r="F120" s="16"/>
      <c r="G120" s="16"/>
      <c r="H120" s="16"/>
      <c r="I120" s="16"/>
      <c r="J120" s="10" t="str">
        <f aca="false">IF(AC120=0,"",DATE(YEAR(AsOfDate)+IF(DATE(YEAR(AsOfDate),MONTH($F120),DAY($F120))&lt;=AsOfDate,1,0),MONTH($F120),DAY($F120)))</f>
        <v/>
      </c>
      <c r="K120" s="11" t="str">
        <f aca="false">IF(AC120=0,"",ROUND((AsOfDate-$F120)/365.25,1))</f>
        <v/>
      </c>
      <c r="L120" s="12" t="str">
        <f aca="false">IF(AC120=0,"",IF(AsOfDate&lt;AD120,"-",DATEDIF(AD120,AsOfDate,"y")&amp;"y "&amp;DATEDIF(AD120,AsOfDate,"ym")&amp;"m "&amp;DATEDIF(AD120,AsOfDate,"md")&amp;"d"))</f>
        <v/>
      </c>
      <c r="M120" s="13" t="str">
        <f aca="false">IF(AC120=0,"",N120*HoursPerDay)</f>
        <v/>
      </c>
      <c r="N120" s="13" t="str">
        <f aca="false">IF(AC120=0,"",AL120)</f>
        <v/>
      </c>
      <c r="O120" s="17"/>
      <c r="P120" s="12" t="str">
        <f aca="false">IF(AC120=0,"",IF(AE120="","",IF($G120&lt;$H120,"Part-Time to Full-Time","Full-Time to Part-Time")&amp;" on "&amp;TEXT(AE120,"dd/mm/yyyy")&amp;IF(AE120&gt;AsOfDate," (future)",IF(AF120=AG120,"",IF(AG120="None"," - STOPPED accruing",IF(AF120="None"," - now qualifying"," - pathway changed"))))))</f>
        <v/>
      </c>
      <c r="Q120" s="12" t="str">
        <f aca="false">IF(AC120=0,"",IF(AG120="None",IF(N120&gt;0,"No longer accruing","Not eligible - "&amp;IF(AND($C120="Part-Time",N($O120)&lt;PT_MinHours,$O120&lt;&gt;""),"under "&amp;PT_MinHours&amp;" hrs",$C120)),IF(N120&gt;0,"Yes - accruing","Not yet - from "&amp;TEXT(R120,"dd/mm/yyyy"))))</f>
        <v/>
      </c>
      <c r="R120" s="10" t="str">
        <f aca="false">IF(AC120=0,"",IF(AG120="None","",EDATE(AD120,AN120)))</f>
        <v/>
      </c>
      <c r="S120" s="13" t="str">
        <f aca="false">IF(AC120=0,"",IF(NOT(PFY_Ready),"",SUMIFS(INDEX(PFY_Data,0,PFY_ColBal),INDEX(PFY_Data,0,PFY_ColFirst),$A120,INDEX(PFY_Data,0,PFY_ColSur),$B120,INDEX(PFY_Data,0,PFY_ColCat),BonusCat)))</f>
        <v/>
      </c>
      <c r="T120" s="17"/>
      <c r="U120" s="13" t="str">
        <f aca="false">IF(AC120=0,"",IF(NOT(CFY_Ready),"",SUMIFS(INDEX(CFY_Data,0,CFY_ColBal),INDEX(CFY_Data,0,CFY_ColFirst),$A120,INDEX(CFY_Data,0,CFY_ColSur),$B120,INDEX(CFY_Data,0,CFY_ColCat),BonusCat)))</f>
        <v/>
      </c>
      <c r="V120" s="13" t="str">
        <f aca="false">IF(AC120=0,"",IF(OR(NOT(CFY_Ready),CFY_ColAppr=0),"",SUMIFS(INDEX(CFY_Data,0,CFY_ColAppr),INDEX(CFY_Data,0,CFY_ColFirst),$A120,INDEX(CFY_Data,0,CFY_ColSur),$B120,INDEX(CFY_Data,0,CFY_ColCat),BonusCat)))</f>
        <v/>
      </c>
      <c r="W120" s="13" t="str">
        <f aca="false">IF(OR(AC120=0,S120="",U120=""),"",MAX(0,S120+N($T120)-U120))</f>
        <v/>
      </c>
      <c r="X120" s="13" t="str">
        <f aca="false">IF(AC120=0,"",(AL120-AM120)*HoursPerDay)</f>
        <v/>
      </c>
      <c r="Y120" s="13" t="str">
        <f aca="false">IF(AC120=0,"",X120-N($T120))</f>
        <v/>
      </c>
      <c r="Z120" s="12" t="str">
        <f aca="false">IF(AC120=0,"",IF(Y120&gt;0,"Yes","No"))</f>
        <v/>
      </c>
      <c r="AA120" s="12" t="str">
        <f aca="false">IF(AC120=0,"",IF(NOT(CFY_Ready),"Paste CFY EH export",IF(Y120&gt;0,"ACCRUE "&amp;TEXT(Y120,"0.##")&amp;" hrs ("&amp;TEXT(Y120/HoursPerDay,"0.##")&amp;" days)"&amp;IF(AO120=0," - no Bonus Leave line in EH yet",""),IF(Y120&lt;0,"CHECK - posted "&amp;TEXT(-Y120,"0.##")&amp;" hrs more than policy",IF(AND(N120&gt;0,AO120=0,U120=0),"CHECK - policy says "&amp;TEXT(M120,"0.##")&amp;" hrs to date but nothing in EH",IF(N120&gt;0,"OK","-"))))))</f>
        <v/>
      </c>
      <c r="AB120" s="13" t="str">
        <f aca="false">IF(OR(AC120=0,S120=""),"",AM120*HoursPerDay-S120)</f>
        <v/>
      </c>
      <c r="AC120" s="12" t="n">
        <f aca="false">IF(OR(LEN($A120&amp;$B120)=0,$F120=""),0,1)</f>
        <v>0</v>
      </c>
      <c r="AD120" s="10" t="str">
        <f aca="false">IF(AC120=0,"",IF($I120&lt;&gt;"",$I120,$F120))</f>
        <v/>
      </c>
      <c r="AE120" s="10" t="str">
        <f aca="false">IF(AC120=0,"",IF(AND($G120&lt;&gt;"",$H120&lt;&gt;"",$G120&lt;&gt;$H120),MAX($G120,$H120),""))</f>
        <v/>
      </c>
      <c r="AF120" s="12" t="str">
        <f aca="false">IF(AC120=0,"",IF(AE120="",AG120,IF(IF($G120&lt;$H120,"Part-Time","Full-Time")="Full-Time","FT",IF(AND(IF($G120&lt;$H120,"Part-Time","Full-Time")="Part-Time",OR($O120="",N($O120)&gt;=PT_MinHours)),"PT","None"))))</f>
        <v/>
      </c>
      <c r="AG120" s="12" t="str">
        <f aca="false">IF(AC120=0,"",IF($C120="Full-Time","FT",IF(AND($C120="Part-Time",OR($O120="",N($O120)&gt;=PT_MinHours)),"PT","None")))</f>
        <v/>
      </c>
      <c r="AH120" s="12" t="str">
        <f aca="false">IF(AC120=0,"",IF(AsOfDate&lt;AD120,-1,12*(YEAR(AsOfDate)-YEAR(AD120))+MONTH(AsOfDate)-MONTH(AD120)-IF(DAY(AsOfDate)&lt;MIN(DAY(AD120),DAY(EOMONTH(AsOfDate,0))),1,0)))</f>
        <v/>
      </c>
      <c r="AI120" s="12" t="str">
        <f aca="false">IF(AC120=0,"",IF(OR(AE120="",AE120&gt;AsOfDate),AH120,IF((AE120-1)&lt;AD120,-1,12*(YEAR((AE120-1))-YEAR(AD120))+MONTH((AE120-1))-MONTH(AD120)-IF(DAY((AE120-1))&lt;MIN(DAY(AD120),DAY(EOMONTH((AE120-1),0))),1,0))))</f>
        <v/>
      </c>
      <c r="AJ120" s="12" t="str">
        <f aca="false">IF(AC120=0,"",IF(PFYDate&lt;AD120,-1,12*(YEAR(PFYDate)-YEAR(AD120))+MONTH(PFYDate)-MONTH(AD120)-IF(DAY(PFYDate)&lt;MIN(DAY(AD120),DAY(EOMONTH(PFYDate,0))),1,0)))</f>
        <v/>
      </c>
      <c r="AK120" s="12" t="str">
        <f aca="false">IF(AC120=0,"",IF(OR(AE120="",AE120&gt;PFYDate),AJ120,IF((AE120-1)&lt;AD120,-1,12*(YEAR((AE120-1))-YEAR(AD120))+MONTH((AE120-1))-MONTH(AD120)-IF(DAY((AE120-1))&lt;MIN(DAY(AD120),DAY(EOMONTH((AE120-1),0))),1,0))))</f>
        <v/>
      </c>
      <c r="AL120" s="12" t="str">
        <f aca="false">IF(AC120=0,"",IF(AF120="FT",IF(AI120&lt;FT_First,0,IF(AI120&lt;FT_Y5,1+INT((AI120-FT_First)/FT_Int1),FT_PreY5+FT_PerYear*INT((AI120-FT_Y5)/12)+FT_AnnivDays+INT(MOD(AI120-FT_Y5,12)/FT_Int2))),IF(AF120="PT",IF(AI120&lt;PT_First,0,1+INT((AI120-PT_First)/PT_Int)),0))+IF(OR(AE120="",AE120&gt;AsOfDate),0,IF(AG120="FT",IF(AH120&lt;FT_First,0,IF(AH120&lt;FT_Y5,1+INT((AH120-FT_First)/FT_Int1),FT_PreY5+FT_PerYear*INT((AH120-FT_Y5)/12)+FT_AnnivDays+INT(MOD(AH120-FT_Y5,12)/FT_Int2))),IF(AG120="PT",IF(AH120&lt;PT_First,0,1+INT((AH120-PT_First)/PT_Int)),0))-IF(AG120="FT",IF(AI120&lt;FT_First,0,IF(AI120&lt;FT_Y5,1+INT((AI120-FT_First)/FT_Int1),FT_PreY5+FT_PerYear*INT((AI120-FT_Y5)/12)+FT_AnnivDays+INT(MOD(AI120-FT_Y5,12)/FT_Int2))),IF(AG120="PT",IF(AI120&lt;PT_First,0,1+INT((AI120-PT_First)/PT_Int)),0))))</f>
        <v/>
      </c>
      <c r="AM120" s="12" t="str">
        <f aca="false">IF(AC120=0,"",IF(AF120="FT",IF(AK120&lt;FT_First,0,IF(AK120&lt;FT_Y5,1+INT((AK120-FT_First)/FT_Int1),FT_PreY5+FT_PerYear*INT((AK120-FT_Y5)/12)+FT_AnnivDays+INT(MOD(AK120-FT_Y5,12)/FT_Int2))),IF(AF120="PT",IF(AK120&lt;PT_First,0,1+INT((AK120-PT_First)/PT_Int)),0))+IF(OR(AE120="",AE120&gt;PFYDate),0,IF(AG120="FT",IF(AJ120&lt;FT_First,0,IF(AJ120&lt;FT_Y5,1+INT((AJ120-FT_First)/FT_Int1),FT_PreY5+FT_PerYear*INT((AJ120-FT_Y5)/12)+FT_AnnivDays+INT(MOD(AJ120-FT_Y5,12)/FT_Int2))),IF(AG120="PT",IF(AJ120&lt;PT_First,0,1+INT((AJ120-PT_First)/PT_Int)),0))-IF(AG120="FT",IF(AK120&lt;FT_First,0,IF(AK120&lt;FT_Y5,1+INT((AK120-FT_First)/FT_Int1),FT_PreY5+FT_PerYear*INT((AK120-FT_Y5)/12)+FT_AnnivDays+INT(MOD(AK120-FT_Y5,12)/FT_Int2))),IF(AG120="PT",IF(AK120&lt;PT_First,0,1+INT((AK120-PT_First)/PT_Int)),0))))</f>
        <v/>
      </c>
      <c r="AN120" s="12" t="str">
        <f aca="false">IF(AC120=0,"",IF(AG120="FT",IF(AH120&lt;FT_First,FT_First,IF(AH120&lt;FT_Y5,MIN(FT_Y5,FT_First+FT_Int1*(INT((AH120-FT_First)/FT_Int1)+1)),FT_Y5+12*INT((AH120-FT_Y5)/12)+FT_Int2*(INT(MOD(AH120-FT_Y5,12)/FT_Int2)+1))),IF(AG120="PT",IF(AH120&lt;PT_First,PT_First,PT_First+PT_Int*(INT((AH120-PT_First)/PT_Int)+1)),"")))</f>
        <v/>
      </c>
      <c r="AO120" s="12" t="str">
        <f aca="false">IF(AC120=0,"",IF(NOT(CFY_Ready),0,COUNTIFS(INDEX(CFY_Data,0,CFY_ColFirst),$A120,INDEX(CFY_Data,0,CFY_ColSur),$B120,INDEX(CFY_Data,0,CFY_ColCat),BonusCat)))</f>
        <v/>
      </c>
    </row>
    <row r="121" customFormat="false" ht="15" hidden="false" customHeight="false" outlineLevel="0" collapsed="false">
      <c r="A121" s="15"/>
      <c r="B121" s="15"/>
      <c r="C121" s="15"/>
      <c r="D121" s="16"/>
      <c r="E121" s="10" t="str">
        <f aca="false">IF(OR(AC121=0,$D121=""),"",DATE(YEAR(AsOfDate)+IF(DATE(YEAR(AsOfDate),MONTH($D121),DAY($D121))&lt;=AsOfDate,1,0),MONTH($D121),DAY($D121)))</f>
        <v/>
      </c>
      <c r="F121" s="16"/>
      <c r="G121" s="16"/>
      <c r="H121" s="16"/>
      <c r="I121" s="16"/>
      <c r="J121" s="10" t="str">
        <f aca="false">IF(AC121=0,"",DATE(YEAR(AsOfDate)+IF(DATE(YEAR(AsOfDate),MONTH($F121),DAY($F121))&lt;=AsOfDate,1,0),MONTH($F121),DAY($F121)))</f>
        <v/>
      </c>
      <c r="K121" s="11" t="str">
        <f aca="false">IF(AC121=0,"",ROUND((AsOfDate-$F121)/365.25,1))</f>
        <v/>
      </c>
      <c r="L121" s="12" t="str">
        <f aca="false">IF(AC121=0,"",IF(AsOfDate&lt;AD121,"-",DATEDIF(AD121,AsOfDate,"y")&amp;"y "&amp;DATEDIF(AD121,AsOfDate,"ym")&amp;"m "&amp;DATEDIF(AD121,AsOfDate,"md")&amp;"d"))</f>
        <v/>
      </c>
      <c r="M121" s="13" t="str">
        <f aca="false">IF(AC121=0,"",N121*HoursPerDay)</f>
        <v/>
      </c>
      <c r="N121" s="13" t="str">
        <f aca="false">IF(AC121=0,"",AL121)</f>
        <v/>
      </c>
      <c r="O121" s="17"/>
      <c r="P121" s="12" t="str">
        <f aca="false">IF(AC121=0,"",IF(AE121="","",IF($G121&lt;$H121,"Part-Time to Full-Time","Full-Time to Part-Time")&amp;" on "&amp;TEXT(AE121,"dd/mm/yyyy")&amp;IF(AE121&gt;AsOfDate," (future)",IF(AF121=AG121,"",IF(AG121="None"," - STOPPED accruing",IF(AF121="None"," - now qualifying"," - pathway changed"))))))</f>
        <v/>
      </c>
      <c r="Q121" s="12" t="str">
        <f aca="false">IF(AC121=0,"",IF(AG121="None",IF(N121&gt;0,"No longer accruing","Not eligible - "&amp;IF(AND($C121="Part-Time",N($O121)&lt;PT_MinHours,$O121&lt;&gt;""),"under "&amp;PT_MinHours&amp;" hrs",$C121)),IF(N121&gt;0,"Yes - accruing","Not yet - from "&amp;TEXT(R121,"dd/mm/yyyy"))))</f>
        <v/>
      </c>
      <c r="R121" s="10" t="str">
        <f aca="false">IF(AC121=0,"",IF(AG121="None","",EDATE(AD121,AN121)))</f>
        <v/>
      </c>
      <c r="S121" s="13" t="str">
        <f aca="false">IF(AC121=0,"",IF(NOT(PFY_Ready),"",SUMIFS(INDEX(PFY_Data,0,PFY_ColBal),INDEX(PFY_Data,0,PFY_ColFirst),$A121,INDEX(PFY_Data,0,PFY_ColSur),$B121,INDEX(PFY_Data,0,PFY_ColCat),BonusCat)))</f>
        <v/>
      </c>
      <c r="T121" s="17"/>
      <c r="U121" s="13" t="str">
        <f aca="false">IF(AC121=0,"",IF(NOT(CFY_Ready),"",SUMIFS(INDEX(CFY_Data,0,CFY_ColBal),INDEX(CFY_Data,0,CFY_ColFirst),$A121,INDEX(CFY_Data,0,CFY_ColSur),$B121,INDEX(CFY_Data,0,CFY_ColCat),BonusCat)))</f>
        <v/>
      </c>
      <c r="V121" s="13" t="str">
        <f aca="false">IF(AC121=0,"",IF(OR(NOT(CFY_Ready),CFY_ColAppr=0),"",SUMIFS(INDEX(CFY_Data,0,CFY_ColAppr),INDEX(CFY_Data,0,CFY_ColFirst),$A121,INDEX(CFY_Data,0,CFY_ColSur),$B121,INDEX(CFY_Data,0,CFY_ColCat),BonusCat)))</f>
        <v/>
      </c>
      <c r="W121" s="13" t="str">
        <f aca="false">IF(OR(AC121=0,S121="",U121=""),"",MAX(0,S121+N($T121)-U121))</f>
        <v/>
      </c>
      <c r="X121" s="13" t="str">
        <f aca="false">IF(AC121=0,"",(AL121-AM121)*HoursPerDay)</f>
        <v/>
      </c>
      <c r="Y121" s="13" t="str">
        <f aca="false">IF(AC121=0,"",X121-N($T121))</f>
        <v/>
      </c>
      <c r="Z121" s="12" t="str">
        <f aca="false">IF(AC121=0,"",IF(Y121&gt;0,"Yes","No"))</f>
        <v/>
      </c>
      <c r="AA121" s="12" t="str">
        <f aca="false">IF(AC121=0,"",IF(NOT(CFY_Ready),"Paste CFY EH export",IF(Y121&gt;0,"ACCRUE "&amp;TEXT(Y121,"0.##")&amp;" hrs ("&amp;TEXT(Y121/HoursPerDay,"0.##")&amp;" days)"&amp;IF(AO121=0," - no Bonus Leave line in EH yet",""),IF(Y121&lt;0,"CHECK - posted "&amp;TEXT(-Y121,"0.##")&amp;" hrs more than policy",IF(AND(N121&gt;0,AO121=0,U121=0),"CHECK - policy says "&amp;TEXT(M121,"0.##")&amp;" hrs to date but nothing in EH",IF(N121&gt;0,"OK","-"))))))</f>
        <v/>
      </c>
      <c r="AB121" s="13" t="str">
        <f aca="false">IF(OR(AC121=0,S121=""),"",AM121*HoursPerDay-S121)</f>
        <v/>
      </c>
      <c r="AC121" s="12" t="n">
        <f aca="false">IF(OR(LEN($A121&amp;$B121)=0,$F121=""),0,1)</f>
        <v>0</v>
      </c>
      <c r="AD121" s="10" t="str">
        <f aca="false">IF(AC121=0,"",IF($I121&lt;&gt;"",$I121,$F121))</f>
        <v/>
      </c>
      <c r="AE121" s="10" t="str">
        <f aca="false">IF(AC121=0,"",IF(AND($G121&lt;&gt;"",$H121&lt;&gt;"",$G121&lt;&gt;$H121),MAX($G121,$H121),""))</f>
        <v/>
      </c>
      <c r="AF121" s="12" t="str">
        <f aca="false">IF(AC121=0,"",IF(AE121="",AG121,IF(IF($G121&lt;$H121,"Part-Time","Full-Time")="Full-Time","FT",IF(AND(IF($G121&lt;$H121,"Part-Time","Full-Time")="Part-Time",OR($O121="",N($O121)&gt;=PT_MinHours)),"PT","None"))))</f>
        <v/>
      </c>
      <c r="AG121" s="12" t="str">
        <f aca="false">IF(AC121=0,"",IF($C121="Full-Time","FT",IF(AND($C121="Part-Time",OR($O121="",N($O121)&gt;=PT_MinHours)),"PT","None")))</f>
        <v/>
      </c>
      <c r="AH121" s="12" t="str">
        <f aca="false">IF(AC121=0,"",IF(AsOfDate&lt;AD121,-1,12*(YEAR(AsOfDate)-YEAR(AD121))+MONTH(AsOfDate)-MONTH(AD121)-IF(DAY(AsOfDate)&lt;MIN(DAY(AD121),DAY(EOMONTH(AsOfDate,0))),1,0)))</f>
        <v/>
      </c>
      <c r="AI121" s="12" t="str">
        <f aca="false">IF(AC121=0,"",IF(OR(AE121="",AE121&gt;AsOfDate),AH121,IF((AE121-1)&lt;AD121,-1,12*(YEAR((AE121-1))-YEAR(AD121))+MONTH((AE121-1))-MONTH(AD121)-IF(DAY((AE121-1))&lt;MIN(DAY(AD121),DAY(EOMONTH((AE121-1),0))),1,0))))</f>
        <v/>
      </c>
      <c r="AJ121" s="12" t="str">
        <f aca="false">IF(AC121=0,"",IF(PFYDate&lt;AD121,-1,12*(YEAR(PFYDate)-YEAR(AD121))+MONTH(PFYDate)-MONTH(AD121)-IF(DAY(PFYDate)&lt;MIN(DAY(AD121),DAY(EOMONTH(PFYDate,0))),1,0)))</f>
        <v/>
      </c>
      <c r="AK121" s="12" t="str">
        <f aca="false">IF(AC121=0,"",IF(OR(AE121="",AE121&gt;PFYDate),AJ121,IF((AE121-1)&lt;AD121,-1,12*(YEAR((AE121-1))-YEAR(AD121))+MONTH((AE121-1))-MONTH(AD121)-IF(DAY((AE121-1))&lt;MIN(DAY(AD121),DAY(EOMONTH((AE121-1),0))),1,0))))</f>
        <v/>
      </c>
      <c r="AL121" s="12" t="str">
        <f aca="false">IF(AC121=0,"",IF(AF121="FT",IF(AI121&lt;FT_First,0,IF(AI121&lt;FT_Y5,1+INT((AI121-FT_First)/FT_Int1),FT_PreY5+FT_PerYear*INT((AI121-FT_Y5)/12)+FT_AnnivDays+INT(MOD(AI121-FT_Y5,12)/FT_Int2))),IF(AF121="PT",IF(AI121&lt;PT_First,0,1+INT((AI121-PT_First)/PT_Int)),0))+IF(OR(AE121="",AE121&gt;AsOfDate),0,IF(AG121="FT",IF(AH121&lt;FT_First,0,IF(AH121&lt;FT_Y5,1+INT((AH121-FT_First)/FT_Int1),FT_PreY5+FT_PerYear*INT((AH121-FT_Y5)/12)+FT_AnnivDays+INT(MOD(AH121-FT_Y5,12)/FT_Int2))),IF(AG121="PT",IF(AH121&lt;PT_First,0,1+INT((AH121-PT_First)/PT_Int)),0))-IF(AG121="FT",IF(AI121&lt;FT_First,0,IF(AI121&lt;FT_Y5,1+INT((AI121-FT_First)/FT_Int1),FT_PreY5+FT_PerYear*INT((AI121-FT_Y5)/12)+FT_AnnivDays+INT(MOD(AI121-FT_Y5,12)/FT_Int2))),IF(AG121="PT",IF(AI121&lt;PT_First,0,1+INT((AI121-PT_First)/PT_Int)),0))))</f>
        <v/>
      </c>
      <c r="AM121" s="12" t="str">
        <f aca="false">IF(AC121=0,"",IF(AF121="FT",IF(AK121&lt;FT_First,0,IF(AK121&lt;FT_Y5,1+INT((AK121-FT_First)/FT_Int1),FT_PreY5+FT_PerYear*INT((AK121-FT_Y5)/12)+FT_AnnivDays+INT(MOD(AK121-FT_Y5,12)/FT_Int2))),IF(AF121="PT",IF(AK121&lt;PT_First,0,1+INT((AK121-PT_First)/PT_Int)),0))+IF(OR(AE121="",AE121&gt;PFYDate),0,IF(AG121="FT",IF(AJ121&lt;FT_First,0,IF(AJ121&lt;FT_Y5,1+INT((AJ121-FT_First)/FT_Int1),FT_PreY5+FT_PerYear*INT((AJ121-FT_Y5)/12)+FT_AnnivDays+INT(MOD(AJ121-FT_Y5,12)/FT_Int2))),IF(AG121="PT",IF(AJ121&lt;PT_First,0,1+INT((AJ121-PT_First)/PT_Int)),0))-IF(AG121="FT",IF(AK121&lt;FT_First,0,IF(AK121&lt;FT_Y5,1+INT((AK121-FT_First)/FT_Int1),FT_PreY5+FT_PerYear*INT((AK121-FT_Y5)/12)+FT_AnnivDays+INT(MOD(AK121-FT_Y5,12)/FT_Int2))),IF(AG121="PT",IF(AK121&lt;PT_First,0,1+INT((AK121-PT_First)/PT_Int)),0))))</f>
        <v/>
      </c>
      <c r="AN121" s="12" t="str">
        <f aca="false">IF(AC121=0,"",IF(AG121="FT",IF(AH121&lt;FT_First,FT_First,IF(AH121&lt;FT_Y5,MIN(FT_Y5,FT_First+FT_Int1*(INT((AH121-FT_First)/FT_Int1)+1)),FT_Y5+12*INT((AH121-FT_Y5)/12)+FT_Int2*(INT(MOD(AH121-FT_Y5,12)/FT_Int2)+1))),IF(AG121="PT",IF(AH121&lt;PT_First,PT_First,PT_First+PT_Int*(INT((AH121-PT_First)/PT_Int)+1)),"")))</f>
        <v/>
      </c>
      <c r="AO121" s="12" t="str">
        <f aca="false">IF(AC121=0,"",IF(NOT(CFY_Ready),0,COUNTIFS(INDEX(CFY_Data,0,CFY_ColFirst),$A121,INDEX(CFY_Data,0,CFY_ColSur),$B121,INDEX(CFY_Data,0,CFY_ColCat),BonusCat)))</f>
        <v/>
      </c>
    </row>
    <row r="122" customFormat="false" ht="15" hidden="false" customHeight="false" outlineLevel="0" collapsed="false">
      <c r="A122" s="15"/>
      <c r="B122" s="15"/>
      <c r="C122" s="15"/>
      <c r="D122" s="16"/>
      <c r="E122" s="10" t="str">
        <f aca="false">IF(OR(AC122=0,$D122=""),"",DATE(YEAR(AsOfDate)+IF(DATE(YEAR(AsOfDate),MONTH($D122),DAY($D122))&lt;=AsOfDate,1,0),MONTH($D122),DAY($D122)))</f>
        <v/>
      </c>
      <c r="F122" s="16"/>
      <c r="G122" s="16"/>
      <c r="H122" s="16"/>
      <c r="I122" s="16"/>
      <c r="J122" s="10" t="str">
        <f aca="false">IF(AC122=0,"",DATE(YEAR(AsOfDate)+IF(DATE(YEAR(AsOfDate),MONTH($F122),DAY($F122))&lt;=AsOfDate,1,0),MONTH($F122),DAY($F122)))</f>
        <v/>
      </c>
      <c r="K122" s="11" t="str">
        <f aca="false">IF(AC122=0,"",ROUND((AsOfDate-$F122)/365.25,1))</f>
        <v/>
      </c>
      <c r="L122" s="12" t="str">
        <f aca="false">IF(AC122=0,"",IF(AsOfDate&lt;AD122,"-",DATEDIF(AD122,AsOfDate,"y")&amp;"y "&amp;DATEDIF(AD122,AsOfDate,"ym")&amp;"m "&amp;DATEDIF(AD122,AsOfDate,"md")&amp;"d"))</f>
        <v/>
      </c>
      <c r="M122" s="13" t="str">
        <f aca="false">IF(AC122=0,"",N122*HoursPerDay)</f>
        <v/>
      </c>
      <c r="N122" s="13" t="str">
        <f aca="false">IF(AC122=0,"",AL122)</f>
        <v/>
      </c>
      <c r="O122" s="17"/>
      <c r="P122" s="12" t="str">
        <f aca="false">IF(AC122=0,"",IF(AE122="","",IF($G122&lt;$H122,"Part-Time to Full-Time","Full-Time to Part-Time")&amp;" on "&amp;TEXT(AE122,"dd/mm/yyyy")&amp;IF(AE122&gt;AsOfDate," (future)",IF(AF122=AG122,"",IF(AG122="None"," - STOPPED accruing",IF(AF122="None"," - now qualifying"," - pathway changed"))))))</f>
        <v/>
      </c>
      <c r="Q122" s="12" t="str">
        <f aca="false">IF(AC122=0,"",IF(AG122="None",IF(N122&gt;0,"No longer accruing","Not eligible - "&amp;IF(AND($C122="Part-Time",N($O122)&lt;PT_MinHours,$O122&lt;&gt;""),"under "&amp;PT_MinHours&amp;" hrs",$C122)),IF(N122&gt;0,"Yes - accruing","Not yet - from "&amp;TEXT(R122,"dd/mm/yyyy"))))</f>
        <v/>
      </c>
      <c r="R122" s="10" t="str">
        <f aca="false">IF(AC122=0,"",IF(AG122="None","",EDATE(AD122,AN122)))</f>
        <v/>
      </c>
      <c r="S122" s="13" t="str">
        <f aca="false">IF(AC122=0,"",IF(NOT(PFY_Ready),"",SUMIFS(INDEX(PFY_Data,0,PFY_ColBal),INDEX(PFY_Data,0,PFY_ColFirst),$A122,INDEX(PFY_Data,0,PFY_ColSur),$B122,INDEX(PFY_Data,0,PFY_ColCat),BonusCat)))</f>
        <v/>
      </c>
      <c r="T122" s="17"/>
      <c r="U122" s="13" t="str">
        <f aca="false">IF(AC122=0,"",IF(NOT(CFY_Ready),"",SUMIFS(INDEX(CFY_Data,0,CFY_ColBal),INDEX(CFY_Data,0,CFY_ColFirst),$A122,INDEX(CFY_Data,0,CFY_ColSur),$B122,INDEX(CFY_Data,0,CFY_ColCat),BonusCat)))</f>
        <v/>
      </c>
      <c r="V122" s="13" t="str">
        <f aca="false">IF(AC122=0,"",IF(OR(NOT(CFY_Ready),CFY_ColAppr=0),"",SUMIFS(INDEX(CFY_Data,0,CFY_ColAppr),INDEX(CFY_Data,0,CFY_ColFirst),$A122,INDEX(CFY_Data,0,CFY_ColSur),$B122,INDEX(CFY_Data,0,CFY_ColCat),BonusCat)))</f>
        <v/>
      </c>
      <c r="W122" s="13" t="str">
        <f aca="false">IF(OR(AC122=0,S122="",U122=""),"",MAX(0,S122+N($T122)-U122))</f>
        <v/>
      </c>
      <c r="X122" s="13" t="str">
        <f aca="false">IF(AC122=0,"",(AL122-AM122)*HoursPerDay)</f>
        <v/>
      </c>
      <c r="Y122" s="13" t="str">
        <f aca="false">IF(AC122=0,"",X122-N($T122))</f>
        <v/>
      </c>
      <c r="Z122" s="12" t="str">
        <f aca="false">IF(AC122=0,"",IF(Y122&gt;0,"Yes","No"))</f>
        <v/>
      </c>
      <c r="AA122" s="12" t="str">
        <f aca="false">IF(AC122=0,"",IF(NOT(CFY_Ready),"Paste CFY EH export",IF(Y122&gt;0,"ACCRUE "&amp;TEXT(Y122,"0.##")&amp;" hrs ("&amp;TEXT(Y122/HoursPerDay,"0.##")&amp;" days)"&amp;IF(AO122=0," - no Bonus Leave line in EH yet",""),IF(Y122&lt;0,"CHECK - posted "&amp;TEXT(-Y122,"0.##")&amp;" hrs more than policy",IF(AND(N122&gt;0,AO122=0,U122=0),"CHECK - policy says "&amp;TEXT(M122,"0.##")&amp;" hrs to date but nothing in EH",IF(N122&gt;0,"OK","-"))))))</f>
        <v/>
      </c>
      <c r="AB122" s="13" t="str">
        <f aca="false">IF(OR(AC122=0,S122=""),"",AM122*HoursPerDay-S122)</f>
        <v/>
      </c>
      <c r="AC122" s="12" t="n">
        <f aca="false">IF(OR(LEN($A122&amp;$B122)=0,$F122=""),0,1)</f>
        <v>0</v>
      </c>
      <c r="AD122" s="10" t="str">
        <f aca="false">IF(AC122=0,"",IF($I122&lt;&gt;"",$I122,$F122))</f>
        <v/>
      </c>
      <c r="AE122" s="10" t="str">
        <f aca="false">IF(AC122=0,"",IF(AND($G122&lt;&gt;"",$H122&lt;&gt;"",$G122&lt;&gt;$H122),MAX($G122,$H122),""))</f>
        <v/>
      </c>
      <c r="AF122" s="12" t="str">
        <f aca="false">IF(AC122=0,"",IF(AE122="",AG122,IF(IF($G122&lt;$H122,"Part-Time","Full-Time")="Full-Time","FT",IF(AND(IF($G122&lt;$H122,"Part-Time","Full-Time")="Part-Time",OR($O122="",N($O122)&gt;=PT_MinHours)),"PT","None"))))</f>
        <v/>
      </c>
      <c r="AG122" s="12" t="str">
        <f aca="false">IF(AC122=0,"",IF($C122="Full-Time","FT",IF(AND($C122="Part-Time",OR($O122="",N($O122)&gt;=PT_MinHours)),"PT","None")))</f>
        <v/>
      </c>
      <c r="AH122" s="12" t="str">
        <f aca="false">IF(AC122=0,"",IF(AsOfDate&lt;AD122,-1,12*(YEAR(AsOfDate)-YEAR(AD122))+MONTH(AsOfDate)-MONTH(AD122)-IF(DAY(AsOfDate)&lt;MIN(DAY(AD122),DAY(EOMONTH(AsOfDate,0))),1,0)))</f>
        <v/>
      </c>
      <c r="AI122" s="12" t="str">
        <f aca="false">IF(AC122=0,"",IF(OR(AE122="",AE122&gt;AsOfDate),AH122,IF((AE122-1)&lt;AD122,-1,12*(YEAR((AE122-1))-YEAR(AD122))+MONTH((AE122-1))-MONTH(AD122)-IF(DAY((AE122-1))&lt;MIN(DAY(AD122),DAY(EOMONTH((AE122-1),0))),1,0))))</f>
        <v/>
      </c>
      <c r="AJ122" s="12" t="str">
        <f aca="false">IF(AC122=0,"",IF(PFYDate&lt;AD122,-1,12*(YEAR(PFYDate)-YEAR(AD122))+MONTH(PFYDate)-MONTH(AD122)-IF(DAY(PFYDate)&lt;MIN(DAY(AD122),DAY(EOMONTH(PFYDate,0))),1,0)))</f>
        <v/>
      </c>
      <c r="AK122" s="12" t="str">
        <f aca="false">IF(AC122=0,"",IF(OR(AE122="",AE122&gt;PFYDate),AJ122,IF((AE122-1)&lt;AD122,-1,12*(YEAR((AE122-1))-YEAR(AD122))+MONTH((AE122-1))-MONTH(AD122)-IF(DAY((AE122-1))&lt;MIN(DAY(AD122),DAY(EOMONTH((AE122-1),0))),1,0))))</f>
        <v/>
      </c>
      <c r="AL122" s="12" t="str">
        <f aca="false">IF(AC122=0,"",IF(AF122="FT",IF(AI122&lt;FT_First,0,IF(AI122&lt;FT_Y5,1+INT((AI122-FT_First)/FT_Int1),FT_PreY5+FT_PerYear*INT((AI122-FT_Y5)/12)+FT_AnnivDays+INT(MOD(AI122-FT_Y5,12)/FT_Int2))),IF(AF122="PT",IF(AI122&lt;PT_First,0,1+INT((AI122-PT_First)/PT_Int)),0))+IF(OR(AE122="",AE122&gt;AsOfDate),0,IF(AG122="FT",IF(AH122&lt;FT_First,0,IF(AH122&lt;FT_Y5,1+INT((AH122-FT_First)/FT_Int1),FT_PreY5+FT_PerYear*INT((AH122-FT_Y5)/12)+FT_AnnivDays+INT(MOD(AH122-FT_Y5,12)/FT_Int2))),IF(AG122="PT",IF(AH122&lt;PT_First,0,1+INT((AH122-PT_First)/PT_Int)),0))-IF(AG122="FT",IF(AI122&lt;FT_First,0,IF(AI122&lt;FT_Y5,1+INT((AI122-FT_First)/FT_Int1),FT_PreY5+FT_PerYear*INT((AI122-FT_Y5)/12)+FT_AnnivDays+INT(MOD(AI122-FT_Y5,12)/FT_Int2))),IF(AG122="PT",IF(AI122&lt;PT_First,0,1+INT((AI122-PT_First)/PT_Int)),0))))</f>
        <v/>
      </c>
      <c r="AM122" s="12" t="str">
        <f aca="false">IF(AC122=0,"",IF(AF122="FT",IF(AK122&lt;FT_First,0,IF(AK122&lt;FT_Y5,1+INT((AK122-FT_First)/FT_Int1),FT_PreY5+FT_PerYear*INT((AK122-FT_Y5)/12)+FT_AnnivDays+INT(MOD(AK122-FT_Y5,12)/FT_Int2))),IF(AF122="PT",IF(AK122&lt;PT_First,0,1+INT((AK122-PT_First)/PT_Int)),0))+IF(OR(AE122="",AE122&gt;PFYDate),0,IF(AG122="FT",IF(AJ122&lt;FT_First,0,IF(AJ122&lt;FT_Y5,1+INT((AJ122-FT_First)/FT_Int1),FT_PreY5+FT_PerYear*INT((AJ122-FT_Y5)/12)+FT_AnnivDays+INT(MOD(AJ122-FT_Y5,12)/FT_Int2))),IF(AG122="PT",IF(AJ122&lt;PT_First,0,1+INT((AJ122-PT_First)/PT_Int)),0))-IF(AG122="FT",IF(AK122&lt;FT_First,0,IF(AK122&lt;FT_Y5,1+INT((AK122-FT_First)/FT_Int1),FT_PreY5+FT_PerYear*INT((AK122-FT_Y5)/12)+FT_AnnivDays+INT(MOD(AK122-FT_Y5,12)/FT_Int2))),IF(AG122="PT",IF(AK122&lt;PT_First,0,1+INT((AK122-PT_First)/PT_Int)),0))))</f>
        <v/>
      </c>
      <c r="AN122" s="12" t="str">
        <f aca="false">IF(AC122=0,"",IF(AG122="FT",IF(AH122&lt;FT_First,FT_First,IF(AH122&lt;FT_Y5,MIN(FT_Y5,FT_First+FT_Int1*(INT((AH122-FT_First)/FT_Int1)+1)),FT_Y5+12*INT((AH122-FT_Y5)/12)+FT_Int2*(INT(MOD(AH122-FT_Y5,12)/FT_Int2)+1))),IF(AG122="PT",IF(AH122&lt;PT_First,PT_First,PT_First+PT_Int*(INT((AH122-PT_First)/PT_Int)+1)),"")))</f>
        <v/>
      </c>
      <c r="AO122" s="12" t="str">
        <f aca="false">IF(AC122=0,"",IF(NOT(CFY_Ready),0,COUNTIFS(INDEX(CFY_Data,0,CFY_ColFirst),$A122,INDEX(CFY_Data,0,CFY_ColSur),$B122,INDEX(CFY_Data,0,CFY_ColCat),BonusCat)))</f>
        <v/>
      </c>
    </row>
    <row r="123" customFormat="false" ht="15" hidden="false" customHeight="false" outlineLevel="0" collapsed="false">
      <c r="A123" s="15"/>
      <c r="B123" s="15"/>
      <c r="C123" s="15"/>
      <c r="D123" s="16"/>
      <c r="E123" s="10" t="str">
        <f aca="false">IF(OR(AC123=0,$D123=""),"",DATE(YEAR(AsOfDate)+IF(DATE(YEAR(AsOfDate),MONTH($D123),DAY($D123))&lt;=AsOfDate,1,0),MONTH($D123),DAY($D123)))</f>
        <v/>
      </c>
      <c r="F123" s="16"/>
      <c r="G123" s="16"/>
      <c r="H123" s="16"/>
      <c r="I123" s="16"/>
      <c r="J123" s="10" t="str">
        <f aca="false">IF(AC123=0,"",DATE(YEAR(AsOfDate)+IF(DATE(YEAR(AsOfDate),MONTH($F123),DAY($F123))&lt;=AsOfDate,1,0),MONTH($F123),DAY($F123)))</f>
        <v/>
      </c>
      <c r="K123" s="11" t="str">
        <f aca="false">IF(AC123=0,"",ROUND((AsOfDate-$F123)/365.25,1))</f>
        <v/>
      </c>
      <c r="L123" s="12" t="str">
        <f aca="false">IF(AC123=0,"",IF(AsOfDate&lt;AD123,"-",DATEDIF(AD123,AsOfDate,"y")&amp;"y "&amp;DATEDIF(AD123,AsOfDate,"ym")&amp;"m "&amp;DATEDIF(AD123,AsOfDate,"md")&amp;"d"))</f>
        <v/>
      </c>
      <c r="M123" s="13" t="str">
        <f aca="false">IF(AC123=0,"",N123*HoursPerDay)</f>
        <v/>
      </c>
      <c r="N123" s="13" t="str">
        <f aca="false">IF(AC123=0,"",AL123)</f>
        <v/>
      </c>
      <c r="O123" s="17"/>
      <c r="P123" s="12" t="str">
        <f aca="false">IF(AC123=0,"",IF(AE123="","",IF($G123&lt;$H123,"Part-Time to Full-Time","Full-Time to Part-Time")&amp;" on "&amp;TEXT(AE123,"dd/mm/yyyy")&amp;IF(AE123&gt;AsOfDate," (future)",IF(AF123=AG123,"",IF(AG123="None"," - STOPPED accruing",IF(AF123="None"," - now qualifying"," - pathway changed"))))))</f>
        <v/>
      </c>
      <c r="Q123" s="12" t="str">
        <f aca="false">IF(AC123=0,"",IF(AG123="None",IF(N123&gt;0,"No longer accruing","Not eligible - "&amp;IF(AND($C123="Part-Time",N($O123)&lt;PT_MinHours,$O123&lt;&gt;""),"under "&amp;PT_MinHours&amp;" hrs",$C123)),IF(N123&gt;0,"Yes - accruing","Not yet - from "&amp;TEXT(R123,"dd/mm/yyyy"))))</f>
        <v/>
      </c>
      <c r="R123" s="10" t="str">
        <f aca="false">IF(AC123=0,"",IF(AG123="None","",EDATE(AD123,AN123)))</f>
        <v/>
      </c>
      <c r="S123" s="13" t="str">
        <f aca="false">IF(AC123=0,"",IF(NOT(PFY_Ready),"",SUMIFS(INDEX(PFY_Data,0,PFY_ColBal),INDEX(PFY_Data,0,PFY_ColFirst),$A123,INDEX(PFY_Data,0,PFY_ColSur),$B123,INDEX(PFY_Data,0,PFY_ColCat),BonusCat)))</f>
        <v/>
      </c>
      <c r="T123" s="17"/>
      <c r="U123" s="13" t="str">
        <f aca="false">IF(AC123=0,"",IF(NOT(CFY_Ready),"",SUMIFS(INDEX(CFY_Data,0,CFY_ColBal),INDEX(CFY_Data,0,CFY_ColFirst),$A123,INDEX(CFY_Data,0,CFY_ColSur),$B123,INDEX(CFY_Data,0,CFY_ColCat),BonusCat)))</f>
        <v/>
      </c>
      <c r="V123" s="13" t="str">
        <f aca="false">IF(AC123=0,"",IF(OR(NOT(CFY_Ready),CFY_ColAppr=0),"",SUMIFS(INDEX(CFY_Data,0,CFY_ColAppr),INDEX(CFY_Data,0,CFY_ColFirst),$A123,INDEX(CFY_Data,0,CFY_ColSur),$B123,INDEX(CFY_Data,0,CFY_ColCat),BonusCat)))</f>
        <v/>
      </c>
      <c r="W123" s="13" t="str">
        <f aca="false">IF(OR(AC123=0,S123="",U123=""),"",MAX(0,S123+N($T123)-U123))</f>
        <v/>
      </c>
      <c r="X123" s="13" t="str">
        <f aca="false">IF(AC123=0,"",(AL123-AM123)*HoursPerDay)</f>
        <v/>
      </c>
      <c r="Y123" s="13" t="str">
        <f aca="false">IF(AC123=0,"",X123-N($T123))</f>
        <v/>
      </c>
      <c r="Z123" s="12" t="str">
        <f aca="false">IF(AC123=0,"",IF(Y123&gt;0,"Yes","No"))</f>
        <v/>
      </c>
      <c r="AA123" s="12" t="str">
        <f aca="false">IF(AC123=0,"",IF(NOT(CFY_Ready),"Paste CFY EH export",IF(Y123&gt;0,"ACCRUE "&amp;TEXT(Y123,"0.##")&amp;" hrs ("&amp;TEXT(Y123/HoursPerDay,"0.##")&amp;" days)"&amp;IF(AO123=0," - no Bonus Leave line in EH yet",""),IF(Y123&lt;0,"CHECK - posted "&amp;TEXT(-Y123,"0.##")&amp;" hrs more than policy",IF(AND(N123&gt;0,AO123=0,U123=0),"CHECK - policy says "&amp;TEXT(M123,"0.##")&amp;" hrs to date but nothing in EH",IF(N123&gt;0,"OK","-"))))))</f>
        <v/>
      </c>
      <c r="AB123" s="13" t="str">
        <f aca="false">IF(OR(AC123=0,S123=""),"",AM123*HoursPerDay-S123)</f>
        <v/>
      </c>
      <c r="AC123" s="12" t="n">
        <f aca="false">IF(OR(LEN($A123&amp;$B123)=0,$F123=""),0,1)</f>
        <v>0</v>
      </c>
      <c r="AD123" s="10" t="str">
        <f aca="false">IF(AC123=0,"",IF($I123&lt;&gt;"",$I123,$F123))</f>
        <v/>
      </c>
      <c r="AE123" s="10" t="str">
        <f aca="false">IF(AC123=0,"",IF(AND($G123&lt;&gt;"",$H123&lt;&gt;"",$G123&lt;&gt;$H123),MAX($G123,$H123),""))</f>
        <v/>
      </c>
      <c r="AF123" s="12" t="str">
        <f aca="false">IF(AC123=0,"",IF(AE123="",AG123,IF(IF($G123&lt;$H123,"Part-Time","Full-Time")="Full-Time","FT",IF(AND(IF($G123&lt;$H123,"Part-Time","Full-Time")="Part-Time",OR($O123="",N($O123)&gt;=PT_MinHours)),"PT","None"))))</f>
        <v/>
      </c>
      <c r="AG123" s="12" t="str">
        <f aca="false">IF(AC123=0,"",IF($C123="Full-Time","FT",IF(AND($C123="Part-Time",OR($O123="",N($O123)&gt;=PT_MinHours)),"PT","None")))</f>
        <v/>
      </c>
      <c r="AH123" s="12" t="str">
        <f aca="false">IF(AC123=0,"",IF(AsOfDate&lt;AD123,-1,12*(YEAR(AsOfDate)-YEAR(AD123))+MONTH(AsOfDate)-MONTH(AD123)-IF(DAY(AsOfDate)&lt;MIN(DAY(AD123),DAY(EOMONTH(AsOfDate,0))),1,0)))</f>
        <v/>
      </c>
      <c r="AI123" s="12" t="str">
        <f aca="false">IF(AC123=0,"",IF(OR(AE123="",AE123&gt;AsOfDate),AH123,IF((AE123-1)&lt;AD123,-1,12*(YEAR((AE123-1))-YEAR(AD123))+MONTH((AE123-1))-MONTH(AD123)-IF(DAY((AE123-1))&lt;MIN(DAY(AD123),DAY(EOMONTH((AE123-1),0))),1,0))))</f>
        <v/>
      </c>
      <c r="AJ123" s="12" t="str">
        <f aca="false">IF(AC123=0,"",IF(PFYDate&lt;AD123,-1,12*(YEAR(PFYDate)-YEAR(AD123))+MONTH(PFYDate)-MONTH(AD123)-IF(DAY(PFYDate)&lt;MIN(DAY(AD123),DAY(EOMONTH(PFYDate,0))),1,0)))</f>
        <v/>
      </c>
      <c r="AK123" s="12" t="str">
        <f aca="false">IF(AC123=0,"",IF(OR(AE123="",AE123&gt;PFYDate),AJ123,IF((AE123-1)&lt;AD123,-1,12*(YEAR((AE123-1))-YEAR(AD123))+MONTH((AE123-1))-MONTH(AD123)-IF(DAY((AE123-1))&lt;MIN(DAY(AD123),DAY(EOMONTH((AE123-1),0))),1,0))))</f>
        <v/>
      </c>
      <c r="AL123" s="12" t="str">
        <f aca="false">IF(AC123=0,"",IF(AF123="FT",IF(AI123&lt;FT_First,0,IF(AI123&lt;FT_Y5,1+INT((AI123-FT_First)/FT_Int1),FT_PreY5+FT_PerYear*INT((AI123-FT_Y5)/12)+FT_AnnivDays+INT(MOD(AI123-FT_Y5,12)/FT_Int2))),IF(AF123="PT",IF(AI123&lt;PT_First,0,1+INT((AI123-PT_First)/PT_Int)),0))+IF(OR(AE123="",AE123&gt;AsOfDate),0,IF(AG123="FT",IF(AH123&lt;FT_First,0,IF(AH123&lt;FT_Y5,1+INT((AH123-FT_First)/FT_Int1),FT_PreY5+FT_PerYear*INT((AH123-FT_Y5)/12)+FT_AnnivDays+INT(MOD(AH123-FT_Y5,12)/FT_Int2))),IF(AG123="PT",IF(AH123&lt;PT_First,0,1+INT((AH123-PT_First)/PT_Int)),0))-IF(AG123="FT",IF(AI123&lt;FT_First,0,IF(AI123&lt;FT_Y5,1+INT((AI123-FT_First)/FT_Int1),FT_PreY5+FT_PerYear*INT((AI123-FT_Y5)/12)+FT_AnnivDays+INT(MOD(AI123-FT_Y5,12)/FT_Int2))),IF(AG123="PT",IF(AI123&lt;PT_First,0,1+INT((AI123-PT_First)/PT_Int)),0))))</f>
        <v/>
      </c>
      <c r="AM123" s="12" t="str">
        <f aca="false">IF(AC123=0,"",IF(AF123="FT",IF(AK123&lt;FT_First,0,IF(AK123&lt;FT_Y5,1+INT((AK123-FT_First)/FT_Int1),FT_PreY5+FT_PerYear*INT((AK123-FT_Y5)/12)+FT_AnnivDays+INT(MOD(AK123-FT_Y5,12)/FT_Int2))),IF(AF123="PT",IF(AK123&lt;PT_First,0,1+INT((AK123-PT_First)/PT_Int)),0))+IF(OR(AE123="",AE123&gt;PFYDate),0,IF(AG123="FT",IF(AJ123&lt;FT_First,0,IF(AJ123&lt;FT_Y5,1+INT((AJ123-FT_First)/FT_Int1),FT_PreY5+FT_PerYear*INT((AJ123-FT_Y5)/12)+FT_AnnivDays+INT(MOD(AJ123-FT_Y5,12)/FT_Int2))),IF(AG123="PT",IF(AJ123&lt;PT_First,0,1+INT((AJ123-PT_First)/PT_Int)),0))-IF(AG123="FT",IF(AK123&lt;FT_First,0,IF(AK123&lt;FT_Y5,1+INT((AK123-FT_First)/FT_Int1),FT_PreY5+FT_PerYear*INT((AK123-FT_Y5)/12)+FT_AnnivDays+INT(MOD(AK123-FT_Y5,12)/FT_Int2))),IF(AG123="PT",IF(AK123&lt;PT_First,0,1+INT((AK123-PT_First)/PT_Int)),0))))</f>
        <v/>
      </c>
      <c r="AN123" s="12" t="str">
        <f aca="false">IF(AC123=0,"",IF(AG123="FT",IF(AH123&lt;FT_First,FT_First,IF(AH123&lt;FT_Y5,MIN(FT_Y5,FT_First+FT_Int1*(INT((AH123-FT_First)/FT_Int1)+1)),FT_Y5+12*INT((AH123-FT_Y5)/12)+FT_Int2*(INT(MOD(AH123-FT_Y5,12)/FT_Int2)+1))),IF(AG123="PT",IF(AH123&lt;PT_First,PT_First,PT_First+PT_Int*(INT((AH123-PT_First)/PT_Int)+1)),"")))</f>
        <v/>
      </c>
      <c r="AO123" s="12" t="str">
        <f aca="false">IF(AC123=0,"",IF(NOT(CFY_Ready),0,COUNTIFS(INDEX(CFY_Data,0,CFY_ColFirst),$A123,INDEX(CFY_Data,0,CFY_ColSur),$B123,INDEX(CFY_Data,0,CFY_ColCat),BonusCat)))</f>
        <v/>
      </c>
    </row>
    <row r="124" customFormat="false" ht="15" hidden="false" customHeight="false" outlineLevel="0" collapsed="false">
      <c r="A124" s="15"/>
      <c r="B124" s="15"/>
      <c r="C124" s="15"/>
      <c r="D124" s="16"/>
      <c r="E124" s="10" t="str">
        <f aca="false">IF(OR(AC124=0,$D124=""),"",DATE(YEAR(AsOfDate)+IF(DATE(YEAR(AsOfDate),MONTH($D124),DAY($D124))&lt;=AsOfDate,1,0),MONTH($D124),DAY($D124)))</f>
        <v/>
      </c>
      <c r="F124" s="16"/>
      <c r="G124" s="16"/>
      <c r="H124" s="16"/>
      <c r="I124" s="16"/>
      <c r="J124" s="10" t="str">
        <f aca="false">IF(AC124=0,"",DATE(YEAR(AsOfDate)+IF(DATE(YEAR(AsOfDate),MONTH($F124),DAY($F124))&lt;=AsOfDate,1,0),MONTH($F124),DAY($F124)))</f>
        <v/>
      </c>
      <c r="K124" s="11" t="str">
        <f aca="false">IF(AC124=0,"",ROUND((AsOfDate-$F124)/365.25,1))</f>
        <v/>
      </c>
      <c r="L124" s="12" t="str">
        <f aca="false">IF(AC124=0,"",IF(AsOfDate&lt;AD124,"-",DATEDIF(AD124,AsOfDate,"y")&amp;"y "&amp;DATEDIF(AD124,AsOfDate,"ym")&amp;"m "&amp;DATEDIF(AD124,AsOfDate,"md")&amp;"d"))</f>
        <v/>
      </c>
      <c r="M124" s="13" t="str">
        <f aca="false">IF(AC124=0,"",N124*HoursPerDay)</f>
        <v/>
      </c>
      <c r="N124" s="13" t="str">
        <f aca="false">IF(AC124=0,"",AL124)</f>
        <v/>
      </c>
      <c r="O124" s="17"/>
      <c r="P124" s="12" t="str">
        <f aca="false">IF(AC124=0,"",IF(AE124="","",IF($G124&lt;$H124,"Part-Time to Full-Time","Full-Time to Part-Time")&amp;" on "&amp;TEXT(AE124,"dd/mm/yyyy")&amp;IF(AE124&gt;AsOfDate," (future)",IF(AF124=AG124,"",IF(AG124="None"," - STOPPED accruing",IF(AF124="None"," - now qualifying"," - pathway changed"))))))</f>
        <v/>
      </c>
      <c r="Q124" s="12" t="str">
        <f aca="false">IF(AC124=0,"",IF(AG124="None",IF(N124&gt;0,"No longer accruing","Not eligible - "&amp;IF(AND($C124="Part-Time",N($O124)&lt;PT_MinHours,$O124&lt;&gt;""),"under "&amp;PT_MinHours&amp;" hrs",$C124)),IF(N124&gt;0,"Yes - accruing","Not yet - from "&amp;TEXT(R124,"dd/mm/yyyy"))))</f>
        <v/>
      </c>
      <c r="R124" s="10" t="str">
        <f aca="false">IF(AC124=0,"",IF(AG124="None","",EDATE(AD124,AN124)))</f>
        <v/>
      </c>
      <c r="S124" s="13" t="str">
        <f aca="false">IF(AC124=0,"",IF(NOT(PFY_Ready),"",SUMIFS(INDEX(PFY_Data,0,PFY_ColBal),INDEX(PFY_Data,0,PFY_ColFirst),$A124,INDEX(PFY_Data,0,PFY_ColSur),$B124,INDEX(PFY_Data,0,PFY_ColCat),BonusCat)))</f>
        <v/>
      </c>
      <c r="T124" s="17"/>
      <c r="U124" s="13" t="str">
        <f aca="false">IF(AC124=0,"",IF(NOT(CFY_Ready),"",SUMIFS(INDEX(CFY_Data,0,CFY_ColBal),INDEX(CFY_Data,0,CFY_ColFirst),$A124,INDEX(CFY_Data,0,CFY_ColSur),$B124,INDEX(CFY_Data,0,CFY_ColCat),BonusCat)))</f>
        <v/>
      </c>
      <c r="V124" s="13" t="str">
        <f aca="false">IF(AC124=0,"",IF(OR(NOT(CFY_Ready),CFY_ColAppr=0),"",SUMIFS(INDEX(CFY_Data,0,CFY_ColAppr),INDEX(CFY_Data,0,CFY_ColFirst),$A124,INDEX(CFY_Data,0,CFY_ColSur),$B124,INDEX(CFY_Data,0,CFY_ColCat),BonusCat)))</f>
        <v/>
      </c>
      <c r="W124" s="13" t="str">
        <f aca="false">IF(OR(AC124=0,S124="",U124=""),"",MAX(0,S124+N($T124)-U124))</f>
        <v/>
      </c>
      <c r="X124" s="13" t="str">
        <f aca="false">IF(AC124=0,"",(AL124-AM124)*HoursPerDay)</f>
        <v/>
      </c>
      <c r="Y124" s="13" t="str">
        <f aca="false">IF(AC124=0,"",X124-N($T124))</f>
        <v/>
      </c>
      <c r="Z124" s="12" t="str">
        <f aca="false">IF(AC124=0,"",IF(Y124&gt;0,"Yes","No"))</f>
        <v/>
      </c>
      <c r="AA124" s="12" t="str">
        <f aca="false">IF(AC124=0,"",IF(NOT(CFY_Ready),"Paste CFY EH export",IF(Y124&gt;0,"ACCRUE "&amp;TEXT(Y124,"0.##")&amp;" hrs ("&amp;TEXT(Y124/HoursPerDay,"0.##")&amp;" days)"&amp;IF(AO124=0," - no Bonus Leave line in EH yet",""),IF(Y124&lt;0,"CHECK - posted "&amp;TEXT(-Y124,"0.##")&amp;" hrs more than policy",IF(AND(N124&gt;0,AO124=0,U124=0),"CHECK - policy says "&amp;TEXT(M124,"0.##")&amp;" hrs to date but nothing in EH",IF(N124&gt;0,"OK","-"))))))</f>
        <v/>
      </c>
      <c r="AB124" s="13" t="str">
        <f aca="false">IF(OR(AC124=0,S124=""),"",AM124*HoursPerDay-S124)</f>
        <v/>
      </c>
      <c r="AC124" s="12" t="n">
        <f aca="false">IF(OR(LEN($A124&amp;$B124)=0,$F124=""),0,1)</f>
        <v>0</v>
      </c>
      <c r="AD124" s="10" t="str">
        <f aca="false">IF(AC124=0,"",IF($I124&lt;&gt;"",$I124,$F124))</f>
        <v/>
      </c>
      <c r="AE124" s="10" t="str">
        <f aca="false">IF(AC124=0,"",IF(AND($G124&lt;&gt;"",$H124&lt;&gt;"",$G124&lt;&gt;$H124),MAX($G124,$H124),""))</f>
        <v/>
      </c>
      <c r="AF124" s="12" t="str">
        <f aca="false">IF(AC124=0,"",IF(AE124="",AG124,IF(IF($G124&lt;$H124,"Part-Time","Full-Time")="Full-Time","FT",IF(AND(IF($G124&lt;$H124,"Part-Time","Full-Time")="Part-Time",OR($O124="",N($O124)&gt;=PT_MinHours)),"PT","None"))))</f>
        <v/>
      </c>
      <c r="AG124" s="12" t="str">
        <f aca="false">IF(AC124=0,"",IF($C124="Full-Time","FT",IF(AND($C124="Part-Time",OR($O124="",N($O124)&gt;=PT_MinHours)),"PT","None")))</f>
        <v/>
      </c>
      <c r="AH124" s="12" t="str">
        <f aca="false">IF(AC124=0,"",IF(AsOfDate&lt;AD124,-1,12*(YEAR(AsOfDate)-YEAR(AD124))+MONTH(AsOfDate)-MONTH(AD124)-IF(DAY(AsOfDate)&lt;MIN(DAY(AD124),DAY(EOMONTH(AsOfDate,0))),1,0)))</f>
        <v/>
      </c>
      <c r="AI124" s="12" t="str">
        <f aca="false">IF(AC124=0,"",IF(OR(AE124="",AE124&gt;AsOfDate),AH124,IF((AE124-1)&lt;AD124,-1,12*(YEAR((AE124-1))-YEAR(AD124))+MONTH((AE124-1))-MONTH(AD124)-IF(DAY((AE124-1))&lt;MIN(DAY(AD124),DAY(EOMONTH((AE124-1),0))),1,0))))</f>
        <v/>
      </c>
      <c r="AJ124" s="12" t="str">
        <f aca="false">IF(AC124=0,"",IF(PFYDate&lt;AD124,-1,12*(YEAR(PFYDate)-YEAR(AD124))+MONTH(PFYDate)-MONTH(AD124)-IF(DAY(PFYDate)&lt;MIN(DAY(AD124),DAY(EOMONTH(PFYDate,0))),1,0)))</f>
        <v/>
      </c>
      <c r="AK124" s="12" t="str">
        <f aca="false">IF(AC124=0,"",IF(OR(AE124="",AE124&gt;PFYDate),AJ124,IF((AE124-1)&lt;AD124,-1,12*(YEAR((AE124-1))-YEAR(AD124))+MONTH((AE124-1))-MONTH(AD124)-IF(DAY((AE124-1))&lt;MIN(DAY(AD124),DAY(EOMONTH((AE124-1),0))),1,0))))</f>
        <v/>
      </c>
      <c r="AL124" s="12" t="str">
        <f aca="false">IF(AC124=0,"",IF(AF124="FT",IF(AI124&lt;FT_First,0,IF(AI124&lt;FT_Y5,1+INT((AI124-FT_First)/FT_Int1),FT_PreY5+FT_PerYear*INT((AI124-FT_Y5)/12)+FT_AnnivDays+INT(MOD(AI124-FT_Y5,12)/FT_Int2))),IF(AF124="PT",IF(AI124&lt;PT_First,0,1+INT((AI124-PT_First)/PT_Int)),0))+IF(OR(AE124="",AE124&gt;AsOfDate),0,IF(AG124="FT",IF(AH124&lt;FT_First,0,IF(AH124&lt;FT_Y5,1+INT((AH124-FT_First)/FT_Int1),FT_PreY5+FT_PerYear*INT((AH124-FT_Y5)/12)+FT_AnnivDays+INT(MOD(AH124-FT_Y5,12)/FT_Int2))),IF(AG124="PT",IF(AH124&lt;PT_First,0,1+INT((AH124-PT_First)/PT_Int)),0))-IF(AG124="FT",IF(AI124&lt;FT_First,0,IF(AI124&lt;FT_Y5,1+INT((AI124-FT_First)/FT_Int1),FT_PreY5+FT_PerYear*INT((AI124-FT_Y5)/12)+FT_AnnivDays+INT(MOD(AI124-FT_Y5,12)/FT_Int2))),IF(AG124="PT",IF(AI124&lt;PT_First,0,1+INT((AI124-PT_First)/PT_Int)),0))))</f>
        <v/>
      </c>
      <c r="AM124" s="12" t="str">
        <f aca="false">IF(AC124=0,"",IF(AF124="FT",IF(AK124&lt;FT_First,0,IF(AK124&lt;FT_Y5,1+INT((AK124-FT_First)/FT_Int1),FT_PreY5+FT_PerYear*INT((AK124-FT_Y5)/12)+FT_AnnivDays+INT(MOD(AK124-FT_Y5,12)/FT_Int2))),IF(AF124="PT",IF(AK124&lt;PT_First,0,1+INT((AK124-PT_First)/PT_Int)),0))+IF(OR(AE124="",AE124&gt;PFYDate),0,IF(AG124="FT",IF(AJ124&lt;FT_First,0,IF(AJ124&lt;FT_Y5,1+INT((AJ124-FT_First)/FT_Int1),FT_PreY5+FT_PerYear*INT((AJ124-FT_Y5)/12)+FT_AnnivDays+INT(MOD(AJ124-FT_Y5,12)/FT_Int2))),IF(AG124="PT",IF(AJ124&lt;PT_First,0,1+INT((AJ124-PT_First)/PT_Int)),0))-IF(AG124="FT",IF(AK124&lt;FT_First,0,IF(AK124&lt;FT_Y5,1+INT((AK124-FT_First)/FT_Int1),FT_PreY5+FT_PerYear*INT((AK124-FT_Y5)/12)+FT_AnnivDays+INT(MOD(AK124-FT_Y5,12)/FT_Int2))),IF(AG124="PT",IF(AK124&lt;PT_First,0,1+INT((AK124-PT_First)/PT_Int)),0))))</f>
        <v/>
      </c>
      <c r="AN124" s="12" t="str">
        <f aca="false">IF(AC124=0,"",IF(AG124="FT",IF(AH124&lt;FT_First,FT_First,IF(AH124&lt;FT_Y5,MIN(FT_Y5,FT_First+FT_Int1*(INT((AH124-FT_First)/FT_Int1)+1)),FT_Y5+12*INT((AH124-FT_Y5)/12)+FT_Int2*(INT(MOD(AH124-FT_Y5,12)/FT_Int2)+1))),IF(AG124="PT",IF(AH124&lt;PT_First,PT_First,PT_First+PT_Int*(INT((AH124-PT_First)/PT_Int)+1)),"")))</f>
        <v/>
      </c>
      <c r="AO124" s="12" t="str">
        <f aca="false">IF(AC124=0,"",IF(NOT(CFY_Ready),0,COUNTIFS(INDEX(CFY_Data,0,CFY_ColFirst),$A124,INDEX(CFY_Data,0,CFY_ColSur),$B124,INDEX(CFY_Data,0,CFY_ColCat),BonusCat)))</f>
        <v/>
      </c>
    </row>
    <row r="125" customFormat="false" ht="15" hidden="false" customHeight="false" outlineLevel="0" collapsed="false">
      <c r="A125" s="15"/>
      <c r="B125" s="15"/>
      <c r="C125" s="15"/>
      <c r="D125" s="16"/>
      <c r="E125" s="10" t="str">
        <f aca="false">IF(OR(AC125=0,$D125=""),"",DATE(YEAR(AsOfDate)+IF(DATE(YEAR(AsOfDate),MONTH($D125),DAY($D125))&lt;=AsOfDate,1,0),MONTH($D125),DAY($D125)))</f>
        <v/>
      </c>
      <c r="F125" s="16"/>
      <c r="G125" s="16"/>
      <c r="H125" s="16"/>
      <c r="I125" s="16"/>
      <c r="J125" s="10" t="str">
        <f aca="false">IF(AC125=0,"",DATE(YEAR(AsOfDate)+IF(DATE(YEAR(AsOfDate),MONTH($F125),DAY($F125))&lt;=AsOfDate,1,0),MONTH($F125),DAY($F125)))</f>
        <v/>
      </c>
      <c r="K125" s="11" t="str">
        <f aca="false">IF(AC125=0,"",ROUND((AsOfDate-$F125)/365.25,1))</f>
        <v/>
      </c>
      <c r="L125" s="12" t="str">
        <f aca="false">IF(AC125=0,"",IF(AsOfDate&lt;AD125,"-",DATEDIF(AD125,AsOfDate,"y")&amp;"y "&amp;DATEDIF(AD125,AsOfDate,"ym")&amp;"m "&amp;DATEDIF(AD125,AsOfDate,"md")&amp;"d"))</f>
        <v/>
      </c>
      <c r="M125" s="13" t="str">
        <f aca="false">IF(AC125=0,"",N125*HoursPerDay)</f>
        <v/>
      </c>
      <c r="N125" s="13" t="str">
        <f aca="false">IF(AC125=0,"",AL125)</f>
        <v/>
      </c>
      <c r="O125" s="17"/>
      <c r="P125" s="12" t="str">
        <f aca="false">IF(AC125=0,"",IF(AE125="","",IF($G125&lt;$H125,"Part-Time to Full-Time","Full-Time to Part-Time")&amp;" on "&amp;TEXT(AE125,"dd/mm/yyyy")&amp;IF(AE125&gt;AsOfDate," (future)",IF(AF125=AG125,"",IF(AG125="None"," - STOPPED accruing",IF(AF125="None"," - now qualifying"," - pathway changed"))))))</f>
        <v/>
      </c>
      <c r="Q125" s="12" t="str">
        <f aca="false">IF(AC125=0,"",IF(AG125="None",IF(N125&gt;0,"No longer accruing","Not eligible - "&amp;IF(AND($C125="Part-Time",N($O125)&lt;PT_MinHours,$O125&lt;&gt;""),"under "&amp;PT_MinHours&amp;" hrs",$C125)),IF(N125&gt;0,"Yes - accruing","Not yet - from "&amp;TEXT(R125,"dd/mm/yyyy"))))</f>
        <v/>
      </c>
      <c r="R125" s="10" t="str">
        <f aca="false">IF(AC125=0,"",IF(AG125="None","",EDATE(AD125,AN125)))</f>
        <v/>
      </c>
      <c r="S125" s="13" t="str">
        <f aca="false">IF(AC125=0,"",IF(NOT(PFY_Ready),"",SUMIFS(INDEX(PFY_Data,0,PFY_ColBal),INDEX(PFY_Data,0,PFY_ColFirst),$A125,INDEX(PFY_Data,0,PFY_ColSur),$B125,INDEX(PFY_Data,0,PFY_ColCat),BonusCat)))</f>
        <v/>
      </c>
      <c r="T125" s="17"/>
      <c r="U125" s="13" t="str">
        <f aca="false">IF(AC125=0,"",IF(NOT(CFY_Ready),"",SUMIFS(INDEX(CFY_Data,0,CFY_ColBal),INDEX(CFY_Data,0,CFY_ColFirst),$A125,INDEX(CFY_Data,0,CFY_ColSur),$B125,INDEX(CFY_Data,0,CFY_ColCat),BonusCat)))</f>
        <v/>
      </c>
      <c r="V125" s="13" t="str">
        <f aca="false">IF(AC125=0,"",IF(OR(NOT(CFY_Ready),CFY_ColAppr=0),"",SUMIFS(INDEX(CFY_Data,0,CFY_ColAppr),INDEX(CFY_Data,0,CFY_ColFirst),$A125,INDEX(CFY_Data,0,CFY_ColSur),$B125,INDEX(CFY_Data,0,CFY_ColCat),BonusCat)))</f>
        <v/>
      </c>
      <c r="W125" s="13" t="str">
        <f aca="false">IF(OR(AC125=0,S125="",U125=""),"",MAX(0,S125+N($T125)-U125))</f>
        <v/>
      </c>
      <c r="X125" s="13" t="str">
        <f aca="false">IF(AC125=0,"",(AL125-AM125)*HoursPerDay)</f>
        <v/>
      </c>
      <c r="Y125" s="13" t="str">
        <f aca="false">IF(AC125=0,"",X125-N($T125))</f>
        <v/>
      </c>
      <c r="Z125" s="12" t="str">
        <f aca="false">IF(AC125=0,"",IF(Y125&gt;0,"Yes","No"))</f>
        <v/>
      </c>
      <c r="AA125" s="12" t="str">
        <f aca="false">IF(AC125=0,"",IF(NOT(CFY_Ready),"Paste CFY EH export",IF(Y125&gt;0,"ACCRUE "&amp;TEXT(Y125,"0.##")&amp;" hrs ("&amp;TEXT(Y125/HoursPerDay,"0.##")&amp;" days)"&amp;IF(AO125=0," - no Bonus Leave line in EH yet",""),IF(Y125&lt;0,"CHECK - posted "&amp;TEXT(-Y125,"0.##")&amp;" hrs more than policy",IF(AND(N125&gt;0,AO125=0,U125=0),"CHECK - policy says "&amp;TEXT(M125,"0.##")&amp;" hrs to date but nothing in EH",IF(N125&gt;0,"OK","-"))))))</f>
        <v/>
      </c>
      <c r="AB125" s="13" t="str">
        <f aca="false">IF(OR(AC125=0,S125=""),"",AM125*HoursPerDay-S125)</f>
        <v/>
      </c>
      <c r="AC125" s="12" t="n">
        <f aca="false">IF(OR(LEN($A125&amp;$B125)=0,$F125=""),0,1)</f>
        <v>0</v>
      </c>
      <c r="AD125" s="10" t="str">
        <f aca="false">IF(AC125=0,"",IF($I125&lt;&gt;"",$I125,$F125))</f>
        <v/>
      </c>
      <c r="AE125" s="10" t="str">
        <f aca="false">IF(AC125=0,"",IF(AND($G125&lt;&gt;"",$H125&lt;&gt;"",$G125&lt;&gt;$H125),MAX($G125,$H125),""))</f>
        <v/>
      </c>
      <c r="AF125" s="12" t="str">
        <f aca="false">IF(AC125=0,"",IF(AE125="",AG125,IF(IF($G125&lt;$H125,"Part-Time","Full-Time")="Full-Time","FT",IF(AND(IF($G125&lt;$H125,"Part-Time","Full-Time")="Part-Time",OR($O125="",N($O125)&gt;=PT_MinHours)),"PT","None"))))</f>
        <v/>
      </c>
      <c r="AG125" s="12" t="str">
        <f aca="false">IF(AC125=0,"",IF($C125="Full-Time","FT",IF(AND($C125="Part-Time",OR($O125="",N($O125)&gt;=PT_MinHours)),"PT","None")))</f>
        <v/>
      </c>
      <c r="AH125" s="12" t="str">
        <f aca="false">IF(AC125=0,"",IF(AsOfDate&lt;AD125,-1,12*(YEAR(AsOfDate)-YEAR(AD125))+MONTH(AsOfDate)-MONTH(AD125)-IF(DAY(AsOfDate)&lt;MIN(DAY(AD125),DAY(EOMONTH(AsOfDate,0))),1,0)))</f>
        <v/>
      </c>
      <c r="AI125" s="12" t="str">
        <f aca="false">IF(AC125=0,"",IF(OR(AE125="",AE125&gt;AsOfDate),AH125,IF((AE125-1)&lt;AD125,-1,12*(YEAR((AE125-1))-YEAR(AD125))+MONTH((AE125-1))-MONTH(AD125)-IF(DAY((AE125-1))&lt;MIN(DAY(AD125),DAY(EOMONTH((AE125-1),0))),1,0))))</f>
        <v/>
      </c>
      <c r="AJ125" s="12" t="str">
        <f aca="false">IF(AC125=0,"",IF(PFYDate&lt;AD125,-1,12*(YEAR(PFYDate)-YEAR(AD125))+MONTH(PFYDate)-MONTH(AD125)-IF(DAY(PFYDate)&lt;MIN(DAY(AD125),DAY(EOMONTH(PFYDate,0))),1,0)))</f>
        <v/>
      </c>
      <c r="AK125" s="12" t="str">
        <f aca="false">IF(AC125=0,"",IF(OR(AE125="",AE125&gt;PFYDate),AJ125,IF((AE125-1)&lt;AD125,-1,12*(YEAR((AE125-1))-YEAR(AD125))+MONTH((AE125-1))-MONTH(AD125)-IF(DAY((AE125-1))&lt;MIN(DAY(AD125),DAY(EOMONTH((AE125-1),0))),1,0))))</f>
        <v/>
      </c>
      <c r="AL125" s="12" t="str">
        <f aca="false">IF(AC125=0,"",IF(AF125="FT",IF(AI125&lt;FT_First,0,IF(AI125&lt;FT_Y5,1+INT((AI125-FT_First)/FT_Int1),FT_PreY5+FT_PerYear*INT((AI125-FT_Y5)/12)+FT_AnnivDays+INT(MOD(AI125-FT_Y5,12)/FT_Int2))),IF(AF125="PT",IF(AI125&lt;PT_First,0,1+INT((AI125-PT_First)/PT_Int)),0))+IF(OR(AE125="",AE125&gt;AsOfDate),0,IF(AG125="FT",IF(AH125&lt;FT_First,0,IF(AH125&lt;FT_Y5,1+INT((AH125-FT_First)/FT_Int1),FT_PreY5+FT_PerYear*INT((AH125-FT_Y5)/12)+FT_AnnivDays+INT(MOD(AH125-FT_Y5,12)/FT_Int2))),IF(AG125="PT",IF(AH125&lt;PT_First,0,1+INT((AH125-PT_First)/PT_Int)),0))-IF(AG125="FT",IF(AI125&lt;FT_First,0,IF(AI125&lt;FT_Y5,1+INT((AI125-FT_First)/FT_Int1),FT_PreY5+FT_PerYear*INT((AI125-FT_Y5)/12)+FT_AnnivDays+INT(MOD(AI125-FT_Y5,12)/FT_Int2))),IF(AG125="PT",IF(AI125&lt;PT_First,0,1+INT((AI125-PT_First)/PT_Int)),0))))</f>
        <v/>
      </c>
      <c r="AM125" s="12" t="str">
        <f aca="false">IF(AC125=0,"",IF(AF125="FT",IF(AK125&lt;FT_First,0,IF(AK125&lt;FT_Y5,1+INT((AK125-FT_First)/FT_Int1),FT_PreY5+FT_PerYear*INT((AK125-FT_Y5)/12)+FT_AnnivDays+INT(MOD(AK125-FT_Y5,12)/FT_Int2))),IF(AF125="PT",IF(AK125&lt;PT_First,0,1+INT((AK125-PT_First)/PT_Int)),0))+IF(OR(AE125="",AE125&gt;PFYDate),0,IF(AG125="FT",IF(AJ125&lt;FT_First,0,IF(AJ125&lt;FT_Y5,1+INT((AJ125-FT_First)/FT_Int1),FT_PreY5+FT_PerYear*INT((AJ125-FT_Y5)/12)+FT_AnnivDays+INT(MOD(AJ125-FT_Y5,12)/FT_Int2))),IF(AG125="PT",IF(AJ125&lt;PT_First,0,1+INT((AJ125-PT_First)/PT_Int)),0))-IF(AG125="FT",IF(AK125&lt;FT_First,0,IF(AK125&lt;FT_Y5,1+INT((AK125-FT_First)/FT_Int1),FT_PreY5+FT_PerYear*INT((AK125-FT_Y5)/12)+FT_AnnivDays+INT(MOD(AK125-FT_Y5,12)/FT_Int2))),IF(AG125="PT",IF(AK125&lt;PT_First,0,1+INT((AK125-PT_First)/PT_Int)),0))))</f>
        <v/>
      </c>
      <c r="AN125" s="12" t="str">
        <f aca="false">IF(AC125=0,"",IF(AG125="FT",IF(AH125&lt;FT_First,FT_First,IF(AH125&lt;FT_Y5,MIN(FT_Y5,FT_First+FT_Int1*(INT((AH125-FT_First)/FT_Int1)+1)),FT_Y5+12*INT((AH125-FT_Y5)/12)+FT_Int2*(INT(MOD(AH125-FT_Y5,12)/FT_Int2)+1))),IF(AG125="PT",IF(AH125&lt;PT_First,PT_First,PT_First+PT_Int*(INT((AH125-PT_First)/PT_Int)+1)),"")))</f>
        <v/>
      </c>
      <c r="AO125" s="12" t="str">
        <f aca="false">IF(AC125=0,"",IF(NOT(CFY_Ready),0,COUNTIFS(INDEX(CFY_Data,0,CFY_ColFirst),$A125,INDEX(CFY_Data,0,CFY_ColSur),$B125,INDEX(CFY_Data,0,CFY_ColCat),BonusCat)))</f>
        <v/>
      </c>
    </row>
    <row r="126" customFormat="false" ht="15" hidden="false" customHeight="false" outlineLevel="0" collapsed="false">
      <c r="A126" s="15"/>
      <c r="B126" s="15"/>
      <c r="C126" s="15"/>
      <c r="D126" s="16"/>
      <c r="E126" s="10" t="str">
        <f aca="false">IF(OR(AC126=0,$D126=""),"",DATE(YEAR(AsOfDate)+IF(DATE(YEAR(AsOfDate),MONTH($D126),DAY($D126))&lt;=AsOfDate,1,0),MONTH($D126),DAY($D126)))</f>
        <v/>
      </c>
      <c r="F126" s="16"/>
      <c r="G126" s="16"/>
      <c r="H126" s="16"/>
      <c r="I126" s="16"/>
      <c r="J126" s="10" t="str">
        <f aca="false">IF(AC126=0,"",DATE(YEAR(AsOfDate)+IF(DATE(YEAR(AsOfDate),MONTH($F126),DAY($F126))&lt;=AsOfDate,1,0),MONTH($F126),DAY($F126)))</f>
        <v/>
      </c>
      <c r="K126" s="11" t="str">
        <f aca="false">IF(AC126=0,"",ROUND((AsOfDate-$F126)/365.25,1))</f>
        <v/>
      </c>
      <c r="L126" s="12" t="str">
        <f aca="false">IF(AC126=0,"",IF(AsOfDate&lt;AD126,"-",DATEDIF(AD126,AsOfDate,"y")&amp;"y "&amp;DATEDIF(AD126,AsOfDate,"ym")&amp;"m "&amp;DATEDIF(AD126,AsOfDate,"md")&amp;"d"))</f>
        <v/>
      </c>
      <c r="M126" s="13" t="str">
        <f aca="false">IF(AC126=0,"",N126*HoursPerDay)</f>
        <v/>
      </c>
      <c r="N126" s="13" t="str">
        <f aca="false">IF(AC126=0,"",AL126)</f>
        <v/>
      </c>
      <c r="O126" s="17"/>
      <c r="P126" s="12" t="str">
        <f aca="false">IF(AC126=0,"",IF(AE126="","",IF($G126&lt;$H126,"Part-Time to Full-Time","Full-Time to Part-Time")&amp;" on "&amp;TEXT(AE126,"dd/mm/yyyy")&amp;IF(AE126&gt;AsOfDate," (future)",IF(AF126=AG126,"",IF(AG126="None"," - STOPPED accruing",IF(AF126="None"," - now qualifying"," - pathway changed"))))))</f>
        <v/>
      </c>
      <c r="Q126" s="12" t="str">
        <f aca="false">IF(AC126=0,"",IF(AG126="None",IF(N126&gt;0,"No longer accruing","Not eligible - "&amp;IF(AND($C126="Part-Time",N($O126)&lt;PT_MinHours,$O126&lt;&gt;""),"under "&amp;PT_MinHours&amp;" hrs",$C126)),IF(N126&gt;0,"Yes - accruing","Not yet - from "&amp;TEXT(R126,"dd/mm/yyyy"))))</f>
        <v/>
      </c>
      <c r="R126" s="10" t="str">
        <f aca="false">IF(AC126=0,"",IF(AG126="None","",EDATE(AD126,AN126)))</f>
        <v/>
      </c>
      <c r="S126" s="13" t="str">
        <f aca="false">IF(AC126=0,"",IF(NOT(PFY_Ready),"",SUMIFS(INDEX(PFY_Data,0,PFY_ColBal),INDEX(PFY_Data,0,PFY_ColFirst),$A126,INDEX(PFY_Data,0,PFY_ColSur),$B126,INDEX(PFY_Data,0,PFY_ColCat),BonusCat)))</f>
        <v/>
      </c>
      <c r="T126" s="17"/>
      <c r="U126" s="13" t="str">
        <f aca="false">IF(AC126=0,"",IF(NOT(CFY_Ready),"",SUMIFS(INDEX(CFY_Data,0,CFY_ColBal),INDEX(CFY_Data,0,CFY_ColFirst),$A126,INDEX(CFY_Data,0,CFY_ColSur),$B126,INDEX(CFY_Data,0,CFY_ColCat),BonusCat)))</f>
        <v/>
      </c>
      <c r="V126" s="13" t="str">
        <f aca="false">IF(AC126=0,"",IF(OR(NOT(CFY_Ready),CFY_ColAppr=0),"",SUMIFS(INDEX(CFY_Data,0,CFY_ColAppr),INDEX(CFY_Data,0,CFY_ColFirst),$A126,INDEX(CFY_Data,0,CFY_ColSur),$B126,INDEX(CFY_Data,0,CFY_ColCat),BonusCat)))</f>
        <v/>
      </c>
      <c r="W126" s="13" t="str">
        <f aca="false">IF(OR(AC126=0,S126="",U126=""),"",MAX(0,S126+N($T126)-U126))</f>
        <v/>
      </c>
      <c r="X126" s="13" t="str">
        <f aca="false">IF(AC126=0,"",(AL126-AM126)*HoursPerDay)</f>
        <v/>
      </c>
      <c r="Y126" s="13" t="str">
        <f aca="false">IF(AC126=0,"",X126-N($T126))</f>
        <v/>
      </c>
      <c r="Z126" s="12" t="str">
        <f aca="false">IF(AC126=0,"",IF(Y126&gt;0,"Yes","No"))</f>
        <v/>
      </c>
      <c r="AA126" s="12" t="str">
        <f aca="false">IF(AC126=0,"",IF(NOT(CFY_Ready),"Paste CFY EH export",IF(Y126&gt;0,"ACCRUE "&amp;TEXT(Y126,"0.##")&amp;" hrs ("&amp;TEXT(Y126/HoursPerDay,"0.##")&amp;" days)"&amp;IF(AO126=0," - no Bonus Leave line in EH yet",""),IF(Y126&lt;0,"CHECK - posted "&amp;TEXT(-Y126,"0.##")&amp;" hrs more than policy",IF(AND(N126&gt;0,AO126=0,U126=0),"CHECK - policy says "&amp;TEXT(M126,"0.##")&amp;" hrs to date but nothing in EH",IF(N126&gt;0,"OK","-"))))))</f>
        <v/>
      </c>
      <c r="AB126" s="13" t="str">
        <f aca="false">IF(OR(AC126=0,S126=""),"",AM126*HoursPerDay-S126)</f>
        <v/>
      </c>
      <c r="AC126" s="12" t="n">
        <f aca="false">IF(OR(LEN($A126&amp;$B126)=0,$F126=""),0,1)</f>
        <v>0</v>
      </c>
      <c r="AD126" s="10" t="str">
        <f aca="false">IF(AC126=0,"",IF($I126&lt;&gt;"",$I126,$F126))</f>
        <v/>
      </c>
      <c r="AE126" s="10" t="str">
        <f aca="false">IF(AC126=0,"",IF(AND($G126&lt;&gt;"",$H126&lt;&gt;"",$G126&lt;&gt;$H126),MAX($G126,$H126),""))</f>
        <v/>
      </c>
      <c r="AF126" s="12" t="str">
        <f aca="false">IF(AC126=0,"",IF(AE126="",AG126,IF(IF($G126&lt;$H126,"Part-Time","Full-Time")="Full-Time","FT",IF(AND(IF($G126&lt;$H126,"Part-Time","Full-Time")="Part-Time",OR($O126="",N($O126)&gt;=PT_MinHours)),"PT","None"))))</f>
        <v/>
      </c>
      <c r="AG126" s="12" t="str">
        <f aca="false">IF(AC126=0,"",IF($C126="Full-Time","FT",IF(AND($C126="Part-Time",OR($O126="",N($O126)&gt;=PT_MinHours)),"PT","None")))</f>
        <v/>
      </c>
      <c r="AH126" s="12" t="str">
        <f aca="false">IF(AC126=0,"",IF(AsOfDate&lt;AD126,-1,12*(YEAR(AsOfDate)-YEAR(AD126))+MONTH(AsOfDate)-MONTH(AD126)-IF(DAY(AsOfDate)&lt;MIN(DAY(AD126),DAY(EOMONTH(AsOfDate,0))),1,0)))</f>
        <v/>
      </c>
      <c r="AI126" s="12" t="str">
        <f aca="false">IF(AC126=0,"",IF(OR(AE126="",AE126&gt;AsOfDate),AH126,IF((AE126-1)&lt;AD126,-1,12*(YEAR((AE126-1))-YEAR(AD126))+MONTH((AE126-1))-MONTH(AD126)-IF(DAY((AE126-1))&lt;MIN(DAY(AD126),DAY(EOMONTH((AE126-1),0))),1,0))))</f>
        <v/>
      </c>
      <c r="AJ126" s="12" t="str">
        <f aca="false">IF(AC126=0,"",IF(PFYDate&lt;AD126,-1,12*(YEAR(PFYDate)-YEAR(AD126))+MONTH(PFYDate)-MONTH(AD126)-IF(DAY(PFYDate)&lt;MIN(DAY(AD126),DAY(EOMONTH(PFYDate,0))),1,0)))</f>
        <v/>
      </c>
      <c r="AK126" s="12" t="str">
        <f aca="false">IF(AC126=0,"",IF(OR(AE126="",AE126&gt;PFYDate),AJ126,IF((AE126-1)&lt;AD126,-1,12*(YEAR((AE126-1))-YEAR(AD126))+MONTH((AE126-1))-MONTH(AD126)-IF(DAY((AE126-1))&lt;MIN(DAY(AD126),DAY(EOMONTH((AE126-1),0))),1,0))))</f>
        <v/>
      </c>
      <c r="AL126" s="12" t="str">
        <f aca="false">IF(AC126=0,"",IF(AF126="FT",IF(AI126&lt;FT_First,0,IF(AI126&lt;FT_Y5,1+INT((AI126-FT_First)/FT_Int1),FT_PreY5+FT_PerYear*INT((AI126-FT_Y5)/12)+FT_AnnivDays+INT(MOD(AI126-FT_Y5,12)/FT_Int2))),IF(AF126="PT",IF(AI126&lt;PT_First,0,1+INT((AI126-PT_First)/PT_Int)),0))+IF(OR(AE126="",AE126&gt;AsOfDate),0,IF(AG126="FT",IF(AH126&lt;FT_First,0,IF(AH126&lt;FT_Y5,1+INT((AH126-FT_First)/FT_Int1),FT_PreY5+FT_PerYear*INT((AH126-FT_Y5)/12)+FT_AnnivDays+INT(MOD(AH126-FT_Y5,12)/FT_Int2))),IF(AG126="PT",IF(AH126&lt;PT_First,0,1+INT((AH126-PT_First)/PT_Int)),0))-IF(AG126="FT",IF(AI126&lt;FT_First,0,IF(AI126&lt;FT_Y5,1+INT((AI126-FT_First)/FT_Int1),FT_PreY5+FT_PerYear*INT((AI126-FT_Y5)/12)+FT_AnnivDays+INT(MOD(AI126-FT_Y5,12)/FT_Int2))),IF(AG126="PT",IF(AI126&lt;PT_First,0,1+INT((AI126-PT_First)/PT_Int)),0))))</f>
        <v/>
      </c>
      <c r="AM126" s="12" t="str">
        <f aca="false">IF(AC126=0,"",IF(AF126="FT",IF(AK126&lt;FT_First,0,IF(AK126&lt;FT_Y5,1+INT((AK126-FT_First)/FT_Int1),FT_PreY5+FT_PerYear*INT((AK126-FT_Y5)/12)+FT_AnnivDays+INT(MOD(AK126-FT_Y5,12)/FT_Int2))),IF(AF126="PT",IF(AK126&lt;PT_First,0,1+INT((AK126-PT_First)/PT_Int)),0))+IF(OR(AE126="",AE126&gt;PFYDate),0,IF(AG126="FT",IF(AJ126&lt;FT_First,0,IF(AJ126&lt;FT_Y5,1+INT((AJ126-FT_First)/FT_Int1),FT_PreY5+FT_PerYear*INT((AJ126-FT_Y5)/12)+FT_AnnivDays+INT(MOD(AJ126-FT_Y5,12)/FT_Int2))),IF(AG126="PT",IF(AJ126&lt;PT_First,0,1+INT((AJ126-PT_First)/PT_Int)),0))-IF(AG126="FT",IF(AK126&lt;FT_First,0,IF(AK126&lt;FT_Y5,1+INT((AK126-FT_First)/FT_Int1),FT_PreY5+FT_PerYear*INT((AK126-FT_Y5)/12)+FT_AnnivDays+INT(MOD(AK126-FT_Y5,12)/FT_Int2))),IF(AG126="PT",IF(AK126&lt;PT_First,0,1+INT((AK126-PT_First)/PT_Int)),0))))</f>
        <v/>
      </c>
      <c r="AN126" s="12" t="str">
        <f aca="false">IF(AC126=0,"",IF(AG126="FT",IF(AH126&lt;FT_First,FT_First,IF(AH126&lt;FT_Y5,MIN(FT_Y5,FT_First+FT_Int1*(INT((AH126-FT_First)/FT_Int1)+1)),FT_Y5+12*INT((AH126-FT_Y5)/12)+FT_Int2*(INT(MOD(AH126-FT_Y5,12)/FT_Int2)+1))),IF(AG126="PT",IF(AH126&lt;PT_First,PT_First,PT_First+PT_Int*(INT((AH126-PT_First)/PT_Int)+1)),"")))</f>
        <v/>
      </c>
      <c r="AO126" s="12" t="str">
        <f aca="false">IF(AC126=0,"",IF(NOT(CFY_Ready),0,COUNTIFS(INDEX(CFY_Data,0,CFY_ColFirst),$A126,INDEX(CFY_Data,0,CFY_ColSur),$B126,INDEX(CFY_Data,0,CFY_ColCat),BonusCat)))</f>
        <v/>
      </c>
    </row>
    <row r="127" customFormat="false" ht="15" hidden="false" customHeight="false" outlineLevel="0" collapsed="false">
      <c r="A127" s="15"/>
      <c r="B127" s="15"/>
      <c r="C127" s="15"/>
      <c r="D127" s="16"/>
      <c r="E127" s="10" t="str">
        <f aca="false">IF(OR(AC127=0,$D127=""),"",DATE(YEAR(AsOfDate)+IF(DATE(YEAR(AsOfDate),MONTH($D127),DAY($D127))&lt;=AsOfDate,1,0),MONTH($D127),DAY($D127)))</f>
        <v/>
      </c>
      <c r="F127" s="16"/>
      <c r="G127" s="16"/>
      <c r="H127" s="16"/>
      <c r="I127" s="16"/>
      <c r="J127" s="10" t="str">
        <f aca="false">IF(AC127=0,"",DATE(YEAR(AsOfDate)+IF(DATE(YEAR(AsOfDate),MONTH($F127),DAY($F127))&lt;=AsOfDate,1,0),MONTH($F127),DAY($F127)))</f>
        <v/>
      </c>
      <c r="K127" s="11" t="str">
        <f aca="false">IF(AC127=0,"",ROUND((AsOfDate-$F127)/365.25,1))</f>
        <v/>
      </c>
      <c r="L127" s="12" t="str">
        <f aca="false">IF(AC127=0,"",IF(AsOfDate&lt;AD127,"-",DATEDIF(AD127,AsOfDate,"y")&amp;"y "&amp;DATEDIF(AD127,AsOfDate,"ym")&amp;"m "&amp;DATEDIF(AD127,AsOfDate,"md")&amp;"d"))</f>
        <v/>
      </c>
      <c r="M127" s="13" t="str">
        <f aca="false">IF(AC127=0,"",N127*HoursPerDay)</f>
        <v/>
      </c>
      <c r="N127" s="13" t="str">
        <f aca="false">IF(AC127=0,"",AL127)</f>
        <v/>
      </c>
      <c r="O127" s="17"/>
      <c r="P127" s="12" t="str">
        <f aca="false">IF(AC127=0,"",IF(AE127="","",IF($G127&lt;$H127,"Part-Time to Full-Time","Full-Time to Part-Time")&amp;" on "&amp;TEXT(AE127,"dd/mm/yyyy")&amp;IF(AE127&gt;AsOfDate," (future)",IF(AF127=AG127,"",IF(AG127="None"," - STOPPED accruing",IF(AF127="None"," - now qualifying"," - pathway changed"))))))</f>
        <v/>
      </c>
      <c r="Q127" s="12" t="str">
        <f aca="false">IF(AC127=0,"",IF(AG127="None",IF(N127&gt;0,"No longer accruing","Not eligible - "&amp;IF(AND($C127="Part-Time",N($O127)&lt;PT_MinHours,$O127&lt;&gt;""),"under "&amp;PT_MinHours&amp;" hrs",$C127)),IF(N127&gt;0,"Yes - accruing","Not yet - from "&amp;TEXT(R127,"dd/mm/yyyy"))))</f>
        <v/>
      </c>
      <c r="R127" s="10" t="str">
        <f aca="false">IF(AC127=0,"",IF(AG127="None","",EDATE(AD127,AN127)))</f>
        <v/>
      </c>
      <c r="S127" s="13" t="str">
        <f aca="false">IF(AC127=0,"",IF(NOT(PFY_Ready),"",SUMIFS(INDEX(PFY_Data,0,PFY_ColBal),INDEX(PFY_Data,0,PFY_ColFirst),$A127,INDEX(PFY_Data,0,PFY_ColSur),$B127,INDEX(PFY_Data,0,PFY_ColCat),BonusCat)))</f>
        <v/>
      </c>
      <c r="T127" s="17"/>
      <c r="U127" s="13" t="str">
        <f aca="false">IF(AC127=0,"",IF(NOT(CFY_Ready),"",SUMIFS(INDEX(CFY_Data,0,CFY_ColBal),INDEX(CFY_Data,0,CFY_ColFirst),$A127,INDEX(CFY_Data,0,CFY_ColSur),$B127,INDEX(CFY_Data,0,CFY_ColCat),BonusCat)))</f>
        <v/>
      </c>
      <c r="V127" s="13" t="str">
        <f aca="false">IF(AC127=0,"",IF(OR(NOT(CFY_Ready),CFY_ColAppr=0),"",SUMIFS(INDEX(CFY_Data,0,CFY_ColAppr),INDEX(CFY_Data,0,CFY_ColFirst),$A127,INDEX(CFY_Data,0,CFY_ColSur),$B127,INDEX(CFY_Data,0,CFY_ColCat),BonusCat)))</f>
        <v/>
      </c>
      <c r="W127" s="13" t="str">
        <f aca="false">IF(OR(AC127=0,S127="",U127=""),"",MAX(0,S127+N($T127)-U127))</f>
        <v/>
      </c>
      <c r="X127" s="13" t="str">
        <f aca="false">IF(AC127=0,"",(AL127-AM127)*HoursPerDay)</f>
        <v/>
      </c>
      <c r="Y127" s="13" t="str">
        <f aca="false">IF(AC127=0,"",X127-N($T127))</f>
        <v/>
      </c>
      <c r="Z127" s="12" t="str">
        <f aca="false">IF(AC127=0,"",IF(Y127&gt;0,"Yes","No"))</f>
        <v/>
      </c>
      <c r="AA127" s="12" t="str">
        <f aca="false">IF(AC127=0,"",IF(NOT(CFY_Ready),"Paste CFY EH export",IF(Y127&gt;0,"ACCRUE "&amp;TEXT(Y127,"0.##")&amp;" hrs ("&amp;TEXT(Y127/HoursPerDay,"0.##")&amp;" days)"&amp;IF(AO127=0," - no Bonus Leave line in EH yet",""),IF(Y127&lt;0,"CHECK - posted "&amp;TEXT(-Y127,"0.##")&amp;" hrs more than policy",IF(AND(N127&gt;0,AO127=0,U127=0),"CHECK - policy says "&amp;TEXT(M127,"0.##")&amp;" hrs to date but nothing in EH",IF(N127&gt;0,"OK","-"))))))</f>
        <v/>
      </c>
      <c r="AB127" s="13" t="str">
        <f aca="false">IF(OR(AC127=0,S127=""),"",AM127*HoursPerDay-S127)</f>
        <v/>
      </c>
      <c r="AC127" s="12" t="n">
        <f aca="false">IF(OR(LEN($A127&amp;$B127)=0,$F127=""),0,1)</f>
        <v>0</v>
      </c>
      <c r="AD127" s="10" t="str">
        <f aca="false">IF(AC127=0,"",IF($I127&lt;&gt;"",$I127,$F127))</f>
        <v/>
      </c>
      <c r="AE127" s="10" t="str">
        <f aca="false">IF(AC127=0,"",IF(AND($G127&lt;&gt;"",$H127&lt;&gt;"",$G127&lt;&gt;$H127),MAX($G127,$H127),""))</f>
        <v/>
      </c>
      <c r="AF127" s="12" t="str">
        <f aca="false">IF(AC127=0,"",IF(AE127="",AG127,IF(IF($G127&lt;$H127,"Part-Time","Full-Time")="Full-Time","FT",IF(AND(IF($G127&lt;$H127,"Part-Time","Full-Time")="Part-Time",OR($O127="",N($O127)&gt;=PT_MinHours)),"PT","None"))))</f>
        <v/>
      </c>
      <c r="AG127" s="12" t="str">
        <f aca="false">IF(AC127=0,"",IF($C127="Full-Time","FT",IF(AND($C127="Part-Time",OR($O127="",N($O127)&gt;=PT_MinHours)),"PT","None")))</f>
        <v/>
      </c>
      <c r="AH127" s="12" t="str">
        <f aca="false">IF(AC127=0,"",IF(AsOfDate&lt;AD127,-1,12*(YEAR(AsOfDate)-YEAR(AD127))+MONTH(AsOfDate)-MONTH(AD127)-IF(DAY(AsOfDate)&lt;MIN(DAY(AD127),DAY(EOMONTH(AsOfDate,0))),1,0)))</f>
        <v/>
      </c>
      <c r="AI127" s="12" t="str">
        <f aca="false">IF(AC127=0,"",IF(OR(AE127="",AE127&gt;AsOfDate),AH127,IF((AE127-1)&lt;AD127,-1,12*(YEAR((AE127-1))-YEAR(AD127))+MONTH((AE127-1))-MONTH(AD127)-IF(DAY((AE127-1))&lt;MIN(DAY(AD127),DAY(EOMONTH((AE127-1),0))),1,0))))</f>
        <v/>
      </c>
      <c r="AJ127" s="12" t="str">
        <f aca="false">IF(AC127=0,"",IF(PFYDate&lt;AD127,-1,12*(YEAR(PFYDate)-YEAR(AD127))+MONTH(PFYDate)-MONTH(AD127)-IF(DAY(PFYDate)&lt;MIN(DAY(AD127),DAY(EOMONTH(PFYDate,0))),1,0)))</f>
        <v/>
      </c>
      <c r="AK127" s="12" t="str">
        <f aca="false">IF(AC127=0,"",IF(OR(AE127="",AE127&gt;PFYDate),AJ127,IF((AE127-1)&lt;AD127,-1,12*(YEAR((AE127-1))-YEAR(AD127))+MONTH((AE127-1))-MONTH(AD127)-IF(DAY((AE127-1))&lt;MIN(DAY(AD127),DAY(EOMONTH((AE127-1),0))),1,0))))</f>
        <v/>
      </c>
      <c r="AL127" s="12" t="str">
        <f aca="false">IF(AC127=0,"",IF(AF127="FT",IF(AI127&lt;FT_First,0,IF(AI127&lt;FT_Y5,1+INT((AI127-FT_First)/FT_Int1),FT_PreY5+FT_PerYear*INT((AI127-FT_Y5)/12)+FT_AnnivDays+INT(MOD(AI127-FT_Y5,12)/FT_Int2))),IF(AF127="PT",IF(AI127&lt;PT_First,0,1+INT((AI127-PT_First)/PT_Int)),0))+IF(OR(AE127="",AE127&gt;AsOfDate),0,IF(AG127="FT",IF(AH127&lt;FT_First,0,IF(AH127&lt;FT_Y5,1+INT((AH127-FT_First)/FT_Int1),FT_PreY5+FT_PerYear*INT((AH127-FT_Y5)/12)+FT_AnnivDays+INT(MOD(AH127-FT_Y5,12)/FT_Int2))),IF(AG127="PT",IF(AH127&lt;PT_First,0,1+INT((AH127-PT_First)/PT_Int)),0))-IF(AG127="FT",IF(AI127&lt;FT_First,0,IF(AI127&lt;FT_Y5,1+INT((AI127-FT_First)/FT_Int1),FT_PreY5+FT_PerYear*INT((AI127-FT_Y5)/12)+FT_AnnivDays+INT(MOD(AI127-FT_Y5,12)/FT_Int2))),IF(AG127="PT",IF(AI127&lt;PT_First,0,1+INT((AI127-PT_First)/PT_Int)),0))))</f>
        <v/>
      </c>
      <c r="AM127" s="12" t="str">
        <f aca="false">IF(AC127=0,"",IF(AF127="FT",IF(AK127&lt;FT_First,0,IF(AK127&lt;FT_Y5,1+INT((AK127-FT_First)/FT_Int1),FT_PreY5+FT_PerYear*INT((AK127-FT_Y5)/12)+FT_AnnivDays+INT(MOD(AK127-FT_Y5,12)/FT_Int2))),IF(AF127="PT",IF(AK127&lt;PT_First,0,1+INT((AK127-PT_First)/PT_Int)),0))+IF(OR(AE127="",AE127&gt;PFYDate),0,IF(AG127="FT",IF(AJ127&lt;FT_First,0,IF(AJ127&lt;FT_Y5,1+INT((AJ127-FT_First)/FT_Int1),FT_PreY5+FT_PerYear*INT((AJ127-FT_Y5)/12)+FT_AnnivDays+INT(MOD(AJ127-FT_Y5,12)/FT_Int2))),IF(AG127="PT",IF(AJ127&lt;PT_First,0,1+INT((AJ127-PT_First)/PT_Int)),0))-IF(AG127="FT",IF(AK127&lt;FT_First,0,IF(AK127&lt;FT_Y5,1+INT((AK127-FT_First)/FT_Int1),FT_PreY5+FT_PerYear*INT((AK127-FT_Y5)/12)+FT_AnnivDays+INT(MOD(AK127-FT_Y5,12)/FT_Int2))),IF(AG127="PT",IF(AK127&lt;PT_First,0,1+INT((AK127-PT_First)/PT_Int)),0))))</f>
        <v/>
      </c>
      <c r="AN127" s="12" t="str">
        <f aca="false">IF(AC127=0,"",IF(AG127="FT",IF(AH127&lt;FT_First,FT_First,IF(AH127&lt;FT_Y5,MIN(FT_Y5,FT_First+FT_Int1*(INT((AH127-FT_First)/FT_Int1)+1)),FT_Y5+12*INT((AH127-FT_Y5)/12)+FT_Int2*(INT(MOD(AH127-FT_Y5,12)/FT_Int2)+1))),IF(AG127="PT",IF(AH127&lt;PT_First,PT_First,PT_First+PT_Int*(INT((AH127-PT_First)/PT_Int)+1)),"")))</f>
        <v/>
      </c>
      <c r="AO127" s="12" t="str">
        <f aca="false">IF(AC127=0,"",IF(NOT(CFY_Ready),0,COUNTIFS(INDEX(CFY_Data,0,CFY_ColFirst),$A127,INDEX(CFY_Data,0,CFY_ColSur),$B127,INDEX(CFY_Data,0,CFY_ColCat),BonusCat)))</f>
        <v/>
      </c>
    </row>
    <row r="128" customFormat="false" ht="15" hidden="false" customHeight="false" outlineLevel="0" collapsed="false">
      <c r="A128" s="15"/>
      <c r="B128" s="15"/>
      <c r="C128" s="15"/>
      <c r="D128" s="16"/>
      <c r="E128" s="10" t="str">
        <f aca="false">IF(OR(AC128=0,$D128=""),"",DATE(YEAR(AsOfDate)+IF(DATE(YEAR(AsOfDate),MONTH($D128),DAY($D128))&lt;=AsOfDate,1,0),MONTH($D128),DAY($D128)))</f>
        <v/>
      </c>
      <c r="F128" s="16"/>
      <c r="G128" s="16"/>
      <c r="H128" s="16"/>
      <c r="I128" s="16"/>
      <c r="J128" s="10" t="str">
        <f aca="false">IF(AC128=0,"",DATE(YEAR(AsOfDate)+IF(DATE(YEAR(AsOfDate),MONTH($F128),DAY($F128))&lt;=AsOfDate,1,0),MONTH($F128),DAY($F128)))</f>
        <v/>
      </c>
      <c r="K128" s="11" t="str">
        <f aca="false">IF(AC128=0,"",ROUND((AsOfDate-$F128)/365.25,1))</f>
        <v/>
      </c>
      <c r="L128" s="12" t="str">
        <f aca="false">IF(AC128=0,"",IF(AsOfDate&lt;AD128,"-",DATEDIF(AD128,AsOfDate,"y")&amp;"y "&amp;DATEDIF(AD128,AsOfDate,"ym")&amp;"m "&amp;DATEDIF(AD128,AsOfDate,"md")&amp;"d"))</f>
        <v/>
      </c>
      <c r="M128" s="13" t="str">
        <f aca="false">IF(AC128=0,"",N128*HoursPerDay)</f>
        <v/>
      </c>
      <c r="N128" s="13" t="str">
        <f aca="false">IF(AC128=0,"",AL128)</f>
        <v/>
      </c>
      <c r="O128" s="17"/>
      <c r="P128" s="12" t="str">
        <f aca="false">IF(AC128=0,"",IF(AE128="","",IF($G128&lt;$H128,"Part-Time to Full-Time","Full-Time to Part-Time")&amp;" on "&amp;TEXT(AE128,"dd/mm/yyyy")&amp;IF(AE128&gt;AsOfDate," (future)",IF(AF128=AG128,"",IF(AG128="None"," - STOPPED accruing",IF(AF128="None"," - now qualifying"," - pathway changed"))))))</f>
        <v/>
      </c>
      <c r="Q128" s="12" t="str">
        <f aca="false">IF(AC128=0,"",IF(AG128="None",IF(N128&gt;0,"No longer accruing","Not eligible - "&amp;IF(AND($C128="Part-Time",N($O128)&lt;PT_MinHours,$O128&lt;&gt;""),"under "&amp;PT_MinHours&amp;" hrs",$C128)),IF(N128&gt;0,"Yes - accruing","Not yet - from "&amp;TEXT(R128,"dd/mm/yyyy"))))</f>
        <v/>
      </c>
      <c r="R128" s="10" t="str">
        <f aca="false">IF(AC128=0,"",IF(AG128="None","",EDATE(AD128,AN128)))</f>
        <v/>
      </c>
      <c r="S128" s="13" t="str">
        <f aca="false">IF(AC128=0,"",IF(NOT(PFY_Ready),"",SUMIFS(INDEX(PFY_Data,0,PFY_ColBal),INDEX(PFY_Data,0,PFY_ColFirst),$A128,INDEX(PFY_Data,0,PFY_ColSur),$B128,INDEX(PFY_Data,0,PFY_ColCat),BonusCat)))</f>
        <v/>
      </c>
      <c r="T128" s="17"/>
      <c r="U128" s="13" t="str">
        <f aca="false">IF(AC128=0,"",IF(NOT(CFY_Ready),"",SUMIFS(INDEX(CFY_Data,0,CFY_ColBal),INDEX(CFY_Data,0,CFY_ColFirst),$A128,INDEX(CFY_Data,0,CFY_ColSur),$B128,INDEX(CFY_Data,0,CFY_ColCat),BonusCat)))</f>
        <v/>
      </c>
      <c r="V128" s="13" t="str">
        <f aca="false">IF(AC128=0,"",IF(OR(NOT(CFY_Ready),CFY_ColAppr=0),"",SUMIFS(INDEX(CFY_Data,0,CFY_ColAppr),INDEX(CFY_Data,0,CFY_ColFirst),$A128,INDEX(CFY_Data,0,CFY_ColSur),$B128,INDEX(CFY_Data,0,CFY_ColCat),BonusCat)))</f>
        <v/>
      </c>
      <c r="W128" s="13" t="str">
        <f aca="false">IF(OR(AC128=0,S128="",U128=""),"",MAX(0,S128+N($T128)-U128))</f>
        <v/>
      </c>
      <c r="X128" s="13" t="str">
        <f aca="false">IF(AC128=0,"",(AL128-AM128)*HoursPerDay)</f>
        <v/>
      </c>
      <c r="Y128" s="13" t="str">
        <f aca="false">IF(AC128=0,"",X128-N($T128))</f>
        <v/>
      </c>
      <c r="Z128" s="12" t="str">
        <f aca="false">IF(AC128=0,"",IF(Y128&gt;0,"Yes","No"))</f>
        <v/>
      </c>
      <c r="AA128" s="12" t="str">
        <f aca="false">IF(AC128=0,"",IF(NOT(CFY_Ready),"Paste CFY EH export",IF(Y128&gt;0,"ACCRUE "&amp;TEXT(Y128,"0.##")&amp;" hrs ("&amp;TEXT(Y128/HoursPerDay,"0.##")&amp;" days)"&amp;IF(AO128=0," - no Bonus Leave line in EH yet",""),IF(Y128&lt;0,"CHECK - posted "&amp;TEXT(-Y128,"0.##")&amp;" hrs more than policy",IF(AND(N128&gt;0,AO128=0,U128=0),"CHECK - policy says "&amp;TEXT(M128,"0.##")&amp;" hrs to date but nothing in EH",IF(N128&gt;0,"OK","-"))))))</f>
        <v/>
      </c>
      <c r="AB128" s="13" t="str">
        <f aca="false">IF(OR(AC128=0,S128=""),"",AM128*HoursPerDay-S128)</f>
        <v/>
      </c>
      <c r="AC128" s="12" t="n">
        <f aca="false">IF(OR(LEN($A128&amp;$B128)=0,$F128=""),0,1)</f>
        <v>0</v>
      </c>
      <c r="AD128" s="10" t="str">
        <f aca="false">IF(AC128=0,"",IF($I128&lt;&gt;"",$I128,$F128))</f>
        <v/>
      </c>
      <c r="AE128" s="10" t="str">
        <f aca="false">IF(AC128=0,"",IF(AND($G128&lt;&gt;"",$H128&lt;&gt;"",$G128&lt;&gt;$H128),MAX($G128,$H128),""))</f>
        <v/>
      </c>
      <c r="AF128" s="12" t="str">
        <f aca="false">IF(AC128=0,"",IF(AE128="",AG128,IF(IF($G128&lt;$H128,"Part-Time","Full-Time")="Full-Time","FT",IF(AND(IF($G128&lt;$H128,"Part-Time","Full-Time")="Part-Time",OR($O128="",N($O128)&gt;=PT_MinHours)),"PT","None"))))</f>
        <v/>
      </c>
      <c r="AG128" s="12" t="str">
        <f aca="false">IF(AC128=0,"",IF($C128="Full-Time","FT",IF(AND($C128="Part-Time",OR($O128="",N($O128)&gt;=PT_MinHours)),"PT","None")))</f>
        <v/>
      </c>
      <c r="AH128" s="12" t="str">
        <f aca="false">IF(AC128=0,"",IF(AsOfDate&lt;AD128,-1,12*(YEAR(AsOfDate)-YEAR(AD128))+MONTH(AsOfDate)-MONTH(AD128)-IF(DAY(AsOfDate)&lt;MIN(DAY(AD128),DAY(EOMONTH(AsOfDate,0))),1,0)))</f>
        <v/>
      </c>
      <c r="AI128" s="12" t="str">
        <f aca="false">IF(AC128=0,"",IF(OR(AE128="",AE128&gt;AsOfDate),AH128,IF((AE128-1)&lt;AD128,-1,12*(YEAR((AE128-1))-YEAR(AD128))+MONTH((AE128-1))-MONTH(AD128)-IF(DAY((AE128-1))&lt;MIN(DAY(AD128),DAY(EOMONTH((AE128-1),0))),1,0))))</f>
        <v/>
      </c>
      <c r="AJ128" s="12" t="str">
        <f aca="false">IF(AC128=0,"",IF(PFYDate&lt;AD128,-1,12*(YEAR(PFYDate)-YEAR(AD128))+MONTH(PFYDate)-MONTH(AD128)-IF(DAY(PFYDate)&lt;MIN(DAY(AD128),DAY(EOMONTH(PFYDate,0))),1,0)))</f>
        <v/>
      </c>
      <c r="AK128" s="12" t="str">
        <f aca="false">IF(AC128=0,"",IF(OR(AE128="",AE128&gt;PFYDate),AJ128,IF((AE128-1)&lt;AD128,-1,12*(YEAR((AE128-1))-YEAR(AD128))+MONTH((AE128-1))-MONTH(AD128)-IF(DAY((AE128-1))&lt;MIN(DAY(AD128),DAY(EOMONTH((AE128-1),0))),1,0))))</f>
        <v/>
      </c>
      <c r="AL128" s="12" t="str">
        <f aca="false">IF(AC128=0,"",IF(AF128="FT",IF(AI128&lt;FT_First,0,IF(AI128&lt;FT_Y5,1+INT((AI128-FT_First)/FT_Int1),FT_PreY5+FT_PerYear*INT((AI128-FT_Y5)/12)+FT_AnnivDays+INT(MOD(AI128-FT_Y5,12)/FT_Int2))),IF(AF128="PT",IF(AI128&lt;PT_First,0,1+INT((AI128-PT_First)/PT_Int)),0))+IF(OR(AE128="",AE128&gt;AsOfDate),0,IF(AG128="FT",IF(AH128&lt;FT_First,0,IF(AH128&lt;FT_Y5,1+INT((AH128-FT_First)/FT_Int1),FT_PreY5+FT_PerYear*INT((AH128-FT_Y5)/12)+FT_AnnivDays+INT(MOD(AH128-FT_Y5,12)/FT_Int2))),IF(AG128="PT",IF(AH128&lt;PT_First,0,1+INT((AH128-PT_First)/PT_Int)),0))-IF(AG128="FT",IF(AI128&lt;FT_First,0,IF(AI128&lt;FT_Y5,1+INT((AI128-FT_First)/FT_Int1),FT_PreY5+FT_PerYear*INT((AI128-FT_Y5)/12)+FT_AnnivDays+INT(MOD(AI128-FT_Y5,12)/FT_Int2))),IF(AG128="PT",IF(AI128&lt;PT_First,0,1+INT((AI128-PT_First)/PT_Int)),0))))</f>
        <v/>
      </c>
      <c r="AM128" s="12" t="str">
        <f aca="false">IF(AC128=0,"",IF(AF128="FT",IF(AK128&lt;FT_First,0,IF(AK128&lt;FT_Y5,1+INT((AK128-FT_First)/FT_Int1),FT_PreY5+FT_PerYear*INT((AK128-FT_Y5)/12)+FT_AnnivDays+INT(MOD(AK128-FT_Y5,12)/FT_Int2))),IF(AF128="PT",IF(AK128&lt;PT_First,0,1+INT((AK128-PT_First)/PT_Int)),0))+IF(OR(AE128="",AE128&gt;PFYDate),0,IF(AG128="FT",IF(AJ128&lt;FT_First,0,IF(AJ128&lt;FT_Y5,1+INT((AJ128-FT_First)/FT_Int1),FT_PreY5+FT_PerYear*INT((AJ128-FT_Y5)/12)+FT_AnnivDays+INT(MOD(AJ128-FT_Y5,12)/FT_Int2))),IF(AG128="PT",IF(AJ128&lt;PT_First,0,1+INT((AJ128-PT_First)/PT_Int)),0))-IF(AG128="FT",IF(AK128&lt;FT_First,0,IF(AK128&lt;FT_Y5,1+INT((AK128-FT_First)/FT_Int1),FT_PreY5+FT_PerYear*INT((AK128-FT_Y5)/12)+FT_AnnivDays+INT(MOD(AK128-FT_Y5,12)/FT_Int2))),IF(AG128="PT",IF(AK128&lt;PT_First,0,1+INT((AK128-PT_First)/PT_Int)),0))))</f>
        <v/>
      </c>
      <c r="AN128" s="12" t="str">
        <f aca="false">IF(AC128=0,"",IF(AG128="FT",IF(AH128&lt;FT_First,FT_First,IF(AH128&lt;FT_Y5,MIN(FT_Y5,FT_First+FT_Int1*(INT((AH128-FT_First)/FT_Int1)+1)),FT_Y5+12*INT((AH128-FT_Y5)/12)+FT_Int2*(INT(MOD(AH128-FT_Y5,12)/FT_Int2)+1))),IF(AG128="PT",IF(AH128&lt;PT_First,PT_First,PT_First+PT_Int*(INT((AH128-PT_First)/PT_Int)+1)),"")))</f>
        <v/>
      </c>
      <c r="AO128" s="12" t="str">
        <f aca="false">IF(AC128=0,"",IF(NOT(CFY_Ready),0,COUNTIFS(INDEX(CFY_Data,0,CFY_ColFirst),$A128,INDEX(CFY_Data,0,CFY_ColSur),$B128,INDEX(CFY_Data,0,CFY_ColCat),BonusCat)))</f>
        <v/>
      </c>
    </row>
    <row r="129" customFormat="false" ht="15" hidden="false" customHeight="false" outlineLevel="0" collapsed="false">
      <c r="A129" s="15"/>
      <c r="B129" s="15"/>
      <c r="C129" s="15"/>
      <c r="D129" s="16"/>
      <c r="E129" s="10" t="str">
        <f aca="false">IF(OR(AC129=0,$D129=""),"",DATE(YEAR(AsOfDate)+IF(DATE(YEAR(AsOfDate),MONTH($D129),DAY($D129))&lt;=AsOfDate,1,0),MONTH($D129),DAY($D129)))</f>
        <v/>
      </c>
      <c r="F129" s="16"/>
      <c r="G129" s="16"/>
      <c r="H129" s="16"/>
      <c r="I129" s="16"/>
      <c r="J129" s="10" t="str">
        <f aca="false">IF(AC129=0,"",DATE(YEAR(AsOfDate)+IF(DATE(YEAR(AsOfDate),MONTH($F129),DAY($F129))&lt;=AsOfDate,1,0),MONTH($F129),DAY($F129)))</f>
        <v/>
      </c>
      <c r="K129" s="11" t="str">
        <f aca="false">IF(AC129=0,"",ROUND((AsOfDate-$F129)/365.25,1))</f>
        <v/>
      </c>
      <c r="L129" s="12" t="str">
        <f aca="false">IF(AC129=0,"",IF(AsOfDate&lt;AD129,"-",DATEDIF(AD129,AsOfDate,"y")&amp;"y "&amp;DATEDIF(AD129,AsOfDate,"ym")&amp;"m "&amp;DATEDIF(AD129,AsOfDate,"md")&amp;"d"))</f>
        <v/>
      </c>
      <c r="M129" s="13" t="str">
        <f aca="false">IF(AC129=0,"",N129*HoursPerDay)</f>
        <v/>
      </c>
      <c r="N129" s="13" t="str">
        <f aca="false">IF(AC129=0,"",AL129)</f>
        <v/>
      </c>
      <c r="O129" s="17"/>
      <c r="P129" s="12" t="str">
        <f aca="false">IF(AC129=0,"",IF(AE129="","",IF($G129&lt;$H129,"Part-Time to Full-Time","Full-Time to Part-Time")&amp;" on "&amp;TEXT(AE129,"dd/mm/yyyy")&amp;IF(AE129&gt;AsOfDate," (future)",IF(AF129=AG129,"",IF(AG129="None"," - STOPPED accruing",IF(AF129="None"," - now qualifying"," - pathway changed"))))))</f>
        <v/>
      </c>
      <c r="Q129" s="12" t="str">
        <f aca="false">IF(AC129=0,"",IF(AG129="None",IF(N129&gt;0,"No longer accruing","Not eligible - "&amp;IF(AND($C129="Part-Time",N($O129)&lt;PT_MinHours,$O129&lt;&gt;""),"under "&amp;PT_MinHours&amp;" hrs",$C129)),IF(N129&gt;0,"Yes - accruing","Not yet - from "&amp;TEXT(R129,"dd/mm/yyyy"))))</f>
        <v/>
      </c>
      <c r="R129" s="10" t="str">
        <f aca="false">IF(AC129=0,"",IF(AG129="None","",EDATE(AD129,AN129)))</f>
        <v/>
      </c>
      <c r="S129" s="13" t="str">
        <f aca="false">IF(AC129=0,"",IF(NOT(PFY_Ready),"",SUMIFS(INDEX(PFY_Data,0,PFY_ColBal),INDEX(PFY_Data,0,PFY_ColFirst),$A129,INDEX(PFY_Data,0,PFY_ColSur),$B129,INDEX(PFY_Data,0,PFY_ColCat),BonusCat)))</f>
        <v/>
      </c>
      <c r="T129" s="17"/>
      <c r="U129" s="13" t="str">
        <f aca="false">IF(AC129=0,"",IF(NOT(CFY_Ready),"",SUMIFS(INDEX(CFY_Data,0,CFY_ColBal),INDEX(CFY_Data,0,CFY_ColFirst),$A129,INDEX(CFY_Data,0,CFY_ColSur),$B129,INDEX(CFY_Data,0,CFY_ColCat),BonusCat)))</f>
        <v/>
      </c>
      <c r="V129" s="13" t="str">
        <f aca="false">IF(AC129=0,"",IF(OR(NOT(CFY_Ready),CFY_ColAppr=0),"",SUMIFS(INDEX(CFY_Data,0,CFY_ColAppr),INDEX(CFY_Data,0,CFY_ColFirst),$A129,INDEX(CFY_Data,0,CFY_ColSur),$B129,INDEX(CFY_Data,0,CFY_ColCat),BonusCat)))</f>
        <v/>
      </c>
      <c r="W129" s="13" t="str">
        <f aca="false">IF(OR(AC129=0,S129="",U129=""),"",MAX(0,S129+N($T129)-U129))</f>
        <v/>
      </c>
      <c r="X129" s="13" t="str">
        <f aca="false">IF(AC129=0,"",(AL129-AM129)*HoursPerDay)</f>
        <v/>
      </c>
      <c r="Y129" s="13" t="str">
        <f aca="false">IF(AC129=0,"",X129-N($T129))</f>
        <v/>
      </c>
      <c r="Z129" s="12" t="str">
        <f aca="false">IF(AC129=0,"",IF(Y129&gt;0,"Yes","No"))</f>
        <v/>
      </c>
      <c r="AA129" s="12" t="str">
        <f aca="false">IF(AC129=0,"",IF(NOT(CFY_Ready),"Paste CFY EH export",IF(Y129&gt;0,"ACCRUE "&amp;TEXT(Y129,"0.##")&amp;" hrs ("&amp;TEXT(Y129/HoursPerDay,"0.##")&amp;" days)"&amp;IF(AO129=0," - no Bonus Leave line in EH yet",""),IF(Y129&lt;0,"CHECK - posted "&amp;TEXT(-Y129,"0.##")&amp;" hrs more than policy",IF(AND(N129&gt;0,AO129=0,U129=0),"CHECK - policy says "&amp;TEXT(M129,"0.##")&amp;" hrs to date but nothing in EH",IF(N129&gt;0,"OK","-"))))))</f>
        <v/>
      </c>
      <c r="AB129" s="13" t="str">
        <f aca="false">IF(OR(AC129=0,S129=""),"",AM129*HoursPerDay-S129)</f>
        <v/>
      </c>
      <c r="AC129" s="12" t="n">
        <f aca="false">IF(OR(LEN($A129&amp;$B129)=0,$F129=""),0,1)</f>
        <v>0</v>
      </c>
      <c r="AD129" s="10" t="str">
        <f aca="false">IF(AC129=0,"",IF($I129&lt;&gt;"",$I129,$F129))</f>
        <v/>
      </c>
      <c r="AE129" s="10" t="str">
        <f aca="false">IF(AC129=0,"",IF(AND($G129&lt;&gt;"",$H129&lt;&gt;"",$G129&lt;&gt;$H129),MAX($G129,$H129),""))</f>
        <v/>
      </c>
      <c r="AF129" s="12" t="str">
        <f aca="false">IF(AC129=0,"",IF(AE129="",AG129,IF(IF($G129&lt;$H129,"Part-Time","Full-Time")="Full-Time","FT",IF(AND(IF($G129&lt;$H129,"Part-Time","Full-Time")="Part-Time",OR($O129="",N($O129)&gt;=PT_MinHours)),"PT","None"))))</f>
        <v/>
      </c>
      <c r="AG129" s="12" t="str">
        <f aca="false">IF(AC129=0,"",IF($C129="Full-Time","FT",IF(AND($C129="Part-Time",OR($O129="",N($O129)&gt;=PT_MinHours)),"PT","None")))</f>
        <v/>
      </c>
      <c r="AH129" s="12" t="str">
        <f aca="false">IF(AC129=0,"",IF(AsOfDate&lt;AD129,-1,12*(YEAR(AsOfDate)-YEAR(AD129))+MONTH(AsOfDate)-MONTH(AD129)-IF(DAY(AsOfDate)&lt;MIN(DAY(AD129),DAY(EOMONTH(AsOfDate,0))),1,0)))</f>
        <v/>
      </c>
      <c r="AI129" s="12" t="str">
        <f aca="false">IF(AC129=0,"",IF(OR(AE129="",AE129&gt;AsOfDate),AH129,IF((AE129-1)&lt;AD129,-1,12*(YEAR((AE129-1))-YEAR(AD129))+MONTH((AE129-1))-MONTH(AD129)-IF(DAY((AE129-1))&lt;MIN(DAY(AD129),DAY(EOMONTH((AE129-1),0))),1,0))))</f>
        <v/>
      </c>
      <c r="AJ129" s="12" t="str">
        <f aca="false">IF(AC129=0,"",IF(PFYDate&lt;AD129,-1,12*(YEAR(PFYDate)-YEAR(AD129))+MONTH(PFYDate)-MONTH(AD129)-IF(DAY(PFYDate)&lt;MIN(DAY(AD129),DAY(EOMONTH(PFYDate,0))),1,0)))</f>
        <v/>
      </c>
      <c r="AK129" s="12" t="str">
        <f aca="false">IF(AC129=0,"",IF(OR(AE129="",AE129&gt;PFYDate),AJ129,IF((AE129-1)&lt;AD129,-1,12*(YEAR((AE129-1))-YEAR(AD129))+MONTH((AE129-1))-MONTH(AD129)-IF(DAY((AE129-1))&lt;MIN(DAY(AD129),DAY(EOMONTH((AE129-1),0))),1,0))))</f>
        <v/>
      </c>
      <c r="AL129" s="12" t="str">
        <f aca="false">IF(AC129=0,"",IF(AF129="FT",IF(AI129&lt;FT_First,0,IF(AI129&lt;FT_Y5,1+INT((AI129-FT_First)/FT_Int1),FT_PreY5+FT_PerYear*INT((AI129-FT_Y5)/12)+FT_AnnivDays+INT(MOD(AI129-FT_Y5,12)/FT_Int2))),IF(AF129="PT",IF(AI129&lt;PT_First,0,1+INT((AI129-PT_First)/PT_Int)),0))+IF(OR(AE129="",AE129&gt;AsOfDate),0,IF(AG129="FT",IF(AH129&lt;FT_First,0,IF(AH129&lt;FT_Y5,1+INT((AH129-FT_First)/FT_Int1),FT_PreY5+FT_PerYear*INT((AH129-FT_Y5)/12)+FT_AnnivDays+INT(MOD(AH129-FT_Y5,12)/FT_Int2))),IF(AG129="PT",IF(AH129&lt;PT_First,0,1+INT((AH129-PT_First)/PT_Int)),0))-IF(AG129="FT",IF(AI129&lt;FT_First,0,IF(AI129&lt;FT_Y5,1+INT((AI129-FT_First)/FT_Int1),FT_PreY5+FT_PerYear*INT((AI129-FT_Y5)/12)+FT_AnnivDays+INT(MOD(AI129-FT_Y5,12)/FT_Int2))),IF(AG129="PT",IF(AI129&lt;PT_First,0,1+INT((AI129-PT_First)/PT_Int)),0))))</f>
        <v/>
      </c>
      <c r="AM129" s="12" t="str">
        <f aca="false">IF(AC129=0,"",IF(AF129="FT",IF(AK129&lt;FT_First,0,IF(AK129&lt;FT_Y5,1+INT((AK129-FT_First)/FT_Int1),FT_PreY5+FT_PerYear*INT((AK129-FT_Y5)/12)+FT_AnnivDays+INT(MOD(AK129-FT_Y5,12)/FT_Int2))),IF(AF129="PT",IF(AK129&lt;PT_First,0,1+INT((AK129-PT_First)/PT_Int)),0))+IF(OR(AE129="",AE129&gt;PFYDate),0,IF(AG129="FT",IF(AJ129&lt;FT_First,0,IF(AJ129&lt;FT_Y5,1+INT((AJ129-FT_First)/FT_Int1),FT_PreY5+FT_PerYear*INT((AJ129-FT_Y5)/12)+FT_AnnivDays+INT(MOD(AJ129-FT_Y5,12)/FT_Int2))),IF(AG129="PT",IF(AJ129&lt;PT_First,0,1+INT((AJ129-PT_First)/PT_Int)),0))-IF(AG129="FT",IF(AK129&lt;FT_First,0,IF(AK129&lt;FT_Y5,1+INT((AK129-FT_First)/FT_Int1),FT_PreY5+FT_PerYear*INT((AK129-FT_Y5)/12)+FT_AnnivDays+INT(MOD(AK129-FT_Y5,12)/FT_Int2))),IF(AG129="PT",IF(AK129&lt;PT_First,0,1+INT((AK129-PT_First)/PT_Int)),0))))</f>
        <v/>
      </c>
      <c r="AN129" s="12" t="str">
        <f aca="false">IF(AC129=0,"",IF(AG129="FT",IF(AH129&lt;FT_First,FT_First,IF(AH129&lt;FT_Y5,MIN(FT_Y5,FT_First+FT_Int1*(INT((AH129-FT_First)/FT_Int1)+1)),FT_Y5+12*INT((AH129-FT_Y5)/12)+FT_Int2*(INT(MOD(AH129-FT_Y5,12)/FT_Int2)+1))),IF(AG129="PT",IF(AH129&lt;PT_First,PT_First,PT_First+PT_Int*(INT((AH129-PT_First)/PT_Int)+1)),"")))</f>
        <v/>
      </c>
      <c r="AO129" s="12" t="str">
        <f aca="false">IF(AC129=0,"",IF(NOT(CFY_Ready),0,COUNTIFS(INDEX(CFY_Data,0,CFY_ColFirst),$A129,INDEX(CFY_Data,0,CFY_ColSur),$B129,INDEX(CFY_Data,0,CFY_ColCat),BonusCat)))</f>
        <v/>
      </c>
    </row>
    <row r="130" customFormat="false" ht="15" hidden="false" customHeight="false" outlineLevel="0" collapsed="false">
      <c r="A130" s="15"/>
      <c r="B130" s="15"/>
      <c r="C130" s="15"/>
      <c r="D130" s="16"/>
      <c r="E130" s="10" t="str">
        <f aca="false">IF(OR(AC130=0,$D130=""),"",DATE(YEAR(AsOfDate)+IF(DATE(YEAR(AsOfDate),MONTH($D130),DAY($D130))&lt;=AsOfDate,1,0),MONTH($D130),DAY($D130)))</f>
        <v/>
      </c>
      <c r="F130" s="16"/>
      <c r="G130" s="16"/>
      <c r="H130" s="16"/>
      <c r="I130" s="16"/>
      <c r="J130" s="10" t="str">
        <f aca="false">IF(AC130=0,"",DATE(YEAR(AsOfDate)+IF(DATE(YEAR(AsOfDate),MONTH($F130),DAY($F130))&lt;=AsOfDate,1,0),MONTH($F130),DAY($F130)))</f>
        <v/>
      </c>
      <c r="K130" s="11" t="str">
        <f aca="false">IF(AC130=0,"",ROUND((AsOfDate-$F130)/365.25,1))</f>
        <v/>
      </c>
      <c r="L130" s="12" t="str">
        <f aca="false">IF(AC130=0,"",IF(AsOfDate&lt;AD130,"-",DATEDIF(AD130,AsOfDate,"y")&amp;"y "&amp;DATEDIF(AD130,AsOfDate,"ym")&amp;"m "&amp;DATEDIF(AD130,AsOfDate,"md")&amp;"d"))</f>
        <v/>
      </c>
      <c r="M130" s="13" t="str">
        <f aca="false">IF(AC130=0,"",N130*HoursPerDay)</f>
        <v/>
      </c>
      <c r="N130" s="13" t="str">
        <f aca="false">IF(AC130=0,"",AL130)</f>
        <v/>
      </c>
      <c r="O130" s="17"/>
      <c r="P130" s="12" t="str">
        <f aca="false">IF(AC130=0,"",IF(AE130="","",IF($G130&lt;$H130,"Part-Time to Full-Time","Full-Time to Part-Time")&amp;" on "&amp;TEXT(AE130,"dd/mm/yyyy")&amp;IF(AE130&gt;AsOfDate," (future)",IF(AF130=AG130,"",IF(AG130="None"," - STOPPED accruing",IF(AF130="None"," - now qualifying"," - pathway changed"))))))</f>
        <v/>
      </c>
      <c r="Q130" s="12" t="str">
        <f aca="false">IF(AC130=0,"",IF(AG130="None",IF(N130&gt;0,"No longer accruing","Not eligible - "&amp;IF(AND($C130="Part-Time",N($O130)&lt;PT_MinHours,$O130&lt;&gt;""),"under "&amp;PT_MinHours&amp;" hrs",$C130)),IF(N130&gt;0,"Yes - accruing","Not yet - from "&amp;TEXT(R130,"dd/mm/yyyy"))))</f>
        <v/>
      </c>
      <c r="R130" s="10" t="str">
        <f aca="false">IF(AC130=0,"",IF(AG130="None","",EDATE(AD130,AN130)))</f>
        <v/>
      </c>
      <c r="S130" s="13" t="str">
        <f aca="false">IF(AC130=0,"",IF(NOT(PFY_Ready),"",SUMIFS(INDEX(PFY_Data,0,PFY_ColBal),INDEX(PFY_Data,0,PFY_ColFirst),$A130,INDEX(PFY_Data,0,PFY_ColSur),$B130,INDEX(PFY_Data,0,PFY_ColCat),BonusCat)))</f>
        <v/>
      </c>
      <c r="T130" s="17"/>
      <c r="U130" s="13" t="str">
        <f aca="false">IF(AC130=0,"",IF(NOT(CFY_Ready),"",SUMIFS(INDEX(CFY_Data,0,CFY_ColBal),INDEX(CFY_Data,0,CFY_ColFirst),$A130,INDEX(CFY_Data,0,CFY_ColSur),$B130,INDEX(CFY_Data,0,CFY_ColCat),BonusCat)))</f>
        <v/>
      </c>
      <c r="V130" s="13" t="str">
        <f aca="false">IF(AC130=0,"",IF(OR(NOT(CFY_Ready),CFY_ColAppr=0),"",SUMIFS(INDEX(CFY_Data,0,CFY_ColAppr),INDEX(CFY_Data,0,CFY_ColFirst),$A130,INDEX(CFY_Data,0,CFY_ColSur),$B130,INDEX(CFY_Data,0,CFY_ColCat),BonusCat)))</f>
        <v/>
      </c>
      <c r="W130" s="13" t="str">
        <f aca="false">IF(OR(AC130=0,S130="",U130=""),"",MAX(0,S130+N($T130)-U130))</f>
        <v/>
      </c>
      <c r="X130" s="13" t="str">
        <f aca="false">IF(AC130=0,"",(AL130-AM130)*HoursPerDay)</f>
        <v/>
      </c>
      <c r="Y130" s="13" t="str">
        <f aca="false">IF(AC130=0,"",X130-N($T130))</f>
        <v/>
      </c>
      <c r="Z130" s="12" t="str">
        <f aca="false">IF(AC130=0,"",IF(Y130&gt;0,"Yes","No"))</f>
        <v/>
      </c>
      <c r="AA130" s="12" t="str">
        <f aca="false">IF(AC130=0,"",IF(NOT(CFY_Ready),"Paste CFY EH export",IF(Y130&gt;0,"ACCRUE "&amp;TEXT(Y130,"0.##")&amp;" hrs ("&amp;TEXT(Y130/HoursPerDay,"0.##")&amp;" days)"&amp;IF(AO130=0," - no Bonus Leave line in EH yet",""),IF(Y130&lt;0,"CHECK - posted "&amp;TEXT(-Y130,"0.##")&amp;" hrs more than policy",IF(AND(N130&gt;0,AO130=0,U130=0),"CHECK - policy says "&amp;TEXT(M130,"0.##")&amp;" hrs to date but nothing in EH",IF(N130&gt;0,"OK","-"))))))</f>
        <v/>
      </c>
      <c r="AB130" s="13" t="str">
        <f aca="false">IF(OR(AC130=0,S130=""),"",AM130*HoursPerDay-S130)</f>
        <v/>
      </c>
      <c r="AC130" s="12" t="n">
        <f aca="false">IF(OR(LEN($A130&amp;$B130)=0,$F130=""),0,1)</f>
        <v>0</v>
      </c>
      <c r="AD130" s="10" t="str">
        <f aca="false">IF(AC130=0,"",IF($I130&lt;&gt;"",$I130,$F130))</f>
        <v/>
      </c>
      <c r="AE130" s="10" t="str">
        <f aca="false">IF(AC130=0,"",IF(AND($G130&lt;&gt;"",$H130&lt;&gt;"",$G130&lt;&gt;$H130),MAX($G130,$H130),""))</f>
        <v/>
      </c>
      <c r="AF130" s="12" t="str">
        <f aca="false">IF(AC130=0,"",IF(AE130="",AG130,IF(IF($G130&lt;$H130,"Part-Time","Full-Time")="Full-Time","FT",IF(AND(IF($G130&lt;$H130,"Part-Time","Full-Time")="Part-Time",OR($O130="",N($O130)&gt;=PT_MinHours)),"PT","None"))))</f>
        <v/>
      </c>
      <c r="AG130" s="12" t="str">
        <f aca="false">IF(AC130=0,"",IF($C130="Full-Time","FT",IF(AND($C130="Part-Time",OR($O130="",N($O130)&gt;=PT_MinHours)),"PT","None")))</f>
        <v/>
      </c>
      <c r="AH130" s="12" t="str">
        <f aca="false">IF(AC130=0,"",IF(AsOfDate&lt;AD130,-1,12*(YEAR(AsOfDate)-YEAR(AD130))+MONTH(AsOfDate)-MONTH(AD130)-IF(DAY(AsOfDate)&lt;MIN(DAY(AD130),DAY(EOMONTH(AsOfDate,0))),1,0)))</f>
        <v/>
      </c>
      <c r="AI130" s="12" t="str">
        <f aca="false">IF(AC130=0,"",IF(OR(AE130="",AE130&gt;AsOfDate),AH130,IF((AE130-1)&lt;AD130,-1,12*(YEAR((AE130-1))-YEAR(AD130))+MONTH((AE130-1))-MONTH(AD130)-IF(DAY((AE130-1))&lt;MIN(DAY(AD130),DAY(EOMONTH((AE130-1),0))),1,0))))</f>
        <v/>
      </c>
      <c r="AJ130" s="12" t="str">
        <f aca="false">IF(AC130=0,"",IF(PFYDate&lt;AD130,-1,12*(YEAR(PFYDate)-YEAR(AD130))+MONTH(PFYDate)-MONTH(AD130)-IF(DAY(PFYDate)&lt;MIN(DAY(AD130),DAY(EOMONTH(PFYDate,0))),1,0)))</f>
        <v/>
      </c>
      <c r="AK130" s="12" t="str">
        <f aca="false">IF(AC130=0,"",IF(OR(AE130="",AE130&gt;PFYDate),AJ130,IF((AE130-1)&lt;AD130,-1,12*(YEAR((AE130-1))-YEAR(AD130))+MONTH((AE130-1))-MONTH(AD130)-IF(DAY((AE130-1))&lt;MIN(DAY(AD130),DAY(EOMONTH((AE130-1),0))),1,0))))</f>
        <v/>
      </c>
      <c r="AL130" s="12" t="str">
        <f aca="false">IF(AC130=0,"",IF(AF130="FT",IF(AI130&lt;FT_First,0,IF(AI130&lt;FT_Y5,1+INT((AI130-FT_First)/FT_Int1),FT_PreY5+FT_PerYear*INT((AI130-FT_Y5)/12)+FT_AnnivDays+INT(MOD(AI130-FT_Y5,12)/FT_Int2))),IF(AF130="PT",IF(AI130&lt;PT_First,0,1+INT((AI130-PT_First)/PT_Int)),0))+IF(OR(AE130="",AE130&gt;AsOfDate),0,IF(AG130="FT",IF(AH130&lt;FT_First,0,IF(AH130&lt;FT_Y5,1+INT((AH130-FT_First)/FT_Int1),FT_PreY5+FT_PerYear*INT((AH130-FT_Y5)/12)+FT_AnnivDays+INT(MOD(AH130-FT_Y5,12)/FT_Int2))),IF(AG130="PT",IF(AH130&lt;PT_First,0,1+INT((AH130-PT_First)/PT_Int)),0))-IF(AG130="FT",IF(AI130&lt;FT_First,0,IF(AI130&lt;FT_Y5,1+INT((AI130-FT_First)/FT_Int1),FT_PreY5+FT_PerYear*INT((AI130-FT_Y5)/12)+FT_AnnivDays+INT(MOD(AI130-FT_Y5,12)/FT_Int2))),IF(AG130="PT",IF(AI130&lt;PT_First,0,1+INT((AI130-PT_First)/PT_Int)),0))))</f>
        <v/>
      </c>
      <c r="AM130" s="12" t="str">
        <f aca="false">IF(AC130=0,"",IF(AF130="FT",IF(AK130&lt;FT_First,0,IF(AK130&lt;FT_Y5,1+INT((AK130-FT_First)/FT_Int1),FT_PreY5+FT_PerYear*INT((AK130-FT_Y5)/12)+FT_AnnivDays+INT(MOD(AK130-FT_Y5,12)/FT_Int2))),IF(AF130="PT",IF(AK130&lt;PT_First,0,1+INT((AK130-PT_First)/PT_Int)),0))+IF(OR(AE130="",AE130&gt;PFYDate),0,IF(AG130="FT",IF(AJ130&lt;FT_First,0,IF(AJ130&lt;FT_Y5,1+INT((AJ130-FT_First)/FT_Int1),FT_PreY5+FT_PerYear*INT((AJ130-FT_Y5)/12)+FT_AnnivDays+INT(MOD(AJ130-FT_Y5,12)/FT_Int2))),IF(AG130="PT",IF(AJ130&lt;PT_First,0,1+INT((AJ130-PT_First)/PT_Int)),0))-IF(AG130="FT",IF(AK130&lt;FT_First,0,IF(AK130&lt;FT_Y5,1+INT((AK130-FT_First)/FT_Int1),FT_PreY5+FT_PerYear*INT((AK130-FT_Y5)/12)+FT_AnnivDays+INT(MOD(AK130-FT_Y5,12)/FT_Int2))),IF(AG130="PT",IF(AK130&lt;PT_First,0,1+INT((AK130-PT_First)/PT_Int)),0))))</f>
        <v/>
      </c>
      <c r="AN130" s="12" t="str">
        <f aca="false">IF(AC130=0,"",IF(AG130="FT",IF(AH130&lt;FT_First,FT_First,IF(AH130&lt;FT_Y5,MIN(FT_Y5,FT_First+FT_Int1*(INT((AH130-FT_First)/FT_Int1)+1)),FT_Y5+12*INT((AH130-FT_Y5)/12)+FT_Int2*(INT(MOD(AH130-FT_Y5,12)/FT_Int2)+1))),IF(AG130="PT",IF(AH130&lt;PT_First,PT_First,PT_First+PT_Int*(INT((AH130-PT_First)/PT_Int)+1)),"")))</f>
        <v/>
      </c>
      <c r="AO130" s="12" t="str">
        <f aca="false">IF(AC130=0,"",IF(NOT(CFY_Ready),0,COUNTIFS(INDEX(CFY_Data,0,CFY_ColFirst),$A130,INDEX(CFY_Data,0,CFY_ColSur),$B130,INDEX(CFY_Data,0,CFY_ColCat),BonusCat)))</f>
        <v/>
      </c>
    </row>
    <row r="131" customFormat="false" ht="15" hidden="false" customHeight="false" outlineLevel="0" collapsed="false">
      <c r="A131" s="15"/>
      <c r="B131" s="15"/>
      <c r="C131" s="15"/>
      <c r="D131" s="16"/>
      <c r="E131" s="10" t="str">
        <f aca="false">IF(OR(AC131=0,$D131=""),"",DATE(YEAR(AsOfDate)+IF(DATE(YEAR(AsOfDate),MONTH($D131),DAY($D131))&lt;=AsOfDate,1,0),MONTH($D131),DAY($D131)))</f>
        <v/>
      </c>
      <c r="F131" s="16"/>
      <c r="G131" s="16"/>
      <c r="H131" s="16"/>
      <c r="I131" s="16"/>
      <c r="J131" s="10" t="str">
        <f aca="false">IF(AC131=0,"",DATE(YEAR(AsOfDate)+IF(DATE(YEAR(AsOfDate),MONTH($F131),DAY($F131))&lt;=AsOfDate,1,0),MONTH($F131),DAY($F131)))</f>
        <v/>
      </c>
      <c r="K131" s="11" t="str">
        <f aca="false">IF(AC131=0,"",ROUND((AsOfDate-$F131)/365.25,1))</f>
        <v/>
      </c>
      <c r="L131" s="12" t="str">
        <f aca="false">IF(AC131=0,"",IF(AsOfDate&lt;AD131,"-",DATEDIF(AD131,AsOfDate,"y")&amp;"y "&amp;DATEDIF(AD131,AsOfDate,"ym")&amp;"m "&amp;DATEDIF(AD131,AsOfDate,"md")&amp;"d"))</f>
        <v/>
      </c>
      <c r="M131" s="13" t="str">
        <f aca="false">IF(AC131=0,"",N131*HoursPerDay)</f>
        <v/>
      </c>
      <c r="N131" s="13" t="str">
        <f aca="false">IF(AC131=0,"",AL131)</f>
        <v/>
      </c>
      <c r="O131" s="17"/>
      <c r="P131" s="12" t="str">
        <f aca="false">IF(AC131=0,"",IF(AE131="","",IF($G131&lt;$H131,"Part-Time to Full-Time","Full-Time to Part-Time")&amp;" on "&amp;TEXT(AE131,"dd/mm/yyyy")&amp;IF(AE131&gt;AsOfDate," (future)",IF(AF131=AG131,"",IF(AG131="None"," - STOPPED accruing",IF(AF131="None"," - now qualifying"," - pathway changed"))))))</f>
        <v/>
      </c>
      <c r="Q131" s="12" t="str">
        <f aca="false">IF(AC131=0,"",IF(AG131="None",IF(N131&gt;0,"No longer accruing","Not eligible - "&amp;IF(AND($C131="Part-Time",N($O131)&lt;PT_MinHours,$O131&lt;&gt;""),"under "&amp;PT_MinHours&amp;" hrs",$C131)),IF(N131&gt;0,"Yes - accruing","Not yet - from "&amp;TEXT(R131,"dd/mm/yyyy"))))</f>
        <v/>
      </c>
      <c r="R131" s="10" t="str">
        <f aca="false">IF(AC131=0,"",IF(AG131="None","",EDATE(AD131,AN131)))</f>
        <v/>
      </c>
      <c r="S131" s="13" t="str">
        <f aca="false">IF(AC131=0,"",IF(NOT(PFY_Ready),"",SUMIFS(INDEX(PFY_Data,0,PFY_ColBal),INDEX(PFY_Data,0,PFY_ColFirst),$A131,INDEX(PFY_Data,0,PFY_ColSur),$B131,INDEX(PFY_Data,0,PFY_ColCat),BonusCat)))</f>
        <v/>
      </c>
      <c r="T131" s="17"/>
      <c r="U131" s="13" t="str">
        <f aca="false">IF(AC131=0,"",IF(NOT(CFY_Ready),"",SUMIFS(INDEX(CFY_Data,0,CFY_ColBal),INDEX(CFY_Data,0,CFY_ColFirst),$A131,INDEX(CFY_Data,0,CFY_ColSur),$B131,INDEX(CFY_Data,0,CFY_ColCat),BonusCat)))</f>
        <v/>
      </c>
      <c r="V131" s="13" t="str">
        <f aca="false">IF(AC131=0,"",IF(OR(NOT(CFY_Ready),CFY_ColAppr=0),"",SUMIFS(INDEX(CFY_Data,0,CFY_ColAppr),INDEX(CFY_Data,0,CFY_ColFirst),$A131,INDEX(CFY_Data,0,CFY_ColSur),$B131,INDEX(CFY_Data,0,CFY_ColCat),BonusCat)))</f>
        <v/>
      </c>
      <c r="W131" s="13" t="str">
        <f aca="false">IF(OR(AC131=0,S131="",U131=""),"",MAX(0,S131+N($T131)-U131))</f>
        <v/>
      </c>
      <c r="X131" s="13" t="str">
        <f aca="false">IF(AC131=0,"",(AL131-AM131)*HoursPerDay)</f>
        <v/>
      </c>
      <c r="Y131" s="13" t="str">
        <f aca="false">IF(AC131=0,"",X131-N($T131))</f>
        <v/>
      </c>
      <c r="Z131" s="12" t="str">
        <f aca="false">IF(AC131=0,"",IF(Y131&gt;0,"Yes","No"))</f>
        <v/>
      </c>
      <c r="AA131" s="12" t="str">
        <f aca="false">IF(AC131=0,"",IF(NOT(CFY_Ready),"Paste CFY EH export",IF(Y131&gt;0,"ACCRUE "&amp;TEXT(Y131,"0.##")&amp;" hrs ("&amp;TEXT(Y131/HoursPerDay,"0.##")&amp;" days)"&amp;IF(AO131=0," - no Bonus Leave line in EH yet",""),IF(Y131&lt;0,"CHECK - posted "&amp;TEXT(-Y131,"0.##")&amp;" hrs more than policy",IF(AND(N131&gt;0,AO131=0,U131=0),"CHECK - policy says "&amp;TEXT(M131,"0.##")&amp;" hrs to date but nothing in EH",IF(N131&gt;0,"OK","-"))))))</f>
        <v/>
      </c>
      <c r="AB131" s="13" t="str">
        <f aca="false">IF(OR(AC131=0,S131=""),"",AM131*HoursPerDay-S131)</f>
        <v/>
      </c>
      <c r="AC131" s="12" t="n">
        <f aca="false">IF(OR(LEN($A131&amp;$B131)=0,$F131=""),0,1)</f>
        <v>0</v>
      </c>
      <c r="AD131" s="10" t="str">
        <f aca="false">IF(AC131=0,"",IF($I131&lt;&gt;"",$I131,$F131))</f>
        <v/>
      </c>
      <c r="AE131" s="10" t="str">
        <f aca="false">IF(AC131=0,"",IF(AND($G131&lt;&gt;"",$H131&lt;&gt;"",$G131&lt;&gt;$H131),MAX($G131,$H131),""))</f>
        <v/>
      </c>
      <c r="AF131" s="12" t="str">
        <f aca="false">IF(AC131=0,"",IF(AE131="",AG131,IF(IF($G131&lt;$H131,"Part-Time","Full-Time")="Full-Time","FT",IF(AND(IF($G131&lt;$H131,"Part-Time","Full-Time")="Part-Time",OR($O131="",N($O131)&gt;=PT_MinHours)),"PT","None"))))</f>
        <v/>
      </c>
      <c r="AG131" s="12" t="str">
        <f aca="false">IF(AC131=0,"",IF($C131="Full-Time","FT",IF(AND($C131="Part-Time",OR($O131="",N($O131)&gt;=PT_MinHours)),"PT","None")))</f>
        <v/>
      </c>
      <c r="AH131" s="12" t="str">
        <f aca="false">IF(AC131=0,"",IF(AsOfDate&lt;AD131,-1,12*(YEAR(AsOfDate)-YEAR(AD131))+MONTH(AsOfDate)-MONTH(AD131)-IF(DAY(AsOfDate)&lt;MIN(DAY(AD131),DAY(EOMONTH(AsOfDate,0))),1,0)))</f>
        <v/>
      </c>
      <c r="AI131" s="12" t="str">
        <f aca="false">IF(AC131=0,"",IF(OR(AE131="",AE131&gt;AsOfDate),AH131,IF((AE131-1)&lt;AD131,-1,12*(YEAR((AE131-1))-YEAR(AD131))+MONTH((AE131-1))-MONTH(AD131)-IF(DAY((AE131-1))&lt;MIN(DAY(AD131),DAY(EOMONTH((AE131-1),0))),1,0))))</f>
        <v/>
      </c>
      <c r="AJ131" s="12" t="str">
        <f aca="false">IF(AC131=0,"",IF(PFYDate&lt;AD131,-1,12*(YEAR(PFYDate)-YEAR(AD131))+MONTH(PFYDate)-MONTH(AD131)-IF(DAY(PFYDate)&lt;MIN(DAY(AD131),DAY(EOMONTH(PFYDate,0))),1,0)))</f>
        <v/>
      </c>
      <c r="AK131" s="12" t="str">
        <f aca="false">IF(AC131=0,"",IF(OR(AE131="",AE131&gt;PFYDate),AJ131,IF((AE131-1)&lt;AD131,-1,12*(YEAR((AE131-1))-YEAR(AD131))+MONTH((AE131-1))-MONTH(AD131)-IF(DAY((AE131-1))&lt;MIN(DAY(AD131),DAY(EOMONTH((AE131-1),0))),1,0))))</f>
        <v/>
      </c>
      <c r="AL131" s="12" t="str">
        <f aca="false">IF(AC131=0,"",IF(AF131="FT",IF(AI131&lt;FT_First,0,IF(AI131&lt;FT_Y5,1+INT((AI131-FT_First)/FT_Int1),FT_PreY5+FT_PerYear*INT((AI131-FT_Y5)/12)+FT_AnnivDays+INT(MOD(AI131-FT_Y5,12)/FT_Int2))),IF(AF131="PT",IF(AI131&lt;PT_First,0,1+INT((AI131-PT_First)/PT_Int)),0))+IF(OR(AE131="",AE131&gt;AsOfDate),0,IF(AG131="FT",IF(AH131&lt;FT_First,0,IF(AH131&lt;FT_Y5,1+INT((AH131-FT_First)/FT_Int1),FT_PreY5+FT_PerYear*INT((AH131-FT_Y5)/12)+FT_AnnivDays+INT(MOD(AH131-FT_Y5,12)/FT_Int2))),IF(AG131="PT",IF(AH131&lt;PT_First,0,1+INT((AH131-PT_First)/PT_Int)),0))-IF(AG131="FT",IF(AI131&lt;FT_First,0,IF(AI131&lt;FT_Y5,1+INT((AI131-FT_First)/FT_Int1),FT_PreY5+FT_PerYear*INT((AI131-FT_Y5)/12)+FT_AnnivDays+INT(MOD(AI131-FT_Y5,12)/FT_Int2))),IF(AG131="PT",IF(AI131&lt;PT_First,0,1+INT((AI131-PT_First)/PT_Int)),0))))</f>
        <v/>
      </c>
      <c r="AM131" s="12" t="str">
        <f aca="false">IF(AC131=0,"",IF(AF131="FT",IF(AK131&lt;FT_First,0,IF(AK131&lt;FT_Y5,1+INT((AK131-FT_First)/FT_Int1),FT_PreY5+FT_PerYear*INT((AK131-FT_Y5)/12)+FT_AnnivDays+INT(MOD(AK131-FT_Y5,12)/FT_Int2))),IF(AF131="PT",IF(AK131&lt;PT_First,0,1+INT((AK131-PT_First)/PT_Int)),0))+IF(OR(AE131="",AE131&gt;PFYDate),0,IF(AG131="FT",IF(AJ131&lt;FT_First,0,IF(AJ131&lt;FT_Y5,1+INT((AJ131-FT_First)/FT_Int1),FT_PreY5+FT_PerYear*INT((AJ131-FT_Y5)/12)+FT_AnnivDays+INT(MOD(AJ131-FT_Y5,12)/FT_Int2))),IF(AG131="PT",IF(AJ131&lt;PT_First,0,1+INT((AJ131-PT_First)/PT_Int)),0))-IF(AG131="FT",IF(AK131&lt;FT_First,0,IF(AK131&lt;FT_Y5,1+INT((AK131-FT_First)/FT_Int1),FT_PreY5+FT_PerYear*INT((AK131-FT_Y5)/12)+FT_AnnivDays+INT(MOD(AK131-FT_Y5,12)/FT_Int2))),IF(AG131="PT",IF(AK131&lt;PT_First,0,1+INT((AK131-PT_First)/PT_Int)),0))))</f>
        <v/>
      </c>
      <c r="AN131" s="12" t="str">
        <f aca="false">IF(AC131=0,"",IF(AG131="FT",IF(AH131&lt;FT_First,FT_First,IF(AH131&lt;FT_Y5,MIN(FT_Y5,FT_First+FT_Int1*(INT((AH131-FT_First)/FT_Int1)+1)),FT_Y5+12*INT((AH131-FT_Y5)/12)+FT_Int2*(INT(MOD(AH131-FT_Y5,12)/FT_Int2)+1))),IF(AG131="PT",IF(AH131&lt;PT_First,PT_First,PT_First+PT_Int*(INT((AH131-PT_First)/PT_Int)+1)),"")))</f>
        <v/>
      </c>
      <c r="AO131" s="12" t="str">
        <f aca="false">IF(AC131=0,"",IF(NOT(CFY_Ready),0,COUNTIFS(INDEX(CFY_Data,0,CFY_ColFirst),$A131,INDEX(CFY_Data,0,CFY_ColSur),$B131,INDEX(CFY_Data,0,CFY_ColCat),BonusCat)))</f>
        <v/>
      </c>
    </row>
    <row r="132" customFormat="false" ht="15" hidden="false" customHeight="false" outlineLevel="0" collapsed="false">
      <c r="A132" s="15"/>
      <c r="B132" s="15"/>
      <c r="C132" s="15"/>
      <c r="D132" s="16"/>
      <c r="E132" s="10" t="str">
        <f aca="false">IF(OR(AC132=0,$D132=""),"",DATE(YEAR(AsOfDate)+IF(DATE(YEAR(AsOfDate),MONTH($D132),DAY($D132))&lt;=AsOfDate,1,0),MONTH($D132),DAY($D132)))</f>
        <v/>
      </c>
      <c r="F132" s="16"/>
      <c r="G132" s="16"/>
      <c r="H132" s="16"/>
      <c r="I132" s="16"/>
      <c r="J132" s="10" t="str">
        <f aca="false">IF(AC132=0,"",DATE(YEAR(AsOfDate)+IF(DATE(YEAR(AsOfDate),MONTH($F132),DAY($F132))&lt;=AsOfDate,1,0),MONTH($F132),DAY($F132)))</f>
        <v/>
      </c>
      <c r="K132" s="11" t="str">
        <f aca="false">IF(AC132=0,"",ROUND((AsOfDate-$F132)/365.25,1))</f>
        <v/>
      </c>
      <c r="L132" s="12" t="str">
        <f aca="false">IF(AC132=0,"",IF(AsOfDate&lt;AD132,"-",DATEDIF(AD132,AsOfDate,"y")&amp;"y "&amp;DATEDIF(AD132,AsOfDate,"ym")&amp;"m "&amp;DATEDIF(AD132,AsOfDate,"md")&amp;"d"))</f>
        <v/>
      </c>
      <c r="M132" s="13" t="str">
        <f aca="false">IF(AC132=0,"",N132*HoursPerDay)</f>
        <v/>
      </c>
      <c r="N132" s="13" t="str">
        <f aca="false">IF(AC132=0,"",AL132)</f>
        <v/>
      </c>
      <c r="O132" s="17"/>
      <c r="P132" s="12" t="str">
        <f aca="false">IF(AC132=0,"",IF(AE132="","",IF($G132&lt;$H132,"Part-Time to Full-Time","Full-Time to Part-Time")&amp;" on "&amp;TEXT(AE132,"dd/mm/yyyy")&amp;IF(AE132&gt;AsOfDate," (future)",IF(AF132=AG132,"",IF(AG132="None"," - STOPPED accruing",IF(AF132="None"," - now qualifying"," - pathway changed"))))))</f>
        <v/>
      </c>
      <c r="Q132" s="12" t="str">
        <f aca="false">IF(AC132=0,"",IF(AG132="None",IF(N132&gt;0,"No longer accruing","Not eligible - "&amp;IF(AND($C132="Part-Time",N($O132)&lt;PT_MinHours,$O132&lt;&gt;""),"under "&amp;PT_MinHours&amp;" hrs",$C132)),IF(N132&gt;0,"Yes - accruing","Not yet - from "&amp;TEXT(R132,"dd/mm/yyyy"))))</f>
        <v/>
      </c>
      <c r="R132" s="10" t="str">
        <f aca="false">IF(AC132=0,"",IF(AG132="None","",EDATE(AD132,AN132)))</f>
        <v/>
      </c>
      <c r="S132" s="13" t="str">
        <f aca="false">IF(AC132=0,"",IF(NOT(PFY_Ready),"",SUMIFS(INDEX(PFY_Data,0,PFY_ColBal),INDEX(PFY_Data,0,PFY_ColFirst),$A132,INDEX(PFY_Data,0,PFY_ColSur),$B132,INDEX(PFY_Data,0,PFY_ColCat),BonusCat)))</f>
        <v/>
      </c>
      <c r="T132" s="17"/>
      <c r="U132" s="13" t="str">
        <f aca="false">IF(AC132=0,"",IF(NOT(CFY_Ready),"",SUMIFS(INDEX(CFY_Data,0,CFY_ColBal),INDEX(CFY_Data,0,CFY_ColFirst),$A132,INDEX(CFY_Data,0,CFY_ColSur),$B132,INDEX(CFY_Data,0,CFY_ColCat),BonusCat)))</f>
        <v/>
      </c>
      <c r="V132" s="13" t="str">
        <f aca="false">IF(AC132=0,"",IF(OR(NOT(CFY_Ready),CFY_ColAppr=0),"",SUMIFS(INDEX(CFY_Data,0,CFY_ColAppr),INDEX(CFY_Data,0,CFY_ColFirst),$A132,INDEX(CFY_Data,0,CFY_ColSur),$B132,INDEX(CFY_Data,0,CFY_ColCat),BonusCat)))</f>
        <v/>
      </c>
      <c r="W132" s="13" t="str">
        <f aca="false">IF(OR(AC132=0,S132="",U132=""),"",MAX(0,S132+N($T132)-U132))</f>
        <v/>
      </c>
      <c r="X132" s="13" t="str">
        <f aca="false">IF(AC132=0,"",(AL132-AM132)*HoursPerDay)</f>
        <v/>
      </c>
      <c r="Y132" s="13" t="str">
        <f aca="false">IF(AC132=0,"",X132-N($T132))</f>
        <v/>
      </c>
      <c r="Z132" s="12" t="str">
        <f aca="false">IF(AC132=0,"",IF(Y132&gt;0,"Yes","No"))</f>
        <v/>
      </c>
      <c r="AA132" s="12" t="str">
        <f aca="false">IF(AC132=0,"",IF(NOT(CFY_Ready),"Paste CFY EH export",IF(Y132&gt;0,"ACCRUE "&amp;TEXT(Y132,"0.##")&amp;" hrs ("&amp;TEXT(Y132/HoursPerDay,"0.##")&amp;" days)"&amp;IF(AO132=0," - no Bonus Leave line in EH yet",""),IF(Y132&lt;0,"CHECK - posted "&amp;TEXT(-Y132,"0.##")&amp;" hrs more than policy",IF(AND(N132&gt;0,AO132=0,U132=0),"CHECK - policy says "&amp;TEXT(M132,"0.##")&amp;" hrs to date but nothing in EH",IF(N132&gt;0,"OK","-"))))))</f>
        <v/>
      </c>
      <c r="AB132" s="13" t="str">
        <f aca="false">IF(OR(AC132=0,S132=""),"",AM132*HoursPerDay-S132)</f>
        <v/>
      </c>
      <c r="AC132" s="12" t="n">
        <f aca="false">IF(OR(LEN($A132&amp;$B132)=0,$F132=""),0,1)</f>
        <v>0</v>
      </c>
      <c r="AD132" s="10" t="str">
        <f aca="false">IF(AC132=0,"",IF($I132&lt;&gt;"",$I132,$F132))</f>
        <v/>
      </c>
      <c r="AE132" s="10" t="str">
        <f aca="false">IF(AC132=0,"",IF(AND($G132&lt;&gt;"",$H132&lt;&gt;"",$G132&lt;&gt;$H132),MAX($G132,$H132),""))</f>
        <v/>
      </c>
      <c r="AF132" s="12" t="str">
        <f aca="false">IF(AC132=0,"",IF(AE132="",AG132,IF(IF($G132&lt;$H132,"Part-Time","Full-Time")="Full-Time","FT",IF(AND(IF($G132&lt;$H132,"Part-Time","Full-Time")="Part-Time",OR($O132="",N($O132)&gt;=PT_MinHours)),"PT","None"))))</f>
        <v/>
      </c>
      <c r="AG132" s="12" t="str">
        <f aca="false">IF(AC132=0,"",IF($C132="Full-Time","FT",IF(AND($C132="Part-Time",OR($O132="",N($O132)&gt;=PT_MinHours)),"PT","None")))</f>
        <v/>
      </c>
      <c r="AH132" s="12" t="str">
        <f aca="false">IF(AC132=0,"",IF(AsOfDate&lt;AD132,-1,12*(YEAR(AsOfDate)-YEAR(AD132))+MONTH(AsOfDate)-MONTH(AD132)-IF(DAY(AsOfDate)&lt;MIN(DAY(AD132),DAY(EOMONTH(AsOfDate,0))),1,0)))</f>
        <v/>
      </c>
      <c r="AI132" s="12" t="str">
        <f aca="false">IF(AC132=0,"",IF(OR(AE132="",AE132&gt;AsOfDate),AH132,IF((AE132-1)&lt;AD132,-1,12*(YEAR((AE132-1))-YEAR(AD132))+MONTH((AE132-1))-MONTH(AD132)-IF(DAY((AE132-1))&lt;MIN(DAY(AD132),DAY(EOMONTH((AE132-1),0))),1,0))))</f>
        <v/>
      </c>
      <c r="AJ132" s="12" t="str">
        <f aca="false">IF(AC132=0,"",IF(PFYDate&lt;AD132,-1,12*(YEAR(PFYDate)-YEAR(AD132))+MONTH(PFYDate)-MONTH(AD132)-IF(DAY(PFYDate)&lt;MIN(DAY(AD132),DAY(EOMONTH(PFYDate,0))),1,0)))</f>
        <v/>
      </c>
      <c r="AK132" s="12" t="str">
        <f aca="false">IF(AC132=0,"",IF(OR(AE132="",AE132&gt;PFYDate),AJ132,IF((AE132-1)&lt;AD132,-1,12*(YEAR((AE132-1))-YEAR(AD132))+MONTH((AE132-1))-MONTH(AD132)-IF(DAY((AE132-1))&lt;MIN(DAY(AD132),DAY(EOMONTH((AE132-1),0))),1,0))))</f>
        <v/>
      </c>
      <c r="AL132" s="12" t="str">
        <f aca="false">IF(AC132=0,"",IF(AF132="FT",IF(AI132&lt;FT_First,0,IF(AI132&lt;FT_Y5,1+INT((AI132-FT_First)/FT_Int1),FT_PreY5+FT_PerYear*INT((AI132-FT_Y5)/12)+FT_AnnivDays+INT(MOD(AI132-FT_Y5,12)/FT_Int2))),IF(AF132="PT",IF(AI132&lt;PT_First,0,1+INT((AI132-PT_First)/PT_Int)),0))+IF(OR(AE132="",AE132&gt;AsOfDate),0,IF(AG132="FT",IF(AH132&lt;FT_First,0,IF(AH132&lt;FT_Y5,1+INT((AH132-FT_First)/FT_Int1),FT_PreY5+FT_PerYear*INT((AH132-FT_Y5)/12)+FT_AnnivDays+INT(MOD(AH132-FT_Y5,12)/FT_Int2))),IF(AG132="PT",IF(AH132&lt;PT_First,0,1+INT((AH132-PT_First)/PT_Int)),0))-IF(AG132="FT",IF(AI132&lt;FT_First,0,IF(AI132&lt;FT_Y5,1+INT((AI132-FT_First)/FT_Int1),FT_PreY5+FT_PerYear*INT((AI132-FT_Y5)/12)+FT_AnnivDays+INT(MOD(AI132-FT_Y5,12)/FT_Int2))),IF(AG132="PT",IF(AI132&lt;PT_First,0,1+INT((AI132-PT_First)/PT_Int)),0))))</f>
        <v/>
      </c>
      <c r="AM132" s="12" t="str">
        <f aca="false">IF(AC132=0,"",IF(AF132="FT",IF(AK132&lt;FT_First,0,IF(AK132&lt;FT_Y5,1+INT((AK132-FT_First)/FT_Int1),FT_PreY5+FT_PerYear*INT((AK132-FT_Y5)/12)+FT_AnnivDays+INT(MOD(AK132-FT_Y5,12)/FT_Int2))),IF(AF132="PT",IF(AK132&lt;PT_First,0,1+INT((AK132-PT_First)/PT_Int)),0))+IF(OR(AE132="",AE132&gt;PFYDate),0,IF(AG132="FT",IF(AJ132&lt;FT_First,0,IF(AJ132&lt;FT_Y5,1+INT((AJ132-FT_First)/FT_Int1),FT_PreY5+FT_PerYear*INT((AJ132-FT_Y5)/12)+FT_AnnivDays+INT(MOD(AJ132-FT_Y5,12)/FT_Int2))),IF(AG132="PT",IF(AJ132&lt;PT_First,0,1+INT((AJ132-PT_First)/PT_Int)),0))-IF(AG132="FT",IF(AK132&lt;FT_First,0,IF(AK132&lt;FT_Y5,1+INT((AK132-FT_First)/FT_Int1),FT_PreY5+FT_PerYear*INT((AK132-FT_Y5)/12)+FT_AnnivDays+INT(MOD(AK132-FT_Y5,12)/FT_Int2))),IF(AG132="PT",IF(AK132&lt;PT_First,0,1+INT((AK132-PT_First)/PT_Int)),0))))</f>
        <v/>
      </c>
      <c r="AN132" s="12" t="str">
        <f aca="false">IF(AC132=0,"",IF(AG132="FT",IF(AH132&lt;FT_First,FT_First,IF(AH132&lt;FT_Y5,MIN(FT_Y5,FT_First+FT_Int1*(INT((AH132-FT_First)/FT_Int1)+1)),FT_Y5+12*INT((AH132-FT_Y5)/12)+FT_Int2*(INT(MOD(AH132-FT_Y5,12)/FT_Int2)+1))),IF(AG132="PT",IF(AH132&lt;PT_First,PT_First,PT_First+PT_Int*(INT((AH132-PT_First)/PT_Int)+1)),"")))</f>
        <v/>
      </c>
      <c r="AO132" s="12" t="str">
        <f aca="false">IF(AC132=0,"",IF(NOT(CFY_Ready),0,COUNTIFS(INDEX(CFY_Data,0,CFY_ColFirst),$A132,INDEX(CFY_Data,0,CFY_ColSur),$B132,INDEX(CFY_Data,0,CFY_ColCat),BonusCat)))</f>
        <v/>
      </c>
    </row>
    <row r="133" customFormat="false" ht="15" hidden="false" customHeight="false" outlineLevel="0" collapsed="false">
      <c r="A133" s="15"/>
      <c r="B133" s="15"/>
      <c r="C133" s="15"/>
      <c r="D133" s="16"/>
      <c r="E133" s="10" t="str">
        <f aca="false">IF(OR(AC133=0,$D133=""),"",DATE(YEAR(AsOfDate)+IF(DATE(YEAR(AsOfDate),MONTH($D133),DAY($D133))&lt;=AsOfDate,1,0),MONTH($D133),DAY($D133)))</f>
        <v/>
      </c>
      <c r="F133" s="16"/>
      <c r="G133" s="16"/>
      <c r="H133" s="16"/>
      <c r="I133" s="16"/>
      <c r="J133" s="10" t="str">
        <f aca="false">IF(AC133=0,"",DATE(YEAR(AsOfDate)+IF(DATE(YEAR(AsOfDate),MONTH($F133),DAY($F133))&lt;=AsOfDate,1,0),MONTH($F133),DAY($F133)))</f>
        <v/>
      </c>
      <c r="K133" s="11" t="str">
        <f aca="false">IF(AC133=0,"",ROUND((AsOfDate-$F133)/365.25,1))</f>
        <v/>
      </c>
      <c r="L133" s="12" t="str">
        <f aca="false">IF(AC133=0,"",IF(AsOfDate&lt;AD133,"-",DATEDIF(AD133,AsOfDate,"y")&amp;"y "&amp;DATEDIF(AD133,AsOfDate,"ym")&amp;"m "&amp;DATEDIF(AD133,AsOfDate,"md")&amp;"d"))</f>
        <v/>
      </c>
      <c r="M133" s="13" t="str">
        <f aca="false">IF(AC133=0,"",N133*HoursPerDay)</f>
        <v/>
      </c>
      <c r="N133" s="13" t="str">
        <f aca="false">IF(AC133=0,"",AL133)</f>
        <v/>
      </c>
      <c r="O133" s="17"/>
      <c r="P133" s="12" t="str">
        <f aca="false">IF(AC133=0,"",IF(AE133="","",IF($G133&lt;$H133,"Part-Time to Full-Time","Full-Time to Part-Time")&amp;" on "&amp;TEXT(AE133,"dd/mm/yyyy")&amp;IF(AE133&gt;AsOfDate," (future)",IF(AF133=AG133,"",IF(AG133="None"," - STOPPED accruing",IF(AF133="None"," - now qualifying"," - pathway changed"))))))</f>
        <v/>
      </c>
      <c r="Q133" s="12" t="str">
        <f aca="false">IF(AC133=0,"",IF(AG133="None",IF(N133&gt;0,"No longer accruing","Not eligible - "&amp;IF(AND($C133="Part-Time",N($O133)&lt;PT_MinHours,$O133&lt;&gt;""),"under "&amp;PT_MinHours&amp;" hrs",$C133)),IF(N133&gt;0,"Yes - accruing","Not yet - from "&amp;TEXT(R133,"dd/mm/yyyy"))))</f>
        <v/>
      </c>
      <c r="R133" s="10" t="str">
        <f aca="false">IF(AC133=0,"",IF(AG133="None","",EDATE(AD133,AN133)))</f>
        <v/>
      </c>
      <c r="S133" s="13" t="str">
        <f aca="false">IF(AC133=0,"",IF(NOT(PFY_Ready),"",SUMIFS(INDEX(PFY_Data,0,PFY_ColBal),INDEX(PFY_Data,0,PFY_ColFirst),$A133,INDEX(PFY_Data,0,PFY_ColSur),$B133,INDEX(PFY_Data,0,PFY_ColCat),BonusCat)))</f>
        <v/>
      </c>
      <c r="T133" s="17"/>
      <c r="U133" s="13" t="str">
        <f aca="false">IF(AC133=0,"",IF(NOT(CFY_Ready),"",SUMIFS(INDEX(CFY_Data,0,CFY_ColBal),INDEX(CFY_Data,0,CFY_ColFirst),$A133,INDEX(CFY_Data,0,CFY_ColSur),$B133,INDEX(CFY_Data,0,CFY_ColCat),BonusCat)))</f>
        <v/>
      </c>
      <c r="V133" s="13" t="str">
        <f aca="false">IF(AC133=0,"",IF(OR(NOT(CFY_Ready),CFY_ColAppr=0),"",SUMIFS(INDEX(CFY_Data,0,CFY_ColAppr),INDEX(CFY_Data,0,CFY_ColFirst),$A133,INDEX(CFY_Data,0,CFY_ColSur),$B133,INDEX(CFY_Data,0,CFY_ColCat),BonusCat)))</f>
        <v/>
      </c>
      <c r="W133" s="13" t="str">
        <f aca="false">IF(OR(AC133=0,S133="",U133=""),"",MAX(0,S133+N($T133)-U133))</f>
        <v/>
      </c>
      <c r="X133" s="13" t="str">
        <f aca="false">IF(AC133=0,"",(AL133-AM133)*HoursPerDay)</f>
        <v/>
      </c>
      <c r="Y133" s="13" t="str">
        <f aca="false">IF(AC133=0,"",X133-N($T133))</f>
        <v/>
      </c>
      <c r="Z133" s="12" t="str">
        <f aca="false">IF(AC133=0,"",IF(Y133&gt;0,"Yes","No"))</f>
        <v/>
      </c>
      <c r="AA133" s="12" t="str">
        <f aca="false">IF(AC133=0,"",IF(NOT(CFY_Ready),"Paste CFY EH export",IF(Y133&gt;0,"ACCRUE "&amp;TEXT(Y133,"0.##")&amp;" hrs ("&amp;TEXT(Y133/HoursPerDay,"0.##")&amp;" days)"&amp;IF(AO133=0," - no Bonus Leave line in EH yet",""),IF(Y133&lt;0,"CHECK - posted "&amp;TEXT(-Y133,"0.##")&amp;" hrs more than policy",IF(AND(N133&gt;0,AO133=0,U133=0),"CHECK - policy says "&amp;TEXT(M133,"0.##")&amp;" hrs to date but nothing in EH",IF(N133&gt;0,"OK","-"))))))</f>
        <v/>
      </c>
      <c r="AB133" s="13" t="str">
        <f aca="false">IF(OR(AC133=0,S133=""),"",AM133*HoursPerDay-S133)</f>
        <v/>
      </c>
      <c r="AC133" s="12" t="n">
        <f aca="false">IF(OR(LEN($A133&amp;$B133)=0,$F133=""),0,1)</f>
        <v>0</v>
      </c>
      <c r="AD133" s="10" t="str">
        <f aca="false">IF(AC133=0,"",IF($I133&lt;&gt;"",$I133,$F133))</f>
        <v/>
      </c>
      <c r="AE133" s="10" t="str">
        <f aca="false">IF(AC133=0,"",IF(AND($G133&lt;&gt;"",$H133&lt;&gt;"",$G133&lt;&gt;$H133),MAX($G133,$H133),""))</f>
        <v/>
      </c>
      <c r="AF133" s="12" t="str">
        <f aca="false">IF(AC133=0,"",IF(AE133="",AG133,IF(IF($G133&lt;$H133,"Part-Time","Full-Time")="Full-Time","FT",IF(AND(IF($G133&lt;$H133,"Part-Time","Full-Time")="Part-Time",OR($O133="",N($O133)&gt;=PT_MinHours)),"PT","None"))))</f>
        <v/>
      </c>
      <c r="AG133" s="12" t="str">
        <f aca="false">IF(AC133=0,"",IF($C133="Full-Time","FT",IF(AND($C133="Part-Time",OR($O133="",N($O133)&gt;=PT_MinHours)),"PT","None")))</f>
        <v/>
      </c>
      <c r="AH133" s="12" t="str">
        <f aca="false">IF(AC133=0,"",IF(AsOfDate&lt;AD133,-1,12*(YEAR(AsOfDate)-YEAR(AD133))+MONTH(AsOfDate)-MONTH(AD133)-IF(DAY(AsOfDate)&lt;MIN(DAY(AD133),DAY(EOMONTH(AsOfDate,0))),1,0)))</f>
        <v/>
      </c>
      <c r="AI133" s="12" t="str">
        <f aca="false">IF(AC133=0,"",IF(OR(AE133="",AE133&gt;AsOfDate),AH133,IF((AE133-1)&lt;AD133,-1,12*(YEAR((AE133-1))-YEAR(AD133))+MONTH((AE133-1))-MONTH(AD133)-IF(DAY((AE133-1))&lt;MIN(DAY(AD133),DAY(EOMONTH((AE133-1),0))),1,0))))</f>
        <v/>
      </c>
      <c r="AJ133" s="12" t="str">
        <f aca="false">IF(AC133=0,"",IF(PFYDate&lt;AD133,-1,12*(YEAR(PFYDate)-YEAR(AD133))+MONTH(PFYDate)-MONTH(AD133)-IF(DAY(PFYDate)&lt;MIN(DAY(AD133),DAY(EOMONTH(PFYDate,0))),1,0)))</f>
        <v/>
      </c>
      <c r="AK133" s="12" t="str">
        <f aca="false">IF(AC133=0,"",IF(OR(AE133="",AE133&gt;PFYDate),AJ133,IF((AE133-1)&lt;AD133,-1,12*(YEAR((AE133-1))-YEAR(AD133))+MONTH((AE133-1))-MONTH(AD133)-IF(DAY((AE133-1))&lt;MIN(DAY(AD133),DAY(EOMONTH((AE133-1),0))),1,0))))</f>
        <v/>
      </c>
      <c r="AL133" s="12" t="str">
        <f aca="false">IF(AC133=0,"",IF(AF133="FT",IF(AI133&lt;FT_First,0,IF(AI133&lt;FT_Y5,1+INT((AI133-FT_First)/FT_Int1),FT_PreY5+FT_PerYear*INT((AI133-FT_Y5)/12)+FT_AnnivDays+INT(MOD(AI133-FT_Y5,12)/FT_Int2))),IF(AF133="PT",IF(AI133&lt;PT_First,0,1+INT((AI133-PT_First)/PT_Int)),0))+IF(OR(AE133="",AE133&gt;AsOfDate),0,IF(AG133="FT",IF(AH133&lt;FT_First,0,IF(AH133&lt;FT_Y5,1+INT((AH133-FT_First)/FT_Int1),FT_PreY5+FT_PerYear*INT((AH133-FT_Y5)/12)+FT_AnnivDays+INT(MOD(AH133-FT_Y5,12)/FT_Int2))),IF(AG133="PT",IF(AH133&lt;PT_First,0,1+INT((AH133-PT_First)/PT_Int)),0))-IF(AG133="FT",IF(AI133&lt;FT_First,0,IF(AI133&lt;FT_Y5,1+INT((AI133-FT_First)/FT_Int1),FT_PreY5+FT_PerYear*INT((AI133-FT_Y5)/12)+FT_AnnivDays+INT(MOD(AI133-FT_Y5,12)/FT_Int2))),IF(AG133="PT",IF(AI133&lt;PT_First,0,1+INT((AI133-PT_First)/PT_Int)),0))))</f>
        <v/>
      </c>
      <c r="AM133" s="12" t="str">
        <f aca="false">IF(AC133=0,"",IF(AF133="FT",IF(AK133&lt;FT_First,0,IF(AK133&lt;FT_Y5,1+INT((AK133-FT_First)/FT_Int1),FT_PreY5+FT_PerYear*INT((AK133-FT_Y5)/12)+FT_AnnivDays+INT(MOD(AK133-FT_Y5,12)/FT_Int2))),IF(AF133="PT",IF(AK133&lt;PT_First,0,1+INT((AK133-PT_First)/PT_Int)),0))+IF(OR(AE133="",AE133&gt;PFYDate),0,IF(AG133="FT",IF(AJ133&lt;FT_First,0,IF(AJ133&lt;FT_Y5,1+INT((AJ133-FT_First)/FT_Int1),FT_PreY5+FT_PerYear*INT((AJ133-FT_Y5)/12)+FT_AnnivDays+INT(MOD(AJ133-FT_Y5,12)/FT_Int2))),IF(AG133="PT",IF(AJ133&lt;PT_First,0,1+INT((AJ133-PT_First)/PT_Int)),0))-IF(AG133="FT",IF(AK133&lt;FT_First,0,IF(AK133&lt;FT_Y5,1+INT((AK133-FT_First)/FT_Int1),FT_PreY5+FT_PerYear*INT((AK133-FT_Y5)/12)+FT_AnnivDays+INT(MOD(AK133-FT_Y5,12)/FT_Int2))),IF(AG133="PT",IF(AK133&lt;PT_First,0,1+INT((AK133-PT_First)/PT_Int)),0))))</f>
        <v/>
      </c>
      <c r="AN133" s="12" t="str">
        <f aca="false">IF(AC133=0,"",IF(AG133="FT",IF(AH133&lt;FT_First,FT_First,IF(AH133&lt;FT_Y5,MIN(FT_Y5,FT_First+FT_Int1*(INT((AH133-FT_First)/FT_Int1)+1)),FT_Y5+12*INT((AH133-FT_Y5)/12)+FT_Int2*(INT(MOD(AH133-FT_Y5,12)/FT_Int2)+1))),IF(AG133="PT",IF(AH133&lt;PT_First,PT_First,PT_First+PT_Int*(INT((AH133-PT_First)/PT_Int)+1)),"")))</f>
        <v/>
      </c>
      <c r="AO133" s="12" t="str">
        <f aca="false">IF(AC133=0,"",IF(NOT(CFY_Ready),0,COUNTIFS(INDEX(CFY_Data,0,CFY_ColFirst),$A133,INDEX(CFY_Data,0,CFY_ColSur),$B133,INDEX(CFY_Data,0,CFY_ColCat),BonusCat)))</f>
        <v/>
      </c>
    </row>
    <row r="134" customFormat="false" ht="15" hidden="false" customHeight="false" outlineLevel="0" collapsed="false">
      <c r="A134" s="15"/>
      <c r="B134" s="15"/>
      <c r="C134" s="15"/>
      <c r="D134" s="16"/>
      <c r="E134" s="10" t="str">
        <f aca="false">IF(OR(AC134=0,$D134=""),"",DATE(YEAR(AsOfDate)+IF(DATE(YEAR(AsOfDate),MONTH($D134),DAY($D134))&lt;=AsOfDate,1,0),MONTH($D134),DAY($D134)))</f>
        <v/>
      </c>
      <c r="F134" s="16"/>
      <c r="G134" s="16"/>
      <c r="H134" s="16"/>
      <c r="I134" s="16"/>
      <c r="J134" s="10" t="str">
        <f aca="false">IF(AC134=0,"",DATE(YEAR(AsOfDate)+IF(DATE(YEAR(AsOfDate),MONTH($F134),DAY($F134))&lt;=AsOfDate,1,0),MONTH($F134),DAY($F134)))</f>
        <v/>
      </c>
      <c r="K134" s="11" t="str">
        <f aca="false">IF(AC134=0,"",ROUND((AsOfDate-$F134)/365.25,1))</f>
        <v/>
      </c>
      <c r="L134" s="12" t="str">
        <f aca="false">IF(AC134=0,"",IF(AsOfDate&lt;AD134,"-",DATEDIF(AD134,AsOfDate,"y")&amp;"y "&amp;DATEDIF(AD134,AsOfDate,"ym")&amp;"m "&amp;DATEDIF(AD134,AsOfDate,"md")&amp;"d"))</f>
        <v/>
      </c>
      <c r="M134" s="13" t="str">
        <f aca="false">IF(AC134=0,"",N134*HoursPerDay)</f>
        <v/>
      </c>
      <c r="N134" s="13" t="str">
        <f aca="false">IF(AC134=0,"",AL134)</f>
        <v/>
      </c>
      <c r="O134" s="17"/>
      <c r="P134" s="12" t="str">
        <f aca="false">IF(AC134=0,"",IF(AE134="","",IF($G134&lt;$H134,"Part-Time to Full-Time","Full-Time to Part-Time")&amp;" on "&amp;TEXT(AE134,"dd/mm/yyyy")&amp;IF(AE134&gt;AsOfDate," (future)",IF(AF134=AG134,"",IF(AG134="None"," - STOPPED accruing",IF(AF134="None"," - now qualifying"," - pathway changed"))))))</f>
        <v/>
      </c>
      <c r="Q134" s="12" t="str">
        <f aca="false">IF(AC134=0,"",IF(AG134="None",IF(N134&gt;0,"No longer accruing","Not eligible - "&amp;IF(AND($C134="Part-Time",N($O134)&lt;PT_MinHours,$O134&lt;&gt;""),"under "&amp;PT_MinHours&amp;" hrs",$C134)),IF(N134&gt;0,"Yes - accruing","Not yet - from "&amp;TEXT(R134,"dd/mm/yyyy"))))</f>
        <v/>
      </c>
      <c r="R134" s="10" t="str">
        <f aca="false">IF(AC134=0,"",IF(AG134="None","",EDATE(AD134,AN134)))</f>
        <v/>
      </c>
      <c r="S134" s="13" t="str">
        <f aca="false">IF(AC134=0,"",IF(NOT(PFY_Ready),"",SUMIFS(INDEX(PFY_Data,0,PFY_ColBal),INDEX(PFY_Data,0,PFY_ColFirst),$A134,INDEX(PFY_Data,0,PFY_ColSur),$B134,INDEX(PFY_Data,0,PFY_ColCat),BonusCat)))</f>
        <v/>
      </c>
      <c r="T134" s="17"/>
      <c r="U134" s="13" t="str">
        <f aca="false">IF(AC134=0,"",IF(NOT(CFY_Ready),"",SUMIFS(INDEX(CFY_Data,0,CFY_ColBal),INDEX(CFY_Data,0,CFY_ColFirst),$A134,INDEX(CFY_Data,0,CFY_ColSur),$B134,INDEX(CFY_Data,0,CFY_ColCat),BonusCat)))</f>
        <v/>
      </c>
      <c r="V134" s="13" t="str">
        <f aca="false">IF(AC134=0,"",IF(OR(NOT(CFY_Ready),CFY_ColAppr=0),"",SUMIFS(INDEX(CFY_Data,0,CFY_ColAppr),INDEX(CFY_Data,0,CFY_ColFirst),$A134,INDEX(CFY_Data,0,CFY_ColSur),$B134,INDEX(CFY_Data,0,CFY_ColCat),BonusCat)))</f>
        <v/>
      </c>
      <c r="W134" s="13" t="str">
        <f aca="false">IF(OR(AC134=0,S134="",U134=""),"",MAX(0,S134+N($T134)-U134))</f>
        <v/>
      </c>
      <c r="X134" s="13" t="str">
        <f aca="false">IF(AC134=0,"",(AL134-AM134)*HoursPerDay)</f>
        <v/>
      </c>
      <c r="Y134" s="13" t="str">
        <f aca="false">IF(AC134=0,"",X134-N($T134))</f>
        <v/>
      </c>
      <c r="Z134" s="12" t="str">
        <f aca="false">IF(AC134=0,"",IF(Y134&gt;0,"Yes","No"))</f>
        <v/>
      </c>
      <c r="AA134" s="12" t="str">
        <f aca="false">IF(AC134=0,"",IF(NOT(CFY_Ready),"Paste CFY EH export",IF(Y134&gt;0,"ACCRUE "&amp;TEXT(Y134,"0.##")&amp;" hrs ("&amp;TEXT(Y134/HoursPerDay,"0.##")&amp;" days)"&amp;IF(AO134=0," - no Bonus Leave line in EH yet",""),IF(Y134&lt;0,"CHECK - posted "&amp;TEXT(-Y134,"0.##")&amp;" hrs more than policy",IF(AND(N134&gt;0,AO134=0,U134=0),"CHECK - policy says "&amp;TEXT(M134,"0.##")&amp;" hrs to date but nothing in EH",IF(N134&gt;0,"OK","-"))))))</f>
        <v/>
      </c>
      <c r="AB134" s="13" t="str">
        <f aca="false">IF(OR(AC134=0,S134=""),"",AM134*HoursPerDay-S134)</f>
        <v/>
      </c>
      <c r="AC134" s="12" t="n">
        <f aca="false">IF(OR(LEN($A134&amp;$B134)=0,$F134=""),0,1)</f>
        <v>0</v>
      </c>
      <c r="AD134" s="10" t="str">
        <f aca="false">IF(AC134=0,"",IF($I134&lt;&gt;"",$I134,$F134))</f>
        <v/>
      </c>
      <c r="AE134" s="10" t="str">
        <f aca="false">IF(AC134=0,"",IF(AND($G134&lt;&gt;"",$H134&lt;&gt;"",$G134&lt;&gt;$H134),MAX($G134,$H134),""))</f>
        <v/>
      </c>
      <c r="AF134" s="12" t="str">
        <f aca="false">IF(AC134=0,"",IF(AE134="",AG134,IF(IF($G134&lt;$H134,"Part-Time","Full-Time")="Full-Time","FT",IF(AND(IF($G134&lt;$H134,"Part-Time","Full-Time")="Part-Time",OR($O134="",N($O134)&gt;=PT_MinHours)),"PT","None"))))</f>
        <v/>
      </c>
      <c r="AG134" s="12" t="str">
        <f aca="false">IF(AC134=0,"",IF($C134="Full-Time","FT",IF(AND($C134="Part-Time",OR($O134="",N($O134)&gt;=PT_MinHours)),"PT","None")))</f>
        <v/>
      </c>
      <c r="AH134" s="12" t="str">
        <f aca="false">IF(AC134=0,"",IF(AsOfDate&lt;AD134,-1,12*(YEAR(AsOfDate)-YEAR(AD134))+MONTH(AsOfDate)-MONTH(AD134)-IF(DAY(AsOfDate)&lt;MIN(DAY(AD134),DAY(EOMONTH(AsOfDate,0))),1,0)))</f>
        <v/>
      </c>
      <c r="AI134" s="12" t="str">
        <f aca="false">IF(AC134=0,"",IF(OR(AE134="",AE134&gt;AsOfDate),AH134,IF((AE134-1)&lt;AD134,-1,12*(YEAR((AE134-1))-YEAR(AD134))+MONTH((AE134-1))-MONTH(AD134)-IF(DAY((AE134-1))&lt;MIN(DAY(AD134),DAY(EOMONTH((AE134-1),0))),1,0))))</f>
        <v/>
      </c>
      <c r="AJ134" s="12" t="str">
        <f aca="false">IF(AC134=0,"",IF(PFYDate&lt;AD134,-1,12*(YEAR(PFYDate)-YEAR(AD134))+MONTH(PFYDate)-MONTH(AD134)-IF(DAY(PFYDate)&lt;MIN(DAY(AD134),DAY(EOMONTH(PFYDate,0))),1,0)))</f>
        <v/>
      </c>
      <c r="AK134" s="12" t="str">
        <f aca="false">IF(AC134=0,"",IF(OR(AE134="",AE134&gt;PFYDate),AJ134,IF((AE134-1)&lt;AD134,-1,12*(YEAR((AE134-1))-YEAR(AD134))+MONTH((AE134-1))-MONTH(AD134)-IF(DAY((AE134-1))&lt;MIN(DAY(AD134),DAY(EOMONTH((AE134-1),0))),1,0))))</f>
        <v/>
      </c>
      <c r="AL134" s="12" t="str">
        <f aca="false">IF(AC134=0,"",IF(AF134="FT",IF(AI134&lt;FT_First,0,IF(AI134&lt;FT_Y5,1+INT((AI134-FT_First)/FT_Int1),FT_PreY5+FT_PerYear*INT((AI134-FT_Y5)/12)+FT_AnnivDays+INT(MOD(AI134-FT_Y5,12)/FT_Int2))),IF(AF134="PT",IF(AI134&lt;PT_First,0,1+INT((AI134-PT_First)/PT_Int)),0))+IF(OR(AE134="",AE134&gt;AsOfDate),0,IF(AG134="FT",IF(AH134&lt;FT_First,0,IF(AH134&lt;FT_Y5,1+INT((AH134-FT_First)/FT_Int1),FT_PreY5+FT_PerYear*INT((AH134-FT_Y5)/12)+FT_AnnivDays+INT(MOD(AH134-FT_Y5,12)/FT_Int2))),IF(AG134="PT",IF(AH134&lt;PT_First,0,1+INT((AH134-PT_First)/PT_Int)),0))-IF(AG134="FT",IF(AI134&lt;FT_First,0,IF(AI134&lt;FT_Y5,1+INT((AI134-FT_First)/FT_Int1),FT_PreY5+FT_PerYear*INT((AI134-FT_Y5)/12)+FT_AnnivDays+INT(MOD(AI134-FT_Y5,12)/FT_Int2))),IF(AG134="PT",IF(AI134&lt;PT_First,0,1+INT((AI134-PT_First)/PT_Int)),0))))</f>
        <v/>
      </c>
      <c r="AM134" s="12" t="str">
        <f aca="false">IF(AC134=0,"",IF(AF134="FT",IF(AK134&lt;FT_First,0,IF(AK134&lt;FT_Y5,1+INT((AK134-FT_First)/FT_Int1),FT_PreY5+FT_PerYear*INT((AK134-FT_Y5)/12)+FT_AnnivDays+INT(MOD(AK134-FT_Y5,12)/FT_Int2))),IF(AF134="PT",IF(AK134&lt;PT_First,0,1+INT((AK134-PT_First)/PT_Int)),0))+IF(OR(AE134="",AE134&gt;PFYDate),0,IF(AG134="FT",IF(AJ134&lt;FT_First,0,IF(AJ134&lt;FT_Y5,1+INT((AJ134-FT_First)/FT_Int1),FT_PreY5+FT_PerYear*INT((AJ134-FT_Y5)/12)+FT_AnnivDays+INT(MOD(AJ134-FT_Y5,12)/FT_Int2))),IF(AG134="PT",IF(AJ134&lt;PT_First,0,1+INT((AJ134-PT_First)/PT_Int)),0))-IF(AG134="FT",IF(AK134&lt;FT_First,0,IF(AK134&lt;FT_Y5,1+INT((AK134-FT_First)/FT_Int1),FT_PreY5+FT_PerYear*INT((AK134-FT_Y5)/12)+FT_AnnivDays+INT(MOD(AK134-FT_Y5,12)/FT_Int2))),IF(AG134="PT",IF(AK134&lt;PT_First,0,1+INT((AK134-PT_First)/PT_Int)),0))))</f>
        <v/>
      </c>
      <c r="AN134" s="12" t="str">
        <f aca="false">IF(AC134=0,"",IF(AG134="FT",IF(AH134&lt;FT_First,FT_First,IF(AH134&lt;FT_Y5,MIN(FT_Y5,FT_First+FT_Int1*(INT((AH134-FT_First)/FT_Int1)+1)),FT_Y5+12*INT((AH134-FT_Y5)/12)+FT_Int2*(INT(MOD(AH134-FT_Y5,12)/FT_Int2)+1))),IF(AG134="PT",IF(AH134&lt;PT_First,PT_First,PT_First+PT_Int*(INT((AH134-PT_First)/PT_Int)+1)),"")))</f>
        <v/>
      </c>
      <c r="AO134" s="12" t="str">
        <f aca="false">IF(AC134=0,"",IF(NOT(CFY_Ready),0,COUNTIFS(INDEX(CFY_Data,0,CFY_ColFirst),$A134,INDEX(CFY_Data,0,CFY_ColSur),$B134,INDEX(CFY_Data,0,CFY_ColCat),BonusCat)))</f>
        <v/>
      </c>
    </row>
    <row r="135" customFormat="false" ht="15" hidden="false" customHeight="false" outlineLevel="0" collapsed="false">
      <c r="A135" s="15"/>
      <c r="B135" s="15"/>
      <c r="C135" s="15"/>
      <c r="D135" s="16"/>
      <c r="E135" s="10" t="str">
        <f aca="false">IF(OR(AC135=0,$D135=""),"",DATE(YEAR(AsOfDate)+IF(DATE(YEAR(AsOfDate),MONTH($D135),DAY($D135))&lt;=AsOfDate,1,0),MONTH($D135),DAY($D135)))</f>
        <v/>
      </c>
      <c r="F135" s="16"/>
      <c r="G135" s="16"/>
      <c r="H135" s="16"/>
      <c r="I135" s="16"/>
      <c r="J135" s="10" t="str">
        <f aca="false">IF(AC135=0,"",DATE(YEAR(AsOfDate)+IF(DATE(YEAR(AsOfDate),MONTH($F135),DAY($F135))&lt;=AsOfDate,1,0),MONTH($F135),DAY($F135)))</f>
        <v/>
      </c>
      <c r="K135" s="11" t="str">
        <f aca="false">IF(AC135=0,"",ROUND((AsOfDate-$F135)/365.25,1))</f>
        <v/>
      </c>
      <c r="L135" s="12" t="str">
        <f aca="false">IF(AC135=0,"",IF(AsOfDate&lt;AD135,"-",DATEDIF(AD135,AsOfDate,"y")&amp;"y "&amp;DATEDIF(AD135,AsOfDate,"ym")&amp;"m "&amp;DATEDIF(AD135,AsOfDate,"md")&amp;"d"))</f>
        <v/>
      </c>
      <c r="M135" s="13" t="str">
        <f aca="false">IF(AC135=0,"",N135*HoursPerDay)</f>
        <v/>
      </c>
      <c r="N135" s="13" t="str">
        <f aca="false">IF(AC135=0,"",AL135)</f>
        <v/>
      </c>
      <c r="O135" s="17"/>
      <c r="P135" s="12" t="str">
        <f aca="false">IF(AC135=0,"",IF(AE135="","",IF($G135&lt;$H135,"Part-Time to Full-Time","Full-Time to Part-Time")&amp;" on "&amp;TEXT(AE135,"dd/mm/yyyy")&amp;IF(AE135&gt;AsOfDate," (future)",IF(AF135=AG135,"",IF(AG135="None"," - STOPPED accruing",IF(AF135="None"," - now qualifying"," - pathway changed"))))))</f>
        <v/>
      </c>
      <c r="Q135" s="12" t="str">
        <f aca="false">IF(AC135=0,"",IF(AG135="None",IF(N135&gt;0,"No longer accruing","Not eligible - "&amp;IF(AND($C135="Part-Time",N($O135)&lt;PT_MinHours,$O135&lt;&gt;""),"under "&amp;PT_MinHours&amp;" hrs",$C135)),IF(N135&gt;0,"Yes - accruing","Not yet - from "&amp;TEXT(R135,"dd/mm/yyyy"))))</f>
        <v/>
      </c>
      <c r="R135" s="10" t="str">
        <f aca="false">IF(AC135=0,"",IF(AG135="None","",EDATE(AD135,AN135)))</f>
        <v/>
      </c>
      <c r="S135" s="13" t="str">
        <f aca="false">IF(AC135=0,"",IF(NOT(PFY_Ready),"",SUMIFS(INDEX(PFY_Data,0,PFY_ColBal),INDEX(PFY_Data,0,PFY_ColFirst),$A135,INDEX(PFY_Data,0,PFY_ColSur),$B135,INDEX(PFY_Data,0,PFY_ColCat),BonusCat)))</f>
        <v/>
      </c>
      <c r="T135" s="17"/>
      <c r="U135" s="13" t="str">
        <f aca="false">IF(AC135=0,"",IF(NOT(CFY_Ready),"",SUMIFS(INDEX(CFY_Data,0,CFY_ColBal),INDEX(CFY_Data,0,CFY_ColFirst),$A135,INDEX(CFY_Data,0,CFY_ColSur),$B135,INDEX(CFY_Data,0,CFY_ColCat),BonusCat)))</f>
        <v/>
      </c>
      <c r="V135" s="13" t="str">
        <f aca="false">IF(AC135=0,"",IF(OR(NOT(CFY_Ready),CFY_ColAppr=0),"",SUMIFS(INDEX(CFY_Data,0,CFY_ColAppr),INDEX(CFY_Data,0,CFY_ColFirst),$A135,INDEX(CFY_Data,0,CFY_ColSur),$B135,INDEX(CFY_Data,0,CFY_ColCat),BonusCat)))</f>
        <v/>
      </c>
      <c r="W135" s="13" t="str">
        <f aca="false">IF(OR(AC135=0,S135="",U135=""),"",MAX(0,S135+N($T135)-U135))</f>
        <v/>
      </c>
      <c r="X135" s="13" t="str">
        <f aca="false">IF(AC135=0,"",(AL135-AM135)*HoursPerDay)</f>
        <v/>
      </c>
      <c r="Y135" s="13" t="str">
        <f aca="false">IF(AC135=0,"",X135-N($T135))</f>
        <v/>
      </c>
      <c r="Z135" s="12" t="str">
        <f aca="false">IF(AC135=0,"",IF(Y135&gt;0,"Yes","No"))</f>
        <v/>
      </c>
      <c r="AA135" s="12" t="str">
        <f aca="false">IF(AC135=0,"",IF(NOT(CFY_Ready),"Paste CFY EH export",IF(Y135&gt;0,"ACCRUE "&amp;TEXT(Y135,"0.##")&amp;" hrs ("&amp;TEXT(Y135/HoursPerDay,"0.##")&amp;" days)"&amp;IF(AO135=0," - no Bonus Leave line in EH yet",""),IF(Y135&lt;0,"CHECK - posted "&amp;TEXT(-Y135,"0.##")&amp;" hrs more than policy",IF(AND(N135&gt;0,AO135=0,U135=0),"CHECK - policy says "&amp;TEXT(M135,"0.##")&amp;" hrs to date but nothing in EH",IF(N135&gt;0,"OK","-"))))))</f>
        <v/>
      </c>
      <c r="AB135" s="13" t="str">
        <f aca="false">IF(OR(AC135=0,S135=""),"",AM135*HoursPerDay-S135)</f>
        <v/>
      </c>
      <c r="AC135" s="12" t="n">
        <f aca="false">IF(OR(LEN($A135&amp;$B135)=0,$F135=""),0,1)</f>
        <v>0</v>
      </c>
      <c r="AD135" s="10" t="str">
        <f aca="false">IF(AC135=0,"",IF($I135&lt;&gt;"",$I135,$F135))</f>
        <v/>
      </c>
      <c r="AE135" s="10" t="str">
        <f aca="false">IF(AC135=0,"",IF(AND($G135&lt;&gt;"",$H135&lt;&gt;"",$G135&lt;&gt;$H135),MAX($G135,$H135),""))</f>
        <v/>
      </c>
      <c r="AF135" s="12" t="str">
        <f aca="false">IF(AC135=0,"",IF(AE135="",AG135,IF(IF($G135&lt;$H135,"Part-Time","Full-Time")="Full-Time","FT",IF(AND(IF($G135&lt;$H135,"Part-Time","Full-Time")="Part-Time",OR($O135="",N($O135)&gt;=PT_MinHours)),"PT","None"))))</f>
        <v/>
      </c>
      <c r="AG135" s="12" t="str">
        <f aca="false">IF(AC135=0,"",IF($C135="Full-Time","FT",IF(AND($C135="Part-Time",OR($O135="",N($O135)&gt;=PT_MinHours)),"PT","None")))</f>
        <v/>
      </c>
      <c r="AH135" s="12" t="str">
        <f aca="false">IF(AC135=0,"",IF(AsOfDate&lt;AD135,-1,12*(YEAR(AsOfDate)-YEAR(AD135))+MONTH(AsOfDate)-MONTH(AD135)-IF(DAY(AsOfDate)&lt;MIN(DAY(AD135),DAY(EOMONTH(AsOfDate,0))),1,0)))</f>
        <v/>
      </c>
      <c r="AI135" s="12" t="str">
        <f aca="false">IF(AC135=0,"",IF(OR(AE135="",AE135&gt;AsOfDate),AH135,IF((AE135-1)&lt;AD135,-1,12*(YEAR((AE135-1))-YEAR(AD135))+MONTH((AE135-1))-MONTH(AD135)-IF(DAY((AE135-1))&lt;MIN(DAY(AD135),DAY(EOMONTH((AE135-1),0))),1,0))))</f>
        <v/>
      </c>
      <c r="AJ135" s="12" t="str">
        <f aca="false">IF(AC135=0,"",IF(PFYDate&lt;AD135,-1,12*(YEAR(PFYDate)-YEAR(AD135))+MONTH(PFYDate)-MONTH(AD135)-IF(DAY(PFYDate)&lt;MIN(DAY(AD135),DAY(EOMONTH(PFYDate,0))),1,0)))</f>
        <v/>
      </c>
      <c r="AK135" s="12" t="str">
        <f aca="false">IF(AC135=0,"",IF(OR(AE135="",AE135&gt;PFYDate),AJ135,IF((AE135-1)&lt;AD135,-1,12*(YEAR((AE135-1))-YEAR(AD135))+MONTH((AE135-1))-MONTH(AD135)-IF(DAY((AE135-1))&lt;MIN(DAY(AD135),DAY(EOMONTH((AE135-1),0))),1,0))))</f>
        <v/>
      </c>
      <c r="AL135" s="12" t="str">
        <f aca="false">IF(AC135=0,"",IF(AF135="FT",IF(AI135&lt;FT_First,0,IF(AI135&lt;FT_Y5,1+INT((AI135-FT_First)/FT_Int1),FT_PreY5+FT_PerYear*INT((AI135-FT_Y5)/12)+FT_AnnivDays+INT(MOD(AI135-FT_Y5,12)/FT_Int2))),IF(AF135="PT",IF(AI135&lt;PT_First,0,1+INT((AI135-PT_First)/PT_Int)),0))+IF(OR(AE135="",AE135&gt;AsOfDate),0,IF(AG135="FT",IF(AH135&lt;FT_First,0,IF(AH135&lt;FT_Y5,1+INT((AH135-FT_First)/FT_Int1),FT_PreY5+FT_PerYear*INT((AH135-FT_Y5)/12)+FT_AnnivDays+INT(MOD(AH135-FT_Y5,12)/FT_Int2))),IF(AG135="PT",IF(AH135&lt;PT_First,0,1+INT((AH135-PT_First)/PT_Int)),0))-IF(AG135="FT",IF(AI135&lt;FT_First,0,IF(AI135&lt;FT_Y5,1+INT((AI135-FT_First)/FT_Int1),FT_PreY5+FT_PerYear*INT((AI135-FT_Y5)/12)+FT_AnnivDays+INT(MOD(AI135-FT_Y5,12)/FT_Int2))),IF(AG135="PT",IF(AI135&lt;PT_First,0,1+INT((AI135-PT_First)/PT_Int)),0))))</f>
        <v/>
      </c>
      <c r="AM135" s="12" t="str">
        <f aca="false">IF(AC135=0,"",IF(AF135="FT",IF(AK135&lt;FT_First,0,IF(AK135&lt;FT_Y5,1+INT((AK135-FT_First)/FT_Int1),FT_PreY5+FT_PerYear*INT((AK135-FT_Y5)/12)+FT_AnnivDays+INT(MOD(AK135-FT_Y5,12)/FT_Int2))),IF(AF135="PT",IF(AK135&lt;PT_First,0,1+INT((AK135-PT_First)/PT_Int)),0))+IF(OR(AE135="",AE135&gt;PFYDate),0,IF(AG135="FT",IF(AJ135&lt;FT_First,0,IF(AJ135&lt;FT_Y5,1+INT((AJ135-FT_First)/FT_Int1),FT_PreY5+FT_PerYear*INT((AJ135-FT_Y5)/12)+FT_AnnivDays+INT(MOD(AJ135-FT_Y5,12)/FT_Int2))),IF(AG135="PT",IF(AJ135&lt;PT_First,0,1+INT((AJ135-PT_First)/PT_Int)),0))-IF(AG135="FT",IF(AK135&lt;FT_First,0,IF(AK135&lt;FT_Y5,1+INT((AK135-FT_First)/FT_Int1),FT_PreY5+FT_PerYear*INT((AK135-FT_Y5)/12)+FT_AnnivDays+INT(MOD(AK135-FT_Y5,12)/FT_Int2))),IF(AG135="PT",IF(AK135&lt;PT_First,0,1+INT((AK135-PT_First)/PT_Int)),0))))</f>
        <v/>
      </c>
      <c r="AN135" s="12" t="str">
        <f aca="false">IF(AC135=0,"",IF(AG135="FT",IF(AH135&lt;FT_First,FT_First,IF(AH135&lt;FT_Y5,MIN(FT_Y5,FT_First+FT_Int1*(INT((AH135-FT_First)/FT_Int1)+1)),FT_Y5+12*INT((AH135-FT_Y5)/12)+FT_Int2*(INT(MOD(AH135-FT_Y5,12)/FT_Int2)+1))),IF(AG135="PT",IF(AH135&lt;PT_First,PT_First,PT_First+PT_Int*(INT((AH135-PT_First)/PT_Int)+1)),"")))</f>
        <v/>
      </c>
      <c r="AO135" s="12" t="str">
        <f aca="false">IF(AC135=0,"",IF(NOT(CFY_Ready),0,COUNTIFS(INDEX(CFY_Data,0,CFY_ColFirst),$A135,INDEX(CFY_Data,0,CFY_ColSur),$B135,INDEX(CFY_Data,0,CFY_ColCat),BonusCat)))</f>
        <v/>
      </c>
    </row>
    <row r="136" customFormat="false" ht="15" hidden="false" customHeight="false" outlineLevel="0" collapsed="false">
      <c r="A136" s="15"/>
      <c r="B136" s="15"/>
      <c r="C136" s="15"/>
      <c r="D136" s="16"/>
      <c r="E136" s="10" t="str">
        <f aca="false">IF(OR(AC136=0,$D136=""),"",DATE(YEAR(AsOfDate)+IF(DATE(YEAR(AsOfDate),MONTH($D136),DAY($D136))&lt;=AsOfDate,1,0),MONTH($D136),DAY($D136)))</f>
        <v/>
      </c>
      <c r="F136" s="16"/>
      <c r="G136" s="16"/>
      <c r="H136" s="16"/>
      <c r="I136" s="16"/>
      <c r="J136" s="10" t="str">
        <f aca="false">IF(AC136=0,"",DATE(YEAR(AsOfDate)+IF(DATE(YEAR(AsOfDate),MONTH($F136),DAY($F136))&lt;=AsOfDate,1,0),MONTH($F136),DAY($F136)))</f>
        <v/>
      </c>
      <c r="K136" s="11" t="str">
        <f aca="false">IF(AC136=0,"",ROUND((AsOfDate-$F136)/365.25,1))</f>
        <v/>
      </c>
      <c r="L136" s="12" t="str">
        <f aca="false">IF(AC136=0,"",IF(AsOfDate&lt;AD136,"-",DATEDIF(AD136,AsOfDate,"y")&amp;"y "&amp;DATEDIF(AD136,AsOfDate,"ym")&amp;"m "&amp;DATEDIF(AD136,AsOfDate,"md")&amp;"d"))</f>
        <v/>
      </c>
      <c r="M136" s="13" t="str">
        <f aca="false">IF(AC136=0,"",N136*HoursPerDay)</f>
        <v/>
      </c>
      <c r="N136" s="13" t="str">
        <f aca="false">IF(AC136=0,"",AL136)</f>
        <v/>
      </c>
      <c r="O136" s="17"/>
      <c r="P136" s="12" t="str">
        <f aca="false">IF(AC136=0,"",IF(AE136="","",IF($G136&lt;$H136,"Part-Time to Full-Time","Full-Time to Part-Time")&amp;" on "&amp;TEXT(AE136,"dd/mm/yyyy")&amp;IF(AE136&gt;AsOfDate," (future)",IF(AF136=AG136,"",IF(AG136="None"," - STOPPED accruing",IF(AF136="None"," - now qualifying"," - pathway changed"))))))</f>
        <v/>
      </c>
      <c r="Q136" s="12" t="str">
        <f aca="false">IF(AC136=0,"",IF(AG136="None",IF(N136&gt;0,"No longer accruing","Not eligible - "&amp;IF(AND($C136="Part-Time",N($O136)&lt;PT_MinHours,$O136&lt;&gt;""),"under "&amp;PT_MinHours&amp;" hrs",$C136)),IF(N136&gt;0,"Yes - accruing","Not yet - from "&amp;TEXT(R136,"dd/mm/yyyy"))))</f>
        <v/>
      </c>
      <c r="R136" s="10" t="str">
        <f aca="false">IF(AC136=0,"",IF(AG136="None","",EDATE(AD136,AN136)))</f>
        <v/>
      </c>
      <c r="S136" s="13" t="str">
        <f aca="false">IF(AC136=0,"",IF(NOT(PFY_Ready),"",SUMIFS(INDEX(PFY_Data,0,PFY_ColBal),INDEX(PFY_Data,0,PFY_ColFirst),$A136,INDEX(PFY_Data,0,PFY_ColSur),$B136,INDEX(PFY_Data,0,PFY_ColCat),BonusCat)))</f>
        <v/>
      </c>
      <c r="T136" s="17"/>
      <c r="U136" s="13" t="str">
        <f aca="false">IF(AC136=0,"",IF(NOT(CFY_Ready),"",SUMIFS(INDEX(CFY_Data,0,CFY_ColBal),INDEX(CFY_Data,0,CFY_ColFirst),$A136,INDEX(CFY_Data,0,CFY_ColSur),$B136,INDEX(CFY_Data,0,CFY_ColCat),BonusCat)))</f>
        <v/>
      </c>
      <c r="V136" s="13" t="str">
        <f aca="false">IF(AC136=0,"",IF(OR(NOT(CFY_Ready),CFY_ColAppr=0),"",SUMIFS(INDEX(CFY_Data,0,CFY_ColAppr),INDEX(CFY_Data,0,CFY_ColFirst),$A136,INDEX(CFY_Data,0,CFY_ColSur),$B136,INDEX(CFY_Data,0,CFY_ColCat),BonusCat)))</f>
        <v/>
      </c>
      <c r="W136" s="13" t="str">
        <f aca="false">IF(OR(AC136=0,S136="",U136=""),"",MAX(0,S136+N($T136)-U136))</f>
        <v/>
      </c>
      <c r="X136" s="13" t="str">
        <f aca="false">IF(AC136=0,"",(AL136-AM136)*HoursPerDay)</f>
        <v/>
      </c>
      <c r="Y136" s="13" t="str">
        <f aca="false">IF(AC136=0,"",X136-N($T136))</f>
        <v/>
      </c>
      <c r="Z136" s="12" t="str">
        <f aca="false">IF(AC136=0,"",IF(Y136&gt;0,"Yes","No"))</f>
        <v/>
      </c>
      <c r="AA136" s="12" t="str">
        <f aca="false">IF(AC136=0,"",IF(NOT(CFY_Ready),"Paste CFY EH export",IF(Y136&gt;0,"ACCRUE "&amp;TEXT(Y136,"0.##")&amp;" hrs ("&amp;TEXT(Y136/HoursPerDay,"0.##")&amp;" days)"&amp;IF(AO136=0," - no Bonus Leave line in EH yet",""),IF(Y136&lt;0,"CHECK - posted "&amp;TEXT(-Y136,"0.##")&amp;" hrs more than policy",IF(AND(N136&gt;0,AO136=0,U136=0),"CHECK - policy says "&amp;TEXT(M136,"0.##")&amp;" hrs to date but nothing in EH",IF(N136&gt;0,"OK","-"))))))</f>
        <v/>
      </c>
      <c r="AB136" s="13" t="str">
        <f aca="false">IF(OR(AC136=0,S136=""),"",AM136*HoursPerDay-S136)</f>
        <v/>
      </c>
      <c r="AC136" s="12" t="n">
        <f aca="false">IF(OR(LEN($A136&amp;$B136)=0,$F136=""),0,1)</f>
        <v>0</v>
      </c>
      <c r="AD136" s="10" t="str">
        <f aca="false">IF(AC136=0,"",IF($I136&lt;&gt;"",$I136,$F136))</f>
        <v/>
      </c>
      <c r="AE136" s="10" t="str">
        <f aca="false">IF(AC136=0,"",IF(AND($G136&lt;&gt;"",$H136&lt;&gt;"",$G136&lt;&gt;$H136),MAX($G136,$H136),""))</f>
        <v/>
      </c>
      <c r="AF136" s="12" t="str">
        <f aca="false">IF(AC136=0,"",IF(AE136="",AG136,IF(IF($G136&lt;$H136,"Part-Time","Full-Time")="Full-Time","FT",IF(AND(IF($G136&lt;$H136,"Part-Time","Full-Time")="Part-Time",OR($O136="",N($O136)&gt;=PT_MinHours)),"PT","None"))))</f>
        <v/>
      </c>
      <c r="AG136" s="12" t="str">
        <f aca="false">IF(AC136=0,"",IF($C136="Full-Time","FT",IF(AND($C136="Part-Time",OR($O136="",N($O136)&gt;=PT_MinHours)),"PT","None")))</f>
        <v/>
      </c>
      <c r="AH136" s="12" t="str">
        <f aca="false">IF(AC136=0,"",IF(AsOfDate&lt;AD136,-1,12*(YEAR(AsOfDate)-YEAR(AD136))+MONTH(AsOfDate)-MONTH(AD136)-IF(DAY(AsOfDate)&lt;MIN(DAY(AD136),DAY(EOMONTH(AsOfDate,0))),1,0)))</f>
        <v/>
      </c>
      <c r="AI136" s="12" t="str">
        <f aca="false">IF(AC136=0,"",IF(OR(AE136="",AE136&gt;AsOfDate),AH136,IF((AE136-1)&lt;AD136,-1,12*(YEAR((AE136-1))-YEAR(AD136))+MONTH((AE136-1))-MONTH(AD136)-IF(DAY((AE136-1))&lt;MIN(DAY(AD136),DAY(EOMONTH((AE136-1),0))),1,0))))</f>
        <v/>
      </c>
      <c r="AJ136" s="12" t="str">
        <f aca="false">IF(AC136=0,"",IF(PFYDate&lt;AD136,-1,12*(YEAR(PFYDate)-YEAR(AD136))+MONTH(PFYDate)-MONTH(AD136)-IF(DAY(PFYDate)&lt;MIN(DAY(AD136),DAY(EOMONTH(PFYDate,0))),1,0)))</f>
        <v/>
      </c>
      <c r="AK136" s="12" t="str">
        <f aca="false">IF(AC136=0,"",IF(OR(AE136="",AE136&gt;PFYDate),AJ136,IF((AE136-1)&lt;AD136,-1,12*(YEAR((AE136-1))-YEAR(AD136))+MONTH((AE136-1))-MONTH(AD136)-IF(DAY((AE136-1))&lt;MIN(DAY(AD136),DAY(EOMONTH((AE136-1),0))),1,0))))</f>
        <v/>
      </c>
      <c r="AL136" s="12" t="str">
        <f aca="false">IF(AC136=0,"",IF(AF136="FT",IF(AI136&lt;FT_First,0,IF(AI136&lt;FT_Y5,1+INT((AI136-FT_First)/FT_Int1),FT_PreY5+FT_PerYear*INT((AI136-FT_Y5)/12)+FT_AnnivDays+INT(MOD(AI136-FT_Y5,12)/FT_Int2))),IF(AF136="PT",IF(AI136&lt;PT_First,0,1+INT((AI136-PT_First)/PT_Int)),0))+IF(OR(AE136="",AE136&gt;AsOfDate),0,IF(AG136="FT",IF(AH136&lt;FT_First,0,IF(AH136&lt;FT_Y5,1+INT((AH136-FT_First)/FT_Int1),FT_PreY5+FT_PerYear*INT((AH136-FT_Y5)/12)+FT_AnnivDays+INT(MOD(AH136-FT_Y5,12)/FT_Int2))),IF(AG136="PT",IF(AH136&lt;PT_First,0,1+INT((AH136-PT_First)/PT_Int)),0))-IF(AG136="FT",IF(AI136&lt;FT_First,0,IF(AI136&lt;FT_Y5,1+INT((AI136-FT_First)/FT_Int1),FT_PreY5+FT_PerYear*INT((AI136-FT_Y5)/12)+FT_AnnivDays+INT(MOD(AI136-FT_Y5,12)/FT_Int2))),IF(AG136="PT",IF(AI136&lt;PT_First,0,1+INT((AI136-PT_First)/PT_Int)),0))))</f>
        <v/>
      </c>
      <c r="AM136" s="12" t="str">
        <f aca="false">IF(AC136=0,"",IF(AF136="FT",IF(AK136&lt;FT_First,0,IF(AK136&lt;FT_Y5,1+INT((AK136-FT_First)/FT_Int1),FT_PreY5+FT_PerYear*INT((AK136-FT_Y5)/12)+FT_AnnivDays+INT(MOD(AK136-FT_Y5,12)/FT_Int2))),IF(AF136="PT",IF(AK136&lt;PT_First,0,1+INT((AK136-PT_First)/PT_Int)),0))+IF(OR(AE136="",AE136&gt;PFYDate),0,IF(AG136="FT",IF(AJ136&lt;FT_First,0,IF(AJ136&lt;FT_Y5,1+INT((AJ136-FT_First)/FT_Int1),FT_PreY5+FT_PerYear*INT((AJ136-FT_Y5)/12)+FT_AnnivDays+INT(MOD(AJ136-FT_Y5,12)/FT_Int2))),IF(AG136="PT",IF(AJ136&lt;PT_First,0,1+INT((AJ136-PT_First)/PT_Int)),0))-IF(AG136="FT",IF(AK136&lt;FT_First,0,IF(AK136&lt;FT_Y5,1+INT((AK136-FT_First)/FT_Int1),FT_PreY5+FT_PerYear*INT((AK136-FT_Y5)/12)+FT_AnnivDays+INT(MOD(AK136-FT_Y5,12)/FT_Int2))),IF(AG136="PT",IF(AK136&lt;PT_First,0,1+INT((AK136-PT_First)/PT_Int)),0))))</f>
        <v/>
      </c>
      <c r="AN136" s="12" t="str">
        <f aca="false">IF(AC136=0,"",IF(AG136="FT",IF(AH136&lt;FT_First,FT_First,IF(AH136&lt;FT_Y5,MIN(FT_Y5,FT_First+FT_Int1*(INT((AH136-FT_First)/FT_Int1)+1)),FT_Y5+12*INT((AH136-FT_Y5)/12)+FT_Int2*(INT(MOD(AH136-FT_Y5,12)/FT_Int2)+1))),IF(AG136="PT",IF(AH136&lt;PT_First,PT_First,PT_First+PT_Int*(INT((AH136-PT_First)/PT_Int)+1)),"")))</f>
        <v/>
      </c>
      <c r="AO136" s="12" t="str">
        <f aca="false">IF(AC136=0,"",IF(NOT(CFY_Ready),0,COUNTIFS(INDEX(CFY_Data,0,CFY_ColFirst),$A136,INDEX(CFY_Data,0,CFY_ColSur),$B136,INDEX(CFY_Data,0,CFY_ColCat),BonusCat)))</f>
        <v/>
      </c>
    </row>
    <row r="137" customFormat="false" ht="15" hidden="false" customHeight="false" outlineLevel="0" collapsed="false">
      <c r="A137" s="15"/>
      <c r="B137" s="15"/>
      <c r="C137" s="15"/>
      <c r="D137" s="16"/>
      <c r="E137" s="10" t="str">
        <f aca="false">IF(OR(AC137=0,$D137=""),"",DATE(YEAR(AsOfDate)+IF(DATE(YEAR(AsOfDate),MONTH($D137),DAY($D137))&lt;=AsOfDate,1,0),MONTH($D137),DAY($D137)))</f>
        <v/>
      </c>
      <c r="F137" s="16"/>
      <c r="G137" s="16"/>
      <c r="H137" s="16"/>
      <c r="I137" s="16"/>
      <c r="J137" s="10" t="str">
        <f aca="false">IF(AC137=0,"",DATE(YEAR(AsOfDate)+IF(DATE(YEAR(AsOfDate),MONTH($F137),DAY($F137))&lt;=AsOfDate,1,0),MONTH($F137),DAY($F137)))</f>
        <v/>
      </c>
      <c r="K137" s="11" t="str">
        <f aca="false">IF(AC137=0,"",ROUND((AsOfDate-$F137)/365.25,1))</f>
        <v/>
      </c>
      <c r="L137" s="12" t="str">
        <f aca="false">IF(AC137=0,"",IF(AsOfDate&lt;AD137,"-",DATEDIF(AD137,AsOfDate,"y")&amp;"y "&amp;DATEDIF(AD137,AsOfDate,"ym")&amp;"m "&amp;DATEDIF(AD137,AsOfDate,"md")&amp;"d"))</f>
        <v/>
      </c>
      <c r="M137" s="13" t="str">
        <f aca="false">IF(AC137=0,"",N137*HoursPerDay)</f>
        <v/>
      </c>
      <c r="N137" s="13" t="str">
        <f aca="false">IF(AC137=0,"",AL137)</f>
        <v/>
      </c>
      <c r="O137" s="17"/>
      <c r="P137" s="12" t="str">
        <f aca="false">IF(AC137=0,"",IF(AE137="","",IF($G137&lt;$H137,"Part-Time to Full-Time","Full-Time to Part-Time")&amp;" on "&amp;TEXT(AE137,"dd/mm/yyyy")&amp;IF(AE137&gt;AsOfDate," (future)",IF(AF137=AG137,"",IF(AG137="None"," - STOPPED accruing",IF(AF137="None"," - now qualifying"," - pathway changed"))))))</f>
        <v/>
      </c>
      <c r="Q137" s="12" t="str">
        <f aca="false">IF(AC137=0,"",IF(AG137="None",IF(N137&gt;0,"No longer accruing","Not eligible - "&amp;IF(AND($C137="Part-Time",N($O137)&lt;PT_MinHours,$O137&lt;&gt;""),"under "&amp;PT_MinHours&amp;" hrs",$C137)),IF(N137&gt;0,"Yes - accruing","Not yet - from "&amp;TEXT(R137,"dd/mm/yyyy"))))</f>
        <v/>
      </c>
      <c r="R137" s="10" t="str">
        <f aca="false">IF(AC137=0,"",IF(AG137="None","",EDATE(AD137,AN137)))</f>
        <v/>
      </c>
      <c r="S137" s="13" t="str">
        <f aca="false">IF(AC137=0,"",IF(NOT(PFY_Ready),"",SUMIFS(INDEX(PFY_Data,0,PFY_ColBal),INDEX(PFY_Data,0,PFY_ColFirst),$A137,INDEX(PFY_Data,0,PFY_ColSur),$B137,INDEX(PFY_Data,0,PFY_ColCat),BonusCat)))</f>
        <v/>
      </c>
      <c r="T137" s="17"/>
      <c r="U137" s="13" t="str">
        <f aca="false">IF(AC137=0,"",IF(NOT(CFY_Ready),"",SUMIFS(INDEX(CFY_Data,0,CFY_ColBal),INDEX(CFY_Data,0,CFY_ColFirst),$A137,INDEX(CFY_Data,0,CFY_ColSur),$B137,INDEX(CFY_Data,0,CFY_ColCat),BonusCat)))</f>
        <v/>
      </c>
      <c r="V137" s="13" t="str">
        <f aca="false">IF(AC137=0,"",IF(OR(NOT(CFY_Ready),CFY_ColAppr=0),"",SUMIFS(INDEX(CFY_Data,0,CFY_ColAppr),INDEX(CFY_Data,0,CFY_ColFirst),$A137,INDEX(CFY_Data,0,CFY_ColSur),$B137,INDEX(CFY_Data,0,CFY_ColCat),BonusCat)))</f>
        <v/>
      </c>
      <c r="W137" s="13" t="str">
        <f aca="false">IF(OR(AC137=0,S137="",U137=""),"",MAX(0,S137+N($T137)-U137))</f>
        <v/>
      </c>
      <c r="X137" s="13" t="str">
        <f aca="false">IF(AC137=0,"",(AL137-AM137)*HoursPerDay)</f>
        <v/>
      </c>
      <c r="Y137" s="13" t="str">
        <f aca="false">IF(AC137=0,"",X137-N($T137))</f>
        <v/>
      </c>
      <c r="Z137" s="12" t="str">
        <f aca="false">IF(AC137=0,"",IF(Y137&gt;0,"Yes","No"))</f>
        <v/>
      </c>
      <c r="AA137" s="12" t="str">
        <f aca="false">IF(AC137=0,"",IF(NOT(CFY_Ready),"Paste CFY EH export",IF(Y137&gt;0,"ACCRUE "&amp;TEXT(Y137,"0.##")&amp;" hrs ("&amp;TEXT(Y137/HoursPerDay,"0.##")&amp;" days)"&amp;IF(AO137=0," - no Bonus Leave line in EH yet",""),IF(Y137&lt;0,"CHECK - posted "&amp;TEXT(-Y137,"0.##")&amp;" hrs more than policy",IF(AND(N137&gt;0,AO137=0,U137=0),"CHECK - policy says "&amp;TEXT(M137,"0.##")&amp;" hrs to date but nothing in EH",IF(N137&gt;0,"OK","-"))))))</f>
        <v/>
      </c>
      <c r="AB137" s="13" t="str">
        <f aca="false">IF(OR(AC137=0,S137=""),"",AM137*HoursPerDay-S137)</f>
        <v/>
      </c>
      <c r="AC137" s="12" t="n">
        <f aca="false">IF(OR(LEN($A137&amp;$B137)=0,$F137=""),0,1)</f>
        <v>0</v>
      </c>
      <c r="AD137" s="10" t="str">
        <f aca="false">IF(AC137=0,"",IF($I137&lt;&gt;"",$I137,$F137))</f>
        <v/>
      </c>
      <c r="AE137" s="10" t="str">
        <f aca="false">IF(AC137=0,"",IF(AND($G137&lt;&gt;"",$H137&lt;&gt;"",$G137&lt;&gt;$H137),MAX($G137,$H137),""))</f>
        <v/>
      </c>
      <c r="AF137" s="12" t="str">
        <f aca="false">IF(AC137=0,"",IF(AE137="",AG137,IF(IF($G137&lt;$H137,"Part-Time","Full-Time")="Full-Time","FT",IF(AND(IF($G137&lt;$H137,"Part-Time","Full-Time")="Part-Time",OR($O137="",N($O137)&gt;=PT_MinHours)),"PT","None"))))</f>
        <v/>
      </c>
      <c r="AG137" s="12" t="str">
        <f aca="false">IF(AC137=0,"",IF($C137="Full-Time","FT",IF(AND($C137="Part-Time",OR($O137="",N($O137)&gt;=PT_MinHours)),"PT","None")))</f>
        <v/>
      </c>
      <c r="AH137" s="12" t="str">
        <f aca="false">IF(AC137=0,"",IF(AsOfDate&lt;AD137,-1,12*(YEAR(AsOfDate)-YEAR(AD137))+MONTH(AsOfDate)-MONTH(AD137)-IF(DAY(AsOfDate)&lt;MIN(DAY(AD137),DAY(EOMONTH(AsOfDate,0))),1,0)))</f>
        <v/>
      </c>
      <c r="AI137" s="12" t="str">
        <f aca="false">IF(AC137=0,"",IF(OR(AE137="",AE137&gt;AsOfDate),AH137,IF((AE137-1)&lt;AD137,-1,12*(YEAR((AE137-1))-YEAR(AD137))+MONTH((AE137-1))-MONTH(AD137)-IF(DAY((AE137-1))&lt;MIN(DAY(AD137),DAY(EOMONTH((AE137-1),0))),1,0))))</f>
        <v/>
      </c>
      <c r="AJ137" s="12" t="str">
        <f aca="false">IF(AC137=0,"",IF(PFYDate&lt;AD137,-1,12*(YEAR(PFYDate)-YEAR(AD137))+MONTH(PFYDate)-MONTH(AD137)-IF(DAY(PFYDate)&lt;MIN(DAY(AD137),DAY(EOMONTH(PFYDate,0))),1,0)))</f>
        <v/>
      </c>
      <c r="AK137" s="12" t="str">
        <f aca="false">IF(AC137=0,"",IF(OR(AE137="",AE137&gt;PFYDate),AJ137,IF((AE137-1)&lt;AD137,-1,12*(YEAR((AE137-1))-YEAR(AD137))+MONTH((AE137-1))-MONTH(AD137)-IF(DAY((AE137-1))&lt;MIN(DAY(AD137),DAY(EOMONTH((AE137-1),0))),1,0))))</f>
        <v/>
      </c>
      <c r="AL137" s="12" t="str">
        <f aca="false">IF(AC137=0,"",IF(AF137="FT",IF(AI137&lt;FT_First,0,IF(AI137&lt;FT_Y5,1+INT((AI137-FT_First)/FT_Int1),FT_PreY5+FT_PerYear*INT((AI137-FT_Y5)/12)+FT_AnnivDays+INT(MOD(AI137-FT_Y5,12)/FT_Int2))),IF(AF137="PT",IF(AI137&lt;PT_First,0,1+INT((AI137-PT_First)/PT_Int)),0))+IF(OR(AE137="",AE137&gt;AsOfDate),0,IF(AG137="FT",IF(AH137&lt;FT_First,0,IF(AH137&lt;FT_Y5,1+INT((AH137-FT_First)/FT_Int1),FT_PreY5+FT_PerYear*INT((AH137-FT_Y5)/12)+FT_AnnivDays+INT(MOD(AH137-FT_Y5,12)/FT_Int2))),IF(AG137="PT",IF(AH137&lt;PT_First,0,1+INT((AH137-PT_First)/PT_Int)),0))-IF(AG137="FT",IF(AI137&lt;FT_First,0,IF(AI137&lt;FT_Y5,1+INT((AI137-FT_First)/FT_Int1),FT_PreY5+FT_PerYear*INT((AI137-FT_Y5)/12)+FT_AnnivDays+INT(MOD(AI137-FT_Y5,12)/FT_Int2))),IF(AG137="PT",IF(AI137&lt;PT_First,0,1+INT((AI137-PT_First)/PT_Int)),0))))</f>
        <v/>
      </c>
      <c r="AM137" s="12" t="str">
        <f aca="false">IF(AC137=0,"",IF(AF137="FT",IF(AK137&lt;FT_First,0,IF(AK137&lt;FT_Y5,1+INT((AK137-FT_First)/FT_Int1),FT_PreY5+FT_PerYear*INT((AK137-FT_Y5)/12)+FT_AnnivDays+INT(MOD(AK137-FT_Y5,12)/FT_Int2))),IF(AF137="PT",IF(AK137&lt;PT_First,0,1+INT((AK137-PT_First)/PT_Int)),0))+IF(OR(AE137="",AE137&gt;PFYDate),0,IF(AG137="FT",IF(AJ137&lt;FT_First,0,IF(AJ137&lt;FT_Y5,1+INT((AJ137-FT_First)/FT_Int1),FT_PreY5+FT_PerYear*INT((AJ137-FT_Y5)/12)+FT_AnnivDays+INT(MOD(AJ137-FT_Y5,12)/FT_Int2))),IF(AG137="PT",IF(AJ137&lt;PT_First,0,1+INT((AJ137-PT_First)/PT_Int)),0))-IF(AG137="FT",IF(AK137&lt;FT_First,0,IF(AK137&lt;FT_Y5,1+INT((AK137-FT_First)/FT_Int1),FT_PreY5+FT_PerYear*INT((AK137-FT_Y5)/12)+FT_AnnivDays+INT(MOD(AK137-FT_Y5,12)/FT_Int2))),IF(AG137="PT",IF(AK137&lt;PT_First,0,1+INT((AK137-PT_First)/PT_Int)),0))))</f>
        <v/>
      </c>
      <c r="AN137" s="12" t="str">
        <f aca="false">IF(AC137=0,"",IF(AG137="FT",IF(AH137&lt;FT_First,FT_First,IF(AH137&lt;FT_Y5,MIN(FT_Y5,FT_First+FT_Int1*(INT((AH137-FT_First)/FT_Int1)+1)),FT_Y5+12*INT((AH137-FT_Y5)/12)+FT_Int2*(INT(MOD(AH137-FT_Y5,12)/FT_Int2)+1))),IF(AG137="PT",IF(AH137&lt;PT_First,PT_First,PT_First+PT_Int*(INT((AH137-PT_First)/PT_Int)+1)),"")))</f>
        <v/>
      </c>
      <c r="AO137" s="12" t="str">
        <f aca="false">IF(AC137=0,"",IF(NOT(CFY_Ready),0,COUNTIFS(INDEX(CFY_Data,0,CFY_ColFirst),$A137,INDEX(CFY_Data,0,CFY_ColSur),$B137,INDEX(CFY_Data,0,CFY_ColCat),BonusCat)))</f>
        <v/>
      </c>
    </row>
    <row r="138" customFormat="false" ht="15" hidden="false" customHeight="false" outlineLevel="0" collapsed="false">
      <c r="A138" s="15"/>
      <c r="B138" s="15"/>
      <c r="C138" s="15"/>
      <c r="D138" s="16"/>
      <c r="E138" s="10" t="str">
        <f aca="false">IF(OR(AC138=0,$D138=""),"",DATE(YEAR(AsOfDate)+IF(DATE(YEAR(AsOfDate),MONTH($D138),DAY($D138))&lt;=AsOfDate,1,0),MONTH($D138),DAY($D138)))</f>
        <v/>
      </c>
      <c r="F138" s="16"/>
      <c r="G138" s="16"/>
      <c r="H138" s="16"/>
      <c r="I138" s="16"/>
      <c r="J138" s="10" t="str">
        <f aca="false">IF(AC138=0,"",DATE(YEAR(AsOfDate)+IF(DATE(YEAR(AsOfDate),MONTH($F138),DAY($F138))&lt;=AsOfDate,1,0),MONTH($F138),DAY($F138)))</f>
        <v/>
      </c>
      <c r="K138" s="11" t="str">
        <f aca="false">IF(AC138=0,"",ROUND((AsOfDate-$F138)/365.25,1))</f>
        <v/>
      </c>
      <c r="L138" s="12" t="str">
        <f aca="false">IF(AC138=0,"",IF(AsOfDate&lt;AD138,"-",DATEDIF(AD138,AsOfDate,"y")&amp;"y "&amp;DATEDIF(AD138,AsOfDate,"ym")&amp;"m "&amp;DATEDIF(AD138,AsOfDate,"md")&amp;"d"))</f>
        <v/>
      </c>
      <c r="M138" s="13" t="str">
        <f aca="false">IF(AC138=0,"",N138*HoursPerDay)</f>
        <v/>
      </c>
      <c r="N138" s="13" t="str">
        <f aca="false">IF(AC138=0,"",AL138)</f>
        <v/>
      </c>
      <c r="O138" s="17"/>
      <c r="P138" s="12" t="str">
        <f aca="false">IF(AC138=0,"",IF(AE138="","",IF($G138&lt;$H138,"Part-Time to Full-Time","Full-Time to Part-Time")&amp;" on "&amp;TEXT(AE138,"dd/mm/yyyy")&amp;IF(AE138&gt;AsOfDate," (future)",IF(AF138=AG138,"",IF(AG138="None"," - STOPPED accruing",IF(AF138="None"," - now qualifying"," - pathway changed"))))))</f>
        <v/>
      </c>
      <c r="Q138" s="12" t="str">
        <f aca="false">IF(AC138=0,"",IF(AG138="None",IF(N138&gt;0,"No longer accruing","Not eligible - "&amp;IF(AND($C138="Part-Time",N($O138)&lt;PT_MinHours,$O138&lt;&gt;""),"under "&amp;PT_MinHours&amp;" hrs",$C138)),IF(N138&gt;0,"Yes - accruing","Not yet - from "&amp;TEXT(R138,"dd/mm/yyyy"))))</f>
        <v/>
      </c>
      <c r="R138" s="10" t="str">
        <f aca="false">IF(AC138=0,"",IF(AG138="None","",EDATE(AD138,AN138)))</f>
        <v/>
      </c>
      <c r="S138" s="13" t="str">
        <f aca="false">IF(AC138=0,"",IF(NOT(PFY_Ready),"",SUMIFS(INDEX(PFY_Data,0,PFY_ColBal),INDEX(PFY_Data,0,PFY_ColFirst),$A138,INDEX(PFY_Data,0,PFY_ColSur),$B138,INDEX(PFY_Data,0,PFY_ColCat),BonusCat)))</f>
        <v/>
      </c>
      <c r="T138" s="17"/>
      <c r="U138" s="13" t="str">
        <f aca="false">IF(AC138=0,"",IF(NOT(CFY_Ready),"",SUMIFS(INDEX(CFY_Data,0,CFY_ColBal),INDEX(CFY_Data,0,CFY_ColFirst),$A138,INDEX(CFY_Data,0,CFY_ColSur),$B138,INDEX(CFY_Data,0,CFY_ColCat),BonusCat)))</f>
        <v/>
      </c>
      <c r="V138" s="13" t="str">
        <f aca="false">IF(AC138=0,"",IF(OR(NOT(CFY_Ready),CFY_ColAppr=0),"",SUMIFS(INDEX(CFY_Data,0,CFY_ColAppr),INDEX(CFY_Data,0,CFY_ColFirst),$A138,INDEX(CFY_Data,0,CFY_ColSur),$B138,INDEX(CFY_Data,0,CFY_ColCat),BonusCat)))</f>
        <v/>
      </c>
      <c r="W138" s="13" t="str">
        <f aca="false">IF(OR(AC138=0,S138="",U138=""),"",MAX(0,S138+N($T138)-U138))</f>
        <v/>
      </c>
      <c r="X138" s="13" t="str">
        <f aca="false">IF(AC138=0,"",(AL138-AM138)*HoursPerDay)</f>
        <v/>
      </c>
      <c r="Y138" s="13" t="str">
        <f aca="false">IF(AC138=0,"",X138-N($T138))</f>
        <v/>
      </c>
      <c r="Z138" s="12" t="str">
        <f aca="false">IF(AC138=0,"",IF(Y138&gt;0,"Yes","No"))</f>
        <v/>
      </c>
      <c r="AA138" s="12" t="str">
        <f aca="false">IF(AC138=0,"",IF(NOT(CFY_Ready),"Paste CFY EH export",IF(Y138&gt;0,"ACCRUE "&amp;TEXT(Y138,"0.##")&amp;" hrs ("&amp;TEXT(Y138/HoursPerDay,"0.##")&amp;" days)"&amp;IF(AO138=0," - no Bonus Leave line in EH yet",""),IF(Y138&lt;0,"CHECK - posted "&amp;TEXT(-Y138,"0.##")&amp;" hrs more than policy",IF(AND(N138&gt;0,AO138=0,U138=0),"CHECK - policy says "&amp;TEXT(M138,"0.##")&amp;" hrs to date but nothing in EH",IF(N138&gt;0,"OK","-"))))))</f>
        <v/>
      </c>
      <c r="AB138" s="13" t="str">
        <f aca="false">IF(OR(AC138=0,S138=""),"",AM138*HoursPerDay-S138)</f>
        <v/>
      </c>
      <c r="AC138" s="12" t="n">
        <f aca="false">IF(OR(LEN($A138&amp;$B138)=0,$F138=""),0,1)</f>
        <v>0</v>
      </c>
      <c r="AD138" s="10" t="str">
        <f aca="false">IF(AC138=0,"",IF($I138&lt;&gt;"",$I138,$F138))</f>
        <v/>
      </c>
      <c r="AE138" s="10" t="str">
        <f aca="false">IF(AC138=0,"",IF(AND($G138&lt;&gt;"",$H138&lt;&gt;"",$G138&lt;&gt;$H138),MAX($G138,$H138),""))</f>
        <v/>
      </c>
      <c r="AF138" s="12" t="str">
        <f aca="false">IF(AC138=0,"",IF(AE138="",AG138,IF(IF($G138&lt;$H138,"Part-Time","Full-Time")="Full-Time","FT",IF(AND(IF($G138&lt;$H138,"Part-Time","Full-Time")="Part-Time",OR($O138="",N($O138)&gt;=PT_MinHours)),"PT","None"))))</f>
        <v/>
      </c>
      <c r="AG138" s="12" t="str">
        <f aca="false">IF(AC138=0,"",IF($C138="Full-Time","FT",IF(AND($C138="Part-Time",OR($O138="",N($O138)&gt;=PT_MinHours)),"PT","None")))</f>
        <v/>
      </c>
      <c r="AH138" s="12" t="str">
        <f aca="false">IF(AC138=0,"",IF(AsOfDate&lt;AD138,-1,12*(YEAR(AsOfDate)-YEAR(AD138))+MONTH(AsOfDate)-MONTH(AD138)-IF(DAY(AsOfDate)&lt;MIN(DAY(AD138),DAY(EOMONTH(AsOfDate,0))),1,0)))</f>
        <v/>
      </c>
      <c r="AI138" s="12" t="str">
        <f aca="false">IF(AC138=0,"",IF(OR(AE138="",AE138&gt;AsOfDate),AH138,IF((AE138-1)&lt;AD138,-1,12*(YEAR((AE138-1))-YEAR(AD138))+MONTH((AE138-1))-MONTH(AD138)-IF(DAY((AE138-1))&lt;MIN(DAY(AD138),DAY(EOMONTH((AE138-1),0))),1,0))))</f>
        <v/>
      </c>
      <c r="AJ138" s="12" t="str">
        <f aca="false">IF(AC138=0,"",IF(PFYDate&lt;AD138,-1,12*(YEAR(PFYDate)-YEAR(AD138))+MONTH(PFYDate)-MONTH(AD138)-IF(DAY(PFYDate)&lt;MIN(DAY(AD138),DAY(EOMONTH(PFYDate,0))),1,0)))</f>
        <v/>
      </c>
      <c r="AK138" s="12" t="str">
        <f aca="false">IF(AC138=0,"",IF(OR(AE138="",AE138&gt;PFYDate),AJ138,IF((AE138-1)&lt;AD138,-1,12*(YEAR((AE138-1))-YEAR(AD138))+MONTH((AE138-1))-MONTH(AD138)-IF(DAY((AE138-1))&lt;MIN(DAY(AD138),DAY(EOMONTH((AE138-1),0))),1,0))))</f>
        <v/>
      </c>
      <c r="AL138" s="12" t="str">
        <f aca="false">IF(AC138=0,"",IF(AF138="FT",IF(AI138&lt;FT_First,0,IF(AI138&lt;FT_Y5,1+INT((AI138-FT_First)/FT_Int1),FT_PreY5+FT_PerYear*INT((AI138-FT_Y5)/12)+FT_AnnivDays+INT(MOD(AI138-FT_Y5,12)/FT_Int2))),IF(AF138="PT",IF(AI138&lt;PT_First,0,1+INT((AI138-PT_First)/PT_Int)),0))+IF(OR(AE138="",AE138&gt;AsOfDate),0,IF(AG138="FT",IF(AH138&lt;FT_First,0,IF(AH138&lt;FT_Y5,1+INT((AH138-FT_First)/FT_Int1),FT_PreY5+FT_PerYear*INT((AH138-FT_Y5)/12)+FT_AnnivDays+INT(MOD(AH138-FT_Y5,12)/FT_Int2))),IF(AG138="PT",IF(AH138&lt;PT_First,0,1+INT((AH138-PT_First)/PT_Int)),0))-IF(AG138="FT",IF(AI138&lt;FT_First,0,IF(AI138&lt;FT_Y5,1+INT((AI138-FT_First)/FT_Int1),FT_PreY5+FT_PerYear*INT((AI138-FT_Y5)/12)+FT_AnnivDays+INT(MOD(AI138-FT_Y5,12)/FT_Int2))),IF(AG138="PT",IF(AI138&lt;PT_First,0,1+INT((AI138-PT_First)/PT_Int)),0))))</f>
        <v/>
      </c>
      <c r="AM138" s="12" t="str">
        <f aca="false">IF(AC138=0,"",IF(AF138="FT",IF(AK138&lt;FT_First,0,IF(AK138&lt;FT_Y5,1+INT((AK138-FT_First)/FT_Int1),FT_PreY5+FT_PerYear*INT((AK138-FT_Y5)/12)+FT_AnnivDays+INT(MOD(AK138-FT_Y5,12)/FT_Int2))),IF(AF138="PT",IF(AK138&lt;PT_First,0,1+INT((AK138-PT_First)/PT_Int)),0))+IF(OR(AE138="",AE138&gt;PFYDate),0,IF(AG138="FT",IF(AJ138&lt;FT_First,0,IF(AJ138&lt;FT_Y5,1+INT((AJ138-FT_First)/FT_Int1),FT_PreY5+FT_PerYear*INT((AJ138-FT_Y5)/12)+FT_AnnivDays+INT(MOD(AJ138-FT_Y5,12)/FT_Int2))),IF(AG138="PT",IF(AJ138&lt;PT_First,0,1+INT((AJ138-PT_First)/PT_Int)),0))-IF(AG138="FT",IF(AK138&lt;FT_First,0,IF(AK138&lt;FT_Y5,1+INT((AK138-FT_First)/FT_Int1),FT_PreY5+FT_PerYear*INT((AK138-FT_Y5)/12)+FT_AnnivDays+INT(MOD(AK138-FT_Y5,12)/FT_Int2))),IF(AG138="PT",IF(AK138&lt;PT_First,0,1+INT((AK138-PT_First)/PT_Int)),0))))</f>
        <v/>
      </c>
      <c r="AN138" s="12" t="str">
        <f aca="false">IF(AC138=0,"",IF(AG138="FT",IF(AH138&lt;FT_First,FT_First,IF(AH138&lt;FT_Y5,MIN(FT_Y5,FT_First+FT_Int1*(INT((AH138-FT_First)/FT_Int1)+1)),FT_Y5+12*INT((AH138-FT_Y5)/12)+FT_Int2*(INT(MOD(AH138-FT_Y5,12)/FT_Int2)+1))),IF(AG138="PT",IF(AH138&lt;PT_First,PT_First,PT_First+PT_Int*(INT((AH138-PT_First)/PT_Int)+1)),"")))</f>
        <v/>
      </c>
      <c r="AO138" s="12" t="str">
        <f aca="false">IF(AC138=0,"",IF(NOT(CFY_Ready),0,COUNTIFS(INDEX(CFY_Data,0,CFY_ColFirst),$A138,INDEX(CFY_Data,0,CFY_ColSur),$B138,INDEX(CFY_Data,0,CFY_ColCat),BonusCat)))</f>
        <v/>
      </c>
    </row>
    <row r="139" customFormat="false" ht="15" hidden="false" customHeight="false" outlineLevel="0" collapsed="false">
      <c r="A139" s="15"/>
      <c r="B139" s="15"/>
      <c r="C139" s="15"/>
      <c r="D139" s="16"/>
      <c r="E139" s="10" t="str">
        <f aca="false">IF(OR(AC139=0,$D139=""),"",DATE(YEAR(AsOfDate)+IF(DATE(YEAR(AsOfDate),MONTH($D139),DAY($D139))&lt;=AsOfDate,1,0),MONTH($D139),DAY($D139)))</f>
        <v/>
      </c>
      <c r="F139" s="16"/>
      <c r="G139" s="16"/>
      <c r="H139" s="16"/>
      <c r="I139" s="16"/>
      <c r="J139" s="10" t="str">
        <f aca="false">IF(AC139=0,"",DATE(YEAR(AsOfDate)+IF(DATE(YEAR(AsOfDate),MONTH($F139),DAY($F139))&lt;=AsOfDate,1,0),MONTH($F139),DAY($F139)))</f>
        <v/>
      </c>
      <c r="K139" s="11" t="str">
        <f aca="false">IF(AC139=0,"",ROUND((AsOfDate-$F139)/365.25,1))</f>
        <v/>
      </c>
      <c r="L139" s="12" t="str">
        <f aca="false">IF(AC139=0,"",IF(AsOfDate&lt;AD139,"-",DATEDIF(AD139,AsOfDate,"y")&amp;"y "&amp;DATEDIF(AD139,AsOfDate,"ym")&amp;"m "&amp;DATEDIF(AD139,AsOfDate,"md")&amp;"d"))</f>
        <v/>
      </c>
      <c r="M139" s="13" t="str">
        <f aca="false">IF(AC139=0,"",N139*HoursPerDay)</f>
        <v/>
      </c>
      <c r="N139" s="13" t="str">
        <f aca="false">IF(AC139=0,"",AL139)</f>
        <v/>
      </c>
      <c r="O139" s="17"/>
      <c r="P139" s="12" t="str">
        <f aca="false">IF(AC139=0,"",IF(AE139="","",IF($G139&lt;$H139,"Part-Time to Full-Time","Full-Time to Part-Time")&amp;" on "&amp;TEXT(AE139,"dd/mm/yyyy")&amp;IF(AE139&gt;AsOfDate," (future)",IF(AF139=AG139,"",IF(AG139="None"," - STOPPED accruing",IF(AF139="None"," - now qualifying"," - pathway changed"))))))</f>
        <v/>
      </c>
      <c r="Q139" s="12" t="str">
        <f aca="false">IF(AC139=0,"",IF(AG139="None",IF(N139&gt;0,"No longer accruing","Not eligible - "&amp;IF(AND($C139="Part-Time",N($O139)&lt;PT_MinHours,$O139&lt;&gt;""),"under "&amp;PT_MinHours&amp;" hrs",$C139)),IF(N139&gt;0,"Yes - accruing","Not yet - from "&amp;TEXT(R139,"dd/mm/yyyy"))))</f>
        <v/>
      </c>
      <c r="R139" s="10" t="str">
        <f aca="false">IF(AC139=0,"",IF(AG139="None","",EDATE(AD139,AN139)))</f>
        <v/>
      </c>
      <c r="S139" s="13" t="str">
        <f aca="false">IF(AC139=0,"",IF(NOT(PFY_Ready),"",SUMIFS(INDEX(PFY_Data,0,PFY_ColBal),INDEX(PFY_Data,0,PFY_ColFirst),$A139,INDEX(PFY_Data,0,PFY_ColSur),$B139,INDEX(PFY_Data,0,PFY_ColCat),BonusCat)))</f>
        <v/>
      </c>
      <c r="T139" s="17"/>
      <c r="U139" s="13" t="str">
        <f aca="false">IF(AC139=0,"",IF(NOT(CFY_Ready),"",SUMIFS(INDEX(CFY_Data,0,CFY_ColBal),INDEX(CFY_Data,0,CFY_ColFirst),$A139,INDEX(CFY_Data,0,CFY_ColSur),$B139,INDEX(CFY_Data,0,CFY_ColCat),BonusCat)))</f>
        <v/>
      </c>
      <c r="V139" s="13" t="str">
        <f aca="false">IF(AC139=0,"",IF(OR(NOT(CFY_Ready),CFY_ColAppr=0),"",SUMIFS(INDEX(CFY_Data,0,CFY_ColAppr),INDEX(CFY_Data,0,CFY_ColFirst),$A139,INDEX(CFY_Data,0,CFY_ColSur),$B139,INDEX(CFY_Data,0,CFY_ColCat),BonusCat)))</f>
        <v/>
      </c>
      <c r="W139" s="13" t="str">
        <f aca="false">IF(OR(AC139=0,S139="",U139=""),"",MAX(0,S139+N($T139)-U139))</f>
        <v/>
      </c>
      <c r="X139" s="13" t="str">
        <f aca="false">IF(AC139=0,"",(AL139-AM139)*HoursPerDay)</f>
        <v/>
      </c>
      <c r="Y139" s="13" t="str">
        <f aca="false">IF(AC139=0,"",X139-N($T139))</f>
        <v/>
      </c>
      <c r="Z139" s="12" t="str">
        <f aca="false">IF(AC139=0,"",IF(Y139&gt;0,"Yes","No"))</f>
        <v/>
      </c>
      <c r="AA139" s="12" t="str">
        <f aca="false">IF(AC139=0,"",IF(NOT(CFY_Ready),"Paste CFY EH export",IF(Y139&gt;0,"ACCRUE "&amp;TEXT(Y139,"0.##")&amp;" hrs ("&amp;TEXT(Y139/HoursPerDay,"0.##")&amp;" days)"&amp;IF(AO139=0," - no Bonus Leave line in EH yet",""),IF(Y139&lt;0,"CHECK - posted "&amp;TEXT(-Y139,"0.##")&amp;" hrs more than policy",IF(AND(N139&gt;0,AO139=0,U139=0),"CHECK - policy says "&amp;TEXT(M139,"0.##")&amp;" hrs to date but nothing in EH",IF(N139&gt;0,"OK","-"))))))</f>
        <v/>
      </c>
      <c r="AB139" s="13" t="str">
        <f aca="false">IF(OR(AC139=0,S139=""),"",AM139*HoursPerDay-S139)</f>
        <v/>
      </c>
      <c r="AC139" s="12" t="n">
        <f aca="false">IF(OR(LEN($A139&amp;$B139)=0,$F139=""),0,1)</f>
        <v>0</v>
      </c>
      <c r="AD139" s="10" t="str">
        <f aca="false">IF(AC139=0,"",IF($I139&lt;&gt;"",$I139,$F139))</f>
        <v/>
      </c>
      <c r="AE139" s="10" t="str">
        <f aca="false">IF(AC139=0,"",IF(AND($G139&lt;&gt;"",$H139&lt;&gt;"",$G139&lt;&gt;$H139),MAX($G139,$H139),""))</f>
        <v/>
      </c>
      <c r="AF139" s="12" t="str">
        <f aca="false">IF(AC139=0,"",IF(AE139="",AG139,IF(IF($G139&lt;$H139,"Part-Time","Full-Time")="Full-Time","FT",IF(AND(IF($G139&lt;$H139,"Part-Time","Full-Time")="Part-Time",OR($O139="",N($O139)&gt;=PT_MinHours)),"PT","None"))))</f>
        <v/>
      </c>
      <c r="AG139" s="12" t="str">
        <f aca="false">IF(AC139=0,"",IF($C139="Full-Time","FT",IF(AND($C139="Part-Time",OR($O139="",N($O139)&gt;=PT_MinHours)),"PT","None")))</f>
        <v/>
      </c>
      <c r="AH139" s="12" t="str">
        <f aca="false">IF(AC139=0,"",IF(AsOfDate&lt;AD139,-1,12*(YEAR(AsOfDate)-YEAR(AD139))+MONTH(AsOfDate)-MONTH(AD139)-IF(DAY(AsOfDate)&lt;MIN(DAY(AD139),DAY(EOMONTH(AsOfDate,0))),1,0)))</f>
        <v/>
      </c>
      <c r="AI139" s="12" t="str">
        <f aca="false">IF(AC139=0,"",IF(OR(AE139="",AE139&gt;AsOfDate),AH139,IF((AE139-1)&lt;AD139,-1,12*(YEAR((AE139-1))-YEAR(AD139))+MONTH((AE139-1))-MONTH(AD139)-IF(DAY((AE139-1))&lt;MIN(DAY(AD139),DAY(EOMONTH((AE139-1),0))),1,0))))</f>
        <v/>
      </c>
      <c r="AJ139" s="12" t="str">
        <f aca="false">IF(AC139=0,"",IF(PFYDate&lt;AD139,-1,12*(YEAR(PFYDate)-YEAR(AD139))+MONTH(PFYDate)-MONTH(AD139)-IF(DAY(PFYDate)&lt;MIN(DAY(AD139),DAY(EOMONTH(PFYDate,0))),1,0)))</f>
        <v/>
      </c>
      <c r="AK139" s="12" t="str">
        <f aca="false">IF(AC139=0,"",IF(OR(AE139="",AE139&gt;PFYDate),AJ139,IF((AE139-1)&lt;AD139,-1,12*(YEAR((AE139-1))-YEAR(AD139))+MONTH((AE139-1))-MONTH(AD139)-IF(DAY((AE139-1))&lt;MIN(DAY(AD139),DAY(EOMONTH((AE139-1),0))),1,0))))</f>
        <v/>
      </c>
      <c r="AL139" s="12" t="str">
        <f aca="false">IF(AC139=0,"",IF(AF139="FT",IF(AI139&lt;FT_First,0,IF(AI139&lt;FT_Y5,1+INT((AI139-FT_First)/FT_Int1),FT_PreY5+FT_PerYear*INT((AI139-FT_Y5)/12)+FT_AnnivDays+INT(MOD(AI139-FT_Y5,12)/FT_Int2))),IF(AF139="PT",IF(AI139&lt;PT_First,0,1+INT((AI139-PT_First)/PT_Int)),0))+IF(OR(AE139="",AE139&gt;AsOfDate),0,IF(AG139="FT",IF(AH139&lt;FT_First,0,IF(AH139&lt;FT_Y5,1+INT((AH139-FT_First)/FT_Int1),FT_PreY5+FT_PerYear*INT((AH139-FT_Y5)/12)+FT_AnnivDays+INT(MOD(AH139-FT_Y5,12)/FT_Int2))),IF(AG139="PT",IF(AH139&lt;PT_First,0,1+INT((AH139-PT_First)/PT_Int)),0))-IF(AG139="FT",IF(AI139&lt;FT_First,0,IF(AI139&lt;FT_Y5,1+INT((AI139-FT_First)/FT_Int1),FT_PreY5+FT_PerYear*INT((AI139-FT_Y5)/12)+FT_AnnivDays+INT(MOD(AI139-FT_Y5,12)/FT_Int2))),IF(AG139="PT",IF(AI139&lt;PT_First,0,1+INT((AI139-PT_First)/PT_Int)),0))))</f>
        <v/>
      </c>
      <c r="AM139" s="12" t="str">
        <f aca="false">IF(AC139=0,"",IF(AF139="FT",IF(AK139&lt;FT_First,0,IF(AK139&lt;FT_Y5,1+INT((AK139-FT_First)/FT_Int1),FT_PreY5+FT_PerYear*INT((AK139-FT_Y5)/12)+FT_AnnivDays+INT(MOD(AK139-FT_Y5,12)/FT_Int2))),IF(AF139="PT",IF(AK139&lt;PT_First,0,1+INT((AK139-PT_First)/PT_Int)),0))+IF(OR(AE139="",AE139&gt;PFYDate),0,IF(AG139="FT",IF(AJ139&lt;FT_First,0,IF(AJ139&lt;FT_Y5,1+INT((AJ139-FT_First)/FT_Int1),FT_PreY5+FT_PerYear*INT((AJ139-FT_Y5)/12)+FT_AnnivDays+INT(MOD(AJ139-FT_Y5,12)/FT_Int2))),IF(AG139="PT",IF(AJ139&lt;PT_First,0,1+INT((AJ139-PT_First)/PT_Int)),0))-IF(AG139="FT",IF(AK139&lt;FT_First,0,IF(AK139&lt;FT_Y5,1+INT((AK139-FT_First)/FT_Int1),FT_PreY5+FT_PerYear*INT((AK139-FT_Y5)/12)+FT_AnnivDays+INT(MOD(AK139-FT_Y5,12)/FT_Int2))),IF(AG139="PT",IF(AK139&lt;PT_First,0,1+INT((AK139-PT_First)/PT_Int)),0))))</f>
        <v/>
      </c>
      <c r="AN139" s="12" t="str">
        <f aca="false">IF(AC139=0,"",IF(AG139="FT",IF(AH139&lt;FT_First,FT_First,IF(AH139&lt;FT_Y5,MIN(FT_Y5,FT_First+FT_Int1*(INT((AH139-FT_First)/FT_Int1)+1)),FT_Y5+12*INT((AH139-FT_Y5)/12)+FT_Int2*(INT(MOD(AH139-FT_Y5,12)/FT_Int2)+1))),IF(AG139="PT",IF(AH139&lt;PT_First,PT_First,PT_First+PT_Int*(INT((AH139-PT_First)/PT_Int)+1)),"")))</f>
        <v/>
      </c>
      <c r="AO139" s="12" t="str">
        <f aca="false">IF(AC139=0,"",IF(NOT(CFY_Ready),0,COUNTIFS(INDEX(CFY_Data,0,CFY_ColFirst),$A139,INDEX(CFY_Data,0,CFY_ColSur),$B139,INDEX(CFY_Data,0,CFY_ColCat),BonusCat)))</f>
        <v/>
      </c>
    </row>
    <row r="140" customFormat="false" ht="15" hidden="false" customHeight="false" outlineLevel="0" collapsed="false">
      <c r="A140" s="15"/>
      <c r="B140" s="15"/>
      <c r="C140" s="15"/>
      <c r="D140" s="16"/>
      <c r="E140" s="10" t="str">
        <f aca="false">IF(OR(AC140=0,$D140=""),"",DATE(YEAR(AsOfDate)+IF(DATE(YEAR(AsOfDate),MONTH($D140),DAY($D140))&lt;=AsOfDate,1,0),MONTH($D140),DAY($D140)))</f>
        <v/>
      </c>
      <c r="F140" s="16"/>
      <c r="G140" s="16"/>
      <c r="H140" s="16"/>
      <c r="I140" s="16"/>
      <c r="J140" s="10" t="str">
        <f aca="false">IF(AC140=0,"",DATE(YEAR(AsOfDate)+IF(DATE(YEAR(AsOfDate),MONTH($F140),DAY($F140))&lt;=AsOfDate,1,0),MONTH($F140),DAY($F140)))</f>
        <v/>
      </c>
      <c r="K140" s="11" t="str">
        <f aca="false">IF(AC140=0,"",ROUND((AsOfDate-$F140)/365.25,1))</f>
        <v/>
      </c>
      <c r="L140" s="12" t="str">
        <f aca="false">IF(AC140=0,"",IF(AsOfDate&lt;AD140,"-",DATEDIF(AD140,AsOfDate,"y")&amp;"y "&amp;DATEDIF(AD140,AsOfDate,"ym")&amp;"m "&amp;DATEDIF(AD140,AsOfDate,"md")&amp;"d"))</f>
        <v/>
      </c>
      <c r="M140" s="13" t="str">
        <f aca="false">IF(AC140=0,"",N140*HoursPerDay)</f>
        <v/>
      </c>
      <c r="N140" s="13" t="str">
        <f aca="false">IF(AC140=0,"",AL140)</f>
        <v/>
      </c>
      <c r="O140" s="17"/>
      <c r="P140" s="12" t="str">
        <f aca="false">IF(AC140=0,"",IF(AE140="","",IF($G140&lt;$H140,"Part-Time to Full-Time","Full-Time to Part-Time")&amp;" on "&amp;TEXT(AE140,"dd/mm/yyyy")&amp;IF(AE140&gt;AsOfDate," (future)",IF(AF140=AG140,"",IF(AG140="None"," - STOPPED accruing",IF(AF140="None"," - now qualifying"," - pathway changed"))))))</f>
        <v/>
      </c>
      <c r="Q140" s="12" t="str">
        <f aca="false">IF(AC140=0,"",IF(AG140="None",IF(N140&gt;0,"No longer accruing","Not eligible - "&amp;IF(AND($C140="Part-Time",N($O140)&lt;PT_MinHours,$O140&lt;&gt;""),"under "&amp;PT_MinHours&amp;" hrs",$C140)),IF(N140&gt;0,"Yes - accruing","Not yet - from "&amp;TEXT(R140,"dd/mm/yyyy"))))</f>
        <v/>
      </c>
      <c r="R140" s="10" t="str">
        <f aca="false">IF(AC140=0,"",IF(AG140="None","",EDATE(AD140,AN140)))</f>
        <v/>
      </c>
      <c r="S140" s="13" t="str">
        <f aca="false">IF(AC140=0,"",IF(NOT(PFY_Ready),"",SUMIFS(INDEX(PFY_Data,0,PFY_ColBal),INDEX(PFY_Data,0,PFY_ColFirst),$A140,INDEX(PFY_Data,0,PFY_ColSur),$B140,INDEX(PFY_Data,0,PFY_ColCat),BonusCat)))</f>
        <v/>
      </c>
      <c r="T140" s="17"/>
      <c r="U140" s="13" t="str">
        <f aca="false">IF(AC140=0,"",IF(NOT(CFY_Ready),"",SUMIFS(INDEX(CFY_Data,0,CFY_ColBal),INDEX(CFY_Data,0,CFY_ColFirst),$A140,INDEX(CFY_Data,0,CFY_ColSur),$B140,INDEX(CFY_Data,0,CFY_ColCat),BonusCat)))</f>
        <v/>
      </c>
      <c r="V140" s="13" t="str">
        <f aca="false">IF(AC140=0,"",IF(OR(NOT(CFY_Ready),CFY_ColAppr=0),"",SUMIFS(INDEX(CFY_Data,0,CFY_ColAppr),INDEX(CFY_Data,0,CFY_ColFirst),$A140,INDEX(CFY_Data,0,CFY_ColSur),$B140,INDEX(CFY_Data,0,CFY_ColCat),BonusCat)))</f>
        <v/>
      </c>
      <c r="W140" s="13" t="str">
        <f aca="false">IF(OR(AC140=0,S140="",U140=""),"",MAX(0,S140+N($T140)-U140))</f>
        <v/>
      </c>
      <c r="X140" s="13" t="str">
        <f aca="false">IF(AC140=0,"",(AL140-AM140)*HoursPerDay)</f>
        <v/>
      </c>
      <c r="Y140" s="13" t="str">
        <f aca="false">IF(AC140=0,"",X140-N($T140))</f>
        <v/>
      </c>
      <c r="Z140" s="12" t="str">
        <f aca="false">IF(AC140=0,"",IF(Y140&gt;0,"Yes","No"))</f>
        <v/>
      </c>
      <c r="AA140" s="12" t="str">
        <f aca="false">IF(AC140=0,"",IF(NOT(CFY_Ready),"Paste CFY EH export",IF(Y140&gt;0,"ACCRUE "&amp;TEXT(Y140,"0.##")&amp;" hrs ("&amp;TEXT(Y140/HoursPerDay,"0.##")&amp;" days)"&amp;IF(AO140=0," - no Bonus Leave line in EH yet",""),IF(Y140&lt;0,"CHECK - posted "&amp;TEXT(-Y140,"0.##")&amp;" hrs more than policy",IF(AND(N140&gt;0,AO140=0,U140=0),"CHECK - policy says "&amp;TEXT(M140,"0.##")&amp;" hrs to date but nothing in EH",IF(N140&gt;0,"OK","-"))))))</f>
        <v/>
      </c>
      <c r="AB140" s="13" t="str">
        <f aca="false">IF(OR(AC140=0,S140=""),"",AM140*HoursPerDay-S140)</f>
        <v/>
      </c>
      <c r="AC140" s="12" t="n">
        <f aca="false">IF(OR(LEN($A140&amp;$B140)=0,$F140=""),0,1)</f>
        <v>0</v>
      </c>
      <c r="AD140" s="10" t="str">
        <f aca="false">IF(AC140=0,"",IF($I140&lt;&gt;"",$I140,$F140))</f>
        <v/>
      </c>
      <c r="AE140" s="10" t="str">
        <f aca="false">IF(AC140=0,"",IF(AND($G140&lt;&gt;"",$H140&lt;&gt;"",$G140&lt;&gt;$H140),MAX($G140,$H140),""))</f>
        <v/>
      </c>
      <c r="AF140" s="12" t="str">
        <f aca="false">IF(AC140=0,"",IF(AE140="",AG140,IF(IF($G140&lt;$H140,"Part-Time","Full-Time")="Full-Time","FT",IF(AND(IF($G140&lt;$H140,"Part-Time","Full-Time")="Part-Time",OR($O140="",N($O140)&gt;=PT_MinHours)),"PT","None"))))</f>
        <v/>
      </c>
      <c r="AG140" s="12" t="str">
        <f aca="false">IF(AC140=0,"",IF($C140="Full-Time","FT",IF(AND($C140="Part-Time",OR($O140="",N($O140)&gt;=PT_MinHours)),"PT","None")))</f>
        <v/>
      </c>
      <c r="AH140" s="12" t="str">
        <f aca="false">IF(AC140=0,"",IF(AsOfDate&lt;AD140,-1,12*(YEAR(AsOfDate)-YEAR(AD140))+MONTH(AsOfDate)-MONTH(AD140)-IF(DAY(AsOfDate)&lt;MIN(DAY(AD140),DAY(EOMONTH(AsOfDate,0))),1,0)))</f>
        <v/>
      </c>
      <c r="AI140" s="12" t="str">
        <f aca="false">IF(AC140=0,"",IF(OR(AE140="",AE140&gt;AsOfDate),AH140,IF((AE140-1)&lt;AD140,-1,12*(YEAR((AE140-1))-YEAR(AD140))+MONTH((AE140-1))-MONTH(AD140)-IF(DAY((AE140-1))&lt;MIN(DAY(AD140),DAY(EOMONTH((AE140-1),0))),1,0))))</f>
        <v/>
      </c>
      <c r="AJ140" s="12" t="str">
        <f aca="false">IF(AC140=0,"",IF(PFYDate&lt;AD140,-1,12*(YEAR(PFYDate)-YEAR(AD140))+MONTH(PFYDate)-MONTH(AD140)-IF(DAY(PFYDate)&lt;MIN(DAY(AD140),DAY(EOMONTH(PFYDate,0))),1,0)))</f>
        <v/>
      </c>
      <c r="AK140" s="12" t="str">
        <f aca="false">IF(AC140=0,"",IF(OR(AE140="",AE140&gt;PFYDate),AJ140,IF((AE140-1)&lt;AD140,-1,12*(YEAR((AE140-1))-YEAR(AD140))+MONTH((AE140-1))-MONTH(AD140)-IF(DAY((AE140-1))&lt;MIN(DAY(AD140),DAY(EOMONTH((AE140-1),0))),1,0))))</f>
        <v/>
      </c>
      <c r="AL140" s="12" t="str">
        <f aca="false">IF(AC140=0,"",IF(AF140="FT",IF(AI140&lt;FT_First,0,IF(AI140&lt;FT_Y5,1+INT((AI140-FT_First)/FT_Int1),FT_PreY5+FT_PerYear*INT((AI140-FT_Y5)/12)+FT_AnnivDays+INT(MOD(AI140-FT_Y5,12)/FT_Int2))),IF(AF140="PT",IF(AI140&lt;PT_First,0,1+INT((AI140-PT_First)/PT_Int)),0))+IF(OR(AE140="",AE140&gt;AsOfDate),0,IF(AG140="FT",IF(AH140&lt;FT_First,0,IF(AH140&lt;FT_Y5,1+INT((AH140-FT_First)/FT_Int1),FT_PreY5+FT_PerYear*INT((AH140-FT_Y5)/12)+FT_AnnivDays+INT(MOD(AH140-FT_Y5,12)/FT_Int2))),IF(AG140="PT",IF(AH140&lt;PT_First,0,1+INT((AH140-PT_First)/PT_Int)),0))-IF(AG140="FT",IF(AI140&lt;FT_First,0,IF(AI140&lt;FT_Y5,1+INT((AI140-FT_First)/FT_Int1),FT_PreY5+FT_PerYear*INT((AI140-FT_Y5)/12)+FT_AnnivDays+INT(MOD(AI140-FT_Y5,12)/FT_Int2))),IF(AG140="PT",IF(AI140&lt;PT_First,0,1+INT((AI140-PT_First)/PT_Int)),0))))</f>
        <v/>
      </c>
      <c r="AM140" s="12" t="str">
        <f aca="false">IF(AC140=0,"",IF(AF140="FT",IF(AK140&lt;FT_First,0,IF(AK140&lt;FT_Y5,1+INT((AK140-FT_First)/FT_Int1),FT_PreY5+FT_PerYear*INT((AK140-FT_Y5)/12)+FT_AnnivDays+INT(MOD(AK140-FT_Y5,12)/FT_Int2))),IF(AF140="PT",IF(AK140&lt;PT_First,0,1+INT((AK140-PT_First)/PT_Int)),0))+IF(OR(AE140="",AE140&gt;PFYDate),0,IF(AG140="FT",IF(AJ140&lt;FT_First,0,IF(AJ140&lt;FT_Y5,1+INT((AJ140-FT_First)/FT_Int1),FT_PreY5+FT_PerYear*INT((AJ140-FT_Y5)/12)+FT_AnnivDays+INT(MOD(AJ140-FT_Y5,12)/FT_Int2))),IF(AG140="PT",IF(AJ140&lt;PT_First,0,1+INT((AJ140-PT_First)/PT_Int)),0))-IF(AG140="FT",IF(AK140&lt;FT_First,0,IF(AK140&lt;FT_Y5,1+INT((AK140-FT_First)/FT_Int1),FT_PreY5+FT_PerYear*INT((AK140-FT_Y5)/12)+FT_AnnivDays+INT(MOD(AK140-FT_Y5,12)/FT_Int2))),IF(AG140="PT",IF(AK140&lt;PT_First,0,1+INT((AK140-PT_First)/PT_Int)),0))))</f>
        <v/>
      </c>
      <c r="AN140" s="12" t="str">
        <f aca="false">IF(AC140=0,"",IF(AG140="FT",IF(AH140&lt;FT_First,FT_First,IF(AH140&lt;FT_Y5,MIN(FT_Y5,FT_First+FT_Int1*(INT((AH140-FT_First)/FT_Int1)+1)),FT_Y5+12*INT((AH140-FT_Y5)/12)+FT_Int2*(INT(MOD(AH140-FT_Y5,12)/FT_Int2)+1))),IF(AG140="PT",IF(AH140&lt;PT_First,PT_First,PT_First+PT_Int*(INT((AH140-PT_First)/PT_Int)+1)),"")))</f>
        <v/>
      </c>
      <c r="AO140" s="12" t="str">
        <f aca="false">IF(AC140=0,"",IF(NOT(CFY_Ready),0,COUNTIFS(INDEX(CFY_Data,0,CFY_ColFirst),$A140,INDEX(CFY_Data,0,CFY_ColSur),$B140,INDEX(CFY_Data,0,CFY_ColCat),BonusCat)))</f>
        <v/>
      </c>
    </row>
    <row r="141" customFormat="false" ht="15" hidden="false" customHeight="false" outlineLevel="0" collapsed="false">
      <c r="A141" s="15"/>
      <c r="B141" s="15"/>
      <c r="C141" s="15"/>
      <c r="D141" s="16"/>
      <c r="E141" s="10" t="str">
        <f aca="false">IF(OR(AC141=0,$D141=""),"",DATE(YEAR(AsOfDate)+IF(DATE(YEAR(AsOfDate),MONTH($D141),DAY($D141))&lt;=AsOfDate,1,0),MONTH($D141),DAY($D141)))</f>
        <v/>
      </c>
      <c r="F141" s="16"/>
      <c r="G141" s="16"/>
      <c r="H141" s="16"/>
      <c r="I141" s="16"/>
      <c r="J141" s="10" t="str">
        <f aca="false">IF(AC141=0,"",DATE(YEAR(AsOfDate)+IF(DATE(YEAR(AsOfDate),MONTH($F141),DAY($F141))&lt;=AsOfDate,1,0),MONTH($F141),DAY($F141)))</f>
        <v/>
      </c>
      <c r="K141" s="11" t="str">
        <f aca="false">IF(AC141=0,"",ROUND((AsOfDate-$F141)/365.25,1))</f>
        <v/>
      </c>
      <c r="L141" s="12" t="str">
        <f aca="false">IF(AC141=0,"",IF(AsOfDate&lt;AD141,"-",DATEDIF(AD141,AsOfDate,"y")&amp;"y "&amp;DATEDIF(AD141,AsOfDate,"ym")&amp;"m "&amp;DATEDIF(AD141,AsOfDate,"md")&amp;"d"))</f>
        <v/>
      </c>
      <c r="M141" s="13" t="str">
        <f aca="false">IF(AC141=0,"",N141*HoursPerDay)</f>
        <v/>
      </c>
      <c r="N141" s="13" t="str">
        <f aca="false">IF(AC141=0,"",AL141)</f>
        <v/>
      </c>
      <c r="O141" s="17"/>
      <c r="P141" s="12" t="str">
        <f aca="false">IF(AC141=0,"",IF(AE141="","",IF($G141&lt;$H141,"Part-Time to Full-Time","Full-Time to Part-Time")&amp;" on "&amp;TEXT(AE141,"dd/mm/yyyy")&amp;IF(AE141&gt;AsOfDate," (future)",IF(AF141=AG141,"",IF(AG141="None"," - STOPPED accruing",IF(AF141="None"," - now qualifying"," - pathway changed"))))))</f>
        <v/>
      </c>
      <c r="Q141" s="12" t="str">
        <f aca="false">IF(AC141=0,"",IF(AG141="None",IF(N141&gt;0,"No longer accruing","Not eligible - "&amp;IF(AND($C141="Part-Time",N($O141)&lt;PT_MinHours,$O141&lt;&gt;""),"under "&amp;PT_MinHours&amp;" hrs",$C141)),IF(N141&gt;0,"Yes - accruing","Not yet - from "&amp;TEXT(R141,"dd/mm/yyyy"))))</f>
        <v/>
      </c>
      <c r="R141" s="10" t="str">
        <f aca="false">IF(AC141=0,"",IF(AG141="None","",EDATE(AD141,AN141)))</f>
        <v/>
      </c>
      <c r="S141" s="13" t="str">
        <f aca="false">IF(AC141=0,"",IF(NOT(PFY_Ready),"",SUMIFS(INDEX(PFY_Data,0,PFY_ColBal),INDEX(PFY_Data,0,PFY_ColFirst),$A141,INDEX(PFY_Data,0,PFY_ColSur),$B141,INDEX(PFY_Data,0,PFY_ColCat),BonusCat)))</f>
        <v/>
      </c>
      <c r="T141" s="17"/>
      <c r="U141" s="13" t="str">
        <f aca="false">IF(AC141=0,"",IF(NOT(CFY_Ready),"",SUMIFS(INDEX(CFY_Data,0,CFY_ColBal),INDEX(CFY_Data,0,CFY_ColFirst),$A141,INDEX(CFY_Data,0,CFY_ColSur),$B141,INDEX(CFY_Data,0,CFY_ColCat),BonusCat)))</f>
        <v/>
      </c>
      <c r="V141" s="13" t="str">
        <f aca="false">IF(AC141=0,"",IF(OR(NOT(CFY_Ready),CFY_ColAppr=0),"",SUMIFS(INDEX(CFY_Data,0,CFY_ColAppr),INDEX(CFY_Data,0,CFY_ColFirst),$A141,INDEX(CFY_Data,0,CFY_ColSur),$B141,INDEX(CFY_Data,0,CFY_ColCat),BonusCat)))</f>
        <v/>
      </c>
      <c r="W141" s="13" t="str">
        <f aca="false">IF(OR(AC141=0,S141="",U141=""),"",MAX(0,S141+N($T141)-U141))</f>
        <v/>
      </c>
      <c r="X141" s="13" t="str">
        <f aca="false">IF(AC141=0,"",(AL141-AM141)*HoursPerDay)</f>
        <v/>
      </c>
      <c r="Y141" s="13" t="str">
        <f aca="false">IF(AC141=0,"",X141-N($T141))</f>
        <v/>
      </c>
      <c r="Z141" s="12" t="str">
        <f aca="false">IF(AC141=0,"",IF(Y141&gt;0,"Yes","No"))</f>
        <v/>
      </c>
      <c r="AA141" s="12" t="str">
        <f aca="false">IF(AC141=0,"",IF(NOT(CFY_Ready),"Paste CFY EH export",IF(Y141&gt;0,"ACCRUE "&amp;TEXT(Y141,"0.##")&amp;" hrs ("&amp;TEXT(Y141/HoursPerDay,"0.##")&amp;" days)"&amp;IF(AO141=0," - no Bonus Leave line in EH yet",""),IF(Y141&lt;0,"CHECK - posted "&amp;TEXT(-Y141,"0.##")&amp;" hrs more than policy",IF(AND(N141&gt;0,AO141=0,U141=0),"CHECK - policy says "&amp;TEXT(M141,"0.##")&amp;" hrs to date but nothing in EH",IF(N141&gt;0,"OK","-"))))))</f>
        <v/>
      </c>
      <c r="AB141" s="13" t="str">
        <f aca="false">IF(OR(AC141=0,S141=""),"",AM141*HoursPerDay-S141)</f>
        <v/>
      </c>
      <c r="AC141" s="12" t="n">
        <f aca="false">IF(OR(LEN($A141&amp;$B141)=0,$F141=""),0,1)</f>
        <v>0</v>
      </c>
      <c r="AD141" s="10" t="str">
        <f aca="false">IF(AC141=0,"",IF($I141&lt;&gt;"",$I141,$F141))</f>
        <v/>
      </c>
      <c r="AE141" s="10" t="str">
        <f aca="false">IF(AC141=0,"",IF(AND($G141&lt;&gt;"",$H141&lt;&gt;"",$G141&lt;&gt;$H141),MAX($G141,$H141),""))</f>
        <v/>
      </c>
      <c r="AF141" s="12" t="str">
        <f aca="false">IF(AC141=0,"",IF(AE141="",AG141,IF(IF($G141&lt;$H141,"Part-Time","Full-Time")="Full-Time","FT",IF(AND(IF($G141&lt;$H141,"Part-Time","Full-Time")="Part-Time",OR($O141="",N($O141)&gt;=PT_MinHours)),"PT","None"))))</f>
        <v/>
      </c>
      <c r="AG141" s="12" t="str">
        <f aca="false">IF(AC141=0,"",IF($C141="Full-Time","FT",IF(AND($C141="Part-Time",OR($O141="",N($O141)&gt;=PT_MinHours)),"PT","None")))</f>
        <v/>
      </c>
      <c r="AH141" s="12" t="str">
        <f aca="false">IF(AC141=0,"",IF(AsOfDate&lt;AD141,-1,12*(YEAR(AsOfDate)-YEAR(AD141))+MONTH(AsOfDate)-MONTH(AD141)-IF(DAY(AsOfDate)&lt;MIN(DAY(AD141),DAY(EOMONTH(AsOfDate,0))),1,0)))</f>
        <v/>
      </c>
      <c r="AI141" s="12" t="str">
        <f aca="false">IF(AC141=0,"",IF(OR(AE141="",AE141&gt;AsOfDate),AH141,IF((AE141-1)&lt;AD141,-1,12*(YEAR((AE141-1))-YEAR(AD141))+MONTH((AE141-1))-MONTH(AD141)-IF(DAY((AE141-1))&lt;MIN(DAY(AD141),DAY(EOMONTH((AE141-1),0))),1,0))))</f>
        <v/>
      </c>
      <c r="AJ141" s="12" t="str">
        <f aca="false">IF(AC141=0,"",IF(PFYDate&lt;AD141,-1,12*(YEAR(PFYDate)-YEAR(AD141))+MONTH(PFYDate)-MONTH(AD141)-IF(DAY(PFYDate)&lt;MIN(DAY(AD141),DAY(EOMONTH(PFYDate,0))),1,0)))</f>
        <v/>
      </c>
      <c r="AK141" s="12" t="str">
        <f aca="false">IF(AC141=0,"",IF(OR(AE141="",AE141&gt;PFYDate),AJ141,IF((AE141-1)&lt;AD141,-1,12*(YEAR((AE141-1))-YEAR(AD141))+MONTH((AE141-1))-MONTH(AD141)-IF(DAY((AE141-1))&lt;MIN(DAY(AD141),DAY(EOMONTH((AE141-1),0))),1,0))))</f>
        <v/>
      </c>
      <c r="AL141" s="12" t="str">
        <f aca="false">IF(AC141=0,"",IF(AF141="FT",IF(AI141&lt;FT_First,0,IF(AI141&lt;FT_Y5,1+INT((AI141-FT_First)/FT_Int1),FT_PreY5+FT_PerYear*INT((AI141-FT_Y5)/12)+FT_AnnivDays+INT(MOD(AI141-FT_Y5,12)/FT_Int2))),IF(AF141="PT",IF(AI141&lt;PT_First,0,1+INT((AI141-PT_First)/PT_Int)),0))+IF(OR(AE141="",AE141&gt;AsOfDate),0,IF(AG141="FT",IF(AH141&lt;FT_First,0,IF(AH141&lt;FT_Y5,1+INT((AH141-FT_First)/FT_Int1),FT_PreY5+FT_PerYear*INT((AH141-FT_Y5)/12)+FT_AnnivDays+INT(MOD(AH141-FT_Y5,12)/FT_Int2))),IF(AG141="PT",IF(AH141&lt;PT_First,0,1+INT((AH141-PT_First)/PT_Int)),0))-IF(AG141="FT",IF(AI141&lt;FT_First,0,IF(AI141&lt;FT_Y5,1+INT((AI141-FT_First)/FT_Int1),FT_PreY5+FT_PerYear*INT((AI141-FT_Y5)/12)+FT_AnnivDays+INT(MOD(AI141-FT_Y5,12)/FT_Int2))),IF(AG141="PT",IF(AI141&lt;PT_First,0,1+INT((AI141-PT_First)/PT_Int)),0))))</f>
        <v/>
      </c>
      <c r="AM141" s="12" t="str">
        <f aca="false">IF(AC141=0,"",IF(AF141="FT",IF(AK141&lt;FT_First,0,IF(AK141&lt;FT_Y5,1+INT((AK141-FT_First)/FT_Int1),FT_PreY5+FT_PerYear*INT((AK141-FT_Y5)/12)+FT_AnnivDays+INT(MOD(AK141-FT_Y5,12)/FT_Int2))),IF(AF141="PT",IF(AK141&lt;PT_First,0,1+INT((AK141-PT_First)/PT_Int)),0))+IF(OR(AE141="",AE141&gt;PFYDate),0,IF(AG141="FT",IF(AJ141&lt;FT_First,0,IF(AJ141&lt;FT_Y5,1+INT((AJ141-FT_First)/FT_Int1),FT_PreY5+FT_PerYear*INT((AJ141-FT_Y5)/12)+FT_AnnivDays+INT(MOD(AJ141-FT_Y5,12)/FT_Int2))),IF(AG141="PT",IF(AJ141&lt;PT_First,0,1+INT((AJ141-PT_First)/PT_Int)),0))-IF(AG141="FT",IF(AK141&lt;FT_First,0,IF(AK141&lt;FT_Y5,1+INT((AK141-FT_First)/FT_Int1),FT_PreY5+FT_PerYear*INT((AK141-FT_Y5)/12)+FT_AnnivDays+INT(MOD(AK141-FT_Y5,12)/FT_Int2))),IF(AG141="PT",IF(AK141&lt;PT_First,0,1+INT((AK141-PT_First)/PT_Int)),0))))</f>
        <v/>
      </c>
      <c r="AN141" s="12" t="str">
        <f aca="false">IF(AC141=0,"",IF(AG141="FT",IF(AH141&lt;FT_First,FT_First,IF(AH141&lt;FT_Y5,MIN(FT_Y5,FT_First+FT_Int1*(INT((AH141-FT_First)/FT_Int1)+1)),FT_Y5+12*INT((AH141-FT_Y5)/12)+FT_Int2*(INT(MOD(AH141-FT_Y5,12)/FT_Int2)+1))),IF(AG141="PT",IF(AH141&lt;PT_First,PT_First,PT_First+PT_Int*(INT((AH141-PT_First)/PT_Int)+1)),"")))</f>
        <v/>
      </c>
      <c r="AO141" s="12" t="str">
        <f aca="false">IF(AC141=0,"",IF(NOT(CFY_Ready),0,COUNTIFS(INDEX(CFY_Data,0,CFY_ColFirst),$A141,INDEX(CFY_Data,0,CFY_ColSur),$B141,INDEX(CFY_Data,0,CFY_ColCat),BonusCat)))</f>
        <v/>
      </c>
    </row>
    <row r="142" customFormat="false" ht="15" hidden="false" customHeight="false" outlineLevel="0" collapsed="false">
      <c r="A142" s="15"/>
      <c r="B142" s="15"/>
      <c r="C142" s="15"/>
      <c r="D142" s="16"/>
      <c r="E142" s="10" t="str">
        <f aca="false">IF(OR(AC142=0,$D142=""),"",DATE(YEAR(AsOfDate)+IF(DATE(YEAR(AsOfDate),MONTH($D142),DAY($D142))&lt;=AsOfDate,1,0),MONTH($D142),DAY($D142)))</f>
        <v/>
      </c>
      <c r="F142" s="16"/>
      <c r="G142" s="16"/>
      <c r="H142" s="16"/>
      <c r="I142" s="16"/>
      <c r="J142" s="10" t="str">
        <f aca="false">IF(AC142=0,"",DATE(YEAR(AsOfDate)+IF(DATE(YEAR(AsOfDate),MONTH($F142),DAY($F142))&lt;=AsOfDate,1,0),MONTH($F142),DAY($F142)))</f>
        <v/>
      </c>
      <c r="K142" s="11" t="str">
        <f aca="false">IF(AC142=0,"",ROUND((AsOfDate-$F142)/365.25,1))</f>
        <v/>
      </c>
      <c r="L142" s="12" t="str">
        <f aca="false">IF(AC142=0,"",IF(AsOfDate&lt;AD142,"-",DATEDIF(AD142,AsOfDate,"y")&amp;"y "&amp;DATEDIF(AD142,AsOfDate,"ym")&amp;"m "&amp;DATEDIF(AD142,AsOfDate,"md")&amp;"d"))</f>
        <v/>
      </c>
      <c r="M142" s="13" t="str">
        <f aca="false">IF(AC142=0,"",N142*HoursPerDay)</f>
        <v/>
      </c>
      <c r="N142" s="13" t="str">
        <f aca="false">IF(AC142=0,"",AL142)</f>
        <v/>
      </c>
      <c r="O142" s="17"/>
      <c r="P142" s="12" t="str">
        <f aca="false">IF(AC142=0,"",IF(AE142="","",IF($G142&lt;$H142,"Part-Time to Full-Time","Full-Time to Part-Time")&amp;" on "&amp;TEXT(AE142,"dd/mm/yyyy")&amp;IF(AE142&gt;AsOfDate," (future)",IF(AF142=AG142,"",IF(AG142="None"," - STOPPED accruing",IF(AF142="None"," - now qualifying"," - pathway changed"))))))</f>
        <v/>
      </c>
      <c r="Q142" s="12" t="str">
        <f aca="false">IF(AC142=0,"",IF(AG142="None",IF(N142&gt;0,"No longer accruing","Not eligible - "&amp;IF(AND($C142="Part-Time",N($O142)&lt;PT_MinHours,$O142&lt;&gt;""),"under "&amp;PT_MinHours&amp;" hrs",$C142)),IF(N142&gt;0,"Yes - accruing","Not yet - from "&amp;TEXT(R142,"dd/mm/yyyy"))))</f>
        <v/>
      </c>
      <c r="R142" s="10" t="str">
        <f aca="false">IF(AC142=0,"",IF(AG142="None","",EDATE(AD142,AN142)))</f>
        <v/>
      </c>
      <c r="S142" s="13" t="str">
        <f aca="false">IF(AC142=0,"",IF(NOT(PFY_Ready),"",SUMIFS(INDEX(PFY_Data,0,PFY_ColBal),INDEX(PFY_Data,0,PFY_ColFirst),$A142,INDEX(PFY_Data,0,PFY_ColSur),$B142,INDEX(PFY_Data,0,PFY_ColCat),BonusCat)))</f>
        <v/>
      </c>
      <c r="T142" s="17"/>
      <c r="U142" s="13" t="str">
        <f aca="false">IF(AC142=0,"",IF(NOT(CFY_Ready),"",SUMIFS(INDEX(CFY_Data,0,CFY_ColBal),INDEX(CFY_Data,0,CFY_ColFirst),$A142,INDEX(CFY_Data,0,CFY_ColSur),$B142,INDEX(CFY_Data,0,CFY_ColCat),BonusCat)))</f>
        <v/>
      </c>
      <c r="V142" s="13" t="str">
        <f aca="false">IF(AC142=0,"",IF(OR(NOT(CFY_Ready),CFY_ColAppr=0),"",SUMIFS(INDEX(CFY_Data,0,CFY_ColAppr),INDEX(CFY_Data,0,CFY_ColFirst),$A142,INDEX(CFY_Data,0,CFY_ColSur),$B142,INDEX(CFY_Data,0,CFY_ColCat),BonusCat)))</f>
        <v/>
      </c>
      <c r="W142" s="13" t="str">
        <f aca="false">IF(OR(AC142=0,S142="",U142=""),"",MAX(0,S142+N($T142)-U142))</f>
        <v/>
      </c>
      <c r="X142" s="13" t="str">
        <f aca="false">IF(AC142=0,"",(AL142-AM142)*HoursPerDay)</f>
        <v/>
      </c>
      <c r="Y142" s="13" t="str">
        <f aca="false">IF(AC142=0,"",X142-N($T142))</f>
        <v/>
      </c>
      <c r="Z142" s="12" t="str">
        <f aca="false">IF(AC142=0,"",IF(Y142&gt;0,"Yes","No"))</f>
        <v/>
      </c>
      <c r="AA142" s="12" t="str">
        <f aca="false">IF(AC142=0,"",IF(NOT(CFY_Ready),"Paste CFY EH export",IF(Y142&gt;0,"ACCRUE "&amp;TEXT(Y142,"0.##")&amp;" hrs ("&amp;TEXT(Y142/HoursPerDay,"0.##")&amp;" days)"&amp;IF(AO142=0," - no Bonus Leave line in EH yet",""),IF(Y142&lt;0,"CHECK - posted "&amp;TEXT(-Y142,"0.##")&amp;" hrs more than policy",IF(AND(N142&gt;0,AO142=0,U142=0),"CHECK - policy says "&amp;TEXT(M142,"0.##")&amp;" hrs to date but nothing in EH",IF(N142&gt;0,"OK","-"))))))</f>
        <v/>
      </c>
      <c r="AB142" s="13" t="str">
        <f aca="false">IF(OR(AC142=0,S142=""),"",AM142*HoursPerDay-S142)</f>
        <v/>
      </c>
      <c r="AC142" s="12" t="n">
        <f aca="false">IF(OR(LEN($A142&amp;$B142)=0,$F142=""),0,1)</f>
        <v>0</v>
      </c>
      <c r="AD142" s="10" t="str">
        <f aca="false">IF(AC142=0,"",IF($I142&lt;&gt;"",$I142,$F142))</f>
        <v/>
      </c>
      <c r="AE142" s="10" t="str">
        <f aca="false">IF(AC142=0,"",IF(AND($G142&lt;&gt;"",$H142&lt;&gt;"",$G142&lt;&gt;$H142),MAX($G142,$H142),""))</f>
        <v/>
      </c>
      <c r="AF142" s="12" t="str">
        <f aca="false">IF(AC142=0,"",IF(AE142="",AG142,IF(IF($G142&lt;$H142,"Part-Time","Full-Time")="Full-Time","FT",IF(AND(IF($G142&lt;$H142,"Part-Time","Full-Time")="Part-Time",OR($O142="",N($O142)&gt;=PT_MinHours)),"PT","None"))))</f>
        <v/>
      </c>
      <c r="AG142" s="12" t="str">
        <f aca="false">IF(AC142=0,"",IF($C142="Full-Time","FT",IF(AND($C142="Part-Time",OR($O142="",N($O142)&gt;=PT_MinHours)),"PT","None")))</f>
        <v/>
      </c>
      <c r="AH142" s="12" t="str">
        <f aca="false">IF(AC142=0,"",IF(AsOfDate&lt;AD142,-1,12*(YEAR(AsOfDate)-YEAR(AD142))+MONTH(AsOfDate)-MONTH(AD142)-IF(DAY(AsOfDate)&lt;MIN(DAY(AD142),DAY(EOMONTH(AsOfDate,0))),1,0)))</f>
        <v/>
      </c>
      <c r="AI142" s="12" t="str">
        <f aca="false">IF(AC142=0,"",IF(OR(AE142="",AE142&gt;AsOfDate),AH142,IF((AE142-1)&lt;AD142,-1,12*(YEAR((AE142-1))-YEAR(AD142))+MONTH((AE142-1))-MONTH(AD142)-IF(DAY((AE142-1))&lt;MIN(DAY(AD142),DAY(EOMONTH((AE142-1),0))),1,0))))</f>
        <v/>
      </c>
      <c r="AJ142" s="12" t="str">
        <f aca="false">IF(AC142=0,"",IF(PFYDate&lt;AD142,-1,12*(YEAR(PFYDate)-YEAR(AD142))+MONTH(PFYDate)-MONTH(AD142)-IF(DAY(PFYDate)&lt;MIN(DAY(AD142),DAY(EOMONTH(PFYDate,0))),1,0)))</f>
        <v/>
      </c>
      <c r="AK142" s="12" t="str">
        <f aca="false">IF(AC142=0,"",IF(OR(AE142="",AE142&gt;PFYDate),AJ142,IF((AE142-1)&lt;AD142,-1,12*(YEAR((AE142-1))-YEAR(AD142))+MONTH((AE142-1))-MONTH(AD142)-IF(DAY((AE142-1))&lt;MIN(DAY(AD142),DAY(EOMONTH((AE142-1),0))),1,0))))</f>
        <v/>
      </c>
      <c r="AL142" s="12" t="str">
        <f aca="false">IF(AC142=0,"",IF(AF142="FT",IF(AI142&lt;FT_First,0,IF(AI142&lt;FT_Y5,1+INT((AI142-FT_First)/FT_Int1),FT_PreY5+FT_PerYear*INT((AI142-FT_Y5)/12)+FT_AnnivDays+INT(MOD(AI142-FT_Y5,12)/FT_Int2))),IF(AF142="PT",IF(AI142&lt;PT_First,0,1+INT((AI142-PT_First)/PT_Int)),0))+IF(OR(AE142="",AE142&gt;AsOfDate),0,IF(AG142="FT",IF(AH142&lt;FT_First,0,IF(AH142&lt;FT_Y5,1+INT((AH142-FT_First)/FT_Int1),FT_PreY5+FT_PerYear*INT((AH142-FT_Y5)/12)+FT_AnnivDays+INT(MOD(AH142-FT_Y5,12)/FT_Int2))),IF(AG142="PT",IF(AH142&lt;PT_First,0,1+INT((AH142-PT_First)/PT_Int)),0))-IF(AG142="FT",IF(AI142&lt;FT_First,0,IF(AI142&lt;FT_Y5,1+INT((AI142-FT_First)/FT_Int1),FT_PreY5+FT_PerYear*INT((AI142-FT_Y5)/12)+FT_AnnivDays+INT(MOD(AI142-FT_Y5,12)/FT_Int2))),IF(AG142="PT",IF(AI142&lt;PT_First,0,1+INT((AI142-PT_First)/PT_Int)),0))))</f>
        <v/>
      </c>
      <c r="AM142" s="12" t="str">
        <f aca="false">IF(AC142=0,"",IF(AF142="FT",IF(AK142&lt;FT_First,0,IF(AK142&lt;FT_Y5,1+INT((AK142-FT_First)/FT_Int1),FT_PreY5+FT_PerYear*INT((AK142-FT_Y5)/12)+FT_AnnivDays+INT(MOD(AK142-FT_Y5,12)/FT_Int2))),IF(AF142="PT",IF(AK142&lt;PT_First,0,1+INT((AK142-PT_First)/PT_Int)),0))+IF(OR(AE142="",AE142&gt;PFYDate),0,IF(AG142="FT",IF(AJ142&lt;FT_First,0,IF(AJ142&lt;FT_Y5,1+INT((AJ142-FT_First)/FT_Int1),FT_PreY5+FT_PerYear*INT((AJ142-FT_Y5)/12)+FT_AnnivDays+INT(MOD(AJ142-FT_Y5,12)/FT_Int2))),IF(AG142="PT",IF(AJ142&lt;PT_First,0,1+INT((AJ142-PT_First)/PT_Int)),0))-IF(AG142="FT",IF(AK142&lt;FT_First,0,IF(AK142&lt;FT_Y5,1+INT((AK142-FT_First)/FT_Int1),FT_PreY5+FT_PerYear*INT((AK142-FT_Y5)/12)+FT_AnnivDays+INT(MOD(AK142-FT_Y5,12)/FT_Int2))),IF(AG142="PT",IF(AK142&lt;PT_First,0,1+INT((AK142-PT_First)/PT_Int)),0))))</f>
        <v/>
      </c>
      <c r="AN142" s="12" t="str">
        <f aca="false">IF(AC142=0,"",IF(AG142="FT",IF(AH142&lt;FT_First,FT_First,IF(AH142&lt;FT_Y5,MIN(FT_Y5,FT_First+FT_Int1*(INT((AH142-FT_First)/FT_Int1)+1)),FT_Y5+12*INT((AH142-FT_Y5)/12)+FT_Int2*(INT(MOD(AH142-FT_Y5,12)/FT_Int2)+1))),IF(AG142="PT",IF(AH142&lt;PT_First,PT_First,PT_First+PT_Int*(INT((AH142-PT_First)/PT_Int)+1)),"")))</f>
        <v/>
      </c>
      <c r="AO142" s="12" t="str">
        <f aca="false">IF(AC142=0,"",IF(NOT(CFY_Ready),0,COUNTIFS(INDEX(CFY_Data,0,CFY_ColFirst),$A142,INDEX(CFY_Data,0,CFY_ColSur),$B142,INDEX(CFY_Data,0,CFY_ColCat),BonusCat)))</f>
        <v/>
      </c>
    </row>
    <row r="143" customFormat="false" ht="15" hidden="false" customHeight="false" outlineLevel="0" collapsed="false">
      <c r="A143" s="15"/>
      <c r="B143" s="15"/>
      <c r="C143" s="15"/>
      <c r="D143" s="16"/>
      <c r="E143" s="10" t="str">
        <f aca="false">IF(OR(AC143=0,$D143=""),"",DATE(YEAR(AsOfDate)+IF(DATE(YEAR(AsOfDate),MONTH($D143),DAY($D143))&lt;=AsOfDate,1,0),MONTH($D143),DAY($D143)))</f>
        <v/>
      </c>
      <c r="F143" s="16"/>
      <c r="G143" s="16"/>
      <c r="H143" s="16"/>
      <c r="I143" s="16"/>
      <c r="J143" s="10" t="str">
        <f aca="false">IF(AC143=0,"",DATE(YEAR(AsOfDate)+IF(DATE(YEAR(AsOfDate),MONTH($F143),DAY($F143))&lt;=AsOfDate,1,0),MONTH($F143),DAY($F143)))</f>
        <v/>
      </c>
      <c r="K143" s="11" t="str">
        <f aca="false">IF(AC143=0,"",ROUND((AsOfDate-$F143)/365.25,1))</f>
        <v/>
      </c>
      <c r="L143" s="12" t="str">
        <f aca="false">IF(AC143=0,"",IF(AsOfDate&lt;AD143,"-",DATEDIF(AD143,AsOfDate,"y")&amp;"y "&amp;DATEDIF(AD143,AsOfDate,"ym")&amp;"m "&amp;DATEDIF(AD143,AsOfDate,"md")&amp;"d"))</f>
        <v/>
      </c>
      <c r="M143" s="13" t="str">
        <f aca="false">IF(AC143=0,"",N143*HoursPerDay)</f>
        <v/>
      </c>
      <c r="N143" s="13" t="str">
        <f aca="false">IF(AC143=0,"",AL143)</f>
        <v/>
      </c>
      <c r="O143" s="17"/>
      <c r="P143" s="12" t="str">
        <f aca="false">IF(AC143=0,"",IF(AE143="","",IF($G143&lt;$H143,"Part-Time to Full-Time","Full-Time to Part-Time")&amp;" on "&amp;TEXT(AE143,"dd/mm/yyyy")&amp;IF(AE143&gt;AsOfDate," (future)",IF(AF143=AG143,"",IF(AG143="None"," - STOPPED accruing",IF(AF143="None"," - now qualifying"," - pathway changed"))))))</f>
        <v/>
      </c>
      <c r="Q143" s="12" t="str">
        <f aca="false">IF(AC143=0,"",IF(AG143="None",IF(N143&gt;0,"No longer accruing","Not eligible - "&amp;IF(AND($C143="Part-Time",N($O143)&lt;PT_MinHours,$O143&lt;&gt;""),"under "&amp;PT_MinHours&amp;" hrs",$C143)),IF(N143&gt;0,"Yes - accruing","Not yet - from "&amp;TEXT(R143,"dd/mm/yyyy"))))</f>
        <v/>
      </c>
      <c r="R143" s="10" t="str">
        <f aca="false">IF(AC143=0,"",IF(AG143="None","",EDATE(AD143,AN143)))</f>
        <v/>
      </c>
      <c r="S143" s="13" t="str">
        <f aca="false">IF(AC143=0,"",IF(NOT(PFY_Ready),"",SUMIFS(INDEX(PFY_Data,0,PFY_ColBal),INDEX(PFY_Data,0,PFY_ColFirst),$A143,INDEX(PFY_Data,0,PFY_ColSur),$B143,INDEX(PFY_Data,0,PFY_ColCat),BonusCat)))</f>
        <v/>
      </c>
      <c r="T143" s="17"/>
      <c r="U143" s="13" t="str">
        <f aca="false">IF(AC143=0,"",IF(NOT(CFY_Ready),"",SUMIFS(INDEX(CFY_Data,0,CFY_ColBal),INDEX(CFY_Data,0,CFY_ColFirst),$A143,INDEX(CFY_Data,0,CFY_ColSur),$B143,INDEX(CFY_Data,0,CFY_ColCat),BonusCat)))</f>
        <v/>
      </c>
      <c r="V143" s="13" t="str">
        <f aca="false">IF(AC143=0,"",IF(OR(NOT(CFY_Ready),CFY_ColAppr=0),"",SUMIFS(INDEX(CFY_Data,0,CFY_ColAppr),INDEX(CFY_Data,0,CFY_ColFirst),$A143,INDEX(CFY_Data,0,CFY_ColSur),$B143,INDEX(CFY_Data,0,CFY_ColCat),BonusCat)))</f>
        <v/>
      </c>
      <c r="W143" s="13" t="str">
        <f aca="false">IF(OR(AC143=0,S143="",U143=""),"",MAX(0,S143+N($T143)-U143))</f>
        <v/>
      </c>
      <c r="X143" s="13" t="str">
        <f aca="false">IF(AC143=0,"",(AL143-AM143)*HoursPerDay)</f>
        <v/>
      </c>
      <c r="Y143" s="13" t="str">
        <f aca="false">IF(AC143=0,"",X143-N($T143))</f>
        <v/>
      </c>
      <c r="Z143" s="12" t="str">
        <f aca="false">IF(AC143=0,"",IF(Y143&gt;0,"Yes","No"))</f>
        <v/>
      </c>
      <c r="AA143" s="12" t="str">
        <f aca="false">IF(AC143=0,"",IF(NOT(CFY_Ready),"Paste CFY EH export",IF(Y143&gt;0,"ACCRUE "&amp;TEXT(Y143,"0.##")&amp;" hrs ("&amp;TEXT(Y143/HoursPerDay,"0.##")&amp;" days)"&amp;IF(AO143=0," - no Bonus Leave line in EH yet",""),IF(Y143&lt;0,"CHECK - posted "&amp;TEXT(-Y143,"0.##")&amp;" hrs more than policy",IF(AND(N143&gt;0,AO143=0,U143=0),"CHECK - policy says "&amp;TEXT(M143,"0.##")&amp;" hrs to date but nothing in EH",IF(N143&gt;0,"OK","-"))))))</f>
        <v/>
      </c>
      <c r="AB143" s="13" t="str">
        <f aca="false">IF(OR(AC143=0,S143=""),"",AM143*HoursPerDay-S143)</f>
        <v/>
      </c>
      <c r="AC143" s="12" t="n">
        <f aca="false">IF(OR(LEN($A143&amp;$B143)=0,$F143=""),0,1)</f>
        <v>0</v>
      </c>
      <c r="AD143" s="10" t="str">
        <f aca="false">IF(AC143=0,"",IF($I143&lt;&gt;"",$I143,$F143))</f>
        <v/>
      </c>
      <c r="AE143" s="10" t="str">
        <f aca="false">IF(AC143=0,"",IF(AND($G143&lt;&gt;"",$H143&lt;&gt;"",$G143&lt;&gt;$H143),MAX($G143,$H143),""))</f>
        <v/>
      </c>
      <c r="AF143" s="12" t="str">
        <f aca="false">IF(AC143=0,"",IF(AE143="",AG143,IF(IF($G143&lt;$H143,"Part-Time","Full-Time")="Full-Time","FT",IF(AND(IF($G143&lt;$H143,"Part-Time","Full-Time")="Part-Time",OR($O143="",N($O143)&gt;=PT_MinHours)),"PT","None"))))</f>
        <v/>
      </c>
      <c r="AG143" s="12" t="str">
        <f aca="false">IF(AC143=0,"",IF($C143="Full-Time","FT",IF(AND($C143="Part-Time",OR($O143="",N($O143)&gt;=PT_MinHours)),"PT","None")))</f>
        <v/>
      </c>
      <c r="AH143" s="12" t="str">
        <f aca="false">IF(AC143=0,"",IF(AsOfDate&lt;AD143,-1,12*(YEAR(AsOfDate)-YEAR(AD143))+MONTH(AsOfDate)-MONTH(AD143)-IF(DAY(AsOfDate)&lt;MIN(DAY(AD143),DAY(EOMONTH(AsOfDate,0))),1,0)))</f>
        <v/>
      </c>
      <c r="AI143" s="12" t="str">
        <f aca="false">IF(AC143=0,"",IF(OR(AE143="",AE143&gt;AsOfDate),AH143,IF((AE143-1)&lt;AD143,-1,12*(YEAR((AE143-1))-YEAR(AD143))+MONTH((AE143-1))-MONTH(AD143)-IF(DAY((AE143-1))&lt;MIN(DAY(AD143),DAY(EOMONTH((AE143-1),0))),1,0))))</f>
        <v/>
      </c>
      <c r="AJ143" s="12" t="str">
        <f aca="false">IF(AC143=0,"",IF(PFYDate&lt;AD143,-1,12*(YEAR(PFYDate)-YEAR(AD143))+MONTH(PFYDate)-MONTH(AD143)-IF(DAY(PFYDate)&lt;MIN(DAY(AD143),DAY(EOMONTH(PFYDate,0))),1,0)))</f>
        <v/>
      </c>
      <c r="AK143" s="12" t="str">
        <f aca="false">IF(AC143=0,"",IF(OR(AE143="",AE143&gt;PFYDate),AJ143,IF((AE143-1)&lt;AD143,-1,12*(YEAR((AE143-1))-YEAR(AD143))+MONTH((AE143-1))-MONTH(AD143)-IF(DAY((AE143-1))&lt;MIN(DAY(AD143),DAY(EOMONTH((AE143-1),0))),1,0))))</f>
        <v/>
      </c>
      <c r="AL143" s="12" t="str">
        <f aca="false">IF(AC143=0,"",IF(AF143="FT",IF(AI143&lt;FT_First,0,IF(AI143&lt;FT_Y5,1+INT((AI143-FT_First)/FT_Int1),FT_PreY5+FT_PerYear*INT((AI143-FT_Y5)/12)+FT_AnnivDays+INT(MOD(AI143-FT_Y5,12)/FT_Int2))),IF(AF143="PT",IF(AI143&lt;PT_First,0,1+INT((AI143-PT_First)/PT_Int)),0))+IF(OR(AE143="",AE143&gt;AsOfDate),0,IF(AG143="FT",IF(AH143&lt;FT_First,0,IF(AH143&lt;FT_Y5,1+INT((AH143-FT_First)/FT_Int1),FT_PreY5+FT_PerYear*INT((AH143-FT_Y5)/12)+FT_AnnivDays+INT(MOD(AH143-FT_Y5,12)/FT_Int2))),IF(AG143="PT",IF(AH143&lt;PT_First,0,1+INT((AH143-PT_First)/PT_Int)),0))-IF(AG143="FT",IF(AI143&lt;FT_First,0,IF(AI143&lt;FT_Y5,1+INT((AI143-FT_First)/FT_Int1),FT_PreY5+FT_PerYear*INT((AI143-FT_Y5)/12)+FT_AnnivDays+INT(MOD(AI143-FT_Y5,12)/FT_Int2))),IF(AG143="PT",IF(AI143&lt;PT_First,0,1+INT((AI143-PT_First)/PT_Int)),0))))</f>
        <v/>
      </c>
      <c r="AM143" s="12" t="str">
        <f aca="false">IF(AC143=0,"",IF(AF143="FT",IF(AK143&lt;FT_First,0,IF(AK143&lt;FT_Y5,1+INT((AK143-FT_First)/FT_Int1),FT_PreY5+FT_PerYear*INT((AK143-FT_Y5)/12)+FT_AnnivDays+INT(MOD(AK143-FT_Y5,12)/FT_Int2))),IF(AF143="PT",IF(AK143&lt;PT_First,0,1+INT((AK143-PT_First)/PT_Int)),0))+IF(OR(AE143="",AE143&gt;PFYDate),0,IF(AG143="FT",IF(AJ143&lt;FT_First,0,IF(AJ143&lt;FT_Y5,1+INT((AJ143-FT_First)/FT_Int1),FT_PreY5+FT_PerYear*INT((AJ143-FT_Y5)/12)+FT_AnnivDays+INT(MOD(AJ143-FT_Y5,12)/FT_Int2))),IF(AG143="PT",IF(AJ143&lt;PT_First,0,1+INT((AJ143-PT_First)/PT_Int)),0))-IF(AG143="FT",IF(AK143&lt;FT_First,0,IF(AK143&lt;FT_Y5,1+INT((AK143-FT_First)/FT_Int1),FT_PreY5+FT_PerYear*INT((AK143-FT_Y5)/12)+FT_AnnivDays+INT(MOD(AK143-FT_Y5,12)/FT_Int2))),IF(AG143="PT",IF(AK143&lt;PT_First,0,1+INT((AK143-PT_First)/PT_Int)),0))))</f>
        <v/>
      </c>
      <c r="AN143" s="12" t="str">
        <f aca="false">IF(AC143=0,"",IF(AG143="FT",IF(AH143&lt;FT_First,FT_First,IF(AH143&lt;FT_Y5,MIN(FT_Y5,FT_First+FT_Int1*(INT((AH143-FT_First)/FT_Int1)+1)),FT_Y5+12*INT((AH143-FT_Y5)/12)+FT_Int2*(INT(MOD(AH143-FT_Y5,12)/FT_Int2)+1))),IF(AG143="PT",IF(AH143&lt;PT_First,PT_First,PT_First+PT_Int*(INT((AH143-PT_First)/PT_Int)+1)),"")))</f>
        <v/>
      </c>
      <c r="AO143" s="12" t="str">
        <f aca="false">IF(AC143=0,"",IF(NOT(CFY_Ready),0,COUNTIFS(INDEX(CFY_Data,0,CFY_ColFirst),$A143,INDEX(CFY_Data,0,CFY_ColSur),$B143,INDEX(CFY_Data,0,CFY_ColCat),BonusCat)))</f>
        <v/>
      </c>
    </row>
    <row r="144" customFormat="false" ht="15" hidden="false" customHeight="false" outlineLevel="0" collapsed="false">
      <c r="A144" s="15"/>
      <c r="B144" s="15"/>
      <c r="C144" s="15"/>
      <c r="D144" s="16"/>
      <c r="E144" s="10" t="str">
        <f aca="false">IF(OR(AC144=0,$D144=""),"",DATE(YEAR(AsOfDate)+IF(DATE(YEAR(AsOfDate),MONTH($D144),DAY($D144))&lt;=AsOfDate,1,0),MONTH($D144),DAY($D144)))</f>
        <v/>
      </c>
      <c r="F144" s="16"/>
      <c r="G144" s="16"/>
      <c r="H144" s="16"/>
      <c r="I144" s="16"/>
      <c r="J144" s="10" t="str">
        <f aca="false">IF(AC144=0,"",DATE(YEAR(AsOfDate)+IF(DATE(YEAR(AsOfDate),MONTH($F144),DAY($F144))&lt;=AsOfDate,1,0),MONTH($F144),DAY($F144)))</f>
        <v/>
      </c>
      <c r="K144" s="11" t="str">
        <f aca="false">IF(AC144=0,"",ROUND((AsOfDate-$F144)/365.25,1))</f>
        <v/>
      </c>
      <c r="L144" s="12" t="str">
        <f aca="false">IF(AC144=0,"",IF(AsOfDate&lt;AD144,"-",DATEDIF(AD144,AsOfDate,"y")&amp;"y "&amp;DATEDIF(AD144,AsOfDate,"ym")&amp;"m "&amp;DATEDIF(AD144,AsOfDate,"md")&amp;"d"))</f>
        <v/>
      </c>
      <c r="M144" s="13" t="str">
        <f aca="false">IF(AC144=0,"",N144*HoursPerDay)</f>
        <v/>
      </c>
      <c r="N144" s="13" t="str">
        <f aca="false">IF(AC144=0,"",AL144)</f>
        <v/>
      </c>
      <c r="O144" s="17"/>
      <c r="P144" s="12" t="str">
        <f aca="false">IF(AC144=0,"",IF(AE144="","",IF($G144&lt;$H144,"Part-Time to Full-Time","Full-Time to Part-Time")&amp;" on "&amp;TEXT(AE144,"dd/mm/yyyy")&amp;IF(AE144&gt;AsOfDate," (future)",IF(AF144=AG144,"",IF(AG144="None"," - STOPPED accruing",IF(AF144="None"," - now qualifying"," - pathway changed"))))))</f>
        <v/>
      </c>
      <c r="Q144" s="12" t="str">
        <f aca="false">IF(AC144=0,"",IF(AG144="None",IF(N144&gt;0,"No longer accruing","Not eligible - "&amp;IF(AND($C144="Part-Time",N($O144)&lt;PT_MinHours,$O144&lt;&gt;""),"under "&amp;PT_MinHours&amp;" hrs",$C144)),IF(N144&gt;0,"Yes - accruing","Not yet - from "&amp;TEXT(R144,"dd/mm/yyyy"))))</f>
        <v/>
      </c>
      <c r="R144" s="10" t="str">
        <f aca="false">IF(AC144=0,"",IF(AG144="None","",EDATE(AD144,AN144)))</f>
        <v/>
      </c>
      <c r="S144" s="13" t="str">
        <f aca="false">IF(AC144=0,"",IF(NOT(PFY_Ready),"",SUMIFS(INDEX(PFY_Data,0,PFY_ColBal),INDEX(PFY_Data,0,PFY_ColFirst),$A144,INDEX(PFY_Data,0,PFY_ColSur),$B144,INDEX(PFY_Data,0,PFY_ColCat),BonusCat)))</f>
        <v/>
      </c>
      <c r="T144" s="17"/>
      <c r="U144" s="13" t="str">
        <f aca="false">IF(AC144=0,"",IF(NOT(CFY_Ready),"",SUMIFS(INDEX(CFY_Data,0,CFY_ColBal),INDEX(CFY_Data,0,CFY_ColFirst),$A144,INDEX(CFY_Data,0,CFY_ColSur),$B144,INDEX(CFY_Data,0,CFY_ColCat),BonusCat)))</f>
        <v/>
      </c>
      <c r="V144" s="13" t="str">
        <f aca="false">IF(AC144=0,"",IF(OR(NOT(CFY_Ready),CFY_ColAppr=0),"",SUMIFS(INDEX(CFY_Data,0,CFY_ColAppr),INDEX(CFY_Data,0,CFY_ColFirst),$A144,INDEX(CFY_Data,0,CFY_ColSur),$B144,INDEX(CFY_Data,0,CFY_ColCat),BonusCat)))</f>
        <v/>
      </c>
      <c r="W144" s="13" t="str">
        <f aca="false">IF(OR(AC144=0,S144="",U144=""),"",MAX(0,S144+N($T144)-U144))</f>
        <v/>
      </c>
      <c r="X144" s="13" t="str">
        <f aca="false">IF(AC144=0,"",(AL144-AM144)*HoursPerDay)</f>
        <v/>
      </c>
      <c r="Y144" s="13" t="str">
        <f aca="false">IF(AC144=0,"",X144-N($T144))</f>
        <v/>
      </c>
      <c r="Z144" s="12" t="str">
        <f aca="false">IF(AC144=0,"",IF(Y144&gt;0,"Yes","No"))</f>
        <v/>
      </c>
      <c r="AA144" s="12" t="str">
        <f aca="false">IF(AC144=0,"",IF(NOT(CFY_Ready),"Paste CFY EH export",IF(Y144&gt;0,"ACCRUE "&amp;TEXT(Y144,"0.##")&amp;" hrs ("&amp;TEXT(Y144/HoursPerDay,"0.##")&amp;" days)"&amp;IF(AO144=0," - no Bonus Leave line in EH yet",""),IF(Y144&lt;0,"CHECK - posted "&amp;TEXT(-Y144,"0.##")&amp;" hrs more than policy",IF(AND(N144&gt;0,AO144=0,U144=0),"CHECK - policy says "&amp;TEXT(M144,"0.##")&amp;" hrs to date but nothing in EH",IF(N144&gt;0,"OK","-"))))))</f>
        <v/>
      </c>
      <c r="AB144" s="13" t="str">
        <f aca="false">IF(OR(AC144=0,S144=""),"",AM144*HoursPerDay-S144)</f>
        <v/>
      </c>
      <c r="AC144" s="12" t="n">
        <f aca="false">IF(OR(LEN($A144&amp;$B144)=0,$F144=""),0,1)</f>
        <v>0</v>
      </c>
      <c r="AD144" s="10" t="str">
        <f aca="false">IF(AC144=0,"",IF($I144&lt;&gt;"",$I144,$F144))</f>
        <v/>
      </c>
      <c r="AE144" s="10" t="str">
        <f aca="false">IF(AC144=0,"",IF(AND($G144&lt;&gt;"",$H144&lt;&gt;"",$G144&lt;&gt;$H144),MAX($G144,$H144),""))</f>
        <v/>
      </c>
      <c r="AF144" s="12" t="str">
        <f aca="false">IF(AC144=0,"",IF(AE144="",AG144,IF(IF($G144&lt;$H144,"Part-Time","Full-Time")="Full-Time","FT",IF(AND(IF($G144&lt;$H144,"Part-Time","Full-Time")="Part-Time",OR($O144="",N($O144)&gt;=PT_MinHours)),"PT","None"))))</f>
        <v/>
      </c>
      <c r="AG144" s="12" t="str">
        <f aca="false">IF(AC144=0,"",IF($C144="Full-Time","FT",IF(AND($C144="Part-Time",OR($O144="",N($O144)&gt;=PT_MinHours)),"PT","None")))</f>
        <v/>
      </c>
      <c r="AH144" s="12" t="str">
        <f aca="false">IF(AC144=0,"",IF(AsOfDate&lt;AD144,-1,12*(YEAR(AsOfDate)-YEAR(AD144))+MONTH(AsOfDate)-MONTH(AD144)-IF(DAY(AsOfDate)&lt;MIN(DAY(AD144),DAY(EOMONTH(AsOfDate,0))),1,0)))</f>
        <v/>
      </c>
      <c r="AI144" s="12" t="str">
        <f aca="false">IF(AC144=0,"",IF(OR(AE144="",AE144&gt;AsOfDate),AH144,IF((AE144-1)&lt;AD144,-1,12*(YEAR((AE144-1))-YEAR(AD144))+MONTH((AE144-1))-MONTH(AD144)-IF(DAY((AE144-1))&lt;MIN(DAY(AD144),DAY(EOMONTH((AE144-1),0))),1,0))))</f>
        <v/>
      </c>
      <c r="AJ144" s="12" t="str">
        <f aca="false">IF(AC144=0,"",IF(PFYDate&lt;AD144,-1,12*(YEAR(PFYDate)-YEAR(AD144))+MONTH(PFYDate)-MONTH(AD144)-IF(DAY(PFYDate)&lt;MIN(DAY(AD144),DAY(EOMONTH(PFYDate,0))),1,0)))</f>
        <v/>
      </c>
      <c r="AK144" s="12" t="str">
        <f aca="false">IF(AC144=0,"",IF(OR(AE144="",AE144&gt;PFYDate),AJ144,IF((AE144-1)&lt;AD144,-1,12*(YEAR((AE144-1))-YEAR(AD144))+MONTH((AE144-1))-MONTH(AD144)-IF(DAY((AE144-1))&lt;MIN(DAY(AD144),DAY(EOMONTH((AE144-1),0))),1,0))))</f>
        <v/>
      </c>
      <c r="AL144" s="12" t="str">
        <f aca="false">IF(AC144=0,"",IF(AF144="FT",IF(AI144&lt;FT_First,0,IF(AI144&lt;FT_Y5,1+INT((AI144-FT_First)/FT_Int1),FT_PreY5+FT_PerYear*INT((AI144-FT_Y5)/12)+FT_AnnivDays+INT(MOD(AI144-FT_Y5,12)/FT_Int2))),IF(AF144="PT",IF(AI144&lt;PT_First,0,1+INT((AI144-PT_First)/PT_Int)),0))+IF(OR(AE144="",AE144&gt;AsOfDate),0,IF(AG144="FT",IF(AH144&lt;FT_First,0,IF(AH144&lt;FT_Y5,1+INT((AH144-FT_First)/FT_Int1),FT_PreY5+FT_PerYear*INT((AH144-FT_Y5)/12)+FT_AnnivDays+INT(MOD(AH144-FT_Y5,12)/FT_Int2))),IF(AG144="PT",IF(AH144&lt;PT_First,0,1+INT((AH144-PT_First)/PT_Int)),0))-IF(AG144="FT",IF(AI144&lt;FT_First,0,IF(AI144&lt;FT_Y5,1+INT((AI144-FT_First)/FT_Int1),FT_PreY5+FT_PerYear*INT((AI144-FT_Y5)/12)+FT_AnnivDays+INT(MOD(AI144-FT_Y5,12)/FT_Int2))),IF(AG144="PT",IF(AI144&lt;PT_First,0,1+INT((AI144-PT_First)/PT_Int)),0))))</f>
        <v/>
      </c>
      <c r="AM144" s="12" t="str">
        <f aca="false">IF(AC144=0,"",IF(AF144="FT",IF(AK144&lt;FT_First,0,IF(AK144&lt;FT_Y5,1+INT((AK144-FT_First)/FT_Int1),FT_PreY5+FT_PerYear*INT((AK144-FT_Y5)/12)+FT_AnnivDays+INT(MOD(AK144-FT_Y5,12)/FT_Int2))),IF(AF144="PT",IF(AK144&lt;PT_First,0,1+INT((AK144-PT_First)/PT_Int)),0))+IF(OR(AE144="",AE144&gt;PFYDate),0,IF(AG144="FT",IF(AJ144&lt;FT_First,0,IF(AJ144&lt;FT_Y5,1+INT((AJ144-FT_First)/FT_Int1),FT_PreY5+FT_PerYear*INT((AJ144-FT_Y5)/12)+FT_AnnivDays+INT(MOD(AJ144-FT_Y5,12)/FT_Int2))),IF(AG144="PT",IF(AJ144&lt;PT_First,0,1+INT((AJ144-PT_First)/PT_Int)),0))-IF(AG144="FT",IF(AK144&lt;FT_First,0,IF(AK144&lt;FT_Y5,1+INT((AK144-FT_First)/FT_Int1),FT_PreY5+FT_PerYear*INT((AK144-FT_Y5)/12)+FT_AnnivDays+INT(MOD(AK144-FT_Y5,12)/FT_Int2))),IF(AG144="PT",IF(AK144&lt;PT_First,0,1+INT((AK144-PT_First)/PT_Int)),0))))</f>
        <v/>
      </c>
      <c r="AN144" s="12" t="str">
        <f aca="false">IF(AC144=0,"",IF(AG144="FT",IF(AH144&lt;FT_First,FT_First,IF(AH144&lt;FT_Y5,MIN(FT_Y5,FT_First+FT_Int1*(INT((AH144-FT_First)/FT_Int1)+1)),FT_Y5+12*INT((AH144-FT_Y5)/12)+FT_Int2*(INT(MOD(AH144-FT_Y5,12)/FT_Int2)+1))),IF(AG144="PT",IF(AH144&lt;PT_First,PT_First,PT_First+PT_Int*(INT((AH144-PT_First)/PT_Int)+1)),"")))</f>
        <v/>
      </c>
      <c r="AO144" s="12" t="str">
        <f aca="false">IF(AC144=0,"",IF(NOT(CFY_Ready),0,COUNTIFS(INDEX(CFY_Data,0,CFY_ColFirst),$A144,INDEX(CFY_Data,0,CFY_ColSur),$B144,INDEX(CFY_Data,0,CFY_ColCat),BonusCat)))</f>
        <v/>
      </c>
    </row>
    <row r="145" customFormat="false" ht="15" hidden="false" customHeight="false" outlineLevel="0" collapsed="false">
      <c r="A145" s="15"/>
      <c r="B145" s="15"/>
      <c r="C145" s="15"/>
      <c r="D145" s="16"/>
      <c r="E145" s="10" t="str">
        <f aca="false">IF(OR(AC145=0,$D145=""),"",DATE(YEAR(AsOfDate)+IF(DATE(YEAR(AsOfDate),MONTH($D145),DAY($D145))&lt;=AsOfDate,1,0),MONTH($D145),DAY($D145)))</f>
        <v/>
      </c>
      <c r="F145" s="16"/>
      <c r="G145" s="16"/>
      <c r="H145" s="16"/>
      <c r="I145" s="16"/>
      <c r="J145" s="10" t="str">
        <f aca="false">IF(AC145=0,"",DATE(YEAR(AsOfDate)+IF(DATE(YEAR(AsOfDate),MONTH($F145),DAY($F145))&lt;=AsOfDate,1,0),MONTH($F145),DAY($F145)))</f>
        <v/>
      </c>
      <c r="K145" s="11" t="str">
        <f aca="false">IF(AC145=0,"",ROUND((AsOfDate-$F145)/365.25,1))</f>
        <v/>
      </c>
      <c r="L145" s="12" t="str">
        <f aca="false">IF(AC145=0,"",IF(AsOfDate&lt;AD145,"-",DATEDIF(AD145,AsOfDate,"y")&amp;"y "&amp;DATEDIF(AD145,AsOfDate,"ym")&amp;"m "&amp;DATEDIF(AD145,AsOfDate,"md")&amp;"d"))</f>
        <v/>
      </c>
      <c r="M145" s="13" t="str">
        <f aca="false">IF(AC145=0,"",N145*HoursPerDay)</f>
        <v/>
      </c>
      <c r="N145" s="13" t="str">
        <f aca="false">IF(AC145=0,"",AL145)</f>
        <v/>
      </c>
      <c r="O145" s="17"/>
      <c r="P145" s="12" t="str">
        <f aca="false">IF(AC145=0,"",IF(AE145="","",IF($G145&lt;$H145,"Part-Time to Full-Time","Full-Time to Part-Time")&amp;" on "&amp;TEXT(AE145,"dd/mm/yyyy")&amp;IF(AE145&gt;AsOfDate," (future)",IF(AF145=AG145,"",IF(AG145="None"," - STOPPED accruing",IF(AF145="None"," - now qualifying"," - pathway changed"))))))</f>
        <v/>
      </c>
      <c r="Q145" s="12" t="str">
        <f aca="false">IF(AC145=0,"",IF(AG145="None",IF(N145&gt;0,"No longer accruing","Not eligible - "&amp;IF(AND($C145="Part-Time",N($O145)&lt;PT_MinHours,$O145&lt;&gt;""),"under "&amp;PT_MinHours&amp;" hrs",$C145)),IF(N145&gt;0,"Yes - accruing","Not yet - from "&amp;TEXT(R145,"dd/mm/yyyy"))))</f>
        <v/>
      </c>
      <c r="R145" s="10" t="str">
        <f aca="false">IF(AC145=0,"",IF(AG145="None","",EDATE(AD145,AN145)))</f>
        <v/>
      </c>
      <c r="S145" s="13" t="str">
        <f aca="false">IF(AC145=0,"",IF(NOT(PFY_Ready),"",SUMIFS(INDEX(PFY_Data,0,PFY_ColBal),INDEX(PFY_Data,0,PFY_ColFirst),$A145,INDEX(PFY_Data,0,PFY_ColSur),$B145,INDEX(PFY_Data,0,PFY_ColCat),BonusCat)))</f>
        <v/>
      </c>
      <c r="T145" s="17"/>
      <c r="U145" s="13" t="str">
        <f aca="false">IF(AC145=0,"",IF(NOT(CFY_Ready),"",SUMIFS(INDEX(CFY_Data,0,CFY_ColBal),INDEX(CFY_Data,0,CFY_ColFirst),$A145,INDEX(CFY_Data,0,CFY_ColSur),$B145,INDEX(CFY_Data,0,CFY_ColCat),BonusCat)))</f>
        <v/>
      </c>
      <c r="V145" s="13" t="str">
        <f aca="false">IF(AC145=0,"",IF(OR(NOT(CFY_Ready),CFY_ColAppr=0),"",SUMIFS(INDEX(CFY_Data,0,CFY_ColAppr),INDEX(CFY_Data,0,CFY_ColFirst),$A145,INDEX(CFY_Data,0,CFY_ColSur),$B145,INDEX(CFY_Data,0,CFY_ColCat),BonusCat)))</f>
        <v/>
      </c>
      <c r="W145" s="13" t="str">
        <f aca="false">IF(OR(AC145=0,S145="",U145=""),"",MAX(0,S145+N($T145)-U145))</f>
        <v/>
      </c>
      <c r="X145" s="13" t="str">
        <f aca="false">IF(AC145=0,"",(AL145-AM145)*HoursPerDay)</f>
        <v/>
      </c>
      <c r="Y145" s="13" t="str">
        <f aca="false">IF(AC145=0,"",X145-N($T145))</f>
        <v/>
      </c>
      <c r="Z145" s="12" t="str">
        <f aca="false">IF(AC145=0,"",IF(Y145&gt;0,"Yes","No"))</f>
        <v/>
      </c>
      <c r="AA145" s="12" t="str">
        <f aca="false">IF(AC145=0,"",IF(NOT(CFY_Ready),"Paste CFY EH export",IF(Y145&gt;0,"ACCRUE "&amp;TEXT(Y145,"0.##")&amp;" hrs ("&amp;TEXT(Y145/HoursPerDay,"0.##")&amp;" days)"&amp;IF(AO145=0," - no Bonus Leave line in EH yet",""),IF(Y145&lt;0,"CHECK - posted "&amp;TEXT(-Y145,"0.##")&amp;" hrs more than policy",IF(AND(N145&gt;0,AO145=0,U145=0),"CHECK - policy says "&amp;TEXT(M145,"0.##")&amp;" hrs to date but nothing in EH",IF(N145&gt;0,"OK","-"))))))</f>
        <v/>
      </c>
      <c r="AB145" s="13" t="str">
        <f aca="false">IF(OR(AC145=0,S145=""),"",AM145*HoursPerDay-S145)</f>
        <v/>
      </c>
      <c r="AC145" s="12" t="n">
        <f aca="false">IF(OR(LEN($A145&amp;$B145)=0,$F145=""),0,1)</f>
        <v>0</v>
      </c>
      <c r="AD145" s="10" t="str">
        <f aca="false">IF(AC145=0,"",IF($I145&lt;&gt;"",$I145,$F145))</f>
        <v/>
      </c>
      <c r="AE145" s="10" t="str">
        <f aca="false">IF(AC145=0,"",IF(AND($G145&lt;&gt;"",$H145&lt;&gt;"",$G145&lt;&gt;$H145),MAX($G145,$H145),""))</f>
        <v/>
      </c>
      <c r="AF145" s="12" t="str">
        <f aca="false">IF(AC145=0,"",IF(AE145="",AG145,IF(IF($G145&lt;$H145,"Part-Time","Full-Time")="Full-Time","FT",IF(AND(IF($G145&lt;$H145,"Part-Time","Full-Time")="Part-Time",OR($O145="",N($O145)&gt;=PT_MinHours)),"PT","None"))))</f>
        <v/>
      </c>
      <c r="AG145" s="12" t="str">
        <f aca="false">IF(AC145=0,"",IF($C145="Full-Time","FT",IF(AND($C145="Part-Time",OR($O145="",N($O145)&gt;=PT_MinHours)),"PT","None")))</f>
        <v/>
      </c>
      <c r="AH145" s="12" t="str">
        <f aca="false">IF(AC145=0,"",IF(AsOfDate&lt;AD145,-1,12*(YEAR(AsOfDate)-YEAR(AD145))+MONTH(AsOfDate)-MONTH(AD145)-IF(DAY(AsOfDate)&lt;MIN(DAY(AD145),DAY(EOMONTH(AsOfDate,0))),1,0)))</f>
        <v/>
      </c>
      <c r="AI145" s="12" t="str">
        <f aca="false">IF(AC145=0,"",IF(OR(AE145="",AE145&gt;AsOfDate),AH145,IF((AE145-1)&lt;AD145,-1,12*(YEAR((AE145-1))-YEAR(AD145))+MONTH((AE145-1))-MONTH(AD145)-IF(DAY((AE145-1))&lt;MIN(DAY(AD145),DAY(EOMONTH((AE145-1),0))),1,0))))</f>
        <v/>
      </c>
      <c r="AJ145" s="12" t="str">
        <f aca="false">IF(AC145=0,"",IF(PFYDate&lt;AD145,-1,12*(YEAR(PFYDate)-YEAR(AD145))+MONTH(PFYDate)-MONTH(AD145)-IF(DAY(PFYDate)&lt;MIN(DAY(AD145),DAY(EOMONTH(PFYDate,0))),1,0)))</f>
        <v/>
      </c>
      <c r="AK145" s="12" t="str">
        <f aca="false">IF(AC145=0,"",IF(OR(AE145="",AE145&gt;PFYDate),AJ145,IF((AE145-1)&lt;AD145,-1,12*(YEAR((AE145-1))-YEAR(AD145))+MONTH((AE145-1))-MONTH(AD145)-IF(DAY((AE145-1))&lt;MIN(DAY(AD145),DAY(EOMONTH((AE145-1),0))),1,0))))</f>
        <v/>
      </c>
      <c r="AL145" s="12" t="str">
        <f aca="false">IF(AC145=0,"",IF(AF145="FT",IF(AI145&lt;FT_First,0,IF(AI145&lt;FT_Y5,1+INT((AI145-FT_First)/FT_Int1),FT_PreY5+FT_PerYear*INT((AI145-FT_Y5)/12)+FT_AnnivDays+INT(MOD(AI145-FT_Y5,12)/FT_Int2))),IF(AF145="PT",IF(AI145&lt;PT_First,0,1+INT((AI145-PT_First)/PT_Int)),0))+IF(OR(AE145="",AE145&gt;AsOfDate),0,IF(AG145="FT",IF(AH145&lt;FT_First,0,IF(AH145&lt;FT_Y5,1+INT((AH145-FT_First)/FT_Int1),FT_PreY5+FT_PerYear*INT((AH145-FT_Y5)/12)+FT_AnnivDays+INT(MOD(AH145-FT_Y5,12)/FT_Int2))),IF(AG145="PT",IF(AH145&lt;PT_First,0,1+INT((AH145-PT_First)/PT_Int)),0))-IF(AG145="FT",IF(AI145&lt;FT_First,0,IF(AI145&lt;FT_Y5,1+INT((AI145-FT_First)/FT_Int1),FT_PreY5+FT_PerYear*INT((AI145-FT_Y5)/12)+FT_AnnivDays+INT(MOD(AI145-FT_Y5,12)/FT_Int2))),IF(AG145="PT",IF(AI145&lt;PT_First,0,1+INT((AI145-PT_First)/PT_Int)),0))))</f>
        <v/>
      </c>
      <c r="AM145" s="12" t="str">
        <f aca="false">IF(AC145=0,"",IF(AF145="FT",IF(AK145&lt;FT_First,0,IF(AK145&lt;FT_Y5,1+INT((AK145-FT_First)/FT_Int1),FT_PreY5+FT_PerYear*INT((AK145-FT_Y5)/12)+FT_AnnivDays+INT(MOD(AK145-FT_Y5,12)/FT_Int2))),IF(AF145="PT",IF(AK145&lt;PT_First,0,1+INT((AK145-PT_First)/PT_Int)),0))+IF(OR(AE145="",AE145&gt;PFYDate),0,IF(AG145="FT",IF(AJ145&lt;FT_First,0,IF(AJ145&lt;FT_Y5,1+INT((AJ145-FT_First)/FT_Int1),FT_PreY5+FT_PerYear*INT((AJ145-FT_Y5)/12)+FT_AnnivDays+INT(MOD(AJ145-FT_Y5,12)/FT_Int2))),IF(AG145="PT",IF(AJ145&lt;PT_First,0,1+INT((AJ145-PT_First)/PT_Int)),0))-IF(AG145="FT",IF(AK145&lt;FT_First,0,IF(AK145&lt;FT_Y5,1+INT((AK145-FT_First)/FT_Int1),FT_PreY5+FT_PerYear*INT((AK145-FT_Y5)/12)+FT_AnnivDays+INT(MOD(AK145-FT_Y5,12)/FT_Int2))),IF(AG145="PT",IF(AK145&lt;PT_First,0,1+INT((AK145-PT_First)/PT_Int)),0))))</f>
        <v/>
      </c>
      <c r="AN145" s="12" t="str">
        <f aca="false">IF(AC145=0,"",IF(AG145="FT",IF(AH145&lt;FT_First,FT_First,IF(AH145&lt;FT_Y5,MIN(FT_Y5,FT_First+FT_Int1*(INT((AH145-FT_First)/FT_Int1)+1)),FT_Y5+12*INT((AH145-FT_Y5)/12)+FT_Int2*(INT(MOD(AH145-FT_Y5,12)/FT_Int2)+1))),IF(AG145="PT",IF(AH145&lt;PT_First,PT_First,PT_First+PT_Int*(INT((AH145-PT_First)/PT_Int)+1)),"")))</f>
        <v/>
      </c>
      <c r="AO145" s="12" t="str">
        <f aca="false">IF(AC145=0,"",IF(NOT(CFY_Ready),0,COUNTIFS(INDEX(CFY_Data,0,CFY_ColFirst),$A145,INDEX(CFY_Data,0,CFY_ColSur),$B145,INDEX(CFY_Data,0,CFY_ColCat),BonusCat)))</f>
        <v/>
      </c>
    </row>
    <row r="146" customFormat="false" ht="15" hidden="false" customHeight="false" outlineLevel="0" collapsed="false">
      <c r="A146" s="15"/>
      <c r="B146" s="15"/>
      <c r="C146" s="15"/>
      <c r="D146" s="16"/>
      <c r="E146" s="10" t="str">
        <f aca="false">IF(OR(AC146=0,$D146=""),"",DATE(YEAR(AsOfDate)+IF(DATE(YEAR(AsOfDate),MONTH($D146),DAY($D146))&lt;=AsOfDate,1,0),MONTH($D146),DAY($D146)))</f>
        <v/>
      </c>
      <c r="F146" s="16"/>
      <c r="G146" s="16"/>
      <c r="H146" s="16"/>
      <c r="I146" s="16"/>
      <c r="J146" s="10" t="str">
        <f aca="false">IF(AC146=0,"",DATE(YEAR(AsOfDate)+IF(DATE(YEAR(AsOfDate),MONTH($F146),DAY($F146))&lt;=AsOfDate,1,0),MONTH($F146),DAY($F146)))</f>
        <v/>
      </c>
      <c r="K146" s="11" t="str">
        <f aca="false">IF(AC146=0,"",ROUND((AsOfDate-$F146)/365.25,1))</f>
        <v/>
      </c>
      <c r="L146" s="12" t="str">
        <f aca="false">IF(AC146=0,"",IF(AsOfDate&lt;AD146,"-",DATEDIF(AD146,AsOfDate,"y")&amp;"y "&amp;DATEDIF(AD146,AsOfDate,"ym")&amp;"m "&amp;DATEDIF(AD146,AsOfDate,"md")&amp;"d"))</f>
        <v/>
      </c>
      <c r="M146" s="13" t="str">
        <f aca="false">IF(AC146=0,"",N146*HoursPerDay)</f>
        <v/>
      </c>
      <c r="N146" s="13" t="str">
        <f aca="false">IF(AC146=0,"",AL146)</f>
        <v/>
      </c>
      <c r="O146" s="17"/>
      <c r="P146" s="12" t="str">
        <f aca="false">IF(AC146=0,"",IF(AE146="","",IF($G146&lt;$H146,"Part-Time to Full-Time","Full-Time to Part-Time")&amp;" on "&amp;TEXT(AE146,"dd/mm/yyyy")&amp;IF(AE146&gt;AsOfDate," (future)",IF(AF146=AG146,"",IF(AG146="None"," - STOPPED accruing",IF(AF146="None"," - now qualifying"," - pathway changed"))))))</f>
        <v/>
      </c>
      <c r="Q146" s="12" t="str">
        <f aca="false">IF(AC146=0,"",IF(AG146="None",IF(N146&gt;0,"No longer accruing","Not eligible - "&amp;IF(AND($C146="Part-Time",N($O146)&lt;PT_MinHours,$O146&lt;&gt;""),"under "&amp;PT_MinHours&amp;" hrs",$C146)),IF(N146&gt;0,"Yes - accruing","Not yet - from "&amp;TEXT(R146,"dd/mm/yyyy"))))</f>
        <v/>
      </c>
      <c r="R146" s="10" t="str">
        <f aca="false">IF(AC146=0,"",IF(AG146="None","",EDATE(AD146,AN146)))</f>
        <v/>
      </c>
      <c r="S146" s="13" t="str">
        <f aca="false">IF(AC146=0,"",IF(NOT(PFY_Ready),"",SUMIFS(INDEX(PFY_Data,0,PFY_ColBal),INDEX(PFY_Data,0,PFY_ColFirst),$A146,INDEX(PFY_Data,0,PFY_ColSur),$B146,INDEX(PFY_Data,0,PFY_ColCat),BonusCat)))</f>
        <v/>
      </c>
      <c r="T146" s="17"/>
      <c r="U146" s="13" t="str">
        <f aca="false">IF(AC146=0,"",IF(NOT(CFY_Ready),"",SUMIFS(INDEX(CFY_Data,0,CFY_ColBal),INDEX(CFY_Data,0,CFY_ColFirst),$A146,INDEX(CFY_Data,0,CFY_ColSur),$B146,INDEX(CFY_Data,0,CFY_ColCat),BonusCat)))</f>
        <v/>
      </c>
      <c r="V146" s="13" t="str">
        <f aca="false">IF(AC146=0,"",IF(OR(NOT(CFY_Ready),CFY_ColAppr=0),"",SUMIFS(INDEX(CFY_Data,0,CFY_ColAppr),INDEX(CFY_Data,0,CFY_ColFirst),$A146,INDEX(CFY_Data,0,CFY_ColSur),$B146,INDEX(CFY_Data,0,CFY_ColCat),BonusCat)))</f>
        <v/>
      </c>
      <c r="W146" s="13" t="str">
        <f aca="false">IF(OR(AC146=0,S146="",U146=""),"",MAX(0,S146+N($T146)-U146))</f>
        <v/>
      </c>
      <c r="X146" s="13" t="str">
        <f aca="false">IF(AC146=0,"",(AL146-AM146)*HoursPerDay)</f>
        <v/>
      </c>
      <c r="Y146" s="13" t="str">
        <f aca="false">IF(AC146=0,"",X146-N($T146))</f>
        <v/>
      </c>
      <c r="Z146" s="12" t="str">
        <f aca="false">IF(AC146=0,"",IF(Y146&gt;0,"Yes","No"))</f>
        <v/>
      </c>
      <c r="AA146" s="12" t="str">
        <f aca="false">IF(AC146=0,"",IF(NOT(CFY_Ready),"Paste CFY EH export",IF(Y146&gt;0,"ACCRUE "&amp;TEXT(Y146,"0.##")&amp;" hrs ("&amp;TEXT(Y146/HoursPerDay,"0.##")&amp;" days)"&amp;IF(AO146=0," - no Bonus Leave line in EH yet",""),IF(Y146&lt;0,"CHECK - posted "&amp;TEXT(-Y146,"0.##")&amp;" hrs more than policy",IF(AND(N146&gt;0,AO146=0,U146=0),"CHECK - policy says "&amp;TEXT(M146,"0.##")&amp;" hrs to date but nothing in EH",IF(N146&gt;0,"OK","-"))))))</f>
        <v/>
      </c>
      <c r="AB146" s="13" t="str">
        <f aca="false">IF(OR(AC146=0,S146=""),"",AM146*HoursPerDay-S146)</f>
        <v/>
      </c>
      <c r="AC146" s="12" t="n">
        <f aca="false">IF(OR(LEN($A146&amp;$B146)=0,$F146=""),0,1)</f>
        <v>0</v>
      </c>
      <c r="AD146" s="10" t="str">
        <f aca="false">IF(AC146=0,"",IF($I146&lt;&gt;"",$I146,$F146))</f>
        <v/>
      </c>
      <c r="AE146" s="10" t="str">
        <f aca="false">IF(AC146=0,"",IF(AND($G146&lt;&gt;"",$H146&lt;&gt;"",$G146&lt;&gt;$H146),MAX($G146,$H146),""))</f>
        <v/>
      </c>
      <c r="AF146" s="12" t="str">
        <f aca="false">IF(AC146=0,"",IF(AE146="",AG146,IF(IF($G146&lt;$H146,"Part-Time","Full-Time")="Full-Time","FT",IF(AND(IF($G146&lt;$H146,"Part-Time","Full-Time")="Part-Time",OR($O146="",N($O146)&gt;=PT_MinHours)),"PT","None"))))</f>
        <v/>
      </c>
      <c r="AG146" s="12" t="str">
        <f aca="false">IF(AC146=0,"",IF($C146="Full-Time","FT",IF(AND($C146="Part-Time",OR($O146="",N($O146)&gt;=PT_MinHours)),"PT","None")))</f>
        <v/>
      </c>
      <c r="AH146" s="12" t="str">
        <f aca="false">IF(AC146=0,"",IF(AsOfDate&lt;AD146,-1,12*(YEAR(AsOfDate)-YEAR(AD146))+MONTH(AsOfDate)-MONTH(AD146)-IF(DAY(AsOfDate)&lt;MIN(DAY(AD146),DAY(EOMONTH(AsOfDate,0))),1,0)))</f>
        <v/>
      </c>
      <c r="AI146" s="12" t="str">
        <f aca="false">IF(AC146=0,"",IF(OR(AE146="",AE146&gt;AsOfDate),AH146,IF((AE146-1)&lt;AD146,-1,12*(YEAR((AE146-1))-YEAR(AD146))+MONTH((AE146-1))-MONTH(AD146)-IF(DAY((AE146-1))&lt;MIN(DAY(AD146),DAY(EOMONTH((AE146-1),0))),1,0))))</f>
        <v/>
      </c>
      <c r="AJ146" s="12" t="str">
        <f aca="false">IF(AC146=0,"",IF(PFYDate&lt;AD146,-1,12*(YEAR(PFYDate)-YEAR(AD146))+MONTH(PFYDate)-MONTH(AD146)-IF(DAY(PFYDate)&lt;MIN(DAY(AD146),DAY(EOMONTH(PFYDate,0))),1,0)))</f>
        <v/>
      </c>
      <c r="AK146" s="12" t="str">
        <f aca="false">IF(AC146=0,"",IF(OR(AE146="",AE146&gt;PFYDate),AJ146,IF((AE146-1)&lt;AD146,-1,12*(YEAR((AE146-1))-YEAR(AD146))+MONTH((AE146-1))-MONTH(AD146)-IF(DAY((AE146-1))&lt;MIN(DAY(AD146),DAY(EOMONTH((AE146-1),0))),1,0))))</f>
        <v/>
      </c>
      <c r="AL146" s="12" t="str">
        <f aca="false">IF(AC146=0,"",IF(AF146="FT",IF(AI146&lt;FT_First,0,IF(AI146&lt;FT_Y5,1+INT((AI146-FT_First)/FT_Int1),FT_PreY5+FT_PerYear*INT((AI146-FT_Y5)/12)+FT_AnnivDays+INT(MOD(AI146-FT_Y5,12)/FT_Int2))),IF(AF146="PT",IF(AI146&lt;PT_First,0,1+INT((AI146-PT_First)/PT_Int)),0))+IF(OR(AE146="",AE146&gt;AsOfDate),0,IF(AG146="FT",IF(AH146&lt;FT_First,0,IF(AH146&lt;FT_Y5,1+INT((AH146-FT_First)/FT_Int1),FT_PreY5+FT_PerYear*INT((AH146-FT_Y5)/12)+FT_AnnivDays+INT(MOD(AH146-FT_Y5,12)/FT_Int2))),IF(AG146="PT",IF(AH146&lt;PT_First,0,1+INT((AH146-PT_First)/PT_Int)),0))-IF(AG146="FT",IF(AI146&lt;FT_First,0,IF(AI146&lt;FT_Y5,1+INT((AI146-FT_First)/FT_Int1),FT_PreY5+FT_PerYear*INT((AI146-FT_Y5)/12)+FT_AnnivDays+INT(MOD(AI146-FT_Y5,12)/FT_Int2))),IF(AG146="PT",IF(AI146&lt;PT_First,0,1+INT((AI146-PT_First)/PT_Int)),0))))</f>
        <v/>
      </c>
      <c r="AM146" s="12" t="str">
        <f aca="false">IF(AC146=0,"",IF(AF146="FT",IF(AK146&lt;FT_First,0,IF(AK146&lt;FT_Y5,1+INT((AK146-FT_First)/FT_Int1),FT_PreY5+FT_PerYear*INT((AK146-FT_Y5)/12)+FT_AnnivDays+INT(MOD(AK146-FT_Y5,12)/FT_Int2))),IF(AF146="PT",IF(AK146&lt;PT_First,0,1+INT((AK146-PT_First)/PT_Int)),0))+IF(OR(AE146="",AE146&gt;PFYDate),0,IF(AG146="FT",IF(AJ146&lt;FT_First,0,IF(AJ146&lt;FT_Y5,1+INT((AJ146-FT_First)/FT_Int1),FT_PreY5+FT_PerYear*INT((AJ146-FT_Y5)/12)+FT_AnnivDays+INT(MOD(AJ146-FT_Y5,12)/FT_Int2))),IF(AG146="PT",IF(AJ146&lt;PT_First,0,1+INT((AJ146-PT_First)/PT_Int)),0))-IF(AG146="FT",IF(AK146&lt;FT_First,0,IF(AK146&lt;FT_Y5,1+INT((AK146-FT_First)/FT_Int1),FT_PreY5+FT_PerYear*INT((AK146-FT_Y5)/12)+FT_AnnivDays+INT(MOD(AK146-FT_Y5,12)/FT_Int2))),IF(AG146="PT",IF(AK146&lt;PT_First,0,1+INT((AK146-PT_First)/PT_Int)),0))))</f>
        <v/>
      </c>
      <c r="AN146" s="12" t="str">
        <f aca="false">IF(AC146=0,"",IF(AG146="FT",IF(AH146&lt;FT_First,FT_First,IF(AH146&lt;FT_Y5,MIN(FT_Y5,FT_First+FT_Int1*(INT((AH146-FT_First)/FT_Int1)+1)),FT_Y5+12*INT((AH146-FT_Y5)/12)+FT_Int2*(INT(MOD(AH146-FT_Y5,12)/FT_Int2)+1))),IF(AG146="PT",IF(AH146&lt;PT_First,PT_First,PT_First+PT_Int*(INT((AH146-PT_First)/PT_Int)+1)),"")))</f>
        <v/>
      </c>
      <c r="AO146" s="12" t="str">
        <f aca="false">IF(AC146=0,"",IF(NOT(CFY_Ready),0,COUNTIFS(INDEX(CFY_Data,0,CFY_ColFirst),$A146,INDEX(CFY_Data,0,CFY_ColSur),$B146,INDEX(CFY_Data,0,CFY_ColCat),BonusCat)))</f>
        <v/>
      </c>
    </row>
    <row r="147" customFormat="false" ht="15" hidden="false" customHeight="false" outlineLevel="0" collapsed="false">
      <c r="A147" s="15"/>
      <c r="B147" s="15"/>
      <c r="C147" s="15"/>
      <c r="D147" s="16"/>
      <c r="E147" s="10" t="str">
        <f aca="false">IF(OR(AC147=0,$D147=""),"",DATE(YEAR(AsOfDate)+IF(DATE(YEAR(AsOfDate),MONTH($D147),DAY($D147))&lt;=AsOfDate,1,0),MONTH($D147),DAY($D147)))</f>
        <v/>
      </c>
      <c r="F147" s="16"/>
      <c r="G147" s="16"/>
      <c r="H147" s="16"/>
      <c r="I147" s="16"/>
      <c r="J147" s="10" t="str">
        <f aca="false">IF(AC147=0,"",DATE(YEAR(AsOfDate)+IF(DATE(YEAR(AsOfDate),MONTH($F147),DAY($F147))&lt;=AsOfDate,1,0),MONTH($F147),DAY($F147)))</f>
        <v/>
      </c>
      <c r="K147" s="11" t="str">
        <f aca="false">IF(AC147=0,"",ROUND((AsOfDate-$F147)/365.25,1))</f>
        <v/>
      </c>
      <c r="L147" s="12" t="str">
        <f aca="false">IF(AC147=0,"",IF(AsOfDate&lt;AD147,"-",DATEDIF(AD147,AsOfDate,"y")&amp;"y "&amp;DATEDIF(AD147,AsOfDate,"ym")&amp;"m "&amp;DATEDIF(AD147,AsOfDate,"md")&amp;"d"))</f>
        <v/>
      </c>
      <c r="M147" s="13" t="str">
        <f aca="false">IF(AC147=0,"",N147*HoursPerDay)</f>
        <v/>
      </c>
      <c r="N147" s="13" t="str">
        <f aca="false">IF(AC147=0,"",AL147)</f>
        <v/>
      </c>
      <c r="O147" s="17"/>
      <c r="P147" s="12" t="str">
        <f aca="false">IF(AC147=0,"",IF(AE147="","",IF($G147&lt;$H147,"Part-Time to Full-Time","Full-Time to Part-Time")&amp;" on "&amp;TEXT(AE147,"dd/mm/yyyy")&amp;IF(AE147&gt;AsOfDate," (future)",IF(AF147=AG147,"",IF(AG147="None"," - STOPPED accruing",IF(AF147="None"," - now qualifying"," - pathway changed"))))))</f>
        <v/>
      </c>
      <c r="Q147" s="12" t="str">
        <f aca="false">IF(AC147=0,"",IF(AG147="None",IF(N147&gt;0,"No longer accruing","Not eligible - "&amp;IF(AND($C147="Part-Time",N($O147)&lt;PT_MinHours,$O147&lt;&gt;""),"under "&amp;PT_MinHours&amp;" hrs",$C147)),IF(N147&gt;0,"Yes - accruing","Not yet - from "&amp;TEXT(R147,"dd/mm/yyyy"))))</f>
        <v/>
      </c>
      <c r="R147" s="10" t="str">
        <f aca="false">IF(AC147=0,"",IF(AG147="None","",EDATE(AD147,AN147)))</f>
        <v/>
      </c>
      <c r="S147" s="13" t="str">
        <f aca="false">IF(AC147=0,"",IF(NOT(PFY_Ready),"",SUMIFS(INDEX(PFY_Data,0,PFY_ColBal),INDEX(PFY_Data,0,PFY_ColFirst),$A147,INDEX(PFY_Data,0,PFY_ColSur),$B147,INDEX(PFY_Data,0,PFY_ColCat),BonusCat)))</f>
        <v/>
      </c>
      <c r="T147" s="17"/>
      <c r="U147" s="13" t="str">
        <f aca="false">IF(AC147=0,"",IF(NOT(CFY_Ready),"",SUMIFS(INDEX(CFY_Data,0,CFY_ColBal),INDEX(CFY_Data,0,CFY_ColFirst),$A147,INDEX(CFY_Data,0,CFY_ColSur),$B147,INDEX(CFY_Data,0,CFY_ColCat),BonusCat)))</f>
        <v/>
      </c>
      <c r="V147" s="13" t="str">
        <f aca="false">IF(AC147=0,"",IF(OR(NOT(CFY_Ready),CFY_ColAppr=0),"",SUMIFS(INDEX(CFY_Data,0,CFY_ColAppr),INDEX(CFY_Data,0,CFY_ColFirst),$A147,INDEX(CFY_Data,0,CFY_ColSur),$B147,INDEX(CFY_Data,0,CFY_ColCat),BonusCat)))</f>
        <v/>
      </c>
      <c r="W147" s="13" t="str">
        <f aca="false">IF(OR(AC147=0,S147="",U147=""),"",MAX(0,S147+N($T147)-U147))</f>
        <v/>
      </c>
      <c r="X147" s="13" t="str">
        <f aca="false">IF(AC147=0,"",(AL147-AM147)*HoursPerDay)</f>
        <v/>
      </c>
      <c r="Y147" s="13" t="str">
        <f aca="false">IF(AC147=0,"",X147-N($T147))</f>
        <v/>
      </c>
      <c r="Z147" s="12" t="str">
        <f aca="false">IF(AC147=0,"",IF(Y147&gt;0,"Yes","No"))</f>
        <v/>
      </c>
      <c r="AA147" s="12" t="str">
        <f aca="false">IF(AC147=0,"",IF(NOT(CFY_Ready),"Paste CFY EH export",IF(Y147&gt;0,"ACCRUE "&amp;TEXT(Y147,"0.##")&amp;" hrs ("&amp;TEXT(Y147/HoursPerDay,"0.##")&amp;" days)"&amp;IF(AO147=0," - no Bonus Leave line in EH yet",""),IF(Y147&lt;0,"CHECK - posted "&amp;TEXT(-Y147,"0.##")&amp;" hrs more than policy",IF(AND(N147&gt;0,AO147=0,U147=0),"CHECK - policy says "&amp;TEXT(M147,"0.##")&amp;" hrs to date but nothing in EH",IF(N147&gt;0,"OK","-"))))))</f>
        <v/>
      </c>
      <c r="AB147" s="13" t="str">
        <f aca="false">IF(OR(AC147=0,S147=""),"",AM147*HoursPerDay-S147)</f>
        <v/>
      </c>
      <c r="AC147" s="12" t="n">
        <f aca="false">IF(OR(LEN($A147&amp;$B147)=0,$F147=""),0,1)</f>
        <v>0</v>
      </c>
      <c r="AD147" s="10" t="str">
        <f aca="false">IF(AC147=0,"",IF($I147&lt;&gt;"",$I147,$F147))</f>
        <v/>
      </c>
      <c r="AE147" s="10" t="str">
        <f aca="false">IF(AC147=0,"",IF(AND($G147&lt;&gt;"",$H147&lt;&gt;"",$G147&lt;&gt;$H147),MAX($G147,$H147),""))</f>
        <v/>
      </c>
      <c r="AF147" s="12" t="str">
        <f aca="false">IF(AC147=0,"",IF(AE147="",AG147,IF(IF($G147&lt;$H147,"Part-Time","Full-Time")="Full-Time","FT",IF(AND(IF($G147&lt;$H147,"Part-Time","Full-Time")="Part-Time",OR($O147="",N($O147)&gt;=PT_MinHours)),"PT","None"))))</f>
        <v/>
      </c>
      <c r="AG147" s="12" t="str">
        <f aca="false">IF(AC147=0,"",IF($C147="Full-Time","FT",IF(AND($C147="Part-Time",OR($O147="",N($O147)&gt;=PT_MinHours)),"PT","None")))</f>
        <v/>
      </c>
      <c r="AH147" s="12" t="str">
        <f aca="false">IF(AC147=0,"",IF(AsOfDate&lt;AD147,-1,12*(YEAR(AsOfDate)-YEAR(AD147))+MONTH(AsOfDate)-MONTH(AD147)-IF(DAY(AsOfDate)&lt;MIN(DAY(AD147),DAY(EOMONTH(AsOfDate,0))),1,0)))</f>
        <v/>
      </c>
      <c r="AI147" s="12" t="str">
        <f aca="false">IF(AC147=0,"",IF(OR(AE147="",AE147&gt;AsOfDate),AH147,IF((AE147-1)&lt;AD147,-1,12*(YEAR((AE147-1))-YEAR(AD147))+MONTH((AE147-1))-MONTH(AD147)-IF(DAY((AE147-1))&lt;MIN(DAY(AD147),DAY(EOMONTH((AE147-1),0))),1,0))))</f>
        <v/>
      </c>
      <c r="AJ147" s="12" t="str">
        <f aca="false">IF(AC147=0,"",IF(PFYDate&lt;AD147,-1,12*(YEAR(PFYDate)-YEAR(AD147))+MONTH(PFYDate)-MONTH(AD147)-IF(DAY(PFYDate)&lt;MIN(DAY(AD147),DAY(EOMONTH(PFYDate,0))),1,0)))</f>
        <v/>
      </c>
      <c r="AK147" s="12" t="str">
        <f aca="false">IF(AC147=0,"",IF(OR(AE147="",AE147&gt;PFYDate),AJ147,IF((AE147-1)&lt;AD147,-1,12*(YEAR((AE147-1))-YEAR(AD147))+MONTH((AE147-1))-MONTH(AD147)-IF(DAY((AE147-1))&lt;MIN(DAY(AD147),DAY(EOMONTH((AE147-1),0))),1,0))))</f>
        <v/>
      </c>
      <c r="AL147" s="12" t="str">
        <f aca="false">IF(AC147=0,"",IF(AF147="FT",IF(AI147&lt;FT_First,0,IF(AI147&lt;FT_Y5,1+INT((AI147-FT_First)/FT_Int1),FT_PreY5+FT_PerYear*INT((AI147-FT_Y5)/12)+FT_AnnivDays+INT(MOD(AI147-FT_Y5,12)/FT_Int2))),IF(AF147="PT",IF(AI147&lt;PT_First,0,1+INT((AI147-PT_First)/PT_Int)),0))+IF(OR(AE147="",AE147&gt;AsOfDate),0,IF(AG147="FT",IF(AH147&lt;FT_First,0,IF(AH147&lt;FT_Y5,1+INT((AH147-FT_First)/FT_Int1),FT_PreY5+FT_PerYear*INT((AH147-FT_Y5)/12)+FT_AnnivDays+INT(MOD(AH147-FT_Y5,12)/FT_Int2))),IF(AG147="PT",IF(AH147&lt;PT_First,0,1+INT((AH147-PT_First)/PT_Int)),0))-IF(AG147="FT",IF(AI147&lt;FT_First,0,IF(AI147&lt;FT_Y5,1+INT((AI147-FT_First)/FT_Int1),FT_PreY5+FT_PerYear*INT((AI147-FT_Y5)/12)+FT_AnnivDays+INT(MOD(AI147-FT_Y5,12)/FT_Int2))),IF(AG147="PT",IF(AI147&lt;PT_First,0,1+INT((AI147-PT_First)/PT_Int)),0))))</f>
        <v/>
      </c>
      <c r="AM147" s="12" t="str">
        <f aca="false">IF(AC147=0,"",IF(AF147="FT",IF(AK147&lt;FT_First,0,IF(AK147&lt;FT_Y5,1+INT((AK147-FT_First)/FT_Int1),FT_PreY5+FT_PerYear*INT((AK147-FT_Y5)/12)+FT_AnnivDays+INT(MOD(AK147-FT_Y5,12)/FT_Int2))),IF(AF147="PT",IF(AK147&lt;PT_First,0,1+INT((AK147-PT_First)/PT_Int)),0))+IF(OR(AE147="",AE147&gt;PFYDate),0,IF(AG147="FT",IF(AJ147&lt;FT_First,0,IF(AJ147&lt;FT_Y5,1+INT((AJ147-FT_First)/FT_Int1),FT_PreY5+FT_PerYear*INT((AJ147-FT_Y5)/12)+FT_AnnivDays+INT(MOD(AJ147-FT_Y5,12)/FT_Int2))),IF(AG147="PT",IF(AJ147&lt;PT_First,0,1+INT((AJ147-PT_First)/PT_Int)),0))-IF(AG147="FT",IF(AK147&lt;FT_First,0,IF(AK147&lt;FT_Y5,1+INT((AK147-FT_First)/FT_Int1),FT_PreY5+FT_PerYear*INT((AK147-FT_Y5)/12)+FT_AnnivDays+INT(MOD(AK147-FT_Y5,12)/FT_Int2))),IF(AG147="PT",IF(AK147&lt;PT_First,0,1+INT((AK147-PT_First)/PT_Int)),0))))</f>
        <v/>
      </c>
      <c r="AN147" s="12" t="str">
        <f aca="false">IF(AC147=0,"",IF(AG147="FT",IF(AH147&lt;FT_First,FT_First,IF(AH147&lt;FT_Y5,MIN(FT_Y5,FT_First+FT_Int1*(INT((AH147-FT_First)/FT_Int1)+1)),FT_Y5+12*INT((AH147-FT_Y5)/12)+FT_Int2*(INT(MOD(AH147-FT_Y5,12)/FT_Int2)+1))),IF(AG147="PT",IF(AH147&lt;PT_First,PT_First,PT_First+PT_Int*(INT((AH147-PT_First)/PT_Int)+1)),"")))</f>
        <v/>
      </c>
      <c r="AO147" s="12" t="str">
        <f aca="false">IF(AC147=0,"",IF(NOT(CFY_Ready),0,COUNTIFS(INDEX(CFY_Data,0,CFY_ColFirst),$A147,INDEX(CFY_Data,0,CFY_ColSur),$B147,INDEX(CFY_Data,0,CFY_ColCat),BonusCat)))</f>
        <v/>
      </c>
    </row>
    <row r="148" customFormat="false" ht="15" hidden="false" customHeight="false" outlineLevel="0" collapsed="false">
      <c r="A148" s="15"/>
      <c r="B148" s="15"/>
      <c r="C148" s="15"/>
      <c r="D148" s="16"/>
      <c r="E148" s="10" t="str">
        <f aca="false">IF(OR(AC148=0,$D148=""),"",DATE(YEAR(AsOfDate)+IF(DATE(YEAR(AsOfDate),MONTH($D148),DAY($D148))&lt;=AsOfDate,1,0),MONTH($D148),DAY($D148)))</f>
        <v/>
      </c>
      <c r="F148" s="16"/>
      <c r="G148" s="16"/>
      <c r="H148" s="16"/>
      <c r="I148" s="16"/>
      <c r="J148" s="10" t="str">
        <f aca="false">IF(AC148=0,"",DATE(YEAR(AsOfDate)+IF(DATE(YEAR(AsOfDate),MONTH($F148),DAY($F148))&lt;=AsOfDate,1,0),MONTH($F148),DAY($F148)))</f>
        <v/>
      </c>
      <c r="K148" s="11" t="str">
        <f aca="false">IF(AC148=0,"",ROUND((AsOfDate-$F148)/365.25,1))</f>
        <v/>
      </c>
      <c r="L148" s="12" t="str">
        <f aca="false">IF(AC148=0,"",IF(AsOfDate&lt;AD148,"-",DATEDIF(AD148,AsOfDate,"y")&amp;"y "&amp;DATEDIF(AD148,AsOfDate,"ym")&amp;"m "&amp;DATEDIF(AD148,AsOfDate,"md")&amp;"d"))</f>
        <v/>
      </c>
      <c r="M148" s="13" t="str">
        <f aca="false">IF(AC148=0,"",N148*HoursPerDay)</f>
        <v/>
      </c>
      <c r="N148" s="13" t="str">
        <f aca="false">IF(AC148=0,"",AL148)</f>
        <v/>
      </c>
      <c r="O148" s="17"/>
      <c r="P148" s="12" t="str">
        <f aca="false">IF(AC148=0,"",IF(AE148="","",IF($G148&lt;$H148,"Part-Time to Full-Time","Full-Time to Part-Time")&amp;" on "&amp;TEXT(AE148,"dd/mm/yyyy")&amp;IF(AE148&gt;AsOfDate," (future)",IF(AF148=AG148,"",IF(AG148="None"," - STOPPED accruing",IF(AF148="None"," - now qualifying"," - pathway changed"))))))</f>
        <v/>
      </c>
      <c r="Q148" s="12" t="str">
        <f aca="false">IF(AC148=0,"",IF(AG148="None",IF(N148&gt;0,"No longer accruing","Not eligible - "&amp;IF(AND($C148="Part-Time",N($O148)&lt;PT_MinHours,$O148&lt;&gt;""),"under "&amp;PT_MinHours&amp;" hrs",$C148)),IF(N148&gt;0,"Yes - accruing","Not yet - from "&amp;TEXT(R148,"dd/mm/yyyy"))))</f>
        <v/>
      </c>
      <c r="R148" s="10" t="str">
        <f aca="false">IF(AC148=0,"",IF(AG148="None","",EDATE(AD148,AN148)))</f>
        <v/>
      </c>
      <c r="S148" s="13" t="str">
        <f aca="false">IF(AC148=0,"",IF(NOT(PFY_Ready),"",SUMIFS(INDEX(PFY_Data,0,PFY_ColBal),INDEX(PFY_Data,0,PFY_ColFirst),$A148,INDEX(PFY_Data,0,PFY_ColSur),$B148,INDEX(PFY_Data,0,PFY_ColCat),BonusCat)))</f>
        <v/>
      </c>
      <c r="T148" s="17"/>
      <c r="U148" s="13" t="str">
        <f aca="false">IF(AC148=0,"",IF(NOT(CFY_Ready),"",SUMIFS(INDEX(CFY_Data,0,CFY_ColBal),INDEX(CFY_Data,0,CFY_ColFirst),$A148,INDEX(CFY_Data,0,CFY_ColSur),$B148,INDEX(CFY_Data,0,CFY_ColCat),BonusCat)))</f>
        <v/>
      </c>
      <c r="V148" s="13" t="str">
        <f aca="false">IF(AC148=0,"",IF(OR(NOT(CFY_Ready),CFY_ColAppr=0),"",SUMIFS(INDEX(CFY_Data,0,CFY_ColAppr),INDEX(CFY_Data,0,CFY_ColFirst),$A148,INDEX(CFY_Data,0,CFY_ColSur),$B148,INDEX(CFY_Data,0,CFY_ColCat),BonusCat)))</f>
        <v/>
      </c>
      <c r="W148" s="13" t="str">
        <f aca="false">IF(OR(AC148=0,S148="",U148=""),"",MAX(0,S148+N($T148)-U148))</f>
        <v/>
      </c>
      <c r="X148" s="13" t="str">
        <f aca="false">IF(AC148=0,"",(AL148-AM148)*HoursPerDay)</f>
        <v/>
      </c>
      <c r="Y148" s="13" t="str">
        <f aca="false">IF(AC148=0,"",X148-N($T148))</f>
        <v/>
      </c>
      <c r="Z148" s="12" t="str">
        <f aca="false">IF(AC148=0,"",IF(Y148&gt;0,"Yes","No"))</f>
        <v/>
      </c>
      <c r="AA148" s="12" t="str">
        <f aca="false">IF(AC148=0,"",IF(NOT(CFY_Ready),"Paste CFY EH export",IF(Y148&gt;0,"ACCRUE "&amp;TEXT(Y148,"0.##")&amp;" hrs ("&amp;TEXT(Y148/HoursPerDay,"0.##")&amp;" days)"&amp;IF(AO148=0," - no Bonus Leave line in EH yet",""),IF(Y148&lt;0,"CHECK - posted "&amp;TEXT(-Y148,"0.##")&amp;" hrs more than policy",IF(AND(N148&gt;0,AO148=0,U148=0),"CHECK - policy says "&amp;TEXT(M148,"0.##")&amp;" hrs to date but nothing in EH",IF(N148&gt;0,"OK","-"))))))</f>
        <v/>
      </c>
      <c r="AB148" s="13" t="str">
        <f aca="false">IF(OR(AC148=0,S148=""),"",AM148*HoursPerDay-S148)</f>
        <v/>
      </c>
      <c r="AC148" s="12" t="n">
        <f aca="false">IF(OR(LEN($A148&amp;$B148)=0,$F148=""),0,1)</f>
        <v>0</v>
      </c>
      <c r="AD148" s="10" t="str">
        <f aca="false">IF(AC148=0,"",IF($I148&lt;&gt;"",$I148,$F148))</f>
        <v/>
      </c>
      <c r="AE148" s="10" t="str">
        <f aca="false">IF(AC148=0,"",IF(AND($G148&lt;&gt;"",$H148&lt;&gt;"",$G148&lt;&gt;$H148),MAX($G148,$H148),""))</f>
        <v/>
      </c>
      <c r="AF148" s="12" t="str">
        <f aca="false">IF(AC148=0,"",IF(AE148="",AG148,IF(IF($G148&lt;$H148,"Part-Time","Full-Time")="Full-Time","FT",IF(AND(IF($G148&lt;$H148,"Part-Time","Full-Time")="Part-Time",OR($O148="",N($O148)&gt;=PT_MinHours)),"PT","None"))))</f>
        <v/>
      </c>
      <c r="AG148" s="12" t="str">
        <f aca="false">IF(AC148=0,"",IF($C148="Full-Time","FT",IF(AND($C148="Part-Time",OR($O148="",N($O148)&gt;=PT_MinHours)),"PT","None")))</f>
        <v/>
      </c>
      <c r="AH148" s="12" t="str">
        <f aca="false">IF(AC148=0,"",IF(AsOfDate&lt;AD148,-1,12*(YEAR(AsOfDate)-YEAR(AD148))+MONTH(AsOfDate)-MONTH(AD148)-IF(DAY(AsOfDate)&lt;MIN(DAY(AD148),DAY(EOMONTH(AsOfDate,0))),1,0)))</f>
        <v/>
      </c>
      <c r="AI148" s="12" t="str">
        <f aca="false">IF(AC148=0,"",IF(OR(AE148="",AE148&gt;AsOfDate),AH148,IF((AE148-1)&lt;AD148,-1,12*(YEAR((AE148-1))-YEAR(AD148))+MONTH((AE148-1))-MONTH(AD148)-IF(DAY((AE148-1))&lt;MIN(DAY(AD148),DAY(EOMONTH((AE148-1),0))),1,0))))</f>
        <v/>
      </c>
      <c r="AJ148" s="12" t="str">
        <f aca="false">IF(AC148=0,"",IF(PFYDate&lt;AD148,-1,12*(YEAR(PFYDate)-YEAR(AD148))+MONTH(PFYDate)-MONTH(AD148)-IF(DAY(PFYDate)&lt;MIN(DAY(AD148),DAY(EOMONTH(PFYDate,0))),1,0)))</f>
        <v/>
      </c>
      <c r="AK148" s="12" t="str">
        <f aca="false">IF(AC148=0,"",IF(OR(AE148="",AE148&gt;PFYDate),AJ148,IF((AE148-1)&lt;AD148,-1,12*(YEAR((AE148-1))-YEAR(AD148))+MONTH((AE148-1))-MONTH(AD148)-IF(DAY((AE148-1))&lt;MIN(DAY(AD148),DAY(EOMONTH((AE148-1),0))),1,0))))</f>
        <v/>
      </c>
      <c r="AL148" s="12" t="str">
        <f aca="false">IF(AC148=0,"",IF(AF148="FT",IF(AI148&lt;FT_First,0,IF(AI148&lt;FT_Y5,1+INT((AI148-FT_First)/FT_Int1),FT_PreY5+FT_PerYear*INT((AI148-FT_Y5)/12)+FT_AnnivDays+INT(MOD(AI148-FT_Y5,12)/FT_Int2))),IF(AF148="PT",IF(AI148&lt;PT_First,0,1+INT((AI148-PT_First)/PT_Int)),0))+IF(OR(AE148="",AE148&gt;AsOfDate),0,IF(AG148="FT",IF(AH148&lt;FT_First,0,IF(AH148&lt;FT_Y5,1+INT((AH148-FT_First)/FT_Int1),FT_PreY5+FT_PerYear*INT((AH148-FT_Y5)/12)+FT_AnnivDays+INT(MOD(AH148-FT_Y5,12)/FT_Int2))),IF(AG148="PT",IF(AH148&lt;PT_First,0,1+INT((AH148-PT_First)/PT_Int)),0))-IF(AG148="FT",IF(AI148&lt;FT_First,0,IF(AI148&lt;FT_Y5,1+INT((AI148-FT_First)/FT_Int1),FT_PreY5+FT_PerYear*INT((AI148-FT_Y5)/12)+FT_AnnivDays+INT(MOD(AI148-FT_Y5,12)/FT_Int2))),IF(AG148="PT",IF(AI148&lt;PT_First,0,1+INT((AI148-PT_First)/PT_Int)),0))))</f>
        <v/>
      </c>
      <c r="AM148" s="12" t="str">
        <f aca="false">IF(AC148=0,"",IF(AF148="FT",IF(AK148&lt;FT_First,0,IF(AK148&lt;FT_Y5,1+INT((AK148-FT_First)/FT_Int1),FT_PreY5+FT_PerYear*INT((AK148-FT_Y5)/12)+FT_AnnivDays+INT(MOD(AK148-FT_Y5,12)/FT_Int2))),IF(AF148="PT",IF(AK148&lt;PT_First,0,1+INT((AK148-PT_First)/PT_Int)),0))+IF(OR(AE148="",AE148&gt;PFYDate),0,IF(AG148="FT",IF(AJ148&lt;FT_First,0,IF(AJ148&lt;FT_Y5,1+INT((AJ148-FT_First)/FT_Int1),FT_PreY5+FT_PerYear*INT((AJ148-FT_Y5)/12)+FT_AnnivDays+INT(MOD(AJ148-FT_Y5,12)/FT_Int2))),IF(AG148="PT",IF(AJ148&lt;PT_First,0,1+INT((AJ148-PT_First)/PT_Int)),0))-IF(AG148="FT",IF(AK148&lt;FT_First,0,IF(AK148&lt;FT_Y5,1+INT((AK148-FT_First)/FT_Int1),FT_PreY5+FT_PerYear*INT((AK148-FT_Y5)/12)+FT_AnnivDays+INT(MOD(AK148-FT_Y5,12)/FT_Int2))),IF(AG148="PT",IF(AK148&lt;PT_First,0,1+INT((AK148-PT_First)/PT_Int)),0))))</f>
        <v/>
      </c>
      <c r="AN148" s="12" t="str">
        <f aca="false">IF(AC148=0,"",IF(AG148="FT",IF(AH148&lt;FT_First,FT_First,IF(AH148&lt;FT_Y5,MIN(FT_Y5,FT_First+FT_Int1*(INT((AH148-FT_First)/FT_Int1)+1)),FT_Y5+12*INT((AH148-FT_Y5)/12)+FT_Int2*(INT(MOD(AH148-FT_Y5,12)/FT_Int2)+1))),IF(AG148="PT",IF(AH148&lt;PT_First,PT_First,PT_First+PT_Int*(INT((AH148-PT_First)/PT_Int)+1)),"")))</f>
        <v/>
      </c>
      <c r="AO148" s="12" t="str">
        <f aca="false">IF(AC148=0,"",IF(NOT(CFY_Ready),0,COUNTIFS(INDEX(CFY_Data,0,CFY_ColFirst),$A148,INDEX(CFY_Data,0,CFY_ColSur),$B148,INDEX(CFY_Data,0,CFY_ColCat),BonusCat)))</f>
        <v/>
      </c>
    </row>
    <row r="149" customFormat="false" ht="15" hidden="false" customHeight="false" outlineLevel="0" collapsed="false">
      <c r="A149" s="15"/>
      <c r="B149" s="15"/>
      <c r="C149" s="15"/>
      <c r="D149" s="16"/>
      <c r="E149" s="10" t="str">
        <f aca="false">IF(OR(AC149=0,$D149=""),"",DATE(YEAR(AsOfDate)+IF(DATE(YEAR(AsOfDate),MONTH($D149),DAY($D149))&lt;=AsOfDate,1,0),MONTH($D149),DAY($D149)))</f>
        <v/>
      </c>
      <c r="F149" s="16"/>
      <c r="G149" s="16"/>
      <c r="H149" s="16"/>
      <c r="I149" s="16"/>
      <c r="J149" s="10" t="str">
        <f aca="false">IF(AC149=0,"",DATE(YEAR(AsOfDate)+IF(DATE(YEAR(AsOfDate),MONTH($F149),DAY($F149))&lt;=AsOfDate,1,0),MONTH($F149),DAY($F149)))</f>
        <v/>
      </c>
      <c r="K149" s="11" t="str">
        <f aca="false">IF(AC149=0,"",ROUND((AsOfDate-$F149)/365.25,1))</f>
        <v/>
      </c>
      <c r="L149" s="12" t="str">
        <f aca="false">IF(AC149=0,"",IF(AsOfDate&lt;AD149,"-",DATEDIF(AD149,AsOfDate,"y")&amp;"y "&amp;DATEDIF(AD149,AsOfDate,"ym")&amp;"m "&amp;DATEDIF(AD149,AsOfDate,"md")&amp;"d"))</f>
        <v/>
      </c>
      <c r="M149" s="13" t="str">
        <f aca="false">IF(AC149=0,"",N149*HoursPerDay)</f>
        <v/>
      </c>
      <c r="N149" s="13" t="str">
        <f aca="false">IF(AC149=0,"",AL149)</f>
        <v/>
      </c>
      <c r="O149" s="17"/>
      <c r="P149" s="12" t="str">
        <f aca="false">IF(AC149=0,"",IF(AE149="","",IF($G149&lt;$H149,"Part-Time to Full-Time","Full-Time to Part-Time")&amp;" on "&amp;TEXT(AE149,"dd/mm/yyyy")&amp;IF(AE149&gt;AsOfDate," (future)",IF(AF149=AG149,"",IF(AG149="None"," - STOPPED accruing",IF(AF149="None"," - now qualifying"," - pathway changed"))))))</f>
        <v/>
      </c>
      <c r="Q149" s="12" t="str">
        <f aca="false">IF(AC149=0,"",IF(AG149="None",IF(N149&gt;0,"No longer accruing","Not eligible - "&amp;IF(AND($C149="Part-Time",N($O149)&lt;PT_MinHours,$O149&lt;&gt;""),"under "&amp;PT_MinHours&amp;" hrs",$C149)),IF(N149&gt;0,"Yes - accruing","Not yet - from "&amp;TEXT(R149,"dd/mm/yyyy"))))</f>
        <v/>
      </c>
      <c r="R149" s="10" t="str">
        <f aca="false">IF(AC149=0,"",IF(AG149="None","",EDATE(AD149,AN149)))</f>
        <v/>
      </c>
      <c r="S149" s="13" t="str">
        <f aca="false">IF(AC149=0,"",IF(NOT(PFY_Ready),"",SUMIFS(INDEX(PFY_Data,0,PFY_ColBal),INDEX(PFY_Data,0,PFY_ColFirst),$A149,INDEX(PFY_Data,0,PFY_ColSur),$B149,INDEX(PFY_Data,0,PFY_ColCat),BonusCat)))</f>
        <v/>
      </c>
      <c r="T149" s="17"/>
      <c r="U149" s="13" t="str">
        <f aca="false">IF(AC149=0,"",IF(NOT(CFY_Ready),"",SUMIFS(INDEX(CFY_Data,0,CFY_ColBal),INDEX(CFY_Data,0,CFY_ColFirst),$A149,INDEX(CFY_Data,0,CFY_ColSur),$B149,INDEX(CFY_Data,0,CFY_ColCat),BonusCat)))</f>
        <v/>
      </c>
      <c r="V149" s="13" t="str">
        <f aca="false">IF(AC149=0,"",IF(OR(NOT(CFY_Ready),CFY_ColAppr=0),"",SUMIFS(INDEX(CFY_Data,0,CFY_ColAppr),INDEX(CFY_Data,0,CFY_ColFirst),$A149,INDEX(CFY_Data,0,CFY_ColSur),$B149,INDEX(CFY_Data,0,CFY_ColCat),BonusCat)))</f>
        <v/>
      </c>
      <c r="W149" s="13" t="str">
        <f aca="false">IF(OR(AC149=0,S149="",U149=""),"",MAX(0,S149+N($T149)-U149))</f>
        <v/>
      </c>
      <c r="X149" s="13" t="str">
        <f aca="false">IF(AC149=0,"",(AL149-AM149)*HoursPerDay)</f>
        <v/>
      </c>
      <c r="Y149" s="13" t="str">
        <f aca="false">IF(AC149=0,"",X149-N($T149))</f>
        <v/>
      </c>
      <c r="Z149" s="12" t="str">
        <f aca="false">IF(AC149=0,"",IF(Y149&gt;0,"Yes","No"))</f>
        <v/>
      </c>
      <c r="AA149" s="12" t="str">
        <f aca="false">IF(AC149=0,"",IF(NOT(CFY_Ready),"Paste CFY EH export",IF(Y149&gt;0,"ACCRUE "&amp;TEXT(Y149,"0.##")&amp;" hrs ("&amp;TEXT(Y149/HoursPerDay,"0.##")&amp;" days)"&amp;IF(AO149=0," - no Bonus Leave line in EH yet",""),IF(Y149&lt;0,"CHECK - posted "&amp;TEXT(-Y149,"0.##")&amp;" hrs more than policy",IF(AND(N149&gt;0,AO149=0,U149=0),"CHECK - policy says "&amp;TEXT(M149,"0.##")&amp;" hrs to date but nothing in EH",IF(N149&gt;0,"OK","-"))))))</f>
        <v/>
      </c>
      <c r="AB149" s="13" t="str">
        <f aca="false">IF(OR(AC149=0,S149=""),"",AM149*HoursPerDay-S149)</f>
        <v/>
      </c>
      <c r="AC149" s="12" t="n">
        <f aca="false">IF(OR(LEN($A149&amp;$B149)=0,$F149=""),0,1)</f>
        <v>0</v>
      </c>
      <c r="AD149" s="10" t="str">
        <f aca="false">IF(AC149=0,"",IF($I149&lt;&gt;"",$I149,$F149))</f>
        <v/>
      </c>
      <c r="AE149" s="10" t="str">
        <f aca="false">IF(AC149=0,"",IF(AND($G149&lt;&gt;"",$H149&lt;&gt;"",$G149&lt;&gt;$H149),MAX($G149,$H149),""))</f>
        <v/>
      </c>
      <c r="AF149" s="12" t="str">
        <f aca="false">IF(AC149=0,"",IF(AE149="",AG149,IF(IF($G149&lt;$H149,"Part-Time","Full-Time")="Full-Time","FT",IF(AND(IF($G149&lt;$H149,"Part-Time","Full-Time")="Part-Time",OR($O149="",N($O149)&gt;=PT_MinHours)),"PT","None"))))</f>
        <v/>
      </c>
      <c r="AG149" s="12" t="str">
        <f aca="false">IF(AC149=0,"",IF($C149="Full-Time","FT",IF(AND($C149="Part-Time",OR($O149="",N($O149)&gt;=PT_MinHours)),"PT","None")))</f>
        <v/>
      </c>
      <c r="AH149" s="12" t="str">
        <f aca="false">IF(AC149=0,"",IF(AsOfDate&lt;AD149,-1,12*(YEAR(AsOfDate)-YEAR(AD149))+MONTH(AsOfDate)-MONTH(AD149)-IF(DAY(AsOfDate)&lt;MIN(DAY(AD149),DAY(EOMONTH(AsOfDate,0))),1,0)))</f>
        <v/>
      </c>
      <c r="AI149" s="12" t="str">
        <f aca="false">IF(AC149=0,"",IF(OR(AE149="",AE149&gt;AsOfDate),AH149,IF((AE149-1)&lt;AD149,-1,12*(YEAR((AE149-1))-YEAR(AD149))+MONTH((AE149-1))-MONTH(AD149)-IF(DAY((AE149-1))&lt;MIN(DAY(AD149),DAY(EOMONTH((AE149-1),0))),1,0))))</f>
        <v/>
      </c>
      <c r="AJ149" s="12" t="str">
        <f aca="false">IF(AC149=0,"",IF(PFYDate&lt;AD149,-1,12*(YEAR(PFYDate)-YEAR(AD149))+MONTH(PFYDate)-MONTH(AD149)-IF(DAY(PFYDate)&lt;MIN(DAY(AD149),DAY(EOMONTH(PFYDate,0))),1,0)))</f>
        <v/>
      </c>
      <c r="AK149" s="12" t="str">
        <f aca="false">IF(AC149=0,"",IF(OR(AE149="",AE149&gt;PFYDate),AJ149,IF((AE149-1)&lt;AD149,-1,12*(YEAR((AE149-1))-YEAR(AD149))+MONTH((AE149-1))-MONTH(AD149)-IF(DAY((AE149-1))&lt;MIN(DAY(AD149),DAY(EOMONTH((AE149-1),0))),1,0))))</f>
        <v/>
      </c>
      <c r="AL149" s="12" t="str">
        <f aca="false">IF(AC149=0,"",IF(AF149="FT",IF(AI149&lt;FT_First,0,IF(AI149&lt;FT_Y5,1+INT((AI149-FT_First)/FT_Int1),FT_PreY5+FT_PerYear*INT((AI149-FT_Y5)/12)+FT_AnnivDays+INT(MOD(AI149-FT_Y5,12)/FT_Int2))),IF(AF149="PT",IF(AI149&lt;PT_First,0,1+INT((AI149-PT_First)/PT_Int)),0))+IF(OR(AE149="",AE149&gt;AsOfDate),0,IF(AG149="FT",IF(AH149&lt;FT_First,0,IF(AH149&lt;FT_Y5,1+INT((AH149-FT_First)/FT_Int1),FT_PreY5+FT_PerYear*INT((AH149-FT_Y5)/12)+FT_AnnivDays+INT(MOD(AH149-FT_Y5,12)/FT_Int2))),IF(AG149="PT",IF(AH149&lt;PT_First,0,1+INT((AH149-PT_First)/PT_Int)),0))-IF(AG149="FT",IF(AI149&lt;FT_First,0,IF(AI149&lt;FT_Y5,1+INT((AI149-FT_First)/FT_Int1),FT_PreY5+FT_PerYear*INT((AI149-FT_Y5)/12)+FT_AnnivDays+INT(MOD(AI149-FT_Y5,12)/FT_Int2))),IF(AG149="PT",IF(AI149&lt;PT_First,0,1+INT((AI149-PT_First)/PT_Int)),0))))</f>
        <v/>
      </c>
      <c r="AM149" s="12" t="str">
        <f aca="false">IF(AC149=0,"",IF(AF149="FT",IF(AK149&lt;FT_First,0,IF(AK149&lt;FT_Y5,1+INT((AK149-FT_First)/FT_Int1),FT_PreY5+FT_PerYear*INT((AK149-FT_Y5)/12)+FT_AnnivDays+INT(MOD(AK149-FT_Y5,12)/FT_Int2))),IF(AF149="PT",IF(AK149&lt;PT_First,0,1+INT((AK149-PT_First)/PT_Int)),0))+IF(OR(AE149="",AE149&gt;PFYDate),0,IF(AG149="FT",IF(AJ149&lt;FT_First,0,IF(AJ149&lt;FT_Y5,1+INT((AJ149-FT_First)/FT_Int1),FT_PreY5+FT_PerYear*INT((AJ149-FT_Y5)/12)+FT_AnnivDays+INT(MOD(AJ149-FT_Y5,12)/FT_Int2))),IF(AG149="PT",IF(AJ149&lt;PT_First,0,1+INT((AJ149-PT_First)/PT_Int)),0))-IF(AG149="FT",IF(AK149&lt;FT_First,0,IF(AK149&lt;FT_Y5,1+INT((AK149-FT_First)/FT_Int1),FT_PreY5+FT_PerYear*INT((AK149-FT_Y5)/12)+FT_AnnivDays+INT(MOD(AK149-FT_Y5,12)/FT_Int2))),IF(AG149="PT",IF(AK149&lt;PT_First,0,1+INT((AK149-PT_First)/PT_Int)),0))))</f>
        <v/>
      </c>
      <c r="AN149" s="12" t="str">
        <f aca="false">IF(AC149=0,"",IF(AG149="FT",IF(AH149&lt;FT_First,FT_First,IF(AH149&lt;FT_Y5,MIN(FT_Y5,FT_First+FT_Int1*(INT((AH149-FT_First)/FT_Int1)+1)),FT_Y5+12*INT((AH149-FT_Y5)/12)+FT_Int2*(INT(MOD(AH149-FT_Y5,12)/FT_Int2)+1))),IF(AG149="PT",IF(AH149&lt;PT_First,PT_First,PT_First+PT_Int*(INT((AH149-PT_First)/PT_Int)+1)),"")))</f>
        <v/>
      </c>
      <c r="AO149" s="12" t="str">
        <f aca="false">IF(AC149=0,"",IF(NOT(CFY_Ready),0,COUNTIFS(INDEX(CFY_Data,0,CFY_ColFirst),$A149,INDEX(CFY_Data,0,CFY_ColSur),$B149,INDEX(CFY_Data,0,CFY_ColCat),BonusCat)))</f>
        <v/>
      </c>
    </row>
    <row r="150" customFormat="false" ht="15" hidden="false" customHeight="false" outlineLevel="0" collapsed="false">
      <c r="A150" s="15"/>
      <c r="B150" s="15"/>
      <c r="C150" s="15"/>
      <c r="D150" s="16"/>
      <c r="E150" s="10" t="str">
        <f aca="false">IF(OR(AC150=0,$D150=""),"",DATE(YEAR(AsOfDate)+IF(DATE(YEAR(AsOfDate),MONTH($D150),DAY($D150))&lt;=AsOfDate,1,0),MONTH($D150),DAY($D150)))</f>
        <v/>
      </c>
      <c r="F150" s="16"/>
      <c r="G150" s="16"/>
      <c r="H150" s="16"/>
      <c r="I150" s="16"/>
      <c r="J150" s="10" t="str">
        <f aca="false">IF(AC150=0,"",DATE(YEAR(AsOfDate)+IF(DATE(YEAR(AsOfDate),MONTH($F150),DAY($F150))&lt;=AsOfDate,1,0),MONTH($F150),DAY($F150)))</f>
        <v/>
      </c>
      <c r="K150" s="11" t="str">
        <f aca="false">IF(AC150=0,"",ROUND((AsOfDate-$F150)/365.25,1))</f>
        <v/>
      </c>
      <c r="L150" s="12" t="str">
        <f aca="false">IF(AC150=0,"",IF(AsOfDate&lt;AD150,"-",DATEDIF(AD150,AsOfDate,"y")&amp;"y "&amp;DATEDIF(AD150,AsOfDate,"ym")&amp;"m "&amp;DATEDIF(AD150,AsOfDate,"md")&amp;"d"))</f>
        <v/>
      </c>
      <c r="M150" s="13" t="str">
        <f aca="false">IF(AC150=0,"",N150*HoursPerDay)</f>
        <v/>
      </c>
      <c r="N150" s="13" t="str">
        <f aca="false">IF(AC150=0,"",AL150)</f>
        <v/>
      </c>
      <c r="O150" s="17"/>
      <c r="P150" s="12" t="str">
        <f aca="false">IF(AC150=0,"",IF(AE150="","",IF($G150&lt;$H150,"Part-Time to Full-Time","Full-Time to Part-Time")&amp;" on "&amp;TEXT(AE150,"dd/mm/yyyy")&amp;IF(AE150&gt;AsOfDate," (future)",IF(AF150=AG150,"",IF(AG150="None"," - STOPPED accruing",IF(AF150="None"," - now qualifying"," - pathway changed"))))))</f>
        <v/>
      </c>
      <c r="Q150" s="12" t="str">
        <f aca="false">IF(AC150=0,"",IF(AG150="None",IF(N150&gt;0,"No longer accruing","Not eligible - "&amp;IF(AND($C150="Part-Time",N($O150)&lt;PT_MinHours,$O150&lt;&gt;""),"under "&amp;PT_MinHours&amp;" hrs",$C150)),IF(N150&gt;0,"Yes - accruing","Not yet - from "&amp;TEXT(R150,"dd/mm/yyyy"))))</f>
        <v/>
      </c>
      <c r="R150" s="10" t="str">
        <f aca="false">IF(AC150=0,"",IF(AG150="None","",EDATE(AD150,AN150)))</f>
        <v/>
      </c>
      <c r="S150" s="13" t="str">
        <f aca="false">IF(AC150=0,"",IF(NOT(PFY_Ready),"",SUMIFS(INDEX(PFY_Data,0,PFY_ColBal),INDEX(PFY_Data,0,PFY_ColFirst),$A150,INDEX(PFY_Data,0,PFY_ColSur),$B150,INDEX(PFY_Data,0,PFY_ColCat),BonusCat)))</f>
        <v/>
      </c>
      <c r="T150" s="17"/>
      <c r="U150" s="13" t="str">
        <f aca="false">IF(AC150=0,"",IF(NOT(CFY_Ready),"",SUMIFS(INDEX(CFY_Data,0,CFY_ColBal),INDEX(CFY_Data,0,CFY_ColFirst),$A150,INDEX(CFY_Data,0,CFY_ColSur),$B150,INDEX(CFY_Data,0,CFY_ColCat),BonusCat)))</f>
        <v/>
      </c>
      <c r="V150" s="13" t="str">
        <f aca="false">IF(AC150=0,"",IF(OR(NOT(CFY_Ready),CFY_ColAppr=0),"",SUMIFS(INDEX(CFY_Data,0,CFY_ColAppr),INDEX(CFY_Data,0,CFY_ColFirst),$A150,INDEX(CFY_Data,0,CFY_ColSur),$B150,INDEX(CFY_Data,0,CFY_ColCat),BonusCat)))</f>
        <v/>
      </c>
      <c r="W150" s="13" t="str">
        <f aca="false">IF(OR(AC150=0,S150="",U150=""),"",MAX(0,S150+N($T150)-U150))</f>
        <v/>
      </c>
      <c r="X150" s="13" t="str">
        <f aca="false">IF(AC150=0,"",(AL150-AM150)*HoursPerDay)</f>
        <v/>
      </c>
      <c r="Y150" s="13" t="str">
        <f aca="false">IF(AC150=0,"",X150-N($T150))</f>
        <v/>
      </c>
      <c r="Z150" s="12" t="str">
        <f aca="false">IF(AC150=0,"",IF(Y150&gt;0,"Yes","No"))</f>
        <v/>
      </c>
      <c r="AA150" s="12" t="str">
        <f aca="false">IF(AC150=0,"",IF(NOT(CFY_Ready),"Paste CFY EH export",IF(Y150&gt;0,"ACCRUE "&amp;TEXT(Y150,"0.##")&amp;" hrs ("&amp;TEXT(Y150/HoursPerDay,"0.##")&amp;" days)"&amp;IF(AO150=0," - no Bonus Leave line in EH yet",""),IF(Y150&lt;0,"CHECK - posted "&amp;TEXT(-Y150,"0.##")&amp;" hrs more than policy",IF(AND(N150&gt;0,AO150=0,U150=0),"CHECK - policy says "&amp;TEXT(M150,"0.##")&amp;" hrs to date but nothing in EH",IF(N150&gt;0,"OK","-"))))))</f>
        <v/>
      </c>
      <c r="AB150" s="13" t="str">
        <f aca="false">IF(OR(AC150=0,S150=""),"",AM150*HoursPerDay-S150)</f>
        <v/>
      </c>
      <c r="AC150" s="12" t="n">
        <f aca="false">IF(OR(LEN($A150&amp;$B150)=0,$F150=""),0,1)</f>
        <v>0</v>
      </c>
      <c r="AD150" s="10" t="str">
        <f aca="false">IF(AC150=0,"",IF($I150&lt;&gt;"",$I150,$F150))</f>
        <v/>
      </c>
      <c r="AE150" s="10" t="str">
        <f aca="false">IF(AC150=0,"",IF(AND($G150&lt;&gt;"",$H150&lt;&gt;"",$G150&lt;&gt;$H150),MAX($G150,$H150),""))</f>
        <v/>
      </c>
      <c r="AF150" s="12" t="str">
        <f aca="false">IF(AC150=0,"",IF(AE150="",AG150,IF(IF($G150&lt;$H150,"Part-Time","Full-Time")="Full-Time","FT",IF(AND(IF($G150&lt;$H150,"Part-Time","Full-Time")="Part-Time",OR($O150="",N($O150)&gt;=PT_MinHours)),"PT","None"))))</f>
        <v/>
      </c>
      <c r="AG150" s="12" t="str">
        <f aca="false">IF(AC150=0,"",IF($C150="Full-Time","FT",IF(AND($C150="Part-Time",OR($O150="",N($O150)&gt;=PT_MinHours)),"PT","None")))</f>
        <v/>
      </c>
      <c r="AH150" s="12" t="str">
        <f aca="false">IF(AC150=0,"",IF(AsOfDate&lt;AD150,-1,12*(YEAR(AsOfDate)-YEAR(AD150))+MONTH(AsOfDate)-MONTH(AD150)-IF(DAY(AsOfDate)&lt;MIN(DAY(AD150),DAY(EOMONTH(AsOfDate,0))),1,0)))</f>
        <v/>
      </c>
      <c r="AI150" s="12" t="str">
        <f aca="false">IF(AC150=0,"",IF(OR(AE150="",AE150&gt;AsOfDate),AH150,IF((AE150-1)&lt;AD150,-1,12*(YEAR((AE150-1))-YEAR(AD150))+MONTH((AE150-1))-MONTH(AD150)-IF(DAY((AE150-1))&lt;MIN(DAY(AD150),DAY(EOMONTH((AE150-1),0))),1,0))))</f>
        <v/>
      </c>
      <c r="AJ150" s="12" t="str">
        <f aca="false">IF(AC150=0,"",IF(PFYDate&lt;AD150,-1,12*(YEAR(PFYDate)-YEAR(AD150))+MONTH(PFYDate)-MONTH(AD150)-IF(DAY(PFYDate)&lt;MIN(DAY(AD150),DAY(EOMONTH(PFYDate,0))),1,0)))</f>
        <v/>
      </c>
      <c r="AK150" s="12" t="str">
        <f aca="false">IF(AC150=0,"",IF(OR(AE150="",AE150&gt;PFYDate),AJ150,IF((AE150-1)&lt;AD150,-1,12*(YEAR((AE150-1))-YEAR(AD150))+MONTH((AE150-1))-MONTH(AD150)-IF(DAY((AE150-1))&lt;MIN(DAY(AD150),DAY(EOMONTH((AE150-1),0))),1,0))))</f>
        <v/>
      </c>
      <c r="AL150" s="12" t="str">
        <f aca="false">IF(AC150=0,"",IF(AF150="FT",IF(AI150&lt;FT_First,0,IF(AI150&lt;FT_Y5,1+INT((AI150-FT_First)/FT_Int1),FT_PreY5+FT_PerYear*INT((AI150-FT_Y5)/12)+FT_AnnivDays+INT(MOD(AI150-FT_Y5,12)/FT_Int2))),IF(AF150="PT",IF(AI150&lt;PT_First,0,1+INT((AI150-PT_First)/PT_Int)),0))+IF(OR(AE150="",AE150&gt;AsOfDate),0,IF(AG150="FT",IF(AH150&lt;FT_First,0,IF(AH150&lt;FT_Y5,1+INT((AH150-FT_First)/FT_Int1),FT_PreY5+FT_PerYear*INT((AH150-FT_Y5)/12)+FT_AnnivDays+INT(MOD(AH150-FT_Y5,12)/FT_Int2))),IF(AG150="PT",IF(AH150&lt;PT_First,0,1+INT((AH150-PT_First)/PT_Int)),0))-IF(AG150="FT",IF(AI150&lt;FT_First,0,IF(AI150&lt;FT_Y5,1+INT((AI150-FT_First)/FT_Int1),FT_PreY5+FT_PerYear*INT((AI150-FT_Y5)/12)+FT_AnnivDays+INT(MOD(AI150-FT_Y5,12)/FT_Int2))),IF(AG150="PT",IF(AI150&lt;PT_First,0,1+INT((AI150-PT_First)/PT_Int)),0))))</f>
        <v/>
      </c>
      <c r="AM150" s="12" t="str">
        <f aca="false">IF(AC150=0,"",IF(AF150="FT",IF(AK150&lt;FT_First,0,IF(AK150&lt;FT_Y5,1+INT((AK150-FT_First)/FT_Int1),FT_PreY5+FT_PerYear*INT((AK150-FT_Y5)/12)+FT_AnnivDays+INT(MOD(AK150-FT_Y5,12)/FT_Int2))),IF(AF150="PT",IF(AK150&lt;PT_First,0,1+INT((AK150-PT_First)/PT_Int)),0))+IF(OR(AE150="",AE150&gt;PFYDate),0,IF(AG150="FT",IF(AJ150&lt;FT_First,0,IF(AJ150&lt;FT_Y5,1+INT((AJ150-FT_First)/FT_Int1),FT_PreY5+FT_PerYear*INT((AJ150-FT_Y5)/12)+FT_AnnivDays+INT(MOD(AJ150-FT_Y5,12)/FT_Int2))),IF(AG150="PT",IF(AJ150&lt;PT_First,0,1+INT((AJ150-PT_First)/PT_Int)),0))-IF(AG150="FT",IF(AK150&lt;FT_First,0,IF(AK150&lt;FT_Y5,1+INT((AK150-FT_First)/FT_Int1),FT_PreY5+FT_PerYear*INT((AK150-FT_Y5)/12)+FT_AnnivDays+INT(MOD(AK150-FT_Y5,12)/FT_Int2))),IF(AG150="PT",IF(AK150&lt;PT_First,0,1+INT((AK150-PT_First)/PT_Int)),0))))</f>
        <v/>
      </c>
      <c r="AN150" s="12" t="str">
        <f aca="false">IF(AC150=0,"",IF(AG150="FT",IF(AH150&lt;FT_First,FT_First,IF(AH150&lt;FT_Y5,MIN(FT_Y5,FT_First+FT_Int1*(INT((AH150-FT_First)/FT_Int1)+1)),FT_Y5+12*INT((AH150-FT_Y5)/12)+FT_Int2*(INT(MOD(AH150-FT_Y5,12)/FT_Int2)+1))),IF(AG150="PT",IF(AH150&lt;PT_First,PT_First,PT_First+PT_Int*(INT((AH150-PT_First)/PT_Int)+1)),"")))</f>
        <v/>
      </c>
      <c r="AO150" s="12" t="str">
        <f aca="false">IF(AC150=0,"",IF(NOT(CFY_Ready),0,COUNTIFS(INDEX(CFY_Data,0,CFY_ColFirst),$A150,INDEX(CFY_Data,0,CFY_ColSur),$B150,INDEX(CFY_Data,0,CFY_ColCat),BonusCat)))</f>
        <v/>
      </c>
    </row>
    <row r="151" customFormat="false" ht="15" hidden="false" customHeight="false" outlineLevel="0" collapsed="false">
      <c r="A151" s="15"/>
      <c r="B151" s="15"/>
      <c r="C151" s="15"/>
      <c r="D151" s="16"/>
      <c r="E151" s="10" t="str">
        <f aca="false">IF(OR(AC151=0,$D151=""),"",DATE(YEAR(AsOfDate)+IF(DATE(YEAR(AsOfDate),MONTH($D151),DAY($D151))&lt;=AsOfDate,1,0),MONTH($D151),DAY($D151)))</f>
        <v/>
      </c>
      <c r="F151" s="16"/>
      <c r="G151" s="16"/>
      <c r="H151" s="16"/>
      <c r="I151" s="16"/>
      <c r="J151" s="10" t="str">
        <f aca="false">IF(AC151=0,"",DATE(YEAR(AsOfDate)+IF(DATE(YEAR(AsOfDate),MONTH($F151),DAY($F151))&lt;=AsOfDate,1,0),MONTH($F151),DAY($F151)))</f>
        <v/>
      </c>
      <c r="K151" s="11" t="str">
        <f aca="false">IF(AC151=0,"",ROUND((AsOfDate-$F151)/365.25,1))</f>
        <v/>
      </c>
      <c r="L151" s="12" t="str">
        <f aca="false">IF(AC151=0,"",IF(AsOfDate&lt;AD151,"-",DATEDIF(AD151,AsOfDate,"y")&amp;"y "&amp;DATEDIF(AD151,AsOfDate,"ym")&amp;"m "&amp;DATEDIF(AD151,AsOfDate,"md")&amp;"d"))</f>
        <v/>
      </c>
      <c r="M151" s="13" t="str">
        <f aca="false">IF(AC151=0,"",N151*HoursPerDay)</f>
        <v/>
      </c>
      <c r="N151" s="13" t="str">
        <f aca="false">IF(AC151=0,"",AL151)</f>
        <v/>
      </c>
      <c r="O151" s="17"/>
      <c r="P151" s="12" t="str">
        <f aca="false">IF(AC151=0,"",IF(AE151="","",IF($G151&lt;$H151,"Part-Time to Full-Time","Full-Time to Part-Time")&amp;" on "&amp;TEXT(AE151,"dd/mm/yyyy")&amp;IF(AE151&gt;AsOfDate," (future)",IF(AF151=AG151,"",IF(AG151="None"," - STOPPED accruing",IF(AF151="None"," - now qualifying"," - pathway changed"))))))</f>
        <v/>
      </c>
      <c r="Q151" s="12" t="str">
        <f aca="false">IF(AC151=0,"",IF(AG151="None",IF(N151&gt;0,"No longer accruing","Not eligible - "&amp;IF(AND($C151="Part-Time",N($O151)&lt;PT_MinHours,$O151&lt;&gt;""),"under "&amp;PT_MinHours&amp;" hrs",$C151)),IF(N151&gt;0,"Yes - accruing","Not yet - from "&amp;TEXT(R151,"dd/mm/yyyy"))))</f>
        <v/>
      </c>
      <c r="R151" s="10" t="str">
        <f aca="false">IF(AC151=0,"",IF(AG151="None","",EDATE(AD151,AN151)))</f>
        <v/>
      </c>
      <c r="S151" s="13" t="str">
        <f aca="false">IF(AC151=0,"",IF(NOT(PFY_Ready),"",SUMIFS(INDEX(PFY_Data,0,PFY_ColBal),INDEX(PFY_Data,0,PFY_ColFirst),$A151,INDEX(PFY_Data,0,PFY_ColSur),$B151,INDEX(PFY_Data,0,PFY_ColCat),BonusCat)))</f>
        <v/>
      </c>
      <c r="T151" s="17"/>
      <c r="U151" s="13" t="str">
        <f aca="false">IF(AC151=0,"",IF(NOT(CFY_Ready),"",SUMIFS(INDEX(CFY_Data,0,CFY_ColBal),INDEX(CFY_Data,0,CFY_ColFirst),$A151,INDEX(CFY_Data,0,CFY_ColSur),$B151,INDEX(CFY_Data,0,CFY_ColCat),BonusCat)))</f>
        <v/>
      </c>
      <c r="V151" s="13" t="str">
        <f aca="false">IF(AC151=0,"",IF(OR(NOT(CFY_Ready),CFY_ColAppr=0),"",SUMIFS(INDEX(CFY_Data,0,CFY_ColAppr),INDEX(CFY_Data,0,CFY_ColFirst),$A151,INDEX(CFY_Data,0,CFY_ColSur),$B151,INDEX(CFY_Data,0,CFY_ColCat),BonusCat)))</f>
        <v/>
      </c>
      <c r="W151" s="13" t="str">
        <f aca="false">IF(OR(AC151=0,S151="",U151=""),"",MAX(0,S151+N($T151)-U151))</f>
        <v/>
      </c>
      <c r="X151" s="13" t="str">
        <f aca="false">IF(AC151=0,"",(AL151-AM151)*HoursPerDay)</f>
        <v/>
      </c>
      <c r="Y151" s="13" t="str">
        <f aca="false">IF(AC151=0,"",X151-N($T151))</f>
        <v/>
      </c>
      <c r="Z151" s="12" t="str">
        <f aca="false">IF(AC151=0,"",IF(Y151&gt;0,"Yes","No"))</f>
        <v/>
      </c>
      <c r="AA151" s="12" t="str">
        <f aca="false">IF(AC151=0,"",IF(NOT(CFY_Ready),"Paste CFY EH export",IF(Y151&gt;0,"ACCRUE "&amp;TEXT(Y151,"0.##")&amp;" hrs ("&amp;TEXT(Y151/HoursPerDay,"0.##")&amp;" days)"&amp;IF(AO151=0," - no Bonus Leave line in EH yet",""),IF(Y151&lt;0,"CHECK - posted "&amp;TEXT(-Y151,"0.##")&amp;" hrs more than policy",IF(AND(N151&gt;0,AO151=0,U151=0),"CHECK - policy says "&amp;TEXT(M151,"0.##")&amp;" hrs to date but nothing in EH",IF(N151&gt;0,"OK","-"))))))</f>
        <v/>
      </c>
      <c r="AB151" s="13" t="str">
        <f aca="false">IF(OR(AC151=0,S151=""),"",AM151*HoursPerDay-S151)</f>
        <v/>
      </c>
      <c r="AC151" s="12" t="n">
        <f aca="false">IF(OR(LEN($A151&amp;$B151)=0,$F151=""),0,1)</f>
        <v>0</v>
      </c>
      <c r="AD151" s="10" t="str">
        <f aca="false">IF(AC151=0,"",IF($I151&lt;&gt;"",$I151,$F151))</f>
        <v/>
      </c>
      <c r="AE151" s="10" t="str">
        <f aca="false">IF(AC151=0,"",IF(AND($G151&lt;&gt;"",$H151&lt;&gt;"",$G151&lt;&gt;$H151),MAX($G151,$H151),""))</f>
        <v/>
      </c>
      <c r="AF151" s="12" t="str">
        <f aca="false">IF(AC151=0,"",IF(AE151="",AG151,IF(IF($G151&lt;$H151,"Part-Time","Full-Time")="Full-Time","FT",IF(AND(IF($G151&lt;$H151,"Part-Time","Full-Time")="Part-Time",OR($O151="",N($O151)&gt;=PT_MinHours)),"PT","None"))))</f>
        <v/>
      </c>
      <c r="AG151" s="12" t="str">
        <f aca="false">IF(AC151=0,"",IF($C151="Full-Time","FT",IF(AND($C151="Part-Time",OR($O151="",N($O151)&gt;=PT_MinHours)),"PT","None")))</f>
        <v/>
      </c>
      <c r="AH151" s="12" t="str">
        <f aca="false">IF(AC151=0,"",IF(AsOfDate&lt;AD151,-1,12*(YEAR(AsOfDate)-YEAR(AD151))+MONTH(AsOfDate)-MONTH(AD151)-IF(DAY(AsOfDate)&lt;MIN(DAY(AD151),DAY(EOMONTH(AsOfDate,0))),1,0)))</f>
        <v/>
      </c>
      <c r="AI151" s="12" t="str">
        <f aca="false">IF(AC151=0,"",IF(OR(AE151="",AE151&gt;AsOfDate),AH151,IF((AE151-1)&lt;AD151,-1,12*(YEAR((AE151-1))-YEAR(AD151))+MONTH((AE151-1))-MONTH(AD151)-IF(DAY((AE151-1))&lt;MIN(DAY(AD151),DAY(EOMONTH((AE151-1),0))),1,0))))</f>
        <v/>
      </c>
      <c r="AJ151" s="12" t="str">
        <f aca="false">IF(AC151=0,"",IF(PFYDate&lt;AD151,-1,12*(YEAR(PFYDate)-YEAR(AD151))+MONTH(PFYDate)-MONTH(AD151)-IF(DAY(PFYDate)&lt;MIN(DAY(AD151),DAY(EOMONTH(PFYDate,0))),1,0)))</f>
        <v/>
      </c>
      <c r="AK151" s="12" t="str">
        <f aca="false">IF(AC151=0,"",IF(OR(AE151="",AE151&gt;PFYDate),AJ151,IF((AE151-1)&lt;AD151,-1,12*(YEAR((AE151-1))-YEAR(AD151))+MONTH((AE151-1))-MONTH(AD151)-IF(DAY((AE151-1))&lt;MIN(DAY(AD151),DAY(EOMONTH((AE151-1),0))),1,0))))</f>
        <v/>
      </c>
      <c r="AL151" s="12" t="str">
        <f aca="false">IF(AC151=0,"",IF(AF151="FT",IF(AI151&lt;FT_First,0,IF(AI151&lt;FT_Y5,1+INT((AI151-FT_First)/FT_Int1),FT_PreY5+FT_PerYear*INT((AI151-FT_Y5)/12)+FT_AnnivDays+INT(MOD(AI151-FT_Y5,12)/FT_Int2))),IF(AF151="PT",IF(AI151&lt;PT_First,0,1+INT((AI151-PT_First)/PT_Int)),0))+IF(OR(AE151="",AE151&gt;AsOfDate),0,IF(AG151="FT",IF(AH151&lt;FT_First,0,IF(AH151&lt;FT_Y5,1+INT((AH151-FT_First)/FT_Int1),FT_PreY5+FT_PerYear*INT((AH151-FT_Y5)/12)+FT_AnnivDays+INT(MOD(AH151-FT_Y5,12)/FT_Int2))),IF(AG151="PT",IF(AH151&lt;PT_First,0,1+INT((AH151-PT_First)/PT_Int)),0))-IF(AG151="FT",IF(AI151&lt;FT_First,0,IF(AI151&lt;FT_Y5,1+INT((AI151-FT_First)/FT_Int1),FT_PreY5+FT_PerYear*INT((AI151-FT_Y5)/12)+FT_AnnivDays+INT(MOD(AI151-FT_Y5,12)/FT_Int2))),IF(AG151="PT",IF(AI151&lt;PT_First,0,1+INT((AI151-PT_First)/PT_Int)),0))))</f>
        <v/>
      </c>
      <c r="AM151" s="12" t="str">
        <f aca="false">IF(AC151=0,"",IF(AF151="FT",IF(AK151&lt;FT_First,0,IF(AK151&lt;FT_Y5,1+INT((AK151-FT_First)/FT_Int1),FT_PreY5+FT_PerYear*INT((AK151-FT_Y5)/12)+FT_AnnivDays+INT(MOD(AK151-FT_Y5,12)/FT_Int2))),IF(AF151="PT",IF(AK151&lt;PT_First,0,1+INT((AK151-PT_First)/PT_Int)),0))+IF(OR(AE151="",AE151&gt;PFYDate),0,IF(AG151="FT",IF(AJ151&lt;FT_First,0,IF(AJ151&lt;FT_Y5,1+INT((AJ151-FT_First)/FT_Int1),FT_PreY5+FT_PerYear*INT((AJ151-FT_Y5)/12)+FT_AnnivDays+INT(MOD(AJ151-FT_Y5,12)/FT_Int2))),IF(AG151="PT",IF(AJ151&lt;PT_First,0,1+INT((AJ151-PT_First)/PT_Int)),0))-IF(AG151="FT",IF(AK151&lt;FT_First,0,IF(AK151&lt;FT_Y5,1+INT((AK151-FT_First)/FT_Int1),FT_PreY5+FT_PerYear*INT((AK151-FT_Y5)/12)+FT_AnnivDays+INT(MOD(AK151-FT_Y5,12)/FT_Int2))),IF(AG151="PT",IF(AK151&lt;PT_First,0,1+INT((AK151-PT_First)/PT_Int)),0))))</f>
        <v/>
      </c>
      <c r="AN151" s="12" t="str">
        <f aca="false">IF(AC151=0,"",IF(AG151="FT",IF(AH151&lt;FT_First,FT_First,IF(AH151&lt;FT_Y5,MIN(FT_Y5,FT_First+FT_Int1*(INT((AH151-FT_First)/FT_Int1)+1)),FT_Y5+12*INT((AH151-FT_Y5)/12)+FT_Int2*(INT(MOD(AH151-FT_Y5,12)/FT_Int2)+1))),IF(AG151="PT",IF(AH151&lt;PT_First,PT_First,PT_First+PT_Int*(INT((AH151-PT_First)/PT_Int)+1)),"")))</f>
        <v/>
      </c>
      <c r="AO151" s="12" t="str">
        <f aca="false">IF(AC151=0,"",IF(NOT(CFY_Ready),0,COUNTIFS(INDEX(CFY_Data,0,CFY_ColFirst),$A151,INDEX(CFY_Data,0,CFY_ColSur),$B151,INDEX(CFY_Data,0,CFY_ColCat),BonusCat)))</f>
        <v/>
      </c>
    </row>
    <row r="152" customFormat="false" ht="15" hidden="false" customHeight="false" outlineLevel="0" collapsed="false">
      <c r="A152" s="15"/>
      <c r="B152" s="15"/>
      <c r="C152" s="15"/>
      <c r="D152" s="16"/>
      <c r="E152" s="10" t="str">
        <f aca="false">IF(OR(AC152=0,$D152=""),"",DATE(YEAR(AsOfDate)+IF(DATE(YEAR(AsOfDate),MONTH($D152),DAY($D152))&lt;=AsOfDate,1,0),MONTH($D152),DAY($D152)))</f>
        <v/>
      </c>
      <c r="F152" s="16"/>
      <c r="G152" s="16"/>
      <c r="H152" s="16"/>
      <c r="I152" s="16"/>
      <c r="J152" s="10" t="str">
        <f aca="false">IF(AC152=0,"",DATE(YEAR(AsOfDate)+IF(DATE(YEAR(AsOfDate),MONTH($F152),DAY($F152))&lt;=AsOfDate,1,0),MONTH($F152),DAY($F152)))</f>
        <v/>
      </c>
      <c r="K152" s="11" t="str">
        <f aca="false">IF(AC152=0,"",ROUND((AsOfDate-$F152)/365.25,1))</f>
        <v/>
      </c>
      <c r="L152" s="12" t="str">
        <f aca="false">IF(AC152=0,"",IF(AsOfDate&lt;AD152,"-",DATEDIF(AD152,AsOfDate,"y")&amp;"y "&amp;DATEDIF(AD152,AsOfDate,"ym")&amp;"m "&amp;DATEDIF(AD152,AsOfDate,"md")&amp;"d"))</f>
        <v/>
      </c>
      <c r="M152" s="13" t="str">
        <f aca="false">IF(AC152=0,"",N152*HoursPerDay)</f>
        <v/>
      </c>
      <c r="N152" s="13" t="str">
        <f aca="false">IF(AC152=0,"",AL152)</f>
        <v/>
      </c>
      <c r="O152" s="17"/>
      <c r="P152" s="12" t="str">
        <f aca="false">IF(AC152=0,"",IF(AE152="","",IF($G152&lt;$H152,"Part-Time to Full-Time","Full-Time to Part-Time")&amp;" on "&amp;TEXT(AE152,"dd/mm/yyyy")&amp;IF(AE152&gt;AsOfDate," (future)",IF(AF152=AG152,"",IF(AG152="None"," - STOPPED accruing",IF(AF152="None"," - now qualifying"," - pathway changed"))))))</f>
        <v/>
      </c>
      <c r="Q152" s="12" t="str">
        <f aca="false">IF(AC152=0,"",IF(AG152="None",IF(N152&gt;0,"No longer accruing","Not eligible - "&amp;IF(AND($C152="Part-Time",N($O152)&lt;PT_MinHours,$O152&lt;&gt;""),"under "&amp;PT_MinHours&amp;" hrs",$C152)),IF(N152&gt;0,"Yes - accruing","Not yet - from "&amp;TEXT(R152,"dd/mm/yyyy"))))</f>
        <v/>
      </c>
      <c r="R152" s="10" t="str">
        <f aca="false">IF(AC152=0,"",IF(AG152="None","",EDATE(AD152,AN152)))</f>
        <v/>
      </c>
      <c r="S152" s="13" t="str">
        <f aca="false">IF(AC152=0,"",IF(NOT(PFY_Ready),"",SUMIFS(INDEX(PFY_Data,0,PFY_ColBal),INDEX(PFY_Data,0,PFY_ColFirst),$A152,INDEX(PFY_Data,0,PFY_ColSur),$B152,INDEX(PFY_Data,0,PFY_ColCat),BonusCat)))</f>
        <v/>
      </c>
      <c r="T152" s="17"/>
      <c r="U152" s="13" t="str">
        <f aca="false">IF(AC152=0,"",IF(NOT(CFY_Ready),"",SUMIFS(INDEX(CFY_Data,0,CFY_ColBal),INDEX(CFY_Data,0,CFY_ColFirst),$A152,INDEX(CFY_Data,0,CFY_ColSur),$B152,INDEX(CFY_Data,0,CFY_ColCat),BonusCat)))</f>
        <v/>
      </c>
      <c r="V152" s="13" t="str">
        <f aca="false">IF(AC152=0,"",IF(OR(NOT(CFY_Ready),CFY_ColAppr=0),"",SUMIFS(INDEX(CFY_Data,0,CFY_ColAppr),INDEX(CFY_Data,0,CFY_ColFirst),$A152,INDEX(CFY_Data,0,CFY_ColSur),$B152,INDEX(CFY_Data,0,CFY_ColCat),BonusCat)))</f>
        <v/>
      </c>
      <c r="W152" s="13" t="str">
        <f aca="false">IF(OR(AC152=0,S152="",U152=""),"",MAX(0,S152+N($T152)-U152))</f>
        <v/>
      </c>
      <c r="X152" s="13" t="str">
        <f aca="false">IF(AC152=0,"",(AL152-AM152)*HoursPerDay)</f>
        <v/>
      </c>
      <c r="Y152" s="13" t="str">
        <f aca="false">IF(AC152=0,"",X152-N($T152))</f>
        <v/>
      </c>
      <c r="Z152" s="12" t="str">
        <f aca="false">IF(AC152=0,"",IF(Y152&gt;0,"Yes","No"))</f>
        <v/>
      </c>
      <c r="AA152" s="12" t="str">
        <f aca="false">IF(AC152=0,"",IF(NOT(CFY_Ready),"Paste CFY EH export",IF(Y152&gt;0,"ACCRUE "&amp;TEXT(Y152,"0.##")&amp;" hrs ("&amp;TEXT(Y152/HoursPerDay,"0.##")&amp;" days)"&amp;IF(AO152=0," - no Bonus Leave line in EH yet",""),IF(Y152&lt;0,"CHECK - posted "&amp;TEXT(-Y152,"0.##")&amp;" hrs more than policy",IF(AND(N152&gt;0,AO152=0,U152=0),"CHECK - policy says "&amp;TEXT(M152,"0.##")&amp;" hrs to date but nothing in EH",IF(N152&gt;0,"OK","-"))))))</f>
        <v/>
      </c>
      <c r="AB152" s="13" t="str">
        <f aca="false">IF(OR(AC152=0,S152=""),"",AM152*HoursPerDay-S152)</f>
        <v/>
      </c>
      <c r="AC152" s="12" t="n">
        <f aca="false">IF(OR(LEN($A152&amp;$B152)=0,$F152=""),0,1)</f>
        <v>0</v>
      </c>
      <c r="AD152" s="10" t="str">
        <f aca="false">IF(AC152=0,"",IF($I152&lt;&gt;"",$I152,$F152))</f>
        <v/>
      </c>
      <c r="AE152" s="10" t="str">
        <f aca="false">IF(AC152=0,"",IF(AND($G152&lt;&gt;"",$H152&lt;&gt;"",$G152&lt;&gt;$H152),MAX($G152,$H152),""))</f>
        <v/>
      </c>
      <c r="AF152" s="12" t="str">
        <f aca="false">IF(AC152=0,"",IF(AE152="",AG152,IF(IF($G152&lt;$H152,"Part-Time","Full-Time")="Full-Time","FT",IF(AND(IF($G152&lt;$H152,"Part-Time","Full-Time")="Part-Time",OR($O152="",N($O152)&gt;=PT_MinHours)),"PT","None"))))</f>
        <v/>
      </c>
      <c r="AG152" s="12" t="str">
        <f aca="false">IF(AC152=0,"",IF($C152="Full-Time","FT",IF(AND($C152="Part-Time",OR($O152="",N($O152)&gt;=PT_MinHours)),"PT","None")))</f>
        <v/>
      </c>
      <c r="AH152" s="12" t="str">
        <f aca="false">IF(AC152=0,"",IF(AsOfDate&lt;AD152,-1,12*(YEAR(AsOfDate)-YEAR(AD152))+MONTH(AsOfDate)-MONTH(AD152)-IF(DAY(AsOfDate)&lt;MIN(DAY(AD152),DAY(EOMONTH(AsOfDate,0))),1,0)))</f>
        <v/>
      </c>
      <c r="AI152" s="12" t="str">
        <f aca="false">IF(AC152=0,"",IF(OR(AE152="",AE152&gt;AsOfDate),AH152,IF((AE152-1)&lt;AD152,-1,12*(YEAR((AE152-1))-YEAR(AD152))+MONTH((AE152-1))-MONTH(AD152)-IF(DAY((AE152-1))&lt;MIN(DAY(AD152),DAY(EOMONTH((AE152-1),0))),1,0))))</f>
        <v/>
      </c>
      <c r="AJ152" s="12" t="str">
        <f aca="false">IF(AC152=0,"",IF(PFYDate&lt;AD152,-1,12*(YEAR(PFYDate)-YEAR(AD152))+MONTH(PFYDate)-MONTH(AD152)-IF(DAY(PFYDate)&lt;MIN(DAY(AD152),DAY(EOMONTH(PFYDate,0))),1,0)))</f>
        <v/>
      </c>
      <c r="AK152" s="12" t="str">
        <f aca="false">IF(AC152=0,"",IF(OR(AE152="",AE152&gt;PFYDate),AJ152,IF((AE152-1)&lt;AD152,-1,12*(YEAR((AE152-1))-YEAR(AD152))+MONTH((AE152-1))-MONTH(AD152)-IF(DAY((AE152-1))&lt;MIN(DAY(AD152),DAY(EOMONTH((AE152-1),0))),1,0))))</f>
        <v/>
      </c>
      <c r="AL152" s="12" t="str">
        <f aca="false">IF(AC152=0,"",IF(AF152="FT",IF(AI152&lt;FT_First,0,IF(AI152&lt;FT_Y5,1+INT((AI152-FT_First)/FT_Int1),FT_PreY5+FT_PerYear*INT((AI152-FT_Y5)/12)+FT_AnnivDays+INT(MOD(AI152-FT_Y5,12)/FT_Int2))),IF(AF152="PT",IF(AI152&lt;PT_First,0,1+INT((AI152-PT_First)/PT_Int)),0))+IF(OR(AE152="",AE152&gt;AsOfDate),0,IF(AG152="FT",IF(AH152&lt;FT_First,0,IF(AH152&lt;FT_Y5,1+INT((AH152-FT_First)/FT_Int1),FT_PreY5+FT_PerYear*INT((AH152-FT_Y5)/12)+FT_AnnivDays+INT(MOD(AH152-FT_Y5,12)/FT_Int2))),IF(AG152="PT",IF(AH152&lt;PT_First,0,1+INT((AH152-PT_First)/PT_Int)),0))-IF(AG152="FT",IF(AI152&lt;FT_First,0,IF(AI152&lt;FT_Y5,1+INT((AI152-FT_First)/FT_Int1),FT_PreY5+FT_PerYear*INT((AI152-FT_Y5)/12)+FT_AnnivDays+INT(MOD(AI152-FT_Y5,12)/FT_Int2))),IF(AG152="PT",IF(AI152&lt;PT_First,0,1+INT((AI152-PT_First)/PT_Int)),0))))</f>
        <v/>
      </c>
      <c r="AM152" s="12" t="str">
        <f aca="false">IF(AC152=0,"",IF(AF152="FT",IF(AK152&lt;FT_First,0,IF(AK152&lt;FT_Y5,1+INT((AK152-FT_First)/FT_Int1),FT_PreY5+FT_PerYear*INT((AK152-FT_Y5)/12)+FT_AnnivDays+INT(MOD(AK152-FT_Y5,12)/FT_Int2))),IF(AF152="PT",IF(AK152&lt;PT_First,0,1+INT((AK152-PT_First)/PT_Int)),0))+IF(OR(AE152="",AE152&gt;PFYDate),0,IF(AG152="FT",IF(AJ152&lt;FT_First,0,IF(AJ152&lt;FT_Y5,1+INT((AJ152-FT_First)/FT_Int1),FT_PreY5+FT_PerYear*INT((AJ152-FT_Y5)/12)+FT_AnnivDays+INT(MOD(AJ152-FT_Y5,12)/FT_Int2))),IF(AG152="PT",IF(AJ152&lt;PT_First,0,1+INT((AJ152-PT_First)/PT_Int)),0))-IF(AG152="FT",IF(AK152&lt;FT_First,0,IF(AK152&lt;FT_Y5,1+INT((AK152-FT_First)/FT_Int1),FT_PreY5+FT_PerYear*INT((AK152-FT_Y5)/12)+FT_AnnivDays+INT(MOD(AK152-FT_Y5,12)/FT_Int2))),IF(AG152="PT",IF(AK152&lt;PT_First,0,1+INT((AK152-PT_First)/PT_Int)),0))))</f>
        <v/>
      </c>
      <c r="AN152" s="12" t="str">
        <f aca="false">IF(AC152=0,"",IF(AG152="FT",IF(AH152&lt;FT_First,FT_First,IF(AH152&lt;FT_Y5,MIN(FT_Y5,FT_First+FT_Int1*(INT((AH152-FT_First)/FT_Int1)+1)),FT_Y5+12*INT((AH152-FT_Y5)/12)+FT_Int2*(INT(MOD(AH152-FT_Y5,12)/FT_Int2)+1))),IF(AG152="PT",IF(AH152&lt;PT_First,PT_First,PT_First+PT_Int*(INT((AH152-PT_First)/PT_Int)+1)),"")))</f>
        <v/>
      </c>
      <c r="AO152" s="12" t="str">
        <f aca="false">IF(AC152=0,"",IF(NOT(CFY_Ready),0,COUNTIFS(INDEX(CFY_Data,0,CFY_ColFirst),$A152,INDEX(CFY_Data,0,CFY_ColSur),$B152,INDEX(CFY_Data,0,CFY_ColCat),BonusCat)))</f>
        <v/>
      </c>
    </row>
    <row r="153" customFormat="false" ht="15" hidden="false" customHeight="false" outlineLevel="0" collapsed="false">
      <c r="A153" s="15"/>
      <c r="B153" s="15"/>
      <c r="C153" s="15"/>
      <c r="D153" s="16"/>
      <c r="E153" s="10" t="str">
        <f aca="false">IF(OR(AC153=0,$D153=""),"",DATE(YEAR(AsOfDate)+IF(DATE(YEAR(AsOfDate),MONTH($D153),DAY($D153))&lt;=AsOfDate,1,0),MONTH($D153),DAY($D153)))</f>
        <v/>
      </c>
      <c r="F153" s="16"/>
      <c r="G153" s="16"/>
      <c r="H153" s="16"/>
      <c r="I153" s="16"/>
      <c r="J153" s="10" t="str">
        <f aca="false">IF(AC153=0,"",DATE(YEAR(AsOfDate)+IF(DATE(YEAR(AsOfDate),MONTH($F153),DAY($F153))&lt;=AsOfDate,1,0),MONTH($F153),DAY($F153)))</f>
        <v/>
      </c>
      <c r="K153" s="11" t="str">
        <f aca="false">IF(AC153=0,"",ROUND((AsOfDate-$F153)/365.25,1))</f>
        <v/>
      </c>
      <c r="L153" s="12" t="str">
        <f aca="false">IF(AC153=0,"",IF(AsOfDate&lt;AD153,"-",DATEDIF(AD153,AsOfDate,"y")&amp;"y "&amp;DATEDIF(AD153,AsOfDate,"ym")&amp;"m "&amp;DATEDIF(AD153,AsOfDate,"md")&amp;"d"))</f>
        <v/>
      </c>
      <c r="M153" s="13" t="str">
        <f aca="false">IF(AC153=0,"",N153*HoursPerDay)</f>
        <v/>
      </c>
      <c r="N153" s="13" t="str">
        <f aca="false">IF(AC153=0,"",AL153)</f>
        <v/>
      </c>
      <c r="O153" s="17"/>
      <c r="P153" s="12" t="str">
        <f aca="false">IF(AC153=0,"",IF(AE153="","",IF($G153&lt;$H153,"Part-Time to Full-Time","Full-Time to Part-Time")&amp;" on "&amp;TEXT(AE153,"dd/mm/yyyy")&amp;IF(AE153&gt;AsOfDate," (future)",IF(AF153=AG153,"",IF(AG153="None"," - STOPPED accruing",IF(AF153="None"," - now qualifying"," - pathway changed"))))))</f>
        <v/>
      </c>
      <c r="Q153" s="12" t="str">
        <f aca="false">IF(AC153=0,"",IF(AG153="None",IF(N153&gt;0,"No longer accruing","Not eligible - "&amp;IF(AND($C153="Part-Time",N($O153)&lt;PT_MinHours,$O153&lt;&gt;""),"under "&amp;PT_MinHours&amp;" hrs",$C153)),IF(N153&gt;0,"Yes - accruing","Not yet - from "&amp;TEXT(R153,"dd/mm/yyyy"))))</f>
        <v/>
      </c>
      <c r="R153" s="10" t="str">
        <f aca="false">IF(AC153=0,"",IF(AG153="None","",EDATE(AD153,AN153)))</f>
        <v/>
      </c>
      <c r="S153" s="13" t="str">
        <f aca="false">IF(AC153=0,"",IF(NOT(PFY_Ready),"",SUMIFS(INDEX(PFY_Data,0,PFY_ColBal),INDEX(PFY_Data,0,PFY_ColFirst),$A153,INDEX(PFY_Data,0,PFY_ColSur),$B153,INDEX(PFY_Data,0,PFY_ColCat),BonusCat)))</f>
        <v/>
      </c>
      <c r="T153" s="17"/>
      <c r="U153" s="13" t="str">
        <f aca="false">IF(AC153=0,"",IF(NOT(CFY_Ready),"",SUMIFS(INDEX(CFY_Data,0,CFY_ColBal),INDEX(CFY_Data,0,CFY_ColFirst),$A153,INDEX(CFY_Data,0,CFY_ColSur),$B153,INDEX(CFY_Data,0,CFY_ColCat),BonusCat)))</f>
        <v/>
      </c>
      <c r="V153" s="13" t="str">
        <f aca="false">IF(AC153=0,"",IF(OR(NOT(CFY_Ready),CFY_ColAppr=0),"",SUMIFS(INDEX(CFY_Data,0,CFY_ColAppr),INDEX(CFY_Data,0,CFY_ColFirst),$A153,INDEX(CFY_Data,0,CFY_ColSur),$B153,INDEX(CFY_Data,0,CFY_ColCat),BonusCat)))</f>
        <v/>
      </c>
      <c r="W153" s="13" t="str">
        <f aca="false">IF(OR(AC153=0,S153="",U153=""),"",MAX(0,S153+N($T153)-U153))</f>
        <v/>
      </c>
      <c r="X153" s="13" t="str">
        <f aca="false">IF(AC153=0,"",(AL153-AM153)*HoursPerDay)</f>
        <v/>
      </c>
      <c r="Y153" s="13" t="str">
        <f aca="false">IF(AC153=0,"",X153-N($T153))</f>
        <v/>
      </c>
      <c r="Z153" s="12" t="str">
        <f aca="false">IF(AC153=0,"",IF(Y153&gt;0,"Yes","No"))</f>
        <v/>
      </c>
      <c r="AA153" s="12" t="str">
        <f aca="false">IF(AC153=0,"",IF(NOT(CFY_Ready),"Paste CFY EH export",IF(Y153&gt;0,"ACCRUE "&amp;TEXT(Y153,"0.##")&amp;" hrs ("&amp;TEXT(Y153/HoursPerDay,"0.##")&amp;" days)"&amp;IF(AO153=0," - no Bonus Leave line in EH yet",""),IF(Y153&lt;0,"CHECK - posted "&amp;TEXT(-Y153,"0.##")&amp;" hrs more than policy",IF(AND(N153&gt;0,AO153=0,U153=0),"CHECK - policy says "&amp;TEXT(M153,"0.##")&amp;" hrs to date but nothing in EH",IF(N153&gt;0,"OK","-"))))))</f>
        <v/>
      </c>
      <c r="AB153" s="13" t="str">
        <f aca="false">IF(OR(AC153=0,S153=""),"",AM153*HoursPerDay-S153)</f>
        <v/>
      </c>
      <c r="AC153" s="12" t="n">
        <f aca="false">IF(OR(LEN($A153&amp;$B153)=0,$F153=""),0,1)</f>
        <v>0</v>
      </c>
      <c r="AD153" s="10" t="str">
        <f aca="false">IF(AC153=0,"",IF($I153&lt;&gt;"",$I153,$F153))</f>
        <v/>
      </c>
      <c r="AE153" s="10" t="str">
        <f aca="false">IF(AC153=0,"",IF(AND($G153&lt;&gt;"",$H153&lt;&gt;"",$G153&lt;&gt;$H153),MAX($G153,$H153),""))</f>
        <v/>
      </c>
      <c r="AF153" s="12" t="str">
        <f aca="false">IF(AC153=0,"",IF(AE153="",AG153,IF(IF($G153&lt;$H153,"Part-Time","Full-Time")="Full-Time","FT",IF(AND(IF($G153&lt;$H153,"Part-Time","Full-Time")="Part-Time",OR($O153="",N($O153)&gt;=PT_MinHours)),"PT","None"))))</f>
        <v/>
      </c>
      <c r="AG153" s="12" t="str">
        <f aca="false">IF(AC153=0,"",IF($C153="Full-Time","FT",IF(AND($C153="Part-Time",OR($O153="",N($O153)&gt;=PT_MinHours)),"PT","None")))</f>
        <v/>
      </c>
      <c r="AH153" s="12" t="str">
        <f aca="false">IF(AC153=0,"",IF(AsOfDate&lt;AD153,-1,12*(YEAR(AsOfDate)-YEAR(AD153))+MONTH(AsOfDate)-MONTH(AD153)-IF(DAY(AsOfDate)&lt;MIN(DAY(AD153),DAY(EOMONTH(AsOfDate,0))),1,0)))</f>
        <v/>
      </c>
      <c r="AI153" s="12" t="str">
        <f aca="false">IF(AC153=0,"",IF(OR(AE153="",AE153&gt;AsOfDate),AH153,IF((AE153-1)&lt;AD153,-1,12*(YEAR((AE153-1))-YEAR(AD153))+MONTH((AE153-1))-MONTH(AD153)-IF(DAY((AE153-1))&lt;MIN(DAY(AD153),DAY(EOMONTH((AE153-1),0))),1,0))))</f>
        <v/>
      </c>
      <c r="AJ153" s="12" t="str">
        <f aca="false">IF(AC153=0,"",IF(PFYDate&lt;AD153,-1,12*(YEAR(PFYDate)-YEAR(AD153))+MONTH(PFYDate)-MONTH(AD153)-IF(DAY(PFYDate)&lt;MIN(DAY(AD153),DAY(EOMONTH(PFYDate,0))),1,0)))</f>
        <v/>
      </c>
      <c r="AK153" s="12" t="str">
        <f aca="false">IF(AC153=0,"",IF(OR(AE153="",AE153&gt;PFYDate),AJ153,IF((AE153-1)&lt;AD153,-1,12*(YEAR((AE153-1))-YEAR(AD153))+MONTH((AE153-1))-MONTH(AD153)-IF(DAY((AE153-1))&lt;MIN(DAY(AD153),DAY(EOMONTH((AE153-1),0))),1,0))))</f>
        <v/>
      </c>
      <c r="AL153" s="12" t="str">
        <f aca="false">IF(AC153=0,"",IF(AF153="FT",IF(AI153&lt;FT_First,0,IF(AI153&lt;FT_Y5,1+INT((AI153-FT_First)/FT_Int1),FT_PreY5+FT_PerYear*INT((AI153-FT_Y5)/12)+FT_AnnivDays+INT(MOD(AI153-FT_Y5,12)/FT_Int2))),IF(AF153="PT",IF(AI153&lt;PT_First,0,1+INT((AI153-PT_First)/PT_Int)),0))+IF(OR(AE153="",AE153&gt;AsOfDate),0,IF(AG153="FT",IF(AH153&lt;FT_First,0,IF(AH153&lt;FT_Y5,1+INT((AH153-FT_First)/FT_Int1),FT_PreY5+FT_PerYear*INT((AH153-FT_Y5)/12)+FT_AnnivDays+INT(MOD(AH153-FT_Y5,12)/FT_Int2))),IF(AG153="PT",IF(AH153&lt;PT_First,0,1+INT((AH153-PT_First)/PT_Int)),0))-IF(AG153="FT",IF(AI153&lt;FT_First,0,IF(AI153&lt;FT_Y5,1+INT((AI153-FT_First)/FT_Int1),FT_PreY5+FT_PerYear*INT((AI153-FT_Y5)/12)+FT_AnnivDays+INT(MOD(AI153-FT_Y5,12)/FT_Int2))),IF(AG153="PT",IF(AI153&lt;PT_First,0,1+INT((AI153-PT_First)/PT_Int)),0))))</f>
        <v/>
      </c>
      <c r="AM153" s="12" t="str">
        <f aca="false">IF(AC153=0,"",IF(AF153="FT",IF(AK153&lt;FT_First,0,IF(AK153&lt;FT_Y5,1+INT((AK153-FT_First)/FT_Int1),FT_PreY5+FT_PerYear*INT((AK153-FT_Y5)/12)+FT_AnnivDays+INT(MOD(AK153-FT_Y5,12)/FT_Int2))),IF(AF153="PT",IF(AK153&lt;PT_First,0,1+INT((AK153-PT_First)/PT_Int)),0))+IF(OR(AE153="",AE153&gt;PFYDate),0,IF(AG153="FT",IF(AJ153&lt;FT_First,0,IF(AJ153&lt;FT_Y5,1+INT((AJ153-FT_First)/FT_Int1),FT_PreY5+FT_PerYear*INT((AJ153-FT_Y5)/12)+FT_AnnivDays+INT(MOD(AJ153-FT_Y5,12)/FT_Int2))),IF(AG153="PT",IF(AJ153&lt;PT_First,0,1+INT((AJ153-PT_First)/PT_Int)),0))-IF(AG153="FT",IF(AK153&lt;FT_First,0,IF(AK153&lt;FT_Y5,1+INT((AK153-FT_First)/FT_Int1),FT_PreY5+FT_PerYear*INT((AK153-FT_Y5)/12)+FT_AnnivDays+INT(MOD(AK153-FT_Y5,12)/FT_Int2))),IF(AG153="PT",IF(AK153&lt;PT_First,0,1+INT((AK153-PT_First)/PT_Int)),0))))</f>
        <v/>
      </c>
      <c r="AN153" s="12" t="str">
        <f aca="false">IF(AC153=0,"",IF(AG153="FT",IF(AH153&lt;FT_First,FT_First,IF(AH153&lt;FT_Y5,MIN(FT_Y5,FT_First+FT_Int1*(INT((AH153-FT_First)/FT_Int1)+1)),FT_Y5+12*INT((AH153-FT_Y5)/12)+FT_Int2*(INT(MOD(AH153-FT_Y5,12)/FT_Int2)+1))),IF(AG153="PT",IF(AH153&lt;PT_First,PT_First,PT_First+PT_Int*(INT((AH153-PT_First)/PT_Int)+1)),"")))</f>
        <v/>
      </c>
      <c r="AO153" s="12" t="str">
        <f aca="false">IF(AC153=0,"",IF(NOT(CFY_Ready),0,COUNTIFS(INDEX(CFY_Data,0,CFY_ColFirst),$A153,INDEX(CFY_Data,0,CFY_ColSur),$B153,INDEX(CFY_Data,0,CFY_ColCat),BonusCat)))</f>
        <v/>
      </c>
    </row>
    <row r="154" customFormat="false" ht="15" hidden="false" customHeight="false" outlineLevel="0" collapsed="false">
      <c r="A154" s="15"/>
      <c r="B154" s="15"/>
      <c r="C154" s="15"/>
      <c r="D154" s="16"/>
      <c r="E154" s="10" t="str">
        <f aca="false">IF(OR(AC154=0,$D154=""),"",DATE(YEAR(AsOfDate)+IF(DATE(YEAR(AsOfDate),MONTH($D154),DAY($D154))&lt;=AsOfDate,1,0),MONTH($D154),DAY($D154)))</f>
        <v/>
      </c>
      <c r="F154" s="16"/>
      <c r="G154" s="16"/>
      <c r="H154" s="16"/>
      <c r="I154" s="16"/>
      <c r="J154" s="10" t="str">
        <f aca="false">IF(AC154=0,"",DATE(YEAR(AsOfDate)+IF(DATE(YEAR(AsOfDate),MONTH($F154),DAY($F154))&lt;=AsOfDate,1,0),MONTH($F154),DAY($F154)))</f>
        <v/>
      </c>
      <c r="K154" s="11" t="str">
        <f aca="false">IF(AC154=0,"",ROUND((AsOfDate-$F154)/365.25,1))</f>
        <v/>
      </c>
      <c r="L154" s="12" t="str">
        <f aca="false">IF(AC154=0,"",IF(AsOfDate&lt;AD154,"-",DATEDIF(AD154,AsOfDate,"y")&amp;"y "&amp;DATEDIF(AD154,AsOfDate,"ym")&amp;"m "&amp;DATEDIF(AD154,AsOfDate,"md")&amp;"d"))</f>
        <v/>
      </c>
      <c r="M154" s="13" t="str">
        <f aca="false">IF(AC154=0,"",N154*HoursPerDay)</f>
        <v/>
      </c>
      <c r="N154" s="13" t="str">
        <f aca="false">IF(AC154=0,"",AL154)</f>
        <v/>
      </c>
      <c r="O154" s="17"/>
      <c r="P154" s="12" t="str">
        <f aca="false">IF(AC154=0,"",IF(AE154="","",IF($G154&lt;$H154,"Part-Time to Full-Time","Full-Time to Part-Time")&amp;" on "&amp;TEXT(AE154,"dd/mm/yyyy")&amp;IF(AE154&gt;AsOfDate," (future)",IF(AF154=AG154,"",IF(AG154="None"," - STOPPED accruing",IF(AF154="None"," - now qualifying"," - pathway changed"))))))</f>
        <v/>
      </c>
      <c r="Q154" s="12" t="str">
        <f aca="false">IF(AC154=0,"",IF(AG154="None",IF(N154&gt;0,"No longer accruing","Not eligible - "&amp;IF(AND($C154="Part-Time",N($O154)&lt;PT_MinHours,$O154&lt;&gt;""),"under "&amp;PT_MinHours&amp;" hrs",$C154)),IF(N154&gt;0,"Yes - accruing","Not yet - from "&amp;TEXT(R154,"dd/mm/yyyy"))))</f>
        <v/>
      </c>
      <c r="R154" s="10" t="str">
        <f aca="false">IF(AC154=0,"",IF(AG154="None","",EDATE(AD154,AN154)))</f>
        <v/>
      </c>
      <c r="S154" s="13" t="str">
        <f aca="false">IF(AC154=0,"",IF(NOT(PFY_Ready),"",SUMIFS(INDEX(PFY_Data,0,PFY_ColBal),INDEX(PFY_Data,0,PFY_ColFirst),$A154,INDEX(PFY_Data,0,PFY_ColSur),$B154,INDEX(PFY_Data,0,PFY_ColCat),BonusCat)))</f>
        <v/>
      </c>
      <c r="T154" s="17"/>
      <c r="U154" s="13" t="str">
        <f aca="false">IF(AC154=0,"",IF(NOT(CFY_Ready),"",SUMIFS(INDEX(CFY_Data,0,CFY_ColBal),INDEX(CFY_Data,0,CFY_ColFirst),$A154,INDEX(CFY_Data,0,CFY_ColSur),$B154,INDEX(CFY_Data,0,CFY_ColCat),BonusCat)))</f>
        <v/>
      </c>
      <c r="V154" s="13" t="str">
        <f aca="false">IF(AC154=0,"",IF(OR(NOT(CFY_Ready),CFY_ColAppr=0),"",SUMIFS(INDEX(CFY_Data,0,CFY_ColAppr),INDEX(CFY_Data,0,CFY_ColFirst),$A154,INDEX(CFY_Data,0,CFY_ColSur),$B154,INDEX(CFY_Data,0,CFY_ColCat),BonusCat)))</f>
        <v/>
      </c>
      <c r="W154" s="13" t="str">
        <f aca="false">IF(OR(AC154=0,S154="",U154=""),"",MAX(0,S154+N($T154)-U154))</f>
        <v/>
      </c>
      <c r="X154" s="13" t="str">
        <f aca="false">IF(AC154=0,"",(AL154-AM154)*HoursPerDay)</f>
        <v/>
      </c>
      <c r="Y154" s="13" t="str">
        <f aca="false">IF(AC154=0,"",X154-N($T154))</f>
        <v/>
      </c>
      <c r="Z154" s="12" t="str">
        <f aca="false">IF(AC154=0,"",IF(Y154&gt;0,"Yes","No"))</f>
        <v/>
      </c>
      <c r="AA154" s="12" t="str">
        <f aca="false">IF(AC154=0,"",IF(NOT(CFY_Ready),"Paste CFY EH export",IF(Y154&gt;0,"ACCRUE "&amp;TEXT(Y154,"0.##")&amp;" hrs ("&amp;TEXT(Y154/HoursPerDay,"0.##")&amp;" days)"&amp;IF(AO154=0," - no Bonus Leave line in EH yet",""),IF(Y154&lt;0,"CHECK - posted "&amp;TEXT(-Y154,"0.##")&amp;" hrs more than policy",IF(AND(N154&gt;0,AO154=0,U154=0),"CHECK - policy says "&amp;TEXT(M154,"0.##")&amp;" hrs to date but nothing in EH",IF(N154&gt;0,"OK","-"))))))</f>
        <v/>
      </c>
      <c r="AB154" s="13" t="str">
        <f aca="false">IF(OR(AC154=0,S154=""),"",AM154*HoursPerDay-S154)</f>
        <v/>
      </c>
      <c r="AC154" s="12" t="n">
        <f aca="false">IF(OR(LEN($A154&amp;$B154)=0,$F154=""),0,1)</f>
        <v>0</v>
      </c>
      <c r="AD154" s="10" t="str">
        <f aca="false">IF(AC154=0,"",IF($I154&lt;&gt;"",$I154,$F154))</f>
        <v/>
      </c>
      <c r="AE154" s="10" t="str">
        <f aca="false">IF(AC154=0,"",IF(AND($G154&lt;&gt;"",$H154&lt;&gt;"",$G154&lt;&gt;$H154),MAX($G154,$H154),""))</f>
        <v/>
      </c>
      <c r="AF154" s="12" t="str">
        <f aca="false">IF(AC154=0,"",IF(AE154="",AG154,IF(IF($G154&lt;$H154,"Part-Time","Full-Time")="Full-Time","FT",IF(AND(IF($G154&lt;$H154,"Part-Time","Full-Time")="Part-Time",OR($O154="",N($O154)&gt;=PT_MinHours)),"PT","None"))))</f>
        <v/>
      </c>
      <c r="AG154" s="12" t="str">
        <f aca="false">IF(AC154=0,"",IF($C154="Full-Time","FT",IF(AND($C154="Part-Time",OR($O154="",N($O154)&gt;=PT_MinHours)),"PT","None")))</f>
        <v/>
      </c>
      <c r="AH154" s="12" t="str">
        <f aca="false">IF(AC154=0,"",IF(AsOfDate&lt;AD154,-1,12*(YEAR(AsOfDate)-YEAR(AD154))+MONTH(AsOfDate)-MONTH(AD154)-IF(DAY(AsOfDate)&lt;MIN(DAY(AD154),DAY(EOMONTH(AsOfDate,0))),1,0)))</f>
        <v/>
      </c>
      <c r="AI154" s="12" t="str">
        <f aca="false">IF(AC154=0,"",IF(OR(AE154="",AE154&gt;AsOfDate),AH154,IF((AE154-1)&lt;AD154,-1,12*(YEAR((AE154-1))-YEAR(AD154))+MONTH((AE154-1))-MONTH(AD154)-IF(DAY((AE154-1))&lt;MIN(DAY(AD154),DAY(EOMONTH((AE154-1),0))),1,0))))</f>
        <v/>
      </c>
      <c r="AJ154" s="12" t="str">
        <f aca="false">IF(AC154=0,"",IF(PFYDate&lt;AD154,-1,12*(YEAR(PFYDate)-YEAR(AD154))+MONTH(PFYDate)-MONTH(AD154)-IF(DAY(PFYDate)&lt;MIN(DAY(AD154),DAY(EOMONTH(PFYDate,0))),1,0)))</f>
        <v/>
      </c>
      <c r="AK154" s="12" t="str">
        <f aca="false">IF(AC154=0,"",IF(OR(AE154="",AE154&gt;PFYDate),AJ154,IF((AE154-1)&lt;AD154,-1,12*(YEAR((AE154-1))-YEAR(AD154))+MONTH((AE154-1))-MONTH(AD154)-IF(DAY((AE154-1))&lt;MIN(DAY(AD154),DAY(EOMONTH((AE154-1),0))),1,0))))</f>
        <v/>
      </c>
      <c r="AL154" s="12" t="str">
        <f aca="false">IF(AC154=0,"",IF(AF154="FT",IF(AI154&lt;FT_First,0,IF(AI154&lt;FT_Y5,1+INT((AI154-FT_First)/FT_Int1),FT_PreY5+FT_PerYear*INT((AI154-FT_Y5)/12)+FT_AnnivDays+INT(MOD(AI154-FT_Y5,12)/FT_Int2))),IF(AF154="PT",IF(AI154&lt;PT_First,0,1+INT((AI154-PT_First)/PT_Int)),0))+IF(OR(AE154="",AE154&gt;AsOfDate),0,IF(AG154="FT",IF(AH154&lt;FT_First,0,IF(AH154&lt;FT_Y5,1+INT((AH154-FT_First)/FT_Int1),FT_PreY5+FT_PerYear*INT((AH154-FT_Y5)/12)+FT_AnnivDays+INT(MOD(AH154-FT_Y5,12)/FT_Int2))),IF(AG154="PT",IF(AH154&lt;PT_First,0,1+INT((AH154-PT_First)/PT_Int)),0))-IF(AG154="FT",IF(AI154&lt;FT_First,0,IF(AI154&lt;FT_Y5,1+INT((AI154-FT_First)/FT_Int1),FT_PreY5+FT_PerYear*INT((AI154-FT_Y5)/12)+FT_AnnivDays+INT(MOD(AI154-FT_Y5,12)/FT_Int2))),IF(AG154="PT",IF(AI154&lt;PT_First,0,1+INT((AI154-PT_First)/PT_Int)),0))))</f>
        <v/>
      </c>
      <c r="AM154" s="12" t="str">
        <f aca="false">IF(AC154=0,"",IF(AF154="FT",IF(AK154&lt;FT_First,0,IF(AK154&lt;FT_Y5,1+INT((AK154-FT_First)/FT_Int1),FT_PreY5+FT_PerYear*INT((AK154-FT_Y5)/12)+FT_AnnivDays+INT(MOD(AK154-FT_Y5,12)/FT_Int2))),IF(AF154="PT",IF(AK154&lt;PT_First,0,1+INT((AK154-PT_First)/PT_Int)),0))+IF(OR(AE154="",AE154&gt;PFYDate),0,IF(AG154="FT",IF(AJ154&lt;FT_First,0,IF(AJ154&lt;FT_Y5,1+INT((AJ154-FT_First)/FT_Int1),FT_PreY5+FT_PerYear*INT((AJ154-FT_Y5)/12)+FT_AnnivDays+INT(MOD(AJ154-FT_Y5,12)/FT_Int2))),IF(AG154="PT",IF(AJ154&lt;PT_First,0,1+INT((AJ154-PT_First)/PT_Int)),0))-IF(AG154="FT",IF(AK154&lt;FT_First,0,IF(AK154&lt;FT_Y5,1+INT((AK154-FT_First)/FT_Int1),FT_PreY5+FT_PerYear*INT((AK154-FT_Y5)/12)+FT_AnnivDays+INT(MOD(AK154-FT_Y5,12)/FT_Int2))),IF(AG154="PT",IF(AK154&lt;PT_First,0,1+INT((AK154-PT_First)/PT_Int)),0))))</f>
        <v/>
      </c>
      <c r="AN154" s="12" t="str">
        <f aca="false">IF(AC154=0,"",IF(AG154="FT",IF(AH154&lt;FT_First,FT_First,IF(AH154&lt;FT_Y5,MIN(FT_Y5,FT_First+FT_Int1*(INT((AH154-FT_First)/FT_Int1)+1)),FT_Y5+12*INT((AH154-FT_Y5)/12)+FT_Int2*(INT(MOD(AH154-FT_Y5,12)/FT_Int2)+1))),IF(AG154="PT",IF(AH154&lt;PT_First,PT_First,PT_First+PT_Int*(INT((AH154-PT_First)/PT_Int)+1)),"")))</f>
        <v/>
      </c>
      <c r="AO154" s="12" t="str">
        <f aca="false">IF(AC154=0,"",IF(NOT(CFY_Ready),0,COUNTIFS(INDEX(CFY_Data,0,CFY_ColFirst),$A154,INDEX(CFY_Data,0,CFY_ColSur),$B154,INDEX(CFY_Data,0,CFY_ColCat),BonusCat)))</f>
        <v/>
      </c>
    </row>
  </sheetData>
  <autoFilter ref="A4:AB154"/>
  <conditionalFormatting sqref="AA5:AA154">
    <cfRule type="expression" priority="2" aboveAverage="0" equalAverage="0" bottom="0" percent="0" rank="0" text="" dxfId="13">
      <formula>LEFT(AA5,6)="ACCRUE"</formula>
    </cfRule>
    <cfRule type="expression" priority="3" aboveAverage="0" equalAverage="0" bottom="0" percent="0" rank="0" text="" dxfId="14">
      <formula>LEFT(AA5,5)="CHECK"</formula>
    </cfRule>
    <cfRule type="expression" priority="4" aboveAverage="0" equalAverage="0" bottom="0" percent="0" rank="0" text="" dxfId="15">
      <formula>AA5="OK"</formula>
    </cfRule>
  </conditionalFormatting>
  <conditionalFormatting sqref="Z5:Z154">
    <cfRule type="expression" priority="5" aboveAverage="0" equalAverage="0" bottom="0" percent="0" rank="0" text="" dxfId="13">
      <formula>Z5="Yes"</formula>
    </cfRule>
  </conditionalFormatting>
  <conditionalFormatting sqref="Q5:Q154">
    <cfRule type="expression" priority="6" aboveAverage="0" equalAverage="0" bottom="0" percent="0" rank="0" text="" dxfId="16">
      <formula>LEFT(Q5,3)="Yes"</formula>
    </cfRule>
  </conditionalFormatting>
  <conditionalFormatting sqref="P5:P154">
    <cfRule type="expression" priority="7" aboveAverage="0" equalAverage="0" bottom="0" percent="0" rank="0" text="" dxfId="17">
      <formula>P5&lt;&gt;""</formula>
    </cfRule>
  </conditionalFormatting>
  <dataValidations count="2">
    <dataValidation allowBlank="true" errorStyle="stop" operator="between" showDropDown="false" showErrorMessage="false" showInputMessage="false" sqref="C5:C154" type="list">
      <formula1>"Full-Time,Part-Time,Casual"</formula1>
      <formula2>0</formula2>
    </dataValidation>
    <dataValidation allowBlank="true" error="Enter a date" errorStyle="stop" operator="greaterThan" showDropDown="false" showErrorMessage="false" showInputMessage="false" sqref="D5:D154 F5:I154" type="date">
      <formula1>20000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R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6" min="1" style="0" width="14"/>
  </cols>
  <sheetData>
    <row r="1" customFormat="false" ht="15" hidden="false" customHeight="false" outlineLevel="0" collapsed="false">
      <c r="A1" s="2" t="s">
        <v>81</v>
      </c>
      <c r="B1" s="2" t="s">
        <v>82</v>
      </c>
      <c r="C1" s="2" t="s">
        <v>24</v>
      </c>
      <c r="D1" s="2" t="s">
        <v>83</v>
      </c>
      <c r="E1" s="2" t="s">
        <v>28</v>
      </c>
      <c r="F1" s="2" t="s">
        <v>84</v>
      </c>
      <c r="G1" s="2" t="s">
        <v>85</v>
      </c>
      <c r="H1" s="2" t="s">
        <v>86</v>
      </c>
      <c r="I1" s="2" t="s">
        <v>87</v>
      </c>
      <c r="J1" s="2" t="s">
        <v>88</v>
      </c>
      <c r="K1" s="2" t="s">
        <v>89</v>
      </c>
      <c r="L1" s="2" t="s">
        <v>90</v>
      </c>
      <c r="M1" s="2" t="s">
        <v>91</v>
      </c>
      <c r="N1" s="2" t="s">
        <v>92</v>
      </c>
      <c r="O1" s="2" t="s">
        <v>93</v>
      </c>
      <c r="P1" s="2" t="s">
        <v>94</v>
      </c>
      <c r="R1" s="18" t="s">
        <v>95</v>
      </c>
    </row>
    <row r="2" customFormat="false" ht="15" hidden="false" customHeight="false" outlineLevel="0" collapsed="false">
      <c r="A2" s="19" t="n">
        <v>101</v>
      </c>
      <c r="B2" s="19" t="s">
        <v>64</v>
      </c>
      <c r="C2" s="19" t="s">
        <v>65</v>
      </c>
      <c r="D2" s="19"/>
      <c r="E2" s="20" t="n">
        <v>44242</v>
      </c>
      <c r="F2" s="20" t="n">
        <v>46201</v>
      </c>
      <c r="G2" s="19"/>
      <c r="H2" s="19" t="s">
        <v>96</v>
      </c>
      <c r="I2" s="19" t="s">
        <v>97</v>
      </c>
      <c r="J2" s="19" t="n">
        <v>64</v>
      </c>
      <c r="K2" s="19" t="s">
        <v>98</v>
      </c>
      <c r="L2" s="19" t="n">
        <v>64</v>
      </c>
      <c r="M2" s="19" t="n">
        <v>2880</v>
      </c>
      <c r="N2" s="19" t="n">
        <v>0</v>
      </c>
      <c r="O2" s="19" t="n">
        <v>0</v>
      </c>
      <c r="P2" s="19" t="n">
        <v>0</v>
      </c>
    </row>
    <row r="3" customFormat="false" ht="15" hidden="false" customHeight="false" outlineLevel="0" collapsed="false">
      <c r="A3" s="19" t="n">
        <v>101</v>
      </c>
      <c r="B3" s="19" t="s">
        <v>64</v>
      </c>
      <c r="C3" s="19" t="s">
        <v>65</v>
      </c>
      <c r="D3" s="19"/>
      <c r="E3" s="20" t="n">
        <v>44242</v>
      </c>
      <c r="F3" s="20" t="n">
        <v>46201</v>
      </c>
      <c r="G3" s="19"/>
      <c r="H3" s="19" t="s">
        <v>96</v>
      </c>
      <c r="I3" s="19" t="s">
        <v>99</v>
      </c>
      <c r="J3" s="19" t="n">
        <v>120</v>
      </c>
      <c r="K3" s="19" t="s">
        <v>98</v>
      </c>
      <c r="L3" s="19" t="n">
        <v>120</v>
      </c>
      <c r="M3" s="19" t="n">
        <v>5400</v>
      </c>
      <c r="N3" s="19" t="n">
        <v>0</v>
      </c>
      <c r="O3" s="19" t="n">
        <v>0</v>
      </c>
      <c r="P3" s="19" t="n">
        <v>0</v>
      </c>
    </row>
    <row r="4" customFormat="false" ht="15" hidden="false" customHeight="false" outlineLevel="0" collapsed="false">
      <c r="A4" s="19" t="n">
        <v>102</v>
      </c>
      <c r="B4" s="19" t="s">
        <v>67</v>
      </c>
      <c r="C4" s="19" t="s">
        <v>68</v>
      </c>
      <c r="D4" s="19"/>
      <c r="E4" s="20" t="n">
        <v>43983</v>
      </c>
      <c r="F4" s="20" t="n">
        <v>46201</v>
      </c>
      <c r="G4" s="19"/>
      <c r="H4" s="19" t="s">
        <v>96</v>
      </c>
      <c r="I4" s="19" t="s">
        <v>97</v>
      </c>
      <c r="J4" s="19" t="n">
        <v>32</v>
      </c>
      <c r="K4" s="19" t="s">
        <v>98</v>
      </c>
      <c r="L4" s="19" t="n">
        <v>32</v>
      </c>
      <c r="M4" s="19" t="n">
        <v>1440</v>
      </c>
      <c r="N4" s="19" t="n">
        <v>0</v>
      </c>
      <c r="O4" s="19" t="n">
        <v>0</v>
      </c>
      <c r="P4" s="19" t="n">
        <v>0</v>
      </c>
    </row>
    <row r="5" customFormat="false" ht="15" hidden="false" customHeight="false" outlineLevel="0" collapsed="false">
      <c r="A5" s="19" t="n">
        <v>104</v>
      </c>
      <c r="B5" s="19" t="s">
        <v>73</v>
      </c>
      <c r="C5" s="19" t="s">
        <v>74</v>
      </c>
      <c r="D5" s="19"/>
      <c r="E5" s="20" t="n">
        <v>44621</v>
      </c>
      <c r="F5" s="20" t="n">
        <v>46201</v>
      </c>
      <c r="G5" s="19"/>
      <c r="H5" s="19" t="s">
        <v>96</v>
      </c>
      <c r="I5" s="19" t="s">
        <v>97</v>
      </c>
      <c r="J5" s="19" t="n">
        <v>8</v>
      </c>
      <c r="K5" s="19" t="s">
        <v>98</v>
      </c>
      <c r="L5" s="19" t="n">
        <v>8</v>
      </c>
      <c r="M5" s="19" t="n">
        <v>360</v>
      </c>
      <c r="N5" s="19" t="n">
        <v>0</v>
      </c>
      <c r="O5" s="19" t="n">
        <v>0</v>
      </c>
      <c r="P5" s="19" t="n">
        <v>0</v>
      </c>
    </row>
    <row r="6" customFormat="false" ht="15" hidden="false" customHeight="false" outlineLevel="0" collapsed="false">
      <c r="A6" s="19" t="n">
        <v>105</v>
      </c>
      <c r="B6" s="19" t="s">
        <v>75</v>
      </c>
      <c r="C6" s="19" t="s">
        <v>76</v>
      </c>
      <c r="D6" s="19"/>
      <c r="E6" s="20" t="n">
        <v>43840</v>
      </c>
      <c r="F6" s="20" t="n">
        <v>46201</v>
      </c>
      <c r="G6" s="19"/>
      <c r="H6" s="19" t="s">
        <v>96</v>
      </c>
      <c r="I6" s="19" t="s">
        <v>97</v>
      </c>
      <c r="J6" s="19" t="n">
        <v>72</v>
      </c>
      <c r="K6" s="19" t="s">
        <v>98</v>
      </c>
      <c r="L6" s="19" t="n">
        <v>72</v>
      </c>
      <c r="M6" s="19" t="n">
        <v>3240</v>
      </c>
      <c r="N6" s="19" t="n">
        <v>0</v>
      </c>
      <c r="O6" s="19" t="n">
        <v>0</v>
      </c>
      <c r="P6" s="1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R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6" min="1" style="0" width="14"/>
  </cols>
  <sheetData>
    <row r="1" customFormat="false" ht="15" hidden="false" customHeight="false" outlineLevel="0" collapsed="false">
      <c r="A1" s="2" t="s">
        <v>81</v>
      </c>
      <c r="B1" s="2" t="s">
        <v>82</v>
      </c>
      <c r="C1" s="2" t="s">
        <v>24</v>
      </c>
      <c r="D1" s="2" t="s">
        <v>83</v>
      </c>
      <c r="E1" s="2" t="s">
        <v>28</v>
      </c>
      <c r="F1" s="2" t="s">
        <v>84</v>
      </c>
      <c r="G1" s="2" t="s">
        <v>85</v>
      </c>
      <c r="H1" s="2" t="s">
        <v>86</v>
      </c>
      <c r="I1" s="2" t="s">
        <v>87</v>
      </c>
      <c r="J1" s="2" t="s">
        <v>88</v>
      </c>
      <c r="K1" s="2" t="s">
        <v>89</v>
      </c>
      <c r="L1" s="2" t="s">
        <v>90</v>
      </c>
      <c r="M1" s="2" t="s">
        <v>91</v>
      </c>
      <c r="N1" s="2" t="s">
        <v>92</v>
      </c>
      <c r="O1" s="2" t="s">
        <v>93</v>
      </c>
      <c r="P1" s="2" t="s">
        <v>94</v>
      </c>
      <c r="R1" s="18" t="s">
        <v>100</v>
      </c>
    </row>
    <row r="2" customFormat="false" ht="15" hidden="false" customHeight="false" outlineLevel="0" collapsed="false">
      <c r="A2" s="19" t="n">
        <v>101</v>
      </c>
      <c r="B2" s="19" t="s">
        <v>64</v>
      </c>
      <c r="C2" s="19" t="s">
        <v>65</v>
      </c>
      <c r="D2" s="19"/>
      <c r="E2" s="20" t="n">
        <v>44242</v>
      </c>
      <c r="F2" s="20" t="n">
        <v>46292</v>
      </c>
      <c r="G2" s="19"/>
      <c r="H2" s="19" t="s">
        <v>96</v>
      </c>
      <c r="I2" s="19" t="s">
        <v>97</v>
      </c>
      <c r="J2" s="19" t="n">
        <v>56</v>
      </c>
      <c r="K2" s="19" t="s">
        <v>98</v>
      </c>
      <c r="L2" s="19" t="n">
        <v>56</v>
      </c>
      <c r="M2" s="19" t="n">
        <v>2520</v>
      </c>
      <c r="N2" s="19" t="n">
        <v>0</v>
      </c>
      <c r="O2" s="19" t="n">
        <v>8</v>
      </c>
      <c r="P2" s="19" t="n">
        <v>8</v>
      </c>
    </row>
    <row r="3" customFormat="false" ht="15" hidden="false" customHeight="false" outlineLevel="0" collapsed="false">
      <c r="A3" s="19" t="n">
        <v>101</v>
      </c>
      <c r="B3" s="19" t="s">
        <v>64</v>
      </c>
      <c r="C3" s="19" t="s">
        <v>65</v>
      </c>
      <c r="D3" s="19"/>
      <c r="E3" s="20" t="n">
        <v>44242</v>
      </c>
      <c r="F3" s="20" t="n">
        <v>46292</v>
      </c>
      <c r="G3" s="19"/>
      <c r="H3" s="19" t="s">
        <v>96</v>
      </c>
      <c r="I3" s="19" t="s">
        <v>99</v>
      </c>
      <c r="J3" s="19" t="n">
        <v>130</v>
      </c>
      <c r="K3" s="19" t="s">
        <v>98</v>
      </c>
      <c r="L3" s="19" t="n">
        <v>130</v>
      </c>
      <c r="M3" s="19" t="n">
        <v>5850</v>
      </c>
      <c r="N3" s="19" t="n">
        <v>0</v>
      </c>
      <c r="O3" s="19" t="n">
        <v>0</v>
      </c>
      <c r="P3" s="19" t="n">
        <v>0</v>
      </c>
    </row>
    <row r="4" customFormat="false" ht="15" hidden="false" customHeight="false" outlineLevel="0" collapsed="false">
      <c r="A4" s="19" t="n">
        <v>102</v>
      </c>
      <c r="B4" s="19" t="s">
        <v>67</v>
      </c>
      <c r="C4" s="19" t="s">
        <v>68</v>
      </c>
      <c r="D4" s="19"/>
      <c r="E4" s="20" t="n">
        <v>43983</v>
      </c>
      <c r="F4" s="20" t="n">
        <v>46292</v>
      </c>
      <c r="G4" s="19"/>
      <c r="H4" s="19" t="s">
        <v>96</v>
      </c>
      <c r="I4" s="19" t="s">
        <v>97</v>
      </c>
      <c r="J4" s="19" t="n">
        <v>32</v>
      </c>
      <c r="K4" s="19" t="s">
        <v>98</v>
      </c>
      <c r="L4" s="19" t="n">
        <v>32</v>
      </c>
      <c r="M4" s="19" t="n">
        <v>1440</v>
      </c>
      <c r="N4" s="19" t="n">
        <v>0</v>
      </c>
      <c r="O4" s="19" t="n">
        <v>0</v>
      </c>
      <c r="P4" s="19" t="n">
        <v>0</v>
      </c>
    </row>
    <row r="5" customFormat="false" ht="15" hidden="false" customHeight="false" outlineLevel="0" collapsed="false">
      <c r="A5" s="19" t="n">
        <v>104</v>
      </c>
      <c r="B5" s="19" t="s">
        <v>73</v>
      </c>
      <c r="C5" s="19" t="s">
        <v>74</v>
      </c>
      <c r="D5" s="19"/>
      <c r="E5" s="20" t="n">
        <v>44621</v>
      </c>
      <c r="F5" s="20" t="n">
        <v>46292</v>
      </c>
      <c r="G5" s="19"/>
      <c r="H5" s="19" t="s">
        <v>96</v>
      </c>
      <c r="I5" s="19" t="s">
        <v>97</v>
      </c>
      <c r="J5" s="19" t="n">
        <v>0</v>
      </c>
      <c r="K5" s="19" t="s">
        <v>98</v>
      </c>
      <c r="L5" s="19" t="n">
        <v>0</v>
      </c>
      <c r="M5" s="19" t="n">
        <v>0</v>
      </c>
      <c r="N5" s="19" t="n">
        <v>0</v>
      </c>
      <c r="O5" s="19" t="n">
        <v>0</v>
      </c>
      <c r="P5" s="19" t="n">
        <v>0</v>
      </c>
    </row>
    <row r="6" customFormat="false" ht="15" hidden="false" customHeight="false" outlineLevel="0" collapsed="false">
      <c r="A6" s="19" t="n">
        <v>105</v>
      </c>
      <c r="B6" s="19" t="s">
        <v>75</v>
      </c>
      <c r="C6" s="19" t="s">
        <v>76</v>
      </c>
      <c r="D6" s="19"/>
      <c r="E6" s="20" t="n">
        <v>43840</v>
      </c>
      <c r="F6" s="20" t="n">
        <v>46292</v>
      </c>
      <c r="G6" s="19"/>
      <c r="H6" s="19" t="s">
        <v>96</v>
      </c>
      <c r="I6" s="19" t="s">
        <v>97</v>
      </c>
      <c r="J6" s="19" t="n">
        <v>80</v>
      </c>
      <c r="K6" s="19" t="s">
        <v>98</v>
      </c>
      <c r="L6" s="19" t="n">
        <v>80</v>
      </c>
      <c r="M6" s="19" t="n">
        <v>3600</v>
      </c>
      <c r="N6" s="19" t="n">
        <v>0</v>
      </c>
      <c r="O6" s="19" t="n">
        <v>0</v>
      </c>
      <c r="P6" s="1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5" min="4" style="0" width="10"/>
    <col collapsed="false" customWidth="true" hidden="false" outlineLevel="0" max="6" min="6" style="0" width="70"/>
    <col collapsed="false" customWidth="true" hidden="false" outlineLevel="0" max="8" min="7" style="0" width="3"/>
  </cols>
  <sheetData>
    <row r="2" customFormat="false" ht="17.35" hidden="false" customHeight="false" outlineLevel="0" collapsed="false">
      <c r="B2" s="1" t="s">
        <v>101</v>
      </c>
    </row>
    <row r="4" customFormat="false" ht="15" hidden="false" customHeight="false" outlineLevel="0" collapsed="false">
      <c r="B4" s="5" t="s">
        <v>102</v>
      </c>
      <c r="C4" s="5" t="s">
        <v>103</v>
      </c>
    </row>
    <row r="5" customFormat="false" ht="15" hidden="false" customHeight="false" outlineLevel="0" collapsed="false">
      <c r="B5" s="19" t="s">
        <v>104</v>
      </c>
      <c r="C5" s="16" t="n">
        <f aca="true">TODAY()</f>
        <v>46296</v>
      </c>
      <c r="F5" s="21" t="s">
        <v>105</v>
      </c>
    </row>
    <row r="6" customFormat="false" ht="15" hidden="false" customHeight="false" outlineLevel="0" collapsed="false">
      <c r="B6" s="19" t="s">
        <v>106</v>
      </c>
      <c r="C6" s="16" t="n">
        <v>46203</v>
      </c>
      <c r="F6" s="21" t="s">
        <v>107</v>
      </c>
    </row>
    <row r="7" customFormat="false" ht="15" hidden="false" customHeight="false" outlineLevel="0" collapsed="false">
      <c r="B7" s="19" t="s">
        <v>108</v>
      </c>
      <c r="C7" s="15" t="n">
        <v>8</v>
      </c>
      <c r="F7" s="21" t="s">
        <v>109</v>
      </c>
    </row>
    <row r="8" customFormat="false" ht="15" hidden="false" customHeight="false" outlineLevel="0" collapsed="false">
      <c r="B8" s="19" t="s">
        <v>110</v>
      </c>
      <c r="C8" s="15" t="s">
        <v>97</v>
      </c>
      <c r="F8" s="21" t="s">
        <v>111</v>
      </c>
    </row>
    <row r="10" customFormat="false" ht="15" hidden="false" customHeight="false" outlineLevel="0" collapsed="false">
      <c r="B10" s="5" t="s">
        <v>112</v>
      </c>
      <c r="C10" s="5" t="s">
        <v>113</v>
      </c>
      <c r="D10" s="5" t="s">
        <v>114</v>
      </c>
      <c r="E10" s="5" t="s">
        <v>115</v>
      </c>
    </row>
    <row r="11" customFormat="false" ht="15" hidden="false" customHeight="false" outlineLevel="0" collapsed="false">
      <c r="B11" s="19" t="s">
        <v>116</v>
      </c>
      <c r="C11" s="15" t="s">
        <v>82</v>
      </c>
      <c r="D11" s="22" t="str">
        <f aca="false">IF(ISNUMBER(MATCH($C11,PFY_Hdr,0)),"Yes","NO")</f>
        <v>Yes</v>
      </c>
      <c r="E11" s="22" t="str">
        <f aca="false">IF(ISNUMBER(MATCH($C11,CFY_Hdr,0)),"Yes","NO")</f>
        <v>Yes</v>
      </c>
      <c r="F11" s="21" t="s">
        <v>117</v>
      </c>
      <c r="G11" s="21" t="n">
        <f aca="false">IFERROR(MATCH($C11,PFY_Hdr,0),0)</f>
        <v>2</v>
      </c>
      <c r="H11" s="21" t="n">
        <f aca="false">IFERROR(MATCH($C11,CFY_Hdr,0),0)</f>
        <v>2</v>
      </c>
    </row>
    <row r="12" customFormat="false" ht="15" hidden="false" customHeight="false" outlineLevel="0" collapsed="false">
      <c r="B12" s="19" t="s">
        <v>24</v>
      </c>
      <c r="C12" s="15" t="s">
        <v>24</v>
      </c>
      <c r="D12" s="22" t="str">
        <f aca="false">IF(ISNUMBER(MATCH($C12,PFY_Hdr,0)),"Yes","NO")</f>
        <v>Yes</v>
      </c>
      <c r="E12" s="22" t="str">
        <f aca="false">IF(ISNUMBER(MATCH($C12,CFY_Hdr,0)),"Yes","NO")</f>
        <v>Yes</v>
      </c>
      <c r="G12" s="21" t="n">
        <f aca="false">IFERROR(MATCH($C12,PFY_Hdr,0),0)</f>
        <v>3</v>
      </c>
      <c r="H12" s="21" t="n">
        <f aca="false">IFERROR(MATCH($C12,CFY_Hdr,0),0)</f>
        <v>3</v>
      </c>
    </row>
    <row r="13" customFormat="false" ht="15" hidden="false" customHeight="false" outlineLevel="0" collapsed="false">
      <c r="B13" s="19" t="s">
        <v>118</v>
      </c>
      <c r="C13" s="15" t="s">
        <v>87</v>
      </c>
      <c r="D13" s="22" t="str">
        <f aca="false">IF(ISNUMBER(MATCH($C13,PFY_Hdr,0)),"Yes","NO")</f>
        <v>Yes</v>
      </c>
      <c r="E13" s="22" t="str">
        <f aca="false">IF(ISNUMBER(MATCH($C13,CFY_Hdr,0)),"Yes","NO")</f>
        <v>Yes</v>
      </c>
      <c r="G13" s="21" t="n">
        <f aca="false">IFERROR(MATCH($C13,PFY_Hdr,0),0)</f>
        <v>9</v>
      </c>
      <c r="H13" s="21" t="n">
        <f aca="false">IFERROR(MATCH($C13,CFY_Hdr,0),0)</f>
        <v>9</v>
      </c>
    </row>
    <row r="14" customFormat="false" ht="15" hidden="false" customHeight="false" outlineLevel="0" collapsed="false">
      <c r="B14" s="19" t="s">
        <v>119</v>
      </c>
      <c r="C14" s="15" t="s">
        <v>90</v>
      </c>
      <c r="D14" s="22" t="str">
        <f aca="false">IF(ISNUMBER(MATCH($C14,PFY_Hdr,0)),"Yes","NO")</f>
        <v>Yes</v>
      </c>
      <c r="E14" s="22" t="str">
        <f aca="false">IF(ISNUMBER(MATCH($C14,CFY_Hdr,0)),"Yes","NO")</f>
        <v>Yes</v>
      </c>
      <c r="G14" s="21" t="n">
        <f aca="false">IFERROR(MATCH($C14,PFY_Hdr,0),0)</f>
        <v>12</v>
      </c>
      <c r="H14" s="21" t="n">
        <f aca="false">IFERROR(MATCH($C14,CFY_Hdr,0),0)</f>
        <v>12</v>
      </c>
    </row>
    <row r="15" customFormat="false" ht="15" hidden="false" customHeight="false" outlineLevel="0" collapsed="false">
      <c r="B15" s="19" t="s">
        <v>120</v>
      </c>
      <c r="C15" s="15" t="s">
        <v>94</v>
      </c>
      <c r="D15" s="22" t="str">
        <f aca="false">IF(ISNUMBER(MATCH($C15,PFY_Hdr,0)),"Yes","NO")</f>
        <v>Yes</v>
      </c>
      <c r="E15" s="22" t="str">
        <f aca="false">IF(ISNUMBER(MATCH($C15,CFY_Hdr,0)),"Yes","NO")</f>
        <v>Yes</v>
      </c>
      <c r="G15" s="21" t="n">
        <f aca="false">IFERROR(MATCH($C15,PFY_Hdr,0),0)</f>
        <v>16</v>
      </c>
      <c r="H15" s="21" t="n">
        <f aca="false">IFERROR(MATCH($C15,CFY_Hdr,0),0)</f>
        <v>16</v>
      </c>
    </row>
    <row r="16" customFormat="false" ht="15" hidden="false" customHeight="false" outlineLevel="0" collapsed="false">
      <c r="B16" s="2" t="s">
        <v>121</v>
      </c>
      <c r="D16" s="22" t="str">
        <f aca="false">IF(PFY_Ready,"YES","NO")</f>
        <v>YES</v>
      </c>
      <c r="E16" s="22" t="str">
        <f aca="false">IF(CFY_Ready,"YES","NO")</f>
        <v>YES</v>
      </c>
      <c r="G16" s="23" t="b">
        <f aca="false">AND(PFY_ColFirst&gt;0,PFY_ColSur&gt;0,PFY_ColCat&gt;0,PFY_ColBal&gt;0)</f>
        <v>1</v>
      </c>
      <c r="H16" s="23" t="b">
        <f aca="false">AND(CFY_ColFirst&gt;0,CFY_ColSur&gt;0,CFY_ColCat&gt;0,CFY_ColBal&gt;0)</f>
        <v>1</v>
      </c>
    </row>
    <row r="18" customFormat="false" ht="15" hidden="false" customHeight="false" outlineLevel="0" collapsed="false">
      <c r="B18" s="5" t="s">
        <v>122</v>
      </c>
      <c r="C18" s="5" t="s">
        <v>103</v>
      </c>
    </row>
    <row r="19" customFormat="false" ht="15" hidden="false" customHeight="false" outlineLevel="0" collapsed="false">
      <c r="B19" s="19" t="s">
        <v>123</v>
      </c>
      <c r="C19" s="15" t="n">
        <v>36</v>
      </c>
      <c r="F19" s="21" t="s">
        <v>124</v>
      </c>
    </row>
    <row r="20" customFormat="false" ht="15" hidden="false" customHeight="false" outlineLevel="0" collapsed="false">
      <c r="B20" s="19" t="s">
        <v>125</v>
      </c>
      <c r="C20" s="15" t="n">
        <v>4</v>
      </c>
      <c r="F20" s="21" t="s">
        <v>126</v>
      </c>
    </row>
    <row r="21" customFormat="false" ht="15" hidden="false" customHeight="false" outlineLevel="0" collapsed="false">
      <c r="B21" s="19" t="s">
        <v>127</v>
      </c>
      <c r="C21" s="15" t="n">
        <v>60</v>
      </c>
      <c r="F21" s="21" t="s">
        <v>128</v>
      </c>
    </row>
    <row r="22" customFormat="false" ht="15" hidden="false" customHeight="false" outlineLevel="0" collapsed="false">
      <c r="B22" s="19" t="s">
        <v>129</v>
      </c>
      <c r="C22" s="15" t="n">
        <v>2</v>
      </c>
      <c r="F22" s="21" t="s">
        <v>128</v>
      </c>
    </row>
    <row r="23" customFormat="false" ht="15" hidden="false" customHeight="false" outlineLevel="0" collapsed="false">
      <c r="B23" s="19" t="s">
        <v>130</v>
      </c>
      <c r="C23" s="15" t="n">
        <v>3</v>
      </c>
      <c r="F23" s="21" t="s">
        <v>131</v>
      </c>
    </row>
    <row r="24" customFormat="false" ht="15" hidden="false" customHeight="false" outlineLevel="0" collapsed="false">
      <c r="B24" s="19" t="s">
        <v>132</v>
      </c>
      <c r="C24" s="15" t="n">
        <v>60</v>
      </c>
      <c r="F24" s="21" t="s">
        <v>133</v>
      </c>
    </row>
    <row r="25" customFormat="false" ht="15" hidden="false" customHeight="false" outlineLevel="0" collapsed="false">
      <c r="B25" s="19" t="s">
        <v>134</v>
      </c>
      <c r="C25" s="15" t="n">
        <v>4</v>
      </c>
      <c r="F25" s="21" t="s">
        <v>135</v>
      </c>
    </row>
    <row r="26" customFormat="false" ht="15" hidden="false" customHeight="false" outlineLevel="0" collapsed="false">
      <c r="B26" s="19" t="s">
        <v>136</v>
      </c>
      <c r="C26" s="15" t="n">
        <v>24</v>
      </c>
      <c r="F26" s="21" t="s">
        <v>137</v>
      </c>
    </row>
    <row r="27" customFormat="false" ht="15" hidden="false" customHeight="false" outlineLevel="0" collapsed="false">
      <c r="B27" s="19" t="s">
        <v>138</v>
      </c>
      <c r="C27" s="12" t="n">
        <f aca="false">1+INT((FT_Y5-1-FT_First)/FT_Int1)</f>
        <v>6</v>
      </c>
    </row>
    <row r="28" customFormat="false" ht="15" hidden="false" customHeight="false" outlineLevel="0" collapsed="false">
      <c r="B28" s="19" t="s">
        <v>139</v>
      </c>
      <c r="C28" s="12" t="n">
        <f aca="false">FT_AnnivDays+INT(11/FT_Int2)</f>
        <v>5</v>
      </c>
    </row>
    <row r="31" customFormat="false" ht="15" hidden="false" customHeight="true" outlineLevel="0" collapsed="false">
      <c r="B31" s="24" t="s">
        <v>140</v>
      </c>
      <c r="C31" s="24"/>
      <c r="D31" s="24"/>
      <c r="E31" s="24"/>
      <c r="F31" s="24"/>
    </row>
    <row r="32" customFormat="false" ht="43.5" hidden="false" customHeight="true" outlineLevel="0" collapsed="false">
      <c r="B32" s="25" t="s">
        <v>141</v>
      </c>
      <c r="C32" s="25"/>
      <c r="D32" s="25"/>
      <c r="E32" s="25"/>
      <c r="F32" s="25"/>
    </row>
    <row r="33" customFormat="false" ht="30" hidden="false" customHeight="true" outlineLevel="0" collapsed="false">
      <c r="B33" s="25" t="s">
        <v>142</v>
      </c>
      <c r="C33" s="25"/>
      <c r="D33" s="25"/>
      <c r="E33" s="25"/>
      <c r="F33" s="25"/>
    </row>
    <row r="34" customFormat="false" ht="30" hidden="false" customHeight="true" outlineLevel="0" collapsed="false">
      <c r="B34" s="25" t="s">
        <v>143</v>
      </c>
      <c r="C34" s="25"/>
      <c r="D34" s="25"/>
      <c r="E34" s="25"/>
      <c r="F34" s="25"/>
    </row>
    <row r="35" customFormat="false" ht="43.5" hidden="false" customHeight="true" outlineLevel="0" collapsed="false">
      <c r="B35" s="25" t="s">
        <v>144</v>
      </c>
      <c r="C35" s="25"/>
      <c r="D35" s="25"/>
      <c r="E35" s="25"/>
      <c r="F35" s="25"/>
    </row>
    <row r="36" customFormat="false" ht="30" hidden="false" customHeight="true" outlineLevel="0" collapsed="false">
      <c r="B36" s="25" t="s">
        <v>145</v>
      </c>
      <c r="C36" s="25"/>
      <c r="D36" s="25"/>
      <c r="E36" s="25"/>
      <c r="F36" s="25"/>
    </row>
    <row r="37" customFormat="false" ht="15" hidden="false" customHeight="true" outlineLevel="0" collapsed="false">
      <c r="B37" s="25" t="s">
        <v>146</v>
      </c>
      <c r="C37" s="25"/>
      <c r="D37" s="25"/>
      <c r="E37" s="25"/>
      <c r="F37" s="25"/>
    </row>
    <row r="38" customFormat="false" ht="43.5" hidden="false" customHeight="true" outlineLevel="0" collapsed="false">
      <c r="B38" s="25" t="s">
        <v>147</v>
      </c>
      <c r="C38" s="25"/>
      <c r="D38" s="25"/>
      <c r="E38" s="25"/>
      <c r="F38" s="25"/>
    </row>
    <row r="39" customFormat="false" ht="15" hidden="false" customHeight="false" outlineLevel="0" collapsed="false">
      <c r="B39" s="25"/>
      <c r="C39" s="25"/>
      <c r="D39" s="25"/>
      <c r="E39" s="25"/>
      <c r="F39" s="25"/>
    </row>
    <row r="40" customFormat="false" ht="15" hidden="false" customHeight="true" outlineLevel="0" collapsed="false">
      <c r="B40" s="24" t="s">
        <v>148</v>
      </c>
      <c r="C40" s="24"/>
      <c r="D40" s="24"/>
      <c r="E40" s="24"/>
      <c r="F40" s="24"/>
    </row>
    <row r="41" customFormat="false" ht="30" hidden="false" customHeight="true" outlineLevel="0" collapsed="false">
      <c r="B41" s="25" t="s">
        <v>149</v>
      </c>
      <c r="C41" s="25"/>
      <c r="D41" s="25"/>
      <c r="E41" s="25"/>
      <c r="F41" s="25"/>
    </row>
    <row r="42" customFormat="false" ht="15" hidden="false" customHeight="true" outlineLevel="0" collapsed="false">
      <c r="B42" s="25" t="s">
        <v>150</v>
      </c>
      <c r="C42" s="25"/>
      <c r="D42" s="25"/>
      <c r="E42" s="25"/>
      <c r="F42" s="25"/>
    </row>
    <row r="43" customFormat="false" ht="30" hidden="false" customHeight="true" outlineLevel="0" collapsed="false">
      <c r="B43" s="25" t="s">
        <v>151</v>
      </c>
      <c r="C43" s="25"/>
      <c r="D43" s="25"/>
      <c r="E43" s="25"/>
      <c r="F43" s="25"/>
    </row>
    <row r="44" customFormat="false" ht="15" hidden="false" customHeight="false" outlineLevel="0" collapsed="false">
      <c r="B44" s="25"/>
      <c r="C44" s="25"/>
      <c r="D44" s="25"/>
      <c r="E44" s="25"/>
      <c r="F44" s="25"/>
    </row>
    <row r="45" customFormat="false" ht="43.5" hidden="false" customHeight="true" outlineLevel="0" collapsed="false">
      <c r="B45" s="24" t="s">
        <v>152</v>
      </c>
      <c r="C45" s="24"/>
      <c r="D45" s="24"/>
      <c r="E45" s="24"/>
      <c r="F45" s="24"/>
    </row>
  </sheetData>
  <mergeCells count="15">
    <mergeCell ref="B31:F31"/>
    <mergeCell ref="B32:F32"/>
    <mergeCell ref="B33:F3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  <mergeCell ref="B43:F43"/>
    <mergeCell ref="B44:F44"/>
    <mergeCell ref="B45:F45"/>
  </mergeCells>
  <conditionalFormatting sqref="D11:E16">
    <cfRule type="expression" priority="2" aboveAverage="0" equalAverage="0" bottom="0" percent="0" rank="0" text="" dxfId="18">
      <formula>D11="NO"</formula>
    </cfRule>
    <cfRule type="expression" priority="3" aboveAverage="0" equalAverage="0" bottom="0" percent="0" rank="0" text="" dxfId="16">
      <formula>OR(D11="Yes",D11="YES")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2026-10-01T00:46:36Z</dcterms:created>
  <dc:creator>openpyxl</dc:creator>
  <dc:description/>
  <dc:language>en-US</dc:language>
  <cp:lastModifiedBy/>
  <dcterms:modified xsi:type="dcterms:W3CDTF">2026-10-01T00:46:36Z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