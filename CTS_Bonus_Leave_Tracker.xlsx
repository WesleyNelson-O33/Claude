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<sst xmlns="http://schemas.openxmlformats.org/spreadsheetml/2006/main" count="171" uniqueCount="157">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</sst>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8">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0  |  Accruing: 0  |  To accrue now: 0 hrs for 0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t="s">
        <v>22</v>
      </c>
      <c r="AA3" s="3"/>
      <c r="AB3" s="3" t="s">
        <v>23</v>
      </c>
      <c r="AC3" s="3" t="s">
        <v>24</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25</v>
      </c>
      <c r="B4" s="4" t="s">
        <v>26</v>
      </c>
      <c r="C4" s="4" t="s">
        <v>27</v>
      </c>
      <c r="D4" s="4" t="s">
        <v>28</v>
      </c>
      <c r="E4" s="5" t="s">
        <v>29</v>
      </c>
      <c r="F4" s="4" t="s">
        <v>30</v>
      </c>
      <c r="G4" s="4" t="s">
        <v>31</v>
      </c>
      <c r="H4" s="4" t="s">
        <v>32</v>
      </c>
      <c r="I4" s="4" t="s">
        <v>33</v>
      </c>
      <c r="J4" s="4" t="s">
        <v>34</v>
      </c>
      <c r="K4" s="5" t="s">
        <v>35</v>
      </c>
      <c r="L4" s="5" t="s">
        <v>36</v>
      </c>
      <c r="M4" s="5" t="s">
        <v>37</v>
      </c>
      <c r="N4" s="5" t="s">
        <v>38</v>
      </c>
      <c r="O4" s="5" t="s">
        <v>39</v>
      </c>
      <c r="P4" s="4" t="s">
        <v>40</v>
      </c>
      <c r="Q4" s="5" t="s">
        <v>41</v>
      </c>
      <c r="R4" s="5" t="s">
        <v>42</v>
      </c>
      <c r="S4" s="5" t="s">
        <v>43</v>
      </c>
      <c r="T4" s="6" t="s">
        <v>44</v>
      </c>
      <c r="U4" s="6" t="s">
        <v>45</v>
      </c>
      <c r="V4" s="6" t="s">
        <v>46</v>
      </c>
      <c r="W4" s="6" t="s">
        <v>47</v>
      </c>
      <c r="X4" s="6" t="s">
        <v>48</v>
      </c>
      <c r="Y4" s="6" t="s">
        <v>49</v>
      </c>
      <c r="Z4" s="6" t="s">
        <v>50</v>
      </c>
      <c r="AA4" s="6" t="s">
        <v>51</v>
      </c>
      <c r="AB4" s="6" t="s">
        <v>52</v>
      </c>
      <c r="AC4" s="6" t="s">
        <v>53</v>
      </c>
      <c r="AD4" s="5" t="s">
        <v>54</v>
      </c>
      <c r="AE4" s="7" t="s">
        <v>55</v>
      </c>
      <c r="AF4" s="7" t="s">
        <v>56</v>
      </c>
      <c r="AG4" s="7" t="s">
        <v>57</v>
      </c>
      <c r="AH4" s="7" t="s">
        <v>58</v>
      </c>
      <c r="AI4" s="7" t="s">
        <v>59</v>
      </c>
      <c r="AJ4" s="7" t="s">
        <v>60</v>
      </c>
      <c r="AK4" s="7" t="s">
        <v>61</v>
      </c>
      <c r="AL4" s="7" t="s">
        <v>62</v>
      </c>
      <c r="AM4" s="7" t="s">
        <v>63</v>
      </c>
      <c r="AN4" s="7" t="s">
        <v>64</v>
      </c>
      <c r="AO4" s="7" t="s">
        <v>65</v>
      </c>
      <c r="AP4" s="7" t="s">
        <v>66</v>
      </c>
      <c r="AQ4" s="7" t="s">
        <v>67</v>
      </c>
      <c r="AR4" s="7" t="s">
        <v>68</v>
      </c>
      <c r="AS4" s="7" t="s">
        <v>69</v>
      </c>
      <c r="AT4" s="7" t="s">
        <v>70</v>
      </c>
      <c r="AU4" s="7" t="s">
        <v>71</v>
      </c>
      <c r="AV4" s="7" t="s">
        <v>72</v>
      </c>
      <c r="AW4" s="7" t="s">
        <v>73</v>
      </c>
      <c r="AX4" s="7" t="s">
        <v>74</v>
      </c>
      <c r="AY4" s="7" t="s">
        <v>75</v>
      </c>
      <c r="AZ4" s="7" t="s">
        <v>76</v>
      </c>
      <c r="BA4" s="7" t="s">
        <v>77</v>
      </c>
      <c r="BB4" s="7" t="s">
        <v>78</v>
      </c>
    </row>
    <row r="5" customFormat="false" ht="15" hidden="false" customHeight="false" outlineLevel="0" collapsed="false">
      <c r="A5" s="8"/>
      <c r="B5" s="8"/>
      <c r="C5" s="8"/>
      <c r="D5" s="9"/>
      <c r="E5" s="10" t="str">
        <f aca="false">IF(OR(AE5=0,$D5=""),"",DATE(YEAR(AsOfDate)+IF(DATE(YEAR(AsOfDate),MONTH($D5),DAY($D5))&lt;=AsOfDate,1,0),MONTH($D5),DAY($D5)))</f>
        <v/>
      </c>
      <c r="F5" s="9"/>
      <c r="G5" s="9"/>
      <c r="H5" s="9"/>
      <c r="I5" s="9"/>
      <c r="J5" s="9"/>
      <c r="K5" s="10" t="str">
        <f aca="false">IF(AE5=0,"",DATE(YEAR(AsOfDate)+IF(DATE(YEAR(AsOfDate),MONTH(AF5),DAY(AF5))&lt;=AsOfDate,1,0),MONTH(AF5),DAY(AF5)))</f>
        <v/>
      </c>
      <c r="L5" s="11" t="str">
        <f aca="false">IF(AE5=0,"",ROUND((AsOfDate-AF5)/365.25,1))</f>
        <v/>
      </c>
      <c r="M5" s="12" t="str">
        <f aca="false">IF(AE5=0,"",IF(AsOfDate&lt;AF5,"-",DATEDIF(AF5,AsOfDate,"y")&amp;"y "&amp;DATEDIF(AF5,AsOfDate,"ym")&amp;"m "&amp;DATEDIF(AF5,AsOfDate,"md")&amp;"d"))</f>
        <v/>
      </c>
      <c r="N5" s="13" t="str">
        <f aca="false">IF(AE5=0,"",O5*HoursPerDay)</f>
        <v/>
      </c>
      <c r="O5" s="13" t="str">
        <f aca="false">IF(AE5=0,"",AX5)</f>
        <v/>
      </c>
      <c r="P5" s="14"/>
      <c r="Q5" s="12" t="str">
        <f aca="false">IF(AE5=0,"",IF(AG5&lt;2,"",AK5&amp;" to "&amp;AL5&amp;" on "&amp;TEXT(AI5,"dd/mm/yyyy")&amp;IF(AI5&gt;AsOfDate," (future)",IF(AN5=AO5,"",IF(AO5="None"," - STOPPED accruing",IF(AN5="None"," - commencement for Bonus Leave"," - pathway changed"))))&amp;IF(AG5&lt;3,"","; "&amp;AL5&amp;" to "&amp;AM5&amp;" on "&amp;TEXT(AJ5,"dd/mm/yyyy")&amp;IF(AJ5&gt;AsOfDate," (future)",IF(AO5=AP5,"",IF(AP5="None"," - STOPPED accruing",IF(AO5="None"," - commencement for Bonus Leave","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
      </c>
      <c r="S5" s="10" t="str">
        <f aca="false">IF(AE5=0,"",IF(AQ5="None","",EDATE(AF5,AZ5)))</f>
        <v/>
      </c>
      <c r="T5" s="13" t="str">
        <f aca="false">IF(AE5=0,"",IF(NOT(LH_Ready),"",IF(AF5&gt;PFYDate,0,IF(LH_ColPeriod=0,W5-U5+V5,SUMIFS(INDEX(LH_Data,0,LH_ColAcc),INDEX(LH_Data,0,LH_ColFirst),$A5,INDEX(LH_Data,0,LH_ColSur),$B5,INDEX(LH_Data,0,LH_ColCat),BonusCat,INDEX(LH_Data,0,LH_ColPeriod),LH_OpenLabel)*UnitFactor))))</f>
        <v/>
      </c>
      <c r="U5" s="13" t="str">
        <f aca="false">IF(AE5=0,"",IF(NOT(LH_Ready),"",SUMIFS(INDEX(LH_Data,0,LH_ColAcc),INDEX(LH_Data,0,LH_ColFirst),$A5,INDEX(LH_Data,0,LH_ColSur),$B5,INDEX(LH_Data,0,LH_ColCat),BonusCat,INDEX(LH_Data,0,LH_ColStart),"&gt;="&amp;AF5)*UnitFactor))</f>
        <v/>
      </c>
      <c r="V5" s="13" t="str">
        <f aca="false">IF(AE5=0,"",IF(NOT(LH_Ready),"",SUMIFS(INDEX(LH_Data,0,LH_ColTaken),INDEX(LH_Data,0,LH_ColFirst),$A5,INDEX(LH_Data,0,LH_ColSur),$B5,INDEX(LH_Data,0,LH_ColCat),BonusCat,INDEX(LH_Data,0,LH_ColStart),"&gt;="&amp;AF5)*UnitFactor))</f>
        <v/>
      </c>
      <c r="W5" s="13" t="str">
        <f aca="false">IF(AE5=0,"",IF(NOT(LH_Ready),"",IF(BB5=0,0,INDEX(INDEX(LH_Data,0,LH_ColClose),BB5-1)*UnitFactor)))</f>
        <v/>
      </c>
      <c r="X5" s="13" t="str">
        <f aca="false">IF(AE5=0,"",(AX5-AY5)*HoursPerDay)</f>
        <v/>
      </c>
      <c r="Y5" s="13" t="str">
        <f aca="false">IF(AE5=0,"",IF(NOT(LH_Ready),"",IF(BA5=0,N5,IF(PFYDate&lt;$F5,N5-N(T5)-N(U5),X5-N(U5)))))</f>
        <v/>
      </c>
      <c r="Z5" s="12" t="str">
        <f aca="false">IF(OR(AE5=0,Y5=""),"",IF(Y5&gt;0,"Yes","No"))</f>
        <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 hrs more than policy since commencement",IF(N(W5)&gt;O5*HoursPerDay+0.01,"CHECK - EH balance "&amp;ROUND(W5-O5*HoursPerDay,2)&amp;" hrs more than policy entitlement",IF(O5&gt;0,"OK - nothing to add",IF(AQ5="None",R5,"Not yet - first day on "&amp;TEXT(S5,"dd/mm/yyyy")))))))))</f>
        <v/>
      </c>
      <c r="AB5" s="13" t="str">
        <f aca="false">IF(OR(AE5=0,T5=""),"",AY5*HoursPerDay-T5)</f>
        <v/>
      </c>
      <c r="AC5" s="12" t="str">
        <f aca="false">IF(AE5=0,"",BA5)</f>
        <v/>
      </c>
      <c r="AD5" s="12"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0</v>
      </c>
      <c r="AF5" s="10" t="str">
        <f aca="false">IF(AE5=0,"",IF($J5&lt;&gt;"",$J5,IF(OR(CasualCounts="Yes",COUNT($G5:$I5)=0,COUNT($G5:$H5)=0),$F5,MIN($G5:$H5))))</f>
        <v/>
      </c>
      <c r="AG5" s="12" t="str">
        <f aca="false">IF(AE5=0,"",COUNT($G5:$I5))</f>
        <v/>
      </c>
      <c r="AH5" s="10" t="str">
        <f aca="false">IF(AE5=0,"",IFERROR(SMALL($G5:$I5,1),""))</f>
        <v/>
      </c>
      <c r="AI5" s="10" t="str">
        <f aca="false">IF(AE5=0,"",IFERROR(SMALL($G5:$I5,2),""))</f>
        <v/>
      </c>
      <c r="AJ5" s="10" t="str">
        <f aca="false">IF(AE5=0,"",IFERROR(SMALL($G5:$I5,3),""))</f>
        <v/>
      </c>
      <c r="AK5" s="12" t="str">
        <f aca="false">IF(AE5=0,"",IF(AH5="","",IF(AH5=$G5,"Part-Time",IF(AH5=$H5,"Full-Time","Casual"))))</f>
        <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
      </c>
      <c r="AR5" s="12" t="str">
        <f aca="false">IF(AE5=0,"",IF(AsOfDate&lt;AF5,-1,12*(YEAR(AsOfDate)-YEAR(AF5))+MONTH(AsOfDate)-MONTH(AF5)-IF(DAY(AsOfDate)&lt;MIN(DAY(AF5),DAY(EOMONTH(AsOfDate,0))),1,0)))</f>
        <v/>
      </c>
      <c r="AS5" s="12" t="str">
        <f aca="false">IF(AE5=0,"",IF(OR(AG5&lt;2,AI5&gt;AsOfDate),AR5,IF((AI5-1)&lt;AF5,-1,12*(YEAR((AI5-1))-YEAR(AF5))+MONTH((AI5-1))-MONTH(AF5)-IF(DAY((AI5-1))&lt;MIN(DAY(AF5),DAY(EOMONTH((AI5-1),0))),1,0))))</f>
        <v/>
      </c>
      <c r="AT5" s="12" t="str">
        <f aca="false">IF(AE5=0,"",IF(OR(AG5&lt;3,AJ5&gt;AsOfDate),AR5,IF((AJ5-1)&lt;AF5,-1,12*(YEAR((AJ5-1))-YEAR(AF5))+MONTH((AJ5-1))-MONTH(AF5)-IF(DAY((AJ5-1))&lt;MIN(DAY(AF5),DAY(EOMONTH((AJ5-1),0))),1,0))))</f>
        <v/>
      </c>
      <c r="AU5" s="12" t="str">
        <f aca="false">IF(AE5=0,"",IF(PFYDate&lt;AF5,-1,12*(YEAR(PFYDate)-YEAR(AF5))+MONTH(PFYDate)-MONTH(AF5)-IF(DAY(PFYDate)&lt;MIN(DAY(AF5),DAY(EOMONTH(PFYDate,0))),1,0)))</f>
        <v/>
      </c>
      <c r="AV5" s="12" t="str">
        <f aca="false">IF(AE5=0,"",IF(OR(AG5&lt;2,AI5&gt;PFYDate),AU5,IF((AI5-1)&lt;AF5,-1,12*(YEAR((AI5-1))-YEAR(AF5))+MONTH((AI5-1))-MONTH(AF5)-IF(DAY((AI5-1))&lt;MIN(DAY(AF5),DAY(EOMONTH((AI5-1),0))),1,0))))</f>
        <v/>
      </c>
      <c r="AW5" s="12" t="str">
        <f aca="false">IF(AE5=0,"",IF(OR(AG5&lt;3,AJ5&gt;PFYDate),AU5,IF((AJ5-1)&lt;AF5,-1,12*(YEAR((AJ5-1))-YEAR(AF5))+MONTH((AJ5-1))-MONTH(AF5)-IF(DAY((AJ5-1))&lt;MIN(DAY(AF5),DAY(EOMONTH((AJ5-1),0))),1,0))))</f>
        <v/>
      </c>
      <c r="AX5" s="12" t="str">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
      </c>
      <c r="AY5" s="12" t="str">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
      </c>
      <c r="AZ5" s="12" t="str">
        <f aca="false">IF(AE5=0,"",IF(AQ5="FT",IF(AR5&lt;FT_First,FT_First,IF(AR5&lt;FT_Y5,MIN(FT_Y5,FT_First+FT_Int1*(INT((AR5-FT_First)/FT_Int1)+1)),FT_Y5+12*INT((AR5-FT_Y5)/12)+FT_Int2*(INT(MOD(AR5-FT_Y5,12)/FT_Int2)+1))),IF(AQ5="PT",IF(AR5&lt;PT_First,PT_First,PT_First+PT_Int*(INT((AR5-PT_First)/PT_Int)+1)),"")))</f>
        <v/>
      </c>
      <c r="BA5" s="12" t="str">
        <f aca="false">IF(AE5=0,"",IF(NOT(LH_Ready),0,COUNTIFS(INDEX(LH_Data,0,LH_ColFirst),$A5,INDEX(LH_Data,0,LH_ColSur),$B5,INDEX(LH_Data,0,LH_ColCat),BonusCat)))</f>
        <v/>
      </c>
      <c r="BB5" s="12" t="str">
        <f aca="false">IF(AE5=0,"",IF(OR(NOT(LH_Ready),BA5=0),0,SUMPRODUCT(MAX((INDEX(LH_Data,0,LH_ColFirst)=$A5)*(INDEX(LH_Data,0,LH_ColSur)=$B5)*(INDEX(LH_Data,0,LH_ColCat)=BonusCat)*ROW(LH_Data)))))</f>
        <v/>
      </c>
    </row>
    <row r="6" customFormat="false" ht="15" hidden="false" customHeight="false" outlineLevel="0" collapsed="false">
      <c r="A6" s="8"/>
      <c r="B6" s="8"/>
      <c r="C6" s="8"/>
      <c r="D6" s="9"/>
      <c r="E6" s="10" t="str">
        <f aca="false">IF(OR(AE6=0,$D6=""),"",DATE(YEAR(AsOfDate)+IF(DATE(YEAR(AsOfDate),MONTH($D6),DAY($D6))&lt;=AsOfDate,1,0),MONTH($D6),DAY($D6)))</f>
        <v/>
      </c>
      <c r="F6" s="9"/>
      <c r="G6" s="9"/>
      <c r="H6" s="9"/>
      <c r="I6" s="9"/>
      <c r="J6" s="9"/>
      <c r="K6" s="10" t="str">
        <f aca="false">IF(AE6=0,"",DATE(YEAR(AsOfDate)+IF(DATE(YEAR(AsOfDate),MONTH(AF6),DAY(AF6))&lt;=AsOfDate,1,0),MONTH(AF6),DAY(AF6)))</f>
        <v/>
      </c>
      <c r="L6" s="11" t="str">
        <f aca="false">IF(AE6=0,"",ROUND((AsOfDate-AF6)/365.25,1))</f>
        <v/>
      </c>
      <c r="M6" s="12" t="str">
        <f aca="false">IF(AE6=0,"",IF(AsOfDate&lt;AF6,"-",DATEDIF(AF6,AsOfDate,"y")&amp;"y "&amp;DATEDIF(AF6,AsOfDate,"ym")&amp;"m "&amp;DATEDIF(AF6,AsOfDate,"md")&amp;"d"))</f>
        <v/>
      </c>
      <c r="N6" s="13" t="str">
        <f aca="false">IF(AE6=0,"",O6*HoursPerDay)</f>
        <v/>
      </c>
      <c r="O6" s="13" t="str">
        <f aca="false">IF(AE6=0,"",AX6)</f>
        <v/>
      </c>
      <c r="P6" s="14"/>
      <c r="Q6" s="12" t="str">
        <f aca="false">IF(AE6=0,"",IF(AG6&lt;2,"",AK6&amp;" to "&amp;AL6&amp;" on "&amp;TEXT(AI6,"dd/mm/yyyy")&amp;IF(AI6&gt;AsOfDate," (future)",IF(AN6=AO6,"",IF(AO6="None"," - STOPPED accruing",IF(AN6="None"," - commencement for Bonus Leave"," - pathway changed"))))&amp;IF(AG6&lt;3,"","; "&amp;AL6&amp;" to "&amp;AM6&amp;" on "&amp;TEXT(AJ6,"dd/mm/yyyy")&amp;IF(AJ6&gt;AsOfDate," (future)",IF(AO6=AP6,"",IF(AP6="None"," - STOPPED accruing",IF(AO6="None"," - commencement for Bonus Leave","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
      </c>
      <c r="S6" s="10" t="str">
        <f aca="false">IF(AE6=0,"",IF(AQ6="None","",EDATE(AF6,AZ6)))</f>
        <v/>
      </c>
      <c r="T6" s="13" t="str">
        <f aca="false">IF(AE6=0,"",IF(NOT(LH_Ready),"",IF(AF6&gt;PFYDate,0,IF(LH_ColPeriod=0,W6-U6+V6,SUMIFS(INDEX(LH_Data,0,LH_ColAcc),INDEX(LH_Data,0,LH_ColFirst),$A6,INDEX(LH_Data,0,LH_ColSur),$B6,INDEX(LH_Data,0,LH_ColCat),BonusCat,INDEX(LH_Data,0,LH_ColPeriod),LH_OpenLabel)*UnitFactor))))</f>
        <v/>
      </c>
      <c r="U6" s="13" t="str">
        <f aca="false">IF(AE6=0,"",IF(NOT(LH_Ready),"",SUMIFS(INDEX(LH_Data,0,LH_ColAcc),INDEX(LH_Data,0,LH_ColFirst),$A6,INDEX(LH_Data,0,LH_ColSur),$B6,INDEX(LH_Data,0,LH_ColCat),BonusCat,INDEX(LH_Data,0,LH_ColStart),"&gt;="&amp;AF6)*UnitFactor))</f>
        <v/>
      </c>
      <c r="V6" s="13" t="str">
        <f aca="false">IF(AE6=0,"",IF(NOT(LH_Ready),"",SUMIFS(INDEX(LH_Data,0,LH_ColTaken),INDEX(LH_Data,0,LH_ColFirst),$A6,INDEX(LH_Data,0,LH_ColSur),$B6,INDEX(LH_Data,0,LH_ColCat),BonusCat,INDEX(LH_Data,0,LH_ColStart),"&gt;="&amp;AF6)*UnitFactor))</f>
        <v/>
      </c>
      <c r="W6" s="13" t="str">
        <f aca="false">IF(AE6=0,"",IF(NOT(LH_Ready),"",IF(BB6=0,0,INDEX(INDEX(LH_Data,0,LH_ColClose),BB6-1)*UnitFactor)))</f>
        <v/>
      </c>
      <c r="X6" s="13" t="str">
        <f aca="false">IF(AE6=0,"",(AX6-AY6)*HoursPerDay)</f>
        <v/>
      </c>
      <c r="Y6" s="13" t="str">
        <f aca="false">IF(AE6=0,"",IF(NOT(LH_Ready),"",IF(BA6=0,N6,IF(PFYDate&lt;$F6,N6-N(T6)-N(U6),X6-N(U6)))))</f>
        <v/>
      </c>
      <c r="Z6" s="12" t="str">
        <f aca="false">IF(OR(AE6=0,Y6=""),"",IF(Y6&gt;0,"Yes","No"))</f>
        <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 hrs more than policy since commencement",IF(N(W6)&gt;O6*HoursPerDay+0.01,"CHECK - EH balance "&amp;ROUND(W6-O6*HoursPerDay,2)&amp;" hrs more than policy entitlement",IF(O6&gt;0,"OK - nothing to add",IF(AQ6="None",R6,"Not yet - first day on "&amp;TEXT(S6,"dd/mm/yyyy")))))))))</f>
        <v/>
      </c>
      <c r="AB6" s="13" t="str">
        <f aca="false">IF(OR(AE6=0,T6=""),"",AY6*HoursPerDay-T6)</f>
        <v/>
      </c>
      <c r="AC6" s="12" t="str">
        <f aca="false">IF(AE6=0,"",BA6)</f>
        <v/>
      </c>
      <c r="AD6" s="12"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0</v>
      </c>
      <c r="AF6" s="10" t="str">
        <f aca="false">IF(AE6=0,"",IF($J6&lt;&gt;"",$J6,IF(OR(CasualCounts="Yes",COUNT($G6:$I6)=0,COUNT($G6:$H6)=0),$F6,MIN($G6:$H6))))</f>
        <v/>
      </c>
      <c r="AG6" s="12" t="str">
        <f aca="false">IF(AE6=0,"",COUNT($G6:$I6))</f>
        <v/>
      </c>
      <c r="AH6" s="10" t="str">
        <f aca="false">IF(AE6=0,"",IFERROR(SMALL($G6:$I6,1),""))</f>
        <v/>
      </c>
      <c r="AI6" s="10" t="str">
        <f aca="false">IF(AE6=0,"",IFERROR(SMALL($G6:$I6,2),""))</f>
        <v/>
      </c>
      <c r="AJ6" s="10" t="str">
        <f aca="false">IF(AE6=0,"",IFERROR(SMALL($G6:$I6,3),""))</f>
        <v/>
      </c>
      <c r="AK6" s="12" t="str">
        <f aca="false">IF(AE6=0,"",IF(AH6="","",IF(AH6=$G6,"Part-Time",IF(AH6=$H6,"Full-Time","Casual"))))</f>
        <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
      </c>
      <c r="AR6" s="12" t="str">
        <f aca="false">IF(AE6=0,"",IF(AsOfDate&lt;AF6,-1,12*(YEAR(AsOfDate)-YEAR(AF6))+MONTH(AsOfDate)-MONTH(AF6)-IF(DAY(AsOfDate)&lt;MIN(DAY(AF6),DAY(EOMONTH(AsOfDate,0))),1,0)))</f>
        <v/>
      </c>
      <c r="AS6" s="12" t="str">
        <f aca="false">IF(AE6=0,"",IF(OR(AG6&lt;2,AI6&gt;AsOfDate),AR6,IF((AI6-1)&lt;AF6,-1,12*(YEAR((AI6-1))-YEAR(AF6))+MONTH((AI6-1))-MONTH(AF6)-IF(DAY((AI6-1))&lt;MIN(DAY(AF6),DAY(EOMONTH((AI6-1),0))),1,0))))</f>
        <v/>
      </c>
      <c r="AT6" s="12" t="str">
        <f aca="false">IF(AE6=0,"",IF(OR(AG6&lt;3,AJ6&gt;AsOfDate),AR6,IF((AJ6-1)&lt;AF6,-1,12*(YEAR((AJ6-1))-YEAR(AF6))+MONTH((AJ6-1))-MONTH(AF6)-IF(DAY((AJ6-1))&lt;MIN(DAY(AF6),DAY(EOMONTH((AJ6-1),0))),1,0))))</f>
        <v/>
      </c>
      <c r="AU6" s="12" t="str">
        <f aca="false">IF(AE6=0,"",IF(PFYDate&lt;AF6,-1,12*(YEAR(PFYDate)-YEAR(AF6))+MONTH(PFYDate)-MONTH(AF6)-IF(DAY(PFYDate)&lt;MIN(DAY(AF6),DAY(EOMONTH(PFYDate,0))),1,0)))</f>
        <v/>
      </c>
      <c r="AV6" s="12" t="str">
        <f aca="false">IF(AE6=0,"",IF(OR(AG6&lt;2,AI6&gt;PFYDate),AU6,IF((AI6-1)&lt;AF6,-1,12*(YEAR((AI6-1))-YEAR(AF6))+MONTH((AI6-1))-MONTH(AF6)-IF(DAY((AI6-1))&lt;MIN(DAY(AF6),DAY(EOMONTH((AI6-1),0))),1,0))))</f>
        <v/>
      </c>
      <c r="AW6" s="12" t="str">
        <f aca="false">IF(AE6=0,"",IF(OR(AG6&lt;3,AJ6&gt;PFYDate),AU6,IF((AJ6-1)&lt;AF6,-1,12*(YEAR((AJ6-1))-YEAR(AF6))+MONTH((AJ6-1))-MONTH(AF6)-IF(DAY((AJ6-1))&lt;MIN(DAY(AF6),DAY(EOMONTH((AJ6-1),0))),1,0))))</f>
        <v/>
      </c>
      <c r="AX6" s="12" t="str">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
      </c>
      <c r="AY6" s="12" t="str">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
      </c>
      <c r="AZ6" s="12" t="str">
        <f aca="false">IF(AE6=0,"",IF(AQ6="FT",IF(AR6&lt;FT_First,FT_First,IF(AR6&lt;FT_Y5,MIN(FT_Y5,FT_First+FT_Int1*(INT((AR6-FT_First)/FT_Int1)+1)),FT_Y5+12*INT((AR6-FT_Y5)/12)+FT_Int2*(INT(MOD(AR6-FT_Y5,12)/FT_Int2)+1))),IF(AQ6="PT",IF(AR6&lt;PT_First,PT_First,PT_First+PT_Int*(INT((AR6-PT_First)/PT_Int)+1)),"")))</f>
        <v/>
      </c>
      <c r="BA6" s="12" t="str">
        <f aca="false">IF(AE6=0,"",IF(NOT(LH_Ready),0,COUNTIFS(INDEX(LH_Data,0,LH_ColFirst),$A6,INDEX(LH_Data,0,LH_ColSur),$B6,INDEX(LH_Data,0,LH_ColCat),BonusCat)))</f>
        <v/>
      </c>
      <c r="BB6" s="12" t="str">
        <f aca="false">IF(AE6=0,"",IF(OR(NOT(LH_Ready),BA6=0),0,SUMPRODUCT(MAX((INDEX(LH_Data,0,LH_ColFirst)=$A6)*(INDEX(LH_Data,0,LH_ColSur)=$B6)*(INDEX(LH_Data,0,LH_ColCat)=BonusCat)*ROW(LH_Data)))))</f>
        <v/>
      </c>
    </row>
    <row r="7" customFormat="false" ht="15" hidden="false" customHeight="false" outlineLevel="0" collapsed="false">
      <c r="A7" s="8"/>
      <c r="B7" s="8"/>
      <c r="C7" s="8"/>
      <c r="D7" s="9"/>
      <c r="E7" s="10" t="str">
        <f aca="false">IF(OR(AE7=0,$D7=""),"",DATE(YEAR(AsOfDate)+IF(DATE(YEAR(AsOfDate),MONTH($D7),DAY($D7))&lt;=AsOfDate,1,0),MONTH($D7),DAY($D7)))</f>
        <v/>
      </c>
      <c r="F7" s="9"/>
      <c r="G7" s="9"/>
      <c r="H7" s="9"/>
      <c r="I7" s="9"/>
      <c r="J7" s="9"/>
      <c r="K7" s="10" t="str">
        <f aca="false">IF(AE7=0,"",DATE(YEAR(AsOfDate)+IF(DATE(YEAR(AsOfDate),MONTH(AF7),DAY(AF7))&lt;=AsOfDate,1,0),MONTH(AF7),DAY(AF7)))</f>
        <v/>
      </c>
      <c r="L7" s="11" t="str">
        <f aca="false">IF(AE7=0,"",ROUND((AsOfDate-AF7)/365.25,1))</f>
        <v/>
      </c>
      <c r="M7" s="12" t="str">
        <f aca="false">IF(AE7=0,"",IF(AsOfDate&lt;AF7,"-",DATEDIF(AF7,AsOfDate,"y")&amp;"y "&amp;DATEDIF(AF7,AsOfDate,"ym")&amp;"m "&amp;DATEDIF(AF7,AsOfDate,"md")&amp;"d"))</f>
        <v/>
      </c>
      <c r="N7" s="13" t="str">
        <f aca="false">IF(AE7=0,"",O7*HoursPerDay)</f>
        <v/>
      </c>
      <c r="O7" s="13" t="str">
        <f aca="false">IF(AE7=0,"",AX7)</f>
        <v/>
      </c>
      <c r="P7" s="14"/>
      <c r="Q7" s="12" t="str">
        <f aca="false">IF(AE7=0,"",IF(AG7&lt;2,"",AK7&amp;" to "&amp;AL7&amp;" on "&amp;TEXT(AI7,"dd/mm/yyyy")&amp;IF(AI7&gt;AsOfDate," (future)",IF(AN7=AO7,"",IF(AO7="None"," - STOPPED accruing",IF(AN7="None"," - commencement for Bonus Leave"," - pathway changed"))))&amp;IF(AG7&lt;3,"","; "&amp;AL7&amp;" to "&amp;AM7&amp;" on "&amp;TEXT(AJ7,"dd/mm/yyyy")&amp;IF(AJ7&gt;AsOfDate," (future)",IF(AO7=AP7,"",IF(AP7="None"," - STOPPED accruing",IF(AO7="None"," - commencement for Bonus Leave","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
      </c>
      <c r="S7" s="10" t="str">
        <f aca="false">IF(AE7=0,"",IF(AQ7="None","",EDATE(AF7,AZ7)))</f>
        <v/>
      </c>
      <c r="T7" s="13" t="str">
        <f aca="false">IF(AE7=0,"",IF(NOT(LH_Ready),"",IF(AF7&gt;PFYDate,0,IF(LH_ColPeriod=0,W7-U7+V7,SUMIFS(INDEX(LH_Data,0,LH_ColAcc),INDEX(LH_Data,0,LH_ColFirst),$A7,INDEX(LH_Data,0,LH_ColSur),$B7,INDEX(LH_Data,0,LH_ColCat),BonusCat,INDEX(LH_Data,0,LH_ColPeriod),LH_OpenLabel)*UnitFactor))))</f>
        <v/>
      </c>
      <c r="U7" s="13" t="str">
        <f aca="false">IF(AE7=0,"",IF(NOT(LH_Ready),"",SUMIFS(INDEX(LH_Data,0,LH_ColAcc),INDEX(LH_Data,0,LH_ColFirst),$A7,INDEX(LH_Data,0,LH_ColSur),$B7,INDEX(LH_Data,0,LH_ColCat),BonusCat,INDEX(LH_Data,0,LH_ColStart),"&gt;="&amp;AF7)*UnitFactor))</f>
        <v/>
      </c>
      <c r="V7" s="13" t="str">
        <f aca="false">IF(AE7=0,"",IF(NOT(LH_Ready),"",SUMIFS(INDEX(LH_Data,0,LH_ColTaken),INDEX(LH_Data,0,LH_ColFirst),$A7,INDEX(LH_Data,0,LH_ColSur),$B7,INDEX(LH_Data,0,LH_ColCat),BonusCat,INDEX(LH_Data,0,LH_ColStart),"&gt;="&amp;AF7)*UnitFactor))</f>
        <v/>
      </c>
      <c r="W7" s="13" t="str">
        <f aca="false">IF(AE7=0,"",IF(NOT(LH_Ready),"",IF(BB7=0,0,INDEX(INDEX(LH_Data,0,LH_ColClose),BB7-1)*UnitFactor)))</f>
        <v/>
      </c>
      <c r="X7" s="13" t="str">
        <f aca="false">IF(AE7=0,"",(AX7-AY7)*HoursPerDay)</f>
        <v/>
      </c>
      <c r="Y7" s="13" t="str">
        <f aca="false">IF(AE7=0,"",IF(NOT(LH_Ready),"",IF(BA7=0,N7,IF(PFYDate&lt;$F7,N7-N(T7)-N(U7),X7-N(U7)))))</f>
        <v/>
      </c>
      <c r="Z7" s="12" t="str">
        <f aca="false">IF(OR(AE7=0,Y7=""),"",IF(Y7&gt;0,"Yes","No"))</f>
        <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 hrs more than policy since commencement",IF(N(W7)&gt;O7*HoursPerDay+0.01,"CHECK - EH balance "&amp;ROUND(W7-O7*HoursPerDay,2)&amp;" hrs more than policy entitlement",IF(O7&gt;0,"OK - nothing to add",IF(AQ7="None",R7,"Not yet - first day on "&amp;TEXT(S7,"dd/mm/yyyy")))))))))</f>
        <v/>
      </c>
      <c r="AB7" s="13" t="str">
        <f aca="false">IF(OR(AE7=0,T7=""),"",AY7*HoursPerDay-T7)</f>
        <v/>
      </c>
      <c r="AC7" s="12" t="str">
        <f aca="false">IF(AE7=0,"",BA7)</f>
        <v/>
      </c>
      <c r="AD7" s="12"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0</v>
      </c>
      <c r="AF7" s="10" t="str">
        <f aca="false">IF(AE7=0,"",IF($J7&lt;&gt;"",$J7,IF(OR(CasualCounts="Yes",COUNT($G7:$I7)=0,COUNT($G7:$H7)=0),$F7,MIN($G7:$H7))))</f>
        <v/>
      </c>
      <c r="AG7" s="12" t="str">
        <f aca="false">IF(AE7=0,"",COUNT($G7:$I7))</f>
        <v/>
      </c>
      <c r="AH7" s="10" t="str">
        <f aca="false">IF(AE7=0,"",IFERROR(SMALL($G7:$I7,1),""))</f>
        <v/>
      </c>
      <c r="AI7" s="10" t="str">
        <f aca="false">IF(AE7=0,"",IFERROR(SMALL($G7:$I7,2),""))</f>
        <v/>
      </c>
      <c r="AJ7" s="10" t="str">
        <f aca="false">IF(AE7=0,"",IFERROR(SMALL($G7:$I7,3),""))</f>
        <v/>
      </c>
      <c r="AK7" s="12" t="str">
        <f aca="false">IF(AE7=0,"",IF(AH7="","",IF(AH7=$G7,"Part-Time",IF(AH7=$H7,"Full-Time","Casual"))))</f>
        <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
      </c>
      <c r="AR7" s="12" t="str">
        <f aca="false">IF(AE7=0,"",IF(AsOfDate&lt;AF7,-1,12*(YEAR(AsOfDate)-YEAR(AF7))+MONTH(AsOfDate)-MONTH(AF7)-IF(DAY(AsOfDate)&lt;MIN(DAY(AF7),DAY(EOMONTH(AsOfDate,0))),1,0)))</f>
        <v/>
      </c>
      <c r="AS7" s="12" t="str">
        <f aca="false">IF(AE7=0,"",IF(OR(AG7&lt;2,AI7&gt;AsOfDate),AR7,IF((AI7-1)&lt;AF7,-1,12*(YEAR((AI7-1))-YEAR(AF7))+MONTH((AI7-1))-MONTH(AF7)-IF(DAY((AI7-1))&lt;MIN(DAY(AF7),DAY(EOMONTH((AI7-1),0))),1,0))))</f>
        <v/>
      </c>
      <c r="AT7" s="12" t="str">
        <f aca="false">IF(AE7=0,"",IF(OR(AG7&lt;3,AJ7&gt;AsOfDate),AR7,IF((AJ7-1)&lt;AF7,-1,12*(YEAR((AJ7-1))-YEAR(AF7))+MONTH((AJ7-1))-MONTH(AF7)-IF(DAY((AJ7-1))&lt;MIN(DAY(AF7),DAY(EOMONTH((AJ7-1),0))),1,0))))</f>
        <v/>
      </c>
      <c r="AU7" s="12" t="str">
        <f aca="false">IF(AE7=0,"",IF(PFYDate&lt;AF7,-1,12*(YEAR(PFYDate)-YEAR(AF7))+MONTH(PFYDate)-MONTH(AF7)-IF(DAY(PFYDate)&lt;MIN(DAY(AF7),DAY(EOMONTH(PFYDate,0))),1,0)))</f>
        <v/>
      </c>
      <c r="AV7" s="12" t="str">
        <f aca="false">IF(AE7=0,"",IF(OR(AG7&lt;2,AI7&gt;PFYDate),AU7,IF((AI7-1)&lt;AF7,-1,12*(YEAR((AI7-1))-YEAR(AF7))+MONTH((AI7-1))-MONTH(AF7)-IF(DAY((AI7-1))&lt;MIN(DAY(AF7),DAY(EOMONTH((AI7-1),0))),1,0))))</f>
        <v/>
      </c>
      <c r="AW7" s="12" t="str">
        <f aca="false">IF(AE7=0,"",IF(OR(AG7&lt;3,AJ7&gt;PFYDate),AU7,IF((AJ7-1)&lt;AF7,-1,12*(YEAR((AJ7-1))-YEAR(AF7))+MONTH((AJ7-1))-MONTH(AF7)-IF(DAY((AJ7-1))&lt;MIN(DAY(AF7),DAY(EOMONTH((AJ7-1),0))),1,0))))</f>
        <v/>
      </c>
      <c r="AX7" s="12" t="str">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
      </c>
      <c r="AY7" s="12" t="str">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
      </c>
      <c r="AZ7" s="12" t="str">
        <f aca="false">IF(AE7=0,"",IF(AQ7="FT",IF(AR7&lt;FT_First,FT_First,IF(AR7&lt;FT_Y5,MIN(FT_Y5,FT_First+FT_Int1*(INT((AR7-FT_First)/FT_Int1)+1)),FT_Y5+12*INT((AR7-FT_Y5)/12)+FT_Int2*(INT(MOD(AR7-FT_Y5,12)/FT_Int2)+1))),IF(AQ7="PT",IF(AR7&lt;PT_First,PT_First,PT_First+PT_Int*(INT((AR7-PT_First)/PT_Int)+1)),"")))</f>
        <v/>
      </c>
      <c r="BA7" s="12" t="str">
        <f aca="false">IF(AE7=0,"",IF(NOT(LH_Ready),0,COUNTIFS(INDEX(LH_Data,0,LH_ColFirst),$A7,INDEX(LH_Data,0,LH_ColSur),$B7,INDEX(LH_Data,0,LH_ColCat),BonusCat)))</f>
        <v/>
      </c>
      <c r="BB7" s="12" t="str">
        <f aca="false">IF(AE7=0,"",IF(OR(NOT(LH_Ready),BA7=0),0,SUMPRODUCT(MAX((INDEX(LH_Data,0,LH_ColFirst)=$A7)*(INDEX(LH_Data,0,LH_ColSur)=$B7)*(INDEX(LH_Data,0,LH_ColCat)=BonusCat)*ROW(LH_Data)))))</f>
        <v/>
      </c>
    </row>
    <row r="8" customFormat="false" ht="15" hidden="false" customHeight="false" outlineLevel="0" collapsed="false">
      <c r="A8" s="8"/>
      <c r="B8" s="8"/>
      <c r="C8" s="8"/>
      <c r="D8" s="9"/>
      <c r="E8" s="10" t="str">
        <f aca="false">IF(OR(AE8=0,$D8=""),"",DATE(YEAR(AsOfDate)+IF(DATE(YEAR(AsOfDate),MONTH($D8),DAY($D8))&lt;=AsOfDate,1,0),MONTH($D8),DAY($D8)))</f>
        <v/>
      </c>
      <c r="F8" s="9"/>
      <c r="G8" s="9"/>
      <c r="H8" s="9"/>
      <c r="I8" s="9"/>
      <c r="J8" s="9"/>
      <c r="K8" s="10" t="str">
        <f aca="false">IF(AE8=0,"",DATE(YEAR(AsOfDate)+IF(DATE(YEAR(AsOfDate),MONTH(AF8),DAY(AF8))&lt;=AsOfDate,1,0),MONTH(AF8),DAY(AF8)))</f>
        <v/>
      </c>
      <c r="L8" s="11" t="str">
        <f aca="false">IF(AE8=0,"",ROUND((AsOfDate-AF8)/365.25,1))</f>
        <v/>
      </c>
      <c r="M8" s="12" t="str">
        <f aca="false">IF(AE8=0,"",IF(AsOfDate&lt;AF8,"-",DATEDIF(AF8,AsOfDate,"y")&amp;"y "&amp;DATEDIF(AF8,AsOfDate,"ym")&amp;"m "&amp;DATEDIF(AF8,AsOfDate,"md")&amp;"d"))</f>
        <v/>
      </c>
      <c r="N8" s="13" t="str">
        <f aca="false">IF(AE8=0,"",O8*HoursPerDay)</f>
        <v/>
      </c>
      <c r="O8" s="13" t="str">
        <f aca="false">IF(AE8=0,"",AX8)</f>
        <v/>
      </c>
      <c r="P8" s="14"/>
      <c r="Q8" s="12" t="str">
        <f aca="false">IF(AE8=0,"",IF(AG8&lt;2,"",AK8&amp;" to "&amp;AL8&amp;" on "&amp;TEXT(AI8,"dd/mm/yyyy")&amp;IF(AI8&gt;AsOfDate," (future)",IF(AN8=AO8,"",IF(AO8="None"," - STOPPED accruing",IF(AN8="None"," - commencement for Bonus Leave"," - pathway changed"))))&amp;IF(AG8&lt;3,"","; "&amp;AL8&amp;" to "&amp;AM8&amp;" on "&amp;TEXT(AJ8,"dd/mm/yyyy")&amp;IF(AJ8&gt;AsOfDate," (future)",IF(AO8=AP8,"",IF(AP8="None"," - STOPPED accruing",IF(AO8="None"," - commencement for Bonus Leave"," - pathway changed")))))))</f>
        <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
      </c>
      <c r="S8" s="10" t="str">
        <f aca="false">IF(AE8=0,"",IF(AQ8="None","",EDATE(AF8,AZ8)))</f>
        <v/>
      </c>
      <c r="T8" s="13" t="str">
        <f aca="false">IF(AE8=0,"",IF(NOT(LH_Ready),"",IF(AF8&gt;PFYDate,0,IF(LH_ColPeriod=0,W8-U8+V8,SUMIFS(INDEX(LH_Data,0,LH_ColAcc),INDEX(LH_Data,0,LH_ColFirst),$A8,INDEX(LH_Data,0,LH_ColSur),$B8,INDEX(LH_Data,0,LH_ColCat),BonusCat,INDEX(LH_Data,0,LH_ColPeriod),LH_OpenLabel)*UnitFactor))))</f>
        <v/>
      </c>
      <c r="U8" s="13" t="str">
        <f aca="false">IF(AE8=0,"",IF(NOT(LH_Ready),"",SUMIFS(INDEX(LH_Data,0,LH_ColAcc),INDEX(LH_Data,0,LH_ColFirst),$A8,INDEX(LH_Data,0,LH_ColSur),$B8,INDEX(LH_Data,0,LH_ColCat),BonusCat,INDEX(LH_Data,0,LH_ColStart),"&gt;="&amp;AF8)*UnitFactor))</f>
        <v/>
      </c>
      <c r="V8" s="13" t="str">
        <f aca="false">IF(AE8=0,"",IF(NOT(LH_Ready),"",SUMIFS(INDEX(LH_Data,0,LH_ColTaken),INDEX(LH_Data,0,LH_ColFirst),$A8,INDEX(LH_Data,0,LH_ColSur),$B8,INDEX(LH_Data,0,LH_ColCat),BonusCat,INDEX(LH_Data,0,LH_ColStart),"&gt;="&amp;AF8)*UnitFactor))</f>
        <v/>
      </c>
      <c r="W8" s="13" t="str">
        <f aca="false">IF(AE8=0,"",IF(NOT(LH_Ready),"",IF(BB8=0,0,INDEX(INDEX(LH_Data,0,LH_ColClose),BB8-1)*UnitFactor)))</f>
        <v/>
      </c>
      <c r="X8" s="13" t="str">
        <f aca="false">IF(AE8=0,"",(AX8-AY8)*HoursPerDay)</f>
        <v/>
      </c>
      <c r="Y8" s="13" t="str">
        <f aca="false">IF(AE8=0,"",IF(NOT(LH_Ready),"",IF(BA8=0,N8,IF(PFYDate&lt;$F8,N8-N(T8)-N(U8),X8-N(U8)))))</f>
        <v/>
      </c>
      <c r="Z8" s="12" t="str">
        <f aca="false">IF(OR(AE8=0,Y8=""),"",IF(Y8&gt;0,"Yes","No"))</f>
        <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 hrs more than policy since commencement",IF(N(W8)&gt;O8*HoursPerDay+0.01,"CHECK - EH balance "&amp;ROUND(W8-O8*HoursPerDay,2)&amp;" hrs more than policy entitlement",IF(O8&gt;0,"OK - nothing to add",IF(AQ8="None",R8,"Not yet - first day on "&amp;TEXT(S8,"dd/mm/yyyy")))))))))</f>
        <v/>
      </c>
      <c r="AB8" s="13" t="str">
        <f aca="false">IF(OR(AE8=0,T8=""),"",AY8*HoursPerDay-T8)</f>
        <v/>
      </c>
      <c r="AC8" s="12" t="str">
        <f aca="false">IF(AE8=0,"",BA8)</f>
        <v/>
      </c>
      <c r="AD8" s="12"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0</v>
      </c>
      <c r="AF8" s="10" t="str">
        <f aca="false">IF(AE8=0,"",IF($J8&lt;&gt;"",$J8,IF(OR(CasualCounts="Yes",COUNT($G8:$I8)=0,COUNT($G8:$H8)=0),$F8,MIN($G8:$H8))))</f>
        <v/>
      </c>
      <c r="AG8" s="12" t="str">
        <f aca="false">IF(AE8=0,"",COUNT($G8:$I8))</f>
        <v/>
      </c>
      <c r="AH8" s="10" t="str">
        <f aca="false">IF(AE8=0,"",IFERROR(SMALL($G8:$I8,1),""))</f>
        <v/>
      </c>
      <c r="AI8" s="10" t="str">
        <f aca="false">IF(AE8=0,"",IFERROR(SMALL($G8:$I8,2),""))</f>
        <v/>
      </c>
      <c r="AJ8" s="10" t="str">
        <f aca="false">IF(AE8=0,"",IFERROR(SMALL($G8:$I8,3),""))</f>
        <v/>
      </c>
      <c r="AK8" s="12" t="str">
        <f aca="false">IF(AE8=0,"",IF(AH8="","",IF(AH8=$G8,"Part-Time",IF(AH8=$H8,"Full-Time","Casual"))))</f>
        <v/>
      </c>
      <c r="AL8" s="12" t="str">
        <f aca="false">IF(AE8=0,"",IF(AI8="","",IF(AI8=$G8,"Part-Time",IF(AI8=$H8,"Full-Time","Casual"))))</f>
        <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
      </c>
      <c r="AO8" s="12" t="str">
        <f aca="false">IF(AE8=0,"",IF(AG8&lt;2,"",IF(OR(ISNUMBER(SEARCH("full",AL8)),UPPER(TRIM(AL8))="FT",UPPER(TRIM(AL8))="FTE"),"FT",IF(AND(OR(ISNUMBER(SEARCH("part",AL8)),UPPER(TRIM(AL8))="PT",UPPER(TRIM(AL8))="PTE"),OR($P8="",N($P8)&gt;=PT_MinHours)),"PT","None"))))</f>
        <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
      </c>
      <c r="AR8" s="12" t="str">
        <f aca="false">IF(AE8=0,"",IF(AsOfDate&lt;AF8,-1,12*(YEAR(AsOfDate)-YEAR(AF8))+MONTH(AsOfDate)-MONTH(AF8)-IF(DAY(AsOfDate)&lt;MIN(DAY(AF8),DAY(EOMONTH(AsOfDate,0))),1,0)))</f>
        <v/>
      </c>
      <c r="AS8" s="12" t="str">
        <f aca="false">IF(AE8=0,"",IF(OR(AG8&lt;2,AI8&gt;AsOfDate),AR8,IF((AI8-1)&lt;AF8,-1,12*(YEAR((AI8-1))-YEAR(AF8))+MONTH((AI8-1))-MONTH(AF8)-IF(DAY((AI8-1))&lt;MIN(DAY(AF8),DAY(EOMONTH((AI8-1),0))),1,0))))</f>
        <v/>
      </c>
      <c r="AT8" s="12" t="str">
        <f aca="false">IF(AE8=0,"",IF(OR(AG8&lt;3,AJ8&gt;AsOfDate),AR8,IF((AJ8-1)&lt;AF8,-1,12*(YEAR((AJ8-1))-YEAR(AF8))+MONTH((AJ8-1))-MONTH(AF8)-IF(DAY((AJ8-1))&lt;MIN(DAY(AF8),DAY(EOMONTH((AJ8-1),0))),1,0))))</f>
        <v/>
      </c>
      <c r="AU8" s="12" t="str">
        <f aca="false">IF(AE8=0,"",IF(PFYDate&lt;AF8,-1,12*(YEAR(PFYDate)-YEAR(AF8))+MONTH(PFYDate)-MONTH(AF8)-IF(DAY(PFYDate)&lt;MIN(DAY(AF8),DAY(EOMONTH(PFYDate,0))),1,0)))</f>
        <v/>
      </c>
      <c r="AV8" s="12" t="str">
        <f aca="false">IF(AE8=0,"",IF(OR(AG8&lt;2,AI8&gt;PFYDate),AU8,IF((AI8-1)&lt;AF8,-1,12*(YEAR((AI8-1))-YEAR(AF8))+MONTH((AI8-1))-MONTH(AF8)-IF(DAY((AI8-1))&lt;MIN(DAY(AF8),DAY(EOMONTH((AI8-1),0))),1,0))))</f>
        <v/>
      </c>
      <c r="AW8" s="12" t="str">
        <f aca="false">IF(AE8=0,"",IF(OR(AG8&lt;3,AJ8&gt;PFYDate),AU8,IF((AJ8-1)&lt;AF8,-1,12*(YEAR((AJ8-1))-YEAR(AF8))+MONTH((AJ8-1))-MONTH(AF8)-IF(DAY((AJ8-1))&lt;MIN(DAY(AF8),DAY(EOMONTH((AJ8-1),0))),1,0))))</f>
        <v/>
      </c>
      <c r="AX8" s="12" t="str">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
      </c>
      <c r="AY8" s="12" t="str">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
      </c>
      <c r="AZ8" s="12" t="str">
        <f aca="false">IF(AE8=0,"",IF(AQ8="FT",IF(AR8&lt;FT_First,FT_First,IF(AR8&lt;FT_Y5,MIN(FT_Y5,FT_First+FT_Int1*(INT((AR8-FT_First)/FT_Int1)+1)),FT_Y5+12*INT((AR8-FT_Y5)/12)+FT_Int2*(INT(MOD(AR8-FT_Y5,12)/FT_Int2)+1))),IF(AQ8="PT",IF(AR8&lt;PT_First,PT_First,PT_First+PT_Int*(INT((AR8-PT_First)/PT_Int)+1)),"")))</f>
        <v/>
      </c>
      <c r="BA8" s="12" t="str">
        <f aca="false">IF(AE8=0,"",IF(NOT(LH_Ready),0,COUNTIFS(INDEX(LH_Data,0,LH_ColFirst),$A8,INDEX(LH_Data,0,LH_ColSur),$B8,INDEX(LH_Data,0,LH_ColCat),BonusCat)))</f>
        <v/>
      </c>
      <c r="BB8" s="12" t="str">
        <f aca="false">IF(AE8=0,"",IF(OR(NOT(LH_Ready),BA8=0),0,SUMPRODUCT(MAX((INDEX(LH_Data,0,LH_ColFirst)=$A8)*(INDEX(LH_Data,0,LH_ColSur)=$B8)*(INDEX(LH_Data,0,LH_ColCat)=BonusCat)*ROW(LH_Data)))))</f>
        <v/>
      </c>
    </row>
    <row r="9" customFormat="false" ht="15" hidden="false" customHeight="false" outlineLevel="0" collapsed="false">
      <c r="A9" s="8"/>
      <c r="B9" s="8"/>
      <c r="C9" s="8"/>
      <c r="D9" s="9"/>
      <c r="E9" s="10" t="str">
        <f aca="false">IF(OR(AE9=0,$D9=""),"",DATE(YEAR(AsOfDate)+IF(DATE(YEAR(AsOfDate),MONTH($D9),DAY($D9))&lt;=AsOfDate,1,0),MONTH($D9),DAY($D9)))</f>
        <v/>
      </c>
      <c r="F9" s="9"/>
      <c r="G9" s="9"/>
      <c r="H9" s="9"/>
      <c r="I9" s="9"/>
      <c r="J9" s="9"/>
      <c r="K9" s="10" t="str">
        <f aca="false">IF(AE9=0,"",DATE(YEAR(AsOfDate)+IF(DATE(YEAR(AsOfDate),MONTH(AF9),DAY(AF9))&lt;=AsOfDate,1,0),MONTH(AF9),DAY(AF9)))</f>
        <v/>
      </c>
      <c r="L9" s="11" t="str">
        <f aca="false">IF(AE9=0,"",ROUND((AsOfDate-AF9)/365.25,1))</f>
        <v/>
      </c>
      <c r="M9" s="12" t="str">
        <f aca="false">IF(AE9=0,"",IF(AsOfDate&lt;AF9,"-",DATEDIF(AF9,AsOfDate,"y")&amp;"y "&amp;DATEDIF(AF9,AsOfDate,"ym")&amp;"m "&amp;DATEDIF(AF9,AsOfDate,"md")&amp;"d"))</f>
        <v/>
      </c>
      <c r="N9" s="13" t="str">
        <f aca="false">IF(AE9=0,"",O9*HoursPerDay)</f>
        <v/>
      </c>
      <c r="O9" s="13" t="str">
        <f aca="false">IF(AE9=0,"",AX9)</f>
        <v/>
      </c>
      <c r="P9" s="14"/>
      <c r="Q9" s="12" t="str">
        <f aca="false">IF(AE9=0,"",IF(AG9&lt;2,"",AK9&amp;" to "&amp;AL9&amp;" on "&amp;TEXT(AI9,"dd/mm/yyyy")&amp;IF(AI9&gt;AsOfDate," (future)",IF(AN9=AO9,"",IF(AO9="None"," - STOPPED accruing",IF(AN9="None"," - commencement for Bonus Leave"," - pathway changed"))))&amp;IF(AG9&lt;3,"","; "&amp;AL9&amp;" to "&amp;AM9&amp;" on "&amp;TEXT(AJ9,"dd/mm/yyyy")&amp;IF(AJ9&gt;AsOfDate," (future)",IF(AO9=AP9,"",IF(AP9="None"," - STOPPED accruing",IF(AO9="None"," - commencement for Bonus Leave"," - pathway changed")))))))</f>
        <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
      </c>
      <c r="S9" s="10" t="str">
        <f aca="false">IF(AE9=0,"",IF(AQ9="None","",EDATE(AF9,AZ9)))</f>
        <v/>
      </c>
      <c r="T9" s="13" t="str">
        <f aca="false">IF(AE9=0,"",IF(NOT(LH_Ready),"",IF(AF9&gt;PFYDate,0,IF(LH_ColPeriod=0,W9-U9+V9,SUMIFS(INDEX(LH_Data,0,LH_ColAcc),INDEX(LH_Data,0,LH_ColFirst),$A9,INDEX(LH_Data,0,LH_ColSur),$B9,INDEX(LH_Data,0,LH_ColCat),BonusCat,INDEX(LH_Data,0,LH_ColPeriod),LH_OpenLabel)*UnitFactor))))</f>
        <v/>
      </c>
      <c r="U9" s="13" t="str">
        <f aca="false">IF(AE9=0,"",IF(NOT(LH_Ready),"",SUMIFS(INDEX(LH_Data,0,LH_ColAcc),INDEX(LH_Data,0,LH_ColFirst),$A9,INDEX(LH_Data,0,LH_ColSur),$B9,INDEX(LH_Data,0,LH_ColCat),BonusCat,INDEX(LH_Data,0,LH_ColStart),"&gt;="&amp;AF9)*UnitFactor))</f>
        <v/>
      </c>
      <c r="V9" s="13" t="str">
        <f aca="false">IF(AE9=0,"",IF(NOT(LH_Ready),"",SUMIFS(INDEX(LH_Data,0,LH_ColTaken),INDEX(LH_Data,0,LH_ColFirst),$A9,INDEX(LH_Data,0,LH_ColSur),$B9,INDEX(LH_Data,0,LH_ColCat),BonusCat,INDEX(LH_Data,0,LH_ColStart),"&gt;="&amp;AF9)*UnitFactor))</f>
        <v/>
      </c>
      <c r="W9" s="13" t="str">
        <f aca="false">IF(AE9=0,"",IF(NOT(LH_Ready),"",IF(BB9=0,0,INDEX(INDEX(LH_Data,0,LH_ColClose),BB9-1)*UnitFactor)))</f>
        <v/>
      </c>
      <c r="X9" s="13" t="str">
        <f aca="false">IF(AE9=0,"",(AX9-AY9)*HoursPerDay)</f>
        <v/>
      </c>
      <c r="Y9" s="13" t="str">
        <f aca="false">IF(AE9=0,"",IF(NOT(LH_Ready),"",IF(BA9=0,N9,IF(PFYDate&lt;$F9,N9-N(T9)-N(U9),X9-N(U9)))))</f>
        <v/>
      </c>
      <c r="Z9" s="12" t="str">
        <f aca="false">IF(OR(AE9=0,Y9=""),"",IF(Y9&gt;0,"Yes","No"))</f>
        <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 hrs more than policy since commencement",IF(N(W9)&gt;O9*HoursPerDay+0.01,"CHECK - EH balance "&amp;ROUND(W9-O9*HoursPerDay,2)&amp;" hrs more than policy entitlement",IF(O9&gt;0,"OK - nothing to add",IF(AQ9="None",R9,"Not yet - first day on "&amp;TEXT(S9,"dd/mm/yyyy")))))))))</f>
        <v/>
      </c>
      <c r="AB9" s="13" t="str">
        <f aca="false">IF(OR(AE9=0,T9=""),"",AY9*HoursPerDay-T9)</f>
        <v/>
      </c>
      <c r="AC9" s="12" t="str">
        <f aca="false">IF(AE9=0,"",BA9)</f>
        <v/>
      </c>
      <c r="AD9" s="12"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0</v>
      </c>
      <c r="AF9" s="10" t="str">
        <f aca="false">IF(AE9=0,"",IF($J9&lt;&gt;"",$J9,IF(OR(CasualCounts="Yes",COUNT($G9:$I9)=0,COUNT($G9:$H9)=0),$F9,MIN($G9:$H9))))</f>
        <v/>
      </c>
      <c r="AG9" s="12" t="str">
        <f aca="false">IF(AE9=0,"",COUNT($G9:$I9))</f>
        <v/>
      </c>
      <c r="AH9" s="10" t="str">
        <f aca="false">IF(AE9=0,"",IFERROR(SMALL($G9:$I9,1),""))</f>
        <v/>
      </c>
      <c r="AI9" s="10" t="str">
        <f aca="false">IF(AE9=0,"",IFERROR(SMALL($G9:$I9,2),""))</f>
        <v/>
      </c>
      <c r="AJ9" s="10" t="str">
        <f aca="false">IF(AE9=0,"",IFERROR(SMALL($G9:$I9,3),""))</f>
        <v/>
      </c>
      <c r="AK9" s="12" t="str">
        <f aca="false">IF(AE9=0,"",IF(AH9="","",IF(AH9=$G9,"Part-Time",IF(AH9=$H9,"Full-Time","Casual"))))</f>
        <v/>
      </c>
      <c r="AL9" s="12" t="str">
        <f aca="false">IF(AE9=0,"",IF(AI9="","",IF(AI9=$G9,"Part-Time",IF(AI9=$H9,"Full-Time","Casual"))))</f>
        <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
      </c>
      <c r="AO9" s="12" t="str">
        <f aca="false">IF(AE9=0,"",IF(AG9&lt;2,"",IF(OR(ISNUMBER(SEARCH("full",AL9)),UPPER(TRIM(AL9))="FT",UPPER(TRIM(AL9))="FTE"),"FT",IF(AND(OR(ISNUMBER(SEARCH("part",AL9)),UPPER(TRIM(AL9))="PT",UPPER(TRIM(AL9))="PTE"),OR($P9="",N($P9)&gt;=PT_MinHours)),"PT","None"))))</f>
        <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
      </c>
      <c r="AR9" s="12" t="str">
        <f aca="false">IF(AE9=0,"",IF(AsOfDate&lt;AF9,-1,12*(YEAR(AsOfDate)-YEAR(AF9))+MONTH(AsOfDate)-MONTH(AF9)-IF(DAY(AsOfDate)&lt;MIN(DAY(AF9),DAY(EOMONTH(AsOfDate,0))),1,0)))</f>
        <v/>
      </c>
      <c r="AS9" s="12" t="str">
        <f aca="false">IF(AE9=0,"",IF(OR(AG9&lt;2,AI9&gt;AsOfDate),AR9,IF((AI9-1)&lt;AF9,-1,12*(YEAR((AI9-1))-YEAR(AF9))+MONTH((AI9-1))-MONTH(AF9)-IF(DAY((AI9-1))&lt;MIN(DAY(AF9),DAY(EOMONTH((AI9-1),0))),1,0))))</f>
        <v/>
      </c>
      <c r="AT9" s="12" t="str">
        <f aca="false">IF(AE9=0,"",IF(OR(AG9&lt;3,AJ9&gt;AsOfDate),AR9,IF((AJ9-1)&lt;AF9,-1,12*(YEAR((AJ9-1))-YEAR(AF9))+MONTH((AJ9-1))-MONTH(AF9)-IF(DAY((AJ9-1))&lt;MIN(DAY(AF9),DAY(EOMONTH((AJ9-1),0))),1,0))))</f>
        <v/>
      </c>
      <c r="AU9" s="12" t="str">
        <f aca="false">IF(AE9=0,"",IF(PFYDate&lt;AF9,-1,12*(YEAR(PFYDate)-YEAR(AF9))+MONTH(PFYDate)-MONTH(AF9)-IF(DAY(PFYDate)&lt;MIN(DAY(AF9),DAY(EOMONTH(PFYDate,0))),1,0)))</f>
        <v/>
      </c>
      <c r="AV9" s="12" t="str">
        <f aca="false">IF(AE9=0,"",IF(OR(AG9&lt;2,AI9&gt;PFYDate),AU9,IF((AI9-1)&lt;AF9,-1,12*(YEAR((AI9-1))-YEAR(AF9))+MONTH((AI9-1))-MONTH(AF9)-IF(DAY((AI9-1))&lt;MIN(DAY(AF9),DAY(EOMONTH((AI9-1),0))),1,0))))</f>
        <v/>
      </c>
      <c r="AW9" s="12" t="str">
        <f aca="false">IF(AE9=0,"",IF(OR(AG9&lt;3,AJ9&gt;PFYDate),AU9,IF((AJ9-1)&lt;AF9,-1,12*(YEAR((AJ9-1))-YEAR(AF9))+MONTH((AJ9-1))-MONTH(AF9)-IF(DAY((AJ9-1))&lt;MIN(DAY(AF9),DAY(EOMONTH((AJ9-1),0))),1,0))))</f>
        <v/>
      </c>
      <c r="AX9" s="12" t="str">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
      </c>
      <c r="AY9" s="12" t="str">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
      </c>
      <c r="AZ9" s="12" t="str">
        <f aca="false">IF(AE9=0,"",IF(AQ9="FT",IF(AR9&lt;FT_First,FT_First,IF(AR9&lt;FT_Y5,MIN(FT_Y5,FT_First+FT_Int1*(INT((AR9-FT_First)/FT_Int1)+1)),FT_Y5+12*INT((AR9-FT_Y5)/12)+FT_Int2*(INT(MOD(AR9-FT_Y5,12)/FT_Int2)+1))),IF(AQ9="PT",IF(AR9&lt;PT_First,PT_First,PT_First+PT_Int*(INT((AR9-PT_First)/PT_Int)+1)),"")))</f>
        <v/>
      </c>
      <c r="BA9" s="12" t="str">
        <f aca="false">IF(AE9=0,"",IF(NOT(LH_Ready),0,COUNTIFS(INDEX(LH_Data,0,LH_ColFirst),$A9,INDEX(LH_Data,0,LH_ColSur),$B9,INDEX(LH_Data,0,LH_ColCat),BonusCat)))</f>
        <v/>
      </c>
      <c r="BB9" s="12" t="str">
        <f aca="false">IF(AE9=0,"",IF(OR(NOT(LH_Ready),BA9=0),0,SUMPRODUCT(MAX((INDEX(LH_Data,0,LH_ColFirst)=$A9)*(INDEX(LH_Data,0,LH_ColSur)=$B9)*(INDEX(LH_Data,0,LH_ColCat)=BonusCat)*ROW(LH_Data)))))</f>
        <v/>
      </c>
    </row>
    <row r="10" customFormat="false" ht="15" hidden="false" customHeight="false" outlineLevel="0" collapsed="false">
      <c r="A10" s="8"/>
      <c r="B10" s="8"/>
      <c r="C10" s="8"/>
      <c r="D10" s="9"/>
      <c r="E10" s="10" t="str">
        <f aca="false">IF(OR(AE10=0,$D10=""),"",DATE(YEAR(AsOfDate)+IF(DATE(YEAR(AsOfDate),MONTH($D10),DAY($D10))&lt;=AsOfDate,1,0),MONTH($D10),DAY($D10)))</f>
        <v/>
      </c>
      <c r="F10" s="9"/>
      <c r="G10" s="9"/>
      <c r="H10" s="9"/>
      <c r="I10" s="9"/>
      <c r="J10" s="9"/>
      <c r="K10" s="10" t="str">
        <f aca="false">IF(AE10=0,"",DATE(YEAR(AsOfDate)+IF(DATE(YEAR(AsOfDate),MONTH(AF10),DAY(AF10))&lt;=AsOfDate,1,0),MONTH(AF10),DAY(AF10)))</f>
        <v/>
      </c>
      <c r="L10" s="11" t="str">
        <f aca="false">IF(AE10=0,"",ROUND((AsOfDate-AF10)/365.25,1))</f>
        <v/>
      </c>
      <c r="M10" s="12" t="str">
        <f aca="false">IF(AE10=0,"",IF(AsOfDate&lt;AF10,"-",DATEDIF(AF10,AsOfDate,"y")&amp;"y "&amp;DATEDIF(AF10,AsOfDate,"ym")&amp;"m "&amp;DATEDIF(AF10,AsOfDate,"md")&amp;"d"))</f>
        <v/>
      </c>
      <c r="N10" s="13" t="str">
        <f aca="false">IF(AE10=0,"",O10*HoursPerDay)</f>
        <v/>
      </c>
      <c r="O10" s="13" t="str">
        <f aca="false">IF(AE10=0,"",AX10)</f>
        <v/>
      </c>
      <c r="P10" s="14"/>
      <c r="Q10" s="12" t="str">
        <f aca="false">IF(AE10=0,"",IF(AG10&lt;2,"",AK10&amp;" to "&amp;AL10&amp;" on "&amp;TEXT(AI10,"dd/mm/yyyy")&amp;IF(AI10&gt;AsOfDate," (future)",IF(AN10=AO10,"",IF(AO10="None"," - STOPPED accruing",IF(AN10="None"," - commencement for Bonus Leave"," - pathway changed"))))&amp;IF(AG10&lt;3,"","; "&amp;AL10&amp;" to "&amp;AM10&amp;" on "&amp;TEXT(AJ10,"dd/mm/yyyy")&amp;IF(AJ10&gt;AsOfDate," (future)",IF(AO10=AP10,"",IF(AP10="None"," - STOPPED accruing",IF(AO10="None"," - commencement for Bonus Leave","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
      </c>
      <c r="S10" s="10" t="str">
        <f aca="false">IF(AE10=0,"",IF(AQ10="None","",EDATE(AF10,AZ10)))</f>
        <v/>
      </c>
      <c r="T10" s="13" t="str">
        <f aca="false">IF(AE10=0,"",IF(NOT(LH_Ready),"",IF(AF10&gt;PFYDate,0,IF(LH_ColPeriod=0,W10-U10+V10,SUMIFS(INDEX(LH_Data,0,LH_ColAcc),INDEX(LH_Data,0,LH_ColFirst),$A10,INDEX(LH_Data,0,LH_ColSur),$B10,INDEX(LH_Data,0,LH_ColCat),BonusCat,INDEX(LH_Data,0,LH_ColPeriod),LH_OpenLabel)*UnitFactor))))</f>
        <v/>
      </c>
      <c r="U10" s="13" t="str">
        <f aca="false">IF(AE10=0,"",IF(NOT(LH_Ready),"",SUMIFS(INDEX(LH_Data,0,LH_ColAcc),INDEX(LH_Data,0,LH_ColFirst),$A10,INDEX(LH_Data,0,LH_ColSur),$B10,INDEX(LH_Data,0,LH_ColCat),BonusCat,INDEX(LH_Data,0,LH_ColStart),"&gt;="&amp;AF10)*UnitFactor))</f>
        <v/>
      </c>
      <c r="V10" s="13" t="str">
        <f aca="false">IF(AE10=0,"",IF(NOT(LH_Ready),"",SUMIFS(INDEX(LH_Data,0,LH_ColTaken),INDEX(LH_Data,0,LH_ColFirst),$A10,INDEX(LH_Data,0,LH_ColSur),$B10,INDEX(LH_Data,0,LH_ColCat),BonusCat,INDEX(LH_Data,0,LH_ColStart),"&gt;="&amp;AF10)*UnitFactor))</f>
        <v/>
      </c>
      <c r="W10" s="13" t="str">
        <f aca="false">IF(AE10=0,"",IF(NOT(LH_Ready),"",IF(BB10=0,0,INDEX(INDEX(LH_Data,0,LH_ColClose),BB10-1)*UnitFactor)))</f>
        <v/>
      </c>
      <c r="X10" s="13" t="str">
        <f aca="false">IF(AE10=0,"",(AX10-AY10)*HoursPerDay)</f>
        <v/>
      </c>
      <c r="Y10" s="13" t="str">
        <f aca="false">IF(AE10=0,"",IF(NOT(LH_Ready),"",IF(BA10=0,N10,IF(PFYDate&lt;$F10,N10-N(T10)-N(U10),X10-N(U10)))))</f>
        <v/>
      </c>
      <c r="Z10" s="12" t="str">
        <f aca="false">IF(OR(AE10=0,Y10=""),"",IF(Y10&gt;0,"Yes","No"))</f>
        <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 hrs more than policy since commencement",IF(N(W10)&gt;O10*HoursPerDay+0.01,"CHECK - EH balance "&amp;ROUND(W10-O10*HoursPerDay,2)&amp;" hrs more than policy entitlement",IF(O10&gt;0,"OK - nothing to add",IF(AQ10="None",R10,"Not yet - first day on "&amp;TEXT(S10,"dd/mm/yyyy")))))))))</f>
        <v/>
      </c>
      <c r="AB10" s="13" t="str">
        <f aca="false">IF(OR(AE10=0,T10=""),"",AY10*HoursPerDay-T10)</f>
        <v/>
      </c>
      <c r="AC10" s="12" t="str">
        <f aca="false">IF(AE10=0,"",BA10)</f>
        <v/>
      </c>
      <c r="AD10" s="12"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0</v>
      </c>
      <c r="AF10" s="10" t="str">
        <f aca="false">IF(AE10=0,"",IF($J10&lt;&gt;"",$J10,IF(OR(CasualCounts="Yes",COUNT($G10:$I10)=0,COUNT($G10:$H10)=0),$F10,MIN($G10:$H10))))</f>
        <v/>
      </c>
      <c r="AG10" s="12" t="str">
        <f aca="false">IF(AE10=0,"",COUNT($G10:$I10))</f>
        <v/>
      </c>
      <c r="AH10" s="10" t="str">
        <f aca="false">IF(AE10=0,"",IFERROR(SMALL($G10:$I10,1),""))</f>
        <v/>
      </c>
      <c r="AI10" s="10" t="str">
        <f aca="false">IF(AE10=0,"",IFERROR(SMALL($G10:$I10,2),""))</f>
        <v/>
      </c>
      <c r="AJ10" s="10" t="str">
        <f aca="false">IF(AE10=0,"",IFERROR(SMALL($G10:$I10,3),""))</f>
        <v/>
      </c>
      <c r="AK10" s="12" t="str">
        <f aca="false">IF(AE10=0,"",IF(AH10="","",IF(AH10=$G10,"Part-Time",IF(AH10=$H10,"Full-Time","Casual"))))</f>
        <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
      </c>
      <c r="AR10" s="12" t="str">
        <f aca="false">IF(AE10=0,"",IF(AsOfDate&lt;AF10,-1,12*(YEAR(AsOfDate)-YEAR(AF10))+MONTH(AsOfDate)-MONTH(AF10)-IF(DAY(AsOfDate)&lt;MIN(DAY(AF10),DAY(EOMONTH(AsOfDate,0))),1,0)))</f>
        <v/>
      </c>
      <c r="AS10" s="12" t="str">
        <f aca="false">IF(AE10=0,"",IF(OR(AG10&lt;2,AI10&gt;AsOfDate),AR10,IF((AI10-1)&lt;AF10,-1,12*(YEAR((AI10-1))-YEAR(AF10))+MONTH((AI10-1))-MONTH(AF10)-IF(DAY((AI10-1))&lt;MIN(DAY(AF10),DAY(EOMONTH((AI10-1),0))),1,0))))</f>
        <v/>
      </c>
      <c r="AT10" s="12" t="str">
        <f aca="false">IF(AE10=0,"",IF(OR(AG10&lt;3,AJ10&gt;AsOfDate),AR10,IF((AJ10-1)&lt;AF10,-1,12*(YEAR((AJ10-1))-YEAR(AF10))+MONTH((AJ10-1))-MONTH(AF10)-IF(DAY((AJ10-1))&lt;MIN(DAY(AF10),DAY(EOMONTH((AJ10-1),0))),1,0))))</f>
        <v/>
      </c>
      <c r="AU10" s="12" t="str">
        <f aca="false">IF(AE10=0,"",IF(PFYDate&lt;AF10,-1,12*(YEAR(PFYDate)-YEAR(AF10))+MONTH(PFYDate)-MONTH(AF10)-IF(DAY(PFYDate)&lt;MIN(DAY(AF10),DAY(EOMONTH(PFYDate,0))),1,0)))</f>
        <v/>
      </c>
      <c r="AV10" s="12" t="str">
        <f aca="false">IF(AE10=0,"",IF(OR(AG10&lt;2,AI10&gt;PFYDate),AU10,IF((AI10-1)&lt;AF10,-1,12*(YEAR((AI10-1))-YEAR(AF10))+MONTH((AI10-1))-MONTH(AF10)-IF(DAY((AI10-1))&lt;MIN(DAY(AF10),DAY(EOMONTH((AI10-1),0))),1,0))))</f>
        <v/>
      </c>
      <c r="AW10" s="12" t="str">
        <f aca="false">IF(AE10=0,"",IF(OR(AG10&lt;3,AJ10&gt;PFYDate),AU10,IF((AJ10-1)&lt;AF10,-1,12*(YEAR((AJ10-1))-YEAR(AF10))+MONTH((AJ10-1))-MONTH(AF10)-IF(DAY((AJ10-1))&lt;MIN(DAY(AF10),DAY(EOMONTH((AJ10-1),0))),1,0))))</f>
        <v/>
      </c>
      <c r="AX10" s="12" t="str">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
      </c>
      <c r="AY10" s="12" t="str">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
      </c>
      <c r="AZ10" s="12" t="str">
        <f aca="false">IF(AE10=0,"",IF(AQ10="FT",IF(AR10&lt;FT_First,FT_First,IF(AR10&lt;FT_Y5,MIN(FT_Y5,FT_First+FT_Int1*(INT((AR10-FT_First)/FT_Int1)+1)),FT_Y5+12*INT((AR10-FT_Y5)/12)+FT_Int2*(INT(MOD(AR10-FT_Y5,12)/FT_Int2)+1))),IF(AQ10="PT",IF(AR10&lt;PT_First,PT_First,PT_First+PT_Int*(INT((AR10-PT_First)/PT_Int)+1)),"")))</f>
        <v/>
      </c>
      <c r="BA10" s="12" t="str">
        <f aca="false">IF(AE10=0,"",IF(NOT(LH_Ready),0,COUNTIFS(INDEX(LH_Data,0,LH_ColFirst),$A10,INDEX(LH_Data,0,LH_ColSur),$B10,INDEX(LH_Data,0,LH_ColCat),BonusCat)))</f>
        <v/>
      </c>
      <c r="BB10" s="12" t="str">
        <f aca="false">IF(AE10=0,"",IF(OR(NOT(LH_Ready),BA10=0),0,SUMPRODUCT(MAX((INDEX(LH_Data,0,LH_ColFirst)=$A10)*(INDEX(LH_Data,0,LH_ColSur)=$B10)*(INDEX(LH_Data,0,LH_ColCat)=BonusCat)*ROW(LH_Data)))))</f>
        <v/>
      </c>
    </row>
    <row r="11" customFormat="false" ht="15" hidden="false" customHeight="false" outlineLevel="0" collapsed="false">
      <c r="A11" s="8"/>
      <c r="B11" s="8"/>
      <c r="C11" s="8"/>
      <c r="D11" s="9"/>
      <c r="E11" s="10" t="str">
        <f aca="false">IF(OR(AE11=0,$D11=""),"",DATE(YEAR(AsOfDate)+IF(DATE(YEAR(AsOfDate),MONTH($D11),DAY($D11))&lt;=AsOfDate,1,0),MONTH($D11),DAY($D11)))</f>
        <v/>
      </c>
      <c r="F11" s="9"/>
      <c r="G11" s="9"/>
      <c r="H11" s="9"/>
      <c r="I11" s="9"/>
      <c r="J11" s="9"/>
      <c r="K11" s="10" t="str">
        <f aca="false">IF(AE11=0,"",DATE(YEAR(AsOfDate)+IF(DATE(YEAR(AsOfDate),MONTH(AF11),DAY(AF11))&lt;=AsOfDate,1,0),MONTH(AF11),DAY(AF11)))</f>
        <v/>
      </c>
      <c r="L11" s="11" t="str">
        <f aca="false">IF(AE11=0,"",ROUND((AsOfDate-AF11)/365.25,1))</f>
        <v/>
      </c>
      <c r="M11" s="12" t="str">
        <f aca="false">IF(AE11=0,"",IF(AsOfDate&lt;AF11,"-",DATEDIF(AF11,AsOfDate,"y")&amp;"y "&amp;DATEDIF(AF11,AsOfDate,"ym")&amp;"m "&amp;DATEDIF(AF11,AsOfDate,"md")&amp;"d"))</f>
        <v/>
      </c>
      <c r="N11" s="13" t="str">
        <f aca="false">IF(AE11=0,"",O11*HoursPerDay)</f>
        <v/>
      </c>
      <c r="O11" s="13" t="str">
        <f aca="false">IF(AE11=0,"",AX11)</f>
        <v/>
      </c>
      <c r="P11" s="14"/>
      <c r="Q11" s="12" t="str">
        <f aca="false">IF(AE11=0,"",IF(AG11&lt;2,"",AK11&amp;" to "&amp;AL11&amp;" on "&amp;TEXT(AI11,"dd/mm/yyyy")&amp;IF(AI11&gt;AsOfDate," (future)",IF(AN11=AO11,"",IF(AO11="None"," - STOPPED accruing",IF(AN11="None"," - commencement for Bonus Leave"," - pathway changed"))))&amp;IF(AG11&lt;3,"","; "&amp;AL11&amp;" to "&amp;AM11&amp;" on "&amp;TEXT(AJ11,"dd/mm/yyyy")&amp;IF(AJ11&gt;AsOfDate," (future)",IF(AO11=AP11,"",IF(AP11="None"," - STOPPED accruing",IF(AO11="None"," - commencement for Bonus Leave","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
      </c>
      <c r="S11" s="10" t="str">
        <f aca="false">IF(AE11=0,"",IF(AQ11="None","",EDATE(AF11,AZ11)))</f>
        <v/>
      </c>
      <c r="T11" s="13" t="str">
        <f aca="false">IF(AE11=0,"",IF(NOT(LH_Ready),"",IF(AF11&gt;PFYDate,0,IF(LH_ColPeriod=0,W11-U11+V11,SUMIFS(INDEX(LH_Data,0,LH_ColAcc),INDEX(LH_Data,0,LH_ColFirst),$A11,INDEX(LH_Data,0,LH_ColSur),$B11,INDEX(LH_Data,0,LH_ColCat),BonusCat,INDEX(LH_Data,0,LH_ColPeriod),LH_OpenLabel)*UnitFactor))))</f>
        <v/>
      </c>
      <c r="U11" s="13" t="str">
        <f aca="false">IF(AE11=0,"",IF(NOT(LH_Ready),"",SUMIFS(INDEX(LH_Data,0,LH_ColAcc),INDEX(LH_Data,0,LH_ColFirst),$A11,INDEX(LH_Data,0,LH_ColSur),$B11,INDEX(LH_Data,0,LH_ColCat),BonusCat,INDEX(LH_Data,0,LH_ColStart),"&gt;="&amp;AF11)*UnitFactor))</f>
        <v/>
      </c>
      <c r="V11" s="13" t="str">
        <f aca="false">IF(AE11=0,"",IF(NOT(LH_Ready),"",SUMIFS(INDEX(LH_Data,0,LH_ColTaken),INDEX(LH_Data,0,LH_ColFirst),$A11,INDEX(LH_Data,0,LH_ColSur),$B11,INDEX(LH_Data,0,LH_ColCat),BonusCat,INDEX(LH_Data,0,LH_ColStart),"&gt;="&amp;AF11)*UnitFactor))</f>
        <v/>
      </c>
      <c r="W11" s="13" t="str">
        <f aca="false">IF(AE11=0,"",IF(NOT(LH_Ready),"",IF(BB11=0,0,INDEX(INDEX(LH_Data,0,LH_ColClose),BB11-1)*UnitFactor)))</f>
        <v/>
      </c>
      <c r="X11" s="13" t="str">
        <f aca="false">IF(AE11=0,"",(AX11-AY11)*HoursPerDay)</f>
        <v/>
      </c>
      <c r="Y11" s="13" t="str">
        <f aca="false">IF(AE11=0,"",IF(NOT(LH_Ready),"",IF(BA11=0,N11,IF(PFYDate&lt;$F11,N11-N(T11)-N(U11),X11-N(U11)))))</f>
        <v/>
      </c>
      <c r="Z11" s="12" t="str">
        <f aca="false">IF(OR(AE11=0,Y11=""),"",IF(Y11&gt;0,"Yes","No"))</f>
        <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 hrs more than policy since commencement",IF(N(W11)&gt;O11*HoursPerDay+0.01,"CHECK - EH balance "&amp;ROUND(W11-O11*HoursPerDay,2)&amp;" hrs more than policy entitlement",IF(O11&gt;0,"OK - nothing to add",IF(AQ11="None",R11,"Not yet - first day on "&amp;TEXT(S11,"dd/mm/yyyy")))))))))</f>
        <v/>
      </c>
      <c r="AB11" s="13" t="str">
        <f aca="false">IF(OR(AE11=0,T11=""),"",AY11*HoursPerDay-T11)</f>
        <v/>
      </c>
      <c r="AC11" s="12" t="str">
        <f aca="false">IF(AE11=0,"",BA11)</f>
        <v/>
      </c>
      <c r="AD11" s="12"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0</v>
      </c>
      <c r="AF11" s="10" t="str">
        <f aca="false">IF(AE11=0,"",IF($J11&lt;&gt;"",$J11,IF(OR(CasualCounts="Yes",COUNT($G11:$I11)=0,COUNT($G11:$H11)=0),$F11,MIN($G11:$H11))))</f>
        <v/>
      </c>
      <c r="AG11" s="12" t="str">
        <f aca="false">IF(AE11=0,"",COUNT($G11:$I11))</f>
        <v/>
      </c>
      <c r="AH11" s="10" t="str">
        <f aca="false">IF(AE11=0,"",IFERROR(SMALL($G11:$I11,1),""))</f>
        <v/>
      </c>
      <c r="AI11" s="10" t="str">
        <f aca="false">IF(AE11=0,"",IFERROR(SMALL($G11:$I11,2),""))</f>
        <v/>
      </c>
      <c r="AJ11" s="10" t="str">
        <f aca="false">IF(AE11=0,"",IFERROR(SMALL($G11:$I11,3),""))</f>
        <v/>
      </c>
      <c r="AK11" s="12" t="str">
        <f aca="false">IF(AE11=0,"",IF(AH11="","",IF(AH11=$G11,"Part-Time",IF(AH11=$H11,"Full-Time","Casual"))))</f>
        <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
      </c>
      <c r="AR11" s="12" t="str">
        <f aca="false">IF(AE11=0,"",IF(AsOfDate&lt;AF11,-1,12*(YEAR(AsOfDate)-YEAR(AF11))+MONTH(AsOfDate)-MONTH(AF11)-IF(DAY(AsOfDate)&lt;MIN(DAY(AF11),DAY(EOMONTH(AsOfDate,0))),1,0)))</f>
        <v/>
      </c>
      <c r="AS11" s="12" t="str">
        <f aca="false">IF(AE11=0,"",IF(OR(AG11&lt;2,AI11&gt;AsOfDate),AR11,IF((AI11-1)&lt;AF11,-1,12*(YEAR((AI11-1))-YEAR(AF11))+MONTH((AI11-1))-MONTH(AF11)-IF(DAY((AI11-1))&lt;MIN(DAY(AF11),DAY(EOMONTH((AI11-1),0))),1,0))))</f>
        <v/>
      </c>
      <c r="AT11" s="12" t="str">
        <f aca="false">IF(AE11=0,"",IF(OR(AG11&lt;3,AJ11&gt;AsOfDate),AR11,IF((AJ11-1)&lt;AF11,-1,12*(YEAR((AJ11-1))-YEAR(AF11))+MONTH((AJ11-1))-MONTH(AF11)-IF(DAY((AJ11-1))&lt;MIN(DAY(AF11),DAY(EOMONTH((AJ11-1),0))),1,0))))</f>
        <v/>
      </c>
      <c r="AU11" s="12" t="str">
        <f aca="false">IF(AE11=0,"",IF(PFYDate&lt;AF11,-1,12*(YEAR(PFYDate)-YEAR(AF11))+MONTH(PFYDate)-MONTH(AF11)-IF(DAY(PFYDate)&lt;MIN(DAY(AF11),DAY(EOMONTH(PFYDate,0))),1,0)))</f>
        <v/>
      </c>
      <c r="AV11" s="12" t="str">
        <f aca="false">IF(AE11=0,"",IF(OR(AG11&lt;2,AI11&gt;PFYDate),AU11,IF((AI11-1)&lt;AF11,-1,12*(YEAR((AI11-1))-YEAR(AF11))+MONTH((AI11-1))-MONTH(AF11)-IF(DAY((AI11-1))&lt;MIN(DAY(AF11),DAY(EOMONTH((AI11-1),0))),1,0))))</f>
        <v/>
      </c>
      <c r="AW11" s="12" t="str">
        <f aca="false">IF(AE11=0,"",IF(OR(AG11&lt;3,AJ11&gt;PFYDate),AU11,IF((AJ11-1)&lt;AF11,-1,12*(YEAR((AJ11-1))-YEAR(AF11))+MONTH((AJ11-1))-MONTH(AF11)-IF(DAY((AJ11-1))&lt;MIN(DAY(AF11),DAY(EOMONTH((AJ11-1),0))),1,0))))</f>
        <v/>
      </c>
      <c r="AX11" s="12" t="str">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
      </c>
      <c r="AY11" s="12" t="str">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
      </c>
      <c r="AZ11" s="12" t="str">
        <f aca="false">IF(AE11=0,"",IF(AQ11="FT",IF(AR11&lt;FT_First,FT_First,IF(AR11&lt;FT_Y5,MIN(FT_Y5,FT_First+FT_Int1*(INT((AR11-FT_First)/FT_Int1)+1)),FT_Y5+12*INT((AR11-FT_Y5)/12)+FT_Int2*(INT(MOD(AR11-FT_Y5,12)/FT_Int2)+1))),IF(AQ11="PT",IF(AR11&lt;PT_First,PT_First,PT_First+PT_Int*(INT((AR11-PT_First)/PT_Int)+1)),"")))</f>
        <v/>
      </c>
      <c r="BA11" s="12" t="str">
        <f aca="false">IF(AE11=0,"",IF(NOT(LH_Ready),0,COUNTIFS(INDEX(LH_Data,0,LH_ColFirst),$A11,INDEX(LH_Data,0,LH_ColSur),$B11,INDEX(LH_Data,0,LH_ColCat),BonusCat)))</f>
        <v/>
      </c>
      <c r="BB11" s="12" t="str">
        <f aca="false">IF(AE11=0,"",IF(OR(NOT(LH_Ready),BA11=0),0,SUMPRODUCT(MAX((INDEX(LH_Data,0,LH_ColFirst)=$A11)*(INDEX(LH_Data,0,LH_ColSur)=$B11)*(INDEX(LH_Data,0,LH_ColCat)=BonusCat)*ROW(LH_Data)))))</f>
        <v/>
      </c>
    </row>
    <row r="12" customFormat="false" ht="15" hidden="false" customHeight="false" outlineLevel="0" collapsed="false">
      <c r="A12" s="8"/>
      <c r="B12" s="8"/>
      <c r="C12" s="8"/>
      <c r="D12" s="9"/>
      <c r="E12" s="10" t="str">
        <f aca="false">IF(OR(AE12=0,$D12=""),"",DATE(YEAR(AsOfDate)+IF(DATE(YEAR(AsOfDate),MONTH($D12),DAY($D12))&lt;=AsOfDate,1,0),MONTH($D12),DAY($D12)))</f>
        <v/>
      </c>
      <c r="F12" s="9"/>
      <c r="G12" s="9"/>
      <c r="H12" s="9"/>
      <c r="I12" s="9"/>
      <c r="J12" s="9"/>
      <c r="K12" s="10" t="str">
        <f aca="false">IF(AE12=0,"",DATE(YEAR(AsOfDate)+IF(DATE(YEAR(AsOfDate),MONTH(AF12),DAY(AF12))&lt;=AsOfDate,1,0),MONTH(AF12),DAY(AF12)))</f>
        <v/>
      </c>
      <c r="L12" s="11" t="str">
        <f aca="false">IF(AE12=0,"",ROUND((AsOfDate-AF12)/365.25,1))</f>
        <v/>
      </c>
      <c r="M12" s="12" t="str">
        <f aca="false">IF(AE12=0,"",IF(AsOfDate&lt;AF12,"-",DATEDIF(AF12,AsOfDate,"y")&amp;"y "&amp;DATEDIF(AF12,AsOfDate,"ym")&amp;"m "&amp;DATEDIF(AF12,AsOfDate,"md")&amp;"d"))</f>
        <v/>
      </c>
      <c r="N12" s="13" t="str">
        <f aca="false">IF(AE12=0,"",O12*HoursPerDay)</f>
        <v/>
      </c>
      <c r="O12" s="13" t="str">
        <f aca="false">IF(AE12=0,"",AX12)</f>
        <v/>
      </c>
      <c r="P12" s="14"/>
      <c r="Q12" s="12" t="str">
        <f aca="false">IF(AE12=0,"",IF(AG12&lt;2,"",AK12&amp;" to "&amp;AL12&amp;" on "&amp;TEXT(AI12,"dd/mm/yyyy")&amp;IF(AI12&gt;AsOfDate," (future)",IF(AN12=AO12,"",IF(AO12="None"," - STOPPED accruing",IF(AN12="None"," - commencement for Bonus Leave"," - pathway changed"))))&amp;IF(AG12&lt;3,"","; "&amp;AL12&amp;" to "&amp;AM12&amp;" on "&amp;TEXT(AJ12,"dd/mm/yyyy")&amp;IF(AJ12&gt;AsOfDate," (future)",IF(AO12=AP12,"",IF(AP12="None"," - STOPPED accruing",IF(AO12="None"," - commencement for Bonus Leave"," - pathway changed")))))))</f>
        <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
      </c>
      <c r="S12" s="10" t="str">
        <f aca="false">IF(AE12=0,"",IF(AQ12="None","",EDATE(AF12,AZ12)))</f>
        <v/>
      </c>
      <c r="T12" s="13" t="str">
        <f aca="false">IF(AE12=0,"",IF(NOT(LH_Ready),"",IF(AF12&gt;PFYDate,0,IF(LH_ColPeriod=0,W12-U12+V12,SUMIFS(INDEX(LH_Data,0,LH_ColAcc),INDEX(LH_Data,0,LH_ColFirst),$A12,INDEX(LH_Data,0,LH_ColSur),$B12,INDEX(LH_Data,0,LH_ColCat),BonusCat,INDEX(LH_Data,0,LH_ColPeriod),LH_OpenLabel)*UnitFactor))))</f>
        <v/>
      </c>
      <c r="U12" s="13" t="str">
        <f aca="false">IF(AE12=0,"",IF(NOT(LH_Ready),"",SUMIFS(INDEX(LH_Data,0,LH_ColAcc),INDEX(LH_Data,0,LH_ColFirst),$A12,INDEX(LH_Data,0,LH_ColSur),$B12,INDEX(LH_Data,0,LH_ColCat),BonusCat,INDEX(LH_Data,0,LH_ColStart),"&gt;="&amp;AF12)*UnitFactor))</f>
        <v/>
      </c>
      <c r="V12" s="13" t="str">
        <f aca="false">IF(AE12=0,"",IF(NOT(LH_Ready),"",SUMIFS(INDEX(LH_Data,0,LH_ColTaken),INDEX(LH_Data,0,LH_ColFirst),$A12,INDEX(LH_Data,0,LH_ColSur),$B12,INDEX(LH_Data,0,LH_ColCat),BonusCat,INDEX(LH_Data,0,LH_ColStart),"&gt;="&amp;AF12)*UnitFactor))</f>
        <v/>
      </c>
      <c r="W12" s="13" t="str">
        <f aca="false">IF(AE12=0,"",IF(NOT(LH_Ready),"",IF(BB12=0,0,INDEX(INDEX(LH_Data,0,LH_ColClose),BB12-1)*UnitFactor)))</f>
        <v/>
      </c>
      <c r="X12" s="13" t="str">
        <f aca="false">IF(AE12=0,"",(AX12-AY12)*HoursPerDay)</f>
        <v/>
      </c>
      <c r="Y12" s="13" t="str">
        <f aca="false">IF(AE12=0,"",IF(NOT(LH_Ready),"",IF(BA12=0,N12,IF(PFYDate&lt;$F12,N12-N(T12)-N(U12),X12-N(U12)))))</f>
        <v/>
      </c>
      <c r="Z12" s="12" t="str">
        <f aca="false">IF(OR(AE12=0,Y12=""),"",IF(Y12&gt;0,"Yes","No"))</f>
        <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 hrs more than policy since commencement",IF(N(W12)&gt;O12*HoursPerDay+0.01,"CHECK - EH balance "&amp;ROUND(W12-O12*HoursPerDay,2)&amp;" hrs more than policy entitlement",IF(O12&gt;0,"OK - nothing to add",IF(AQ12="None",R12,"Not yet - first day on "&amp;TEXT(S12,"dd/mm/yyyy")))))))))</f>
        <v/>
      </c>
      <c r="AB12" s="13" t="str">
        <f aca="false">IF(OR(AE12=0,T12=""),"",AY12*HoursPerDay-T12)</f>
        <v/>
      </c>
      <c r="AC12" s="12" t="str">
        <f aca="false">IF(AE12=0,"",BA12)</f>
        <v/>
      </c>
      <c r="AD12" s="12"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0</v>
      </c>
      <c r="AF12" s="10" t="str">
        <f aca="false">IF(AE12=0,"",IF($J12&lt;&gt;"",$J12,IF(OR(CasualCounts="Yes",COUNT($G12:$I12)=0,COUNT($G12:$H12)=0),$F12,MIN($G12:$H12))))</f>
        <v/>
      </c>
      <c r="AG12" s="12" t="str">
        <f aca="false">IF(AE12=0,"",COUNT($G12:$I12))</f>
        <v/>
      </c>
      <c r="AH12" s="10" t="str">
        <f aca="false">IF(AE12=0,"",IFERROR(SMALL($G12:$I12,1),""))</f>
        <v/>
      </c>
      <c r="AI12" s="10" t="str">
        <f aca="false">IF(AE12=0,"",IFERROR(SMALL($G12:$I12,2),""))</f>
        <v/>
      </c>
      <c r="AJ12" s="10" t="str">
        <f aca="false">IF(AE12=0,"",IFERROR(SMALL($G12:$I12,3),""))</f>
        <v/>
      </c>
      <c r="AK12" s="12" t="str">
        <f aca="false">IF(AE12=0,"",IF(AH12="","",IF(AH12=$G12,"Part-Time",IF(AH12=$H12,"Full-Time","Casual"))))</f>
        <v/>
      </c>
      <c r="AL12" s="12" t="str">
        <f aca="false">IF(AE12=0,"",IF(AI12="","",IF(AI12=$G12,"Part-Time",IF(AI12=$H12,"Full-Time","Casual"))))</f>
        <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
      </c>
      <c r="AO12" s="12" t="str">
        <f aca="false">IF(AE12=0,"",IF(AG12&lt;2,"",IF(OR(ISNUMBER(SEARCH("full",AL12)),UPPER(TRIM(AL12))="FT",UPPER(TRIM(AL12))="FTE"),"FT",IF(AND(OR(ISNUMBER(SEARCH("part",AL12)),UPPER(TRIM(AL12))="PT",UPPER(TRIM(AL12))="PTE"),OR($P12="",N($P12)&gt;=PT_MinHours)),"PT","None"))))</f>
        <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
      </c>
      <c r="AR12" s="12" t="str">
        <f aca="false">IF(AE12=0,"",IF(AsOfDate&lt;AF12,-1,12*(YEAR(AsOfDate)-YEAR(AF12))+MONTH(AsOfDate)-MONTH(AF12)-IF(DAY(AsOfDate)&lt;MIN(DAY(AF12),DAY(EOMONTH(AsOfDate,0))),1,0)))</f>
        <v/>
      </c>
      <c r="AS12" s="12" t="str">
        <f aca="false">IF(AE12=0,"",IF(OR(AG12&lt;2,AI12&gt;AsOfDate),AR12,IF((AI12-1)&lt;AF12,-1,12*(YEAR((AI12-1))-YEAR(AF12))+MONTH((AI12-1))-MONTH(AF12)-IF(DAY((AI12-1))&lt;MIN(DAY(AF12),DAY(EOMONTH((AI12-1),0))),1,0))))</f>
        <v/>
      </c>
      <c r="AT12" s="12" t="str">
        <f aca="false">IF(AE12=0,"",IF(OR(AG12&lt;3,AJ12&gt;AsOfDate),AR12,IF((AJ12-1)&lt;AF12,-1,12*(YEAR((AJ12-1))-YEAR(AF12))+MONTH((AJ12-1))-MONTH(AF12)-IF(DAY((AJ12-1))&lt;MIN(DAY(AF12),DAY(EOMONTH((AJ12-1),0))),1,0))))</f>
        <v/>
      </c>
      <c r="AU12" s="12" t="str">
        <f aca="false">IF(AE12=0,"",IF(PFYDate&lt;AF12,-1,12*(YEAR(PFYDate)-YEAR(AF12))+MONTH(PFYDate)-MONTH(AF12)-IF(DAY(PFYDate)&lt;MIN(DAY(AF12),DAY(EOMONTH(PFYDate,0))),1,0)))</f>
        <v/>
      </c>
      <c r="AV12" s="12" t="str">
        <f aca="false">IF(AE12=0,"",IF(OR(AG12&lt;2,AI12&gt;PFYDate),AU12,IF((AI12-1)&lt;AF12,-1,12*(YEAR((AI12-1))-YEAR(AF12))+MONTH((AI12-1))-MONTH(AF12)-IF(DAY((AI12-1))&lt;MIN(DAY(AF12),DAY(EOMONTH((AI12-1),0))),1,0))))</f>
        <v/>
      </c>
      <c r="AW12" s="12" t="str">
        <f aca="false">IF(AE12=0,"",IF(OR(AG12&lt;3,AJ12&gt;PFYDate),AU12,IF((AJ12-1)&lt;AF12,-1,12*(YEAR((AJ12-1))-YEAR(AF12))+MONTH((AJ12-1))-MONTH(AF12)-IF(DAY((AJ12-1))&lt;MIN(DAY(AF12),DAY(EOMONTH((AJ12-1),0))),1,0))))</f>
        <v/>
      </c>
      <c r="AX12" s="12" t="str">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
      </c>
      <c r="AY12" s="12" t="str">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
      </c>
      <c r="AZ12" s="12" t="str">
        <f aca="false">IF(AE12=0,"",IF(AQ12="FT",IF(AR12&lt;FT_First,FT_First,IF(AR12&lt;FT_Y5,MIN(FT_Y5,FT_First+FT_Int1*(INT((AR12-FT_First)/FT_Int1)+1)),FT_Y5+12*INT((AR12-FT_Y5)/12)+FT_Int2*(INT(MOD(AR12-FT_Y5,12)/FT_Int2)+1))),IF(AQ12="PT",IF(AR12&lt;PT_First,PT_First,PT_First+PT_Int*(INT((AR12-PT_First)/PT_Int)+1)),"")))</f>
        <v/>
      </c>
      <c r="BA12" s="12" t="str">
        <f aca="false">IF(AE12=0,"",IF(NOT(LH_Ready),0,COUNTIFS(INDEX(LH_Data,0,LH_ColFirst),$A12,INDEX(LH_Data,0,LH_ColSur),$B12,INDEX(LH_Data,0,LH_ColCat),BonusCat)))</f>
        <v/>
      </c>
      <c r="BB12" s="12" t="str">
        <f aca="false">IF(AE12=0,"",IF(OR(NOT(LH_Ready),BA12=0),0,SUMPRODUCT(MAX((INDEX(LH_Data,0,LH_ColFirst)=$A12)*(INDEX(LH_Data,0,LH_ColSur)=$B12)*(INDEX(LH_Data,0,LH_ColCat)=BonusCat)*ROW(LH_Data)))))</f>
        <v/>
      </c>
    </row>
    <row r="13" customFormat="false" ht="15" hidden="false" customHeight="false" outlineLevel="0" collapsed="false">
      <c r="A13" s="8"/>
      <c r="B13" s="8"/>
      <c r="C13" s="8"/>
      <c r="D13" s="9"/>
      <c r="E13" s="10" t="str">
        <f aca="false">IF(OR(AE13=0,$D13=""),"",DATE(YEAR(AsOfDate)+IF(DATE(YEAR(AsOfDate),MONTH($D13),DAY($D13))&lt;=AsOfDate,1,0),MONTH($D13),DAY($D13)))</f>
        <v/>
      </c>
      <c r="F13" s="9"/>
      <c r="G13" s="9"/>
      <c r="H13" s="9"/>
      <c r="I13" s="9"/>
      <c r="J13" s="9"/>
      <c r="K13" s="10" t="str">
        <f aca="false">IF(AE13=0,"",DATE(YEAR(AsOfDate)+IF(DATE(YEAR(AsOfDate),MONTH(AF13),DAY(AF13))&lt;=AsOfDate,1,0),MONTH(AF13),DAY(AF13)))</f>
        <v/>
      </c>
      <c r="L13" s="11" t="str">
        <f aca="false">IF(AE13=0,"",ROUND((AsOfDate-AF13)/365.25,1))</f>
        <v/>
      </c>
      <c r="M13" s="12" t="str">
        <f aca="false">IF(AE13=0,"",IF(AsOfDate&lt;AF13,"-",DATEDIF(AF13,AsOfDate,"y")&amp;"y "&amp;DATEDIF(AF13,AsOfDate,"ym")&amp;"m "&amp;DATEDIF(AF13,AsOfDate,"md")&amp;"d"))</f>
        <v/>
      </c>
      <c r="N13" s="13" t="str">
        <f aca="false">IF(AE13=0,"",O13*HoursPerDay)</f>
        <v/>
      </c>
      <c r="O13" s="13" t="str">
        <f aca="false">IF(AE13=0,"",AX13)</f>
        <v/>
      </c>
      <c r="P13" s="14"/>
      <c r="Q13" s="12" t="str">
        <f aca="false">IF(AE13=0,"",IF(AG13&lt;2,"",AK13&amp;" to "&amp;AL13&amp;" on "&amp;TEXT(AI13,"dd/mm/yyyy")&amp;IF(AI13&gt;AsOfDate," (future)",IF(AN13=AO13,"",IF(AO13="None"," - STOPPED accruing",IF(AN13="None"," - commencement for Bonus Leave"," - pathway changed"))))&amp;IF(AG13&lt;3,"","; "&amp;AL13&amp;" to "&amp;AM13&amp;" on "&amp;TEXT(AJ13,"dd/mm/yyyy")&amp;IF(AJ13&gt;AsOfDate," (future)",IF(AO13=AP13,"",IF(AP13="None"," - STOPPED accruing",IF(AO13="None"," - commencement for Bonus Leave","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IF(AE13=0,"",IF(NOT(LH_Ready),"",IF(AF13&gt;PFYDate,0,IF(LH_ColPeriod=0,W13-U13+V13,SUMIFS(INDEX(LH_Data,0,LH_ColAcc),INDEX(LH_Data,0,LH_ColFirst),$A13,INDEX(LH_Data,0,LH_ColSur),$B13,INDEX(LH_Data,0,LH_ColCat),BonusCat,INDEX(LH_Data,0,LH_ColPeriod),LH_OpenLabel)*UnitFactor))))</f>
        <v/>
      </c>
      <c r="U13" s="13" t="str">
        <f aca="false">IF(AE13=0,"",IF(NOT(LH_Ready),"",SUMIFS(INDEX(LH_Data,0,LH_ColAcc),INDEX(LH_Data,0,LH_ColFirst),$A13,INDEX(LH_Data,0,LH_ColSur),$B13,INDEX(LH_Data,0,LH_ColCat),BonusCat,INDEX(LH_Data,0,LH_ColStart),"&gt;="&amp;AF13)*UnitFactor))</f>
        <v/>
      </c>
      <c r="V13" s="13" t="str">
        <f aca="false">IF(AE13=0,"",IF(NOT(LH_Ready),"",SUMIFS(INDEX(LH_Data,0,LH_ColTaken),INDEX(LH_Data,0,LH_ColFirst),$A13,INDEX(LH_Data,0,LH_ColSur),$B13,INDEX(LH_Data,0,LH_ColCat),BonusCat,INDEX(LH_Data,0,LH_ColStart),"&gt;="&amp;AF13)*UnitFactor))</f>
        <v/>
      </c>
      <c r="W13" s="13" t="str">
        <f aca="false">IF(AE13=0,"",IF(NOT(LH_Ready),"",IF(BB13=0,0,INDEX(INDEX(LH_Data,0,LH_ColClose),BB13-1)*UnitFactor)))</f>
        <v/>
      </c>
      <c r="X13" s="13" t="str">
        <f aca="false">IF(AE13=0,"",(AX13-AY13)*HoursPerDay)</f>
        <v/>
      </c>
      <c r="Y13" s="13" t="str">
        <f aca="false">IF(AE13=0,"",IF(NOT(LH_Ready),"",IF(BA13=0,N13,IF(PFYDate&lt;$F13,N13-N(T13)-N(U13),X13-N(U13)))))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 hrs more than policy since commencement",IF(N(W13)&gt;O13*HoursPerDay+0.01,"CHECK - EH balance "&amp;ROUND(W13-O13*HoursPerDay,2)&amp;" hrs more than policy entitlement",IF(O13&gt;0,"OK - nothing to add",IF(AQ13="None",R13,"Not yet - first day on "&amp;TEXT(S13,"dd/mm/yyyy")))))))))</f>
        <v/>
      </c>
      <c r="AB13" s="13" t="str">
        <f aca="false">IF(OR(AE13=0,T13=""),"",AY13*HoursPerDay-T13)</f>
        <v/>
      </c>
      <c r="AC13" s="12" t="str">
        <f aca="false">IF(AE13=0,"",BA13)</f>
        <v/>
      </c>
      <c r="AD13" s="12"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IF(AE13=0,"",IF($J13&lt;&gt;"",$J13,IF(OR(CasualCounts="Yes",COUNT($G13:$I13)=0,COUNT($G13:$H13)=0),$F13,MIN($G13:$H13))))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8"/>
      <c r="B14" s="8"/>
      <c r="C14" s="8"/>
      <c r="D14" s="9"/>
      <c r="E14" s="10" t="str">
        <f aca="false">IF(OR(AE14=0,$D14=""),"",DATE(YEAR(AsOfDate)+IF(DATE(YEAR(AsOfDate),MONTH($D14),DAY($D14))&lt;=AsOfDate,1,0),MONTH($D14),DAY($D14)))</f>
        <v/>
      </c>
      <c r="F14" s="9"/>
      <c r="G14" s="9"/>
      <c r="H14" s="9"/>
      <c r="I14" s="9"/>
      <c r="J14" s="9"/>
      <c r="K14" s="10" t="str">
        <f aca="false">IF(AE14=0,"",DATE(YEAR(AsOfDate)+IF(DATE(YEAR(AsOfDate),MONTH(AF14),DAY(AF14))&lt;=AsOfDate,1,0),MONTH(AF14),DAY(AF14)))</f>
        <v/>
      </c>
      <c r="L14" s="11" t="str">
        <f aca="false">IF(AE14=0,"",ROUND((AsOfDate-AF14)/365.25,1))</f>
        <v/>
      </c>
      <c r="M14" s="12" t="str">
        <f aca="false">IF(AE14=0,"",IF(AsOfDate&lt;AF14,"-",DATEDIF(AF14,AsOfDate,"y")&amp;"y "&amp;DATEDIF(AF14,AsOfDate,"ym")&amp;"m "&amp;DATEDIF(AF14,AsOfDate,"md")&amp;"d"))</f>
        <v/>
      </c>
      <c r="N14" s="13" t="str">
        <f aca="false">IF(AE14=0,"",O14*HoursPerDay)</f>
        <v/>
      </c>
      <c r="O14" s="13" t="str">
        <f aca="false">IF(AE14=0,"",AX14)</f>
        <v/>
      </c>
      <c r="P14" s="14"/>
      <c r="Q14" s="12" t="str">
        <f aca="false">IF(AE14=0,"",IF(AG14&lt;2,"",AK14&amp;" to "&amp;AL14&amp;" on "&amp;TEXT(AI14,"dd/mm/yyyy")&amp;IF(AI14&gt;AsOfDate," (future)",IF(AN14=AO14,"",IF(AO14="None"," - STOPPED accruing",IF(AN14="None"," - commencement for Bonus Leave"," - pathway changed"))))&amp;IF(AG14&lt;3,"","; "&amp;AL14&amp;" to "&amp;AM14&amp;" on "&amp;TEXT(AJ14,"dd/mm/yyyy")&amp;IF(AJ14&gt;AsOfDate," (future)",IF(AO14=AP14,"",IF(AP14="None"," - STOPPED accruing",IF(AO14="None"," - commencement for Bonus Leave","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IF(AE14=0,"",IF(NOT(LH_Ready),"",IF(AF14&gt;PFYDate,0,IF(LH_ColPeriod=0,W14-U14+V14,SUMIFS(INDEX(LH_Data,0,LH_ColAcc),INDEX(LH_Data,0,LH_ColFirst),$A14,INDEX(LH_Data,0,LH_ColSur),$B14,INDEX(LH_Data,0,LH_ColCat),BonusCat,INDEX(LH_Data,0,LH_ColPeriod),LH_OpenLabel)*UnitFactor))))</f>
        <v/>
      </c>
      <c r="U14" s="13" t="str">
        <f aca="false">IF(AE14=0,"",IF(NOT(LH_Ready),"",SUMIFS(INDEX(LH_Data,0,LH_ColAcc),INDEX(LH_Data,0,LH_ColFirst),$A14,INDEX(LH_Data,0,LH_ColSur),$B14,INDEX(LH_Data,0,LH_ColCat),BonusCat,INDEX(LH_Data,0,LH_ColStart),"&gt;="&amp;AF14)*UnitFactor))</f>
        <v/>
      </c>
      <c r="V14" s="13" t="str">
        <f aca="false">IF(AE14=0,"",IF(NOT(LH_Ready),"",SUMIFS(INDEX(LH_Data,0,LH_ColTaken),INDEX(LH_Data,0,LH_ColFirst),$A14,INDEX(LH_Data,0,LH_ColSur),$B14,INDEX(LH_Data,0,LH_ColCat),BonusCat,INDEX(LH_Data,0,LH_ColStart),"&gt;="&amp;AF14)*UnitFactor))</f>
        <v/>
      </c>
      <c r="W14" s="13" t="str">
        <f aca="false">IF(AE14=0,"",IF(NOT(LH_Ready),"",IF(BB14=0,0,INDEX(INDEX(LH_Data,0,LH_ColClose),BB14-1)*UnitFactor)))</f>
        <v/>
      </c>
      <c r="X14" s="13" t="str">
        <f aca="false">IF(AE14=0,"",(AX14-AY14)*HoursPerDay)</f>
        <v/>
      </c>
      <c r="Y14" s="13" t="str">
        <f aca="false">IF(AE14=0,"",IF(NOT(LH_Ready),"",IF(BA14=0,N14,IF(PFYDate&lt;$F14,N14-N(T14)-N(U14),X14-N(U14)))))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 hrs more than policy since commencement",IF(N(W14)&gt;O14*HoursPerDay+0.01,"CHECK - EH balance "&amp;ROUND(W14-O14*HoursPerDay,2)&amp;" hrs more than policy entitlement",IF(O14&gt;0,"OK - nothing to add",IF(AQ14="None",R14,"Not yet - first day on "&amp;TEXT(S14,"dd/mm/yyyy")))))))))</f>
        <v/>
      </c>
      <c r="AB14" s="13" t="str">
        <f aca="false">IF(OR(AE14=0,T14=""),"",AY14*HoursPerDay-T14)</f>
        <v/>
      </c>
      <c r="AC14" s="12" t="str">
        <f aca="false">IF(AE14=0,"",BA14)</f>
        <v/>
      </c>
      <c r="AD14" s="12"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IF(AE14=0,"",IF($J14&lt;&gt;"",$J14,IF(OR(CasualCounts="Yes",COUNT($G14:$I14)=0,COUNT($G14:$H14)=0),$F14,MIN($G14:$H14))))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8"/>
      <c r="B15" s="8"/>
      <c r="C15" s="8"/>
      <c r="D15" s="9"/>
      <c r="E15" s="10" t="str">
        <f aca="false">IF(OR(AE15=0,$D15=""),"",DATE(YEAR(AsOfDate)+IF(DATE(YEAR(AsOfDate),MONTH($D15),DAY($D15))&lt;=AsOfDate,1,0),MONTH($D15),DAY($D15)))</f>
        <v/>
      </c>
      <c r="F15" s="9"/>
      <c r="G15" s="9"/>
      <c r="H15" s="9"/>
      <c r="I15" s="9"/>
      <c r="J15" s="9"/>
      <c r="K15" s="10" t="str">
        <f aca="false">IF(AE15=0,"",DATE(YEAR(AsOfDate)+IF(DATE(YEAR(AsOfDate),MONTH(AF15),DAY(AF15))&lt;=AsOfDate,1,0),MONTH(AF15),DAY(AF15)))</f>
        <v/>
      </c>
      <c r="L15" s="11" t="str">
        <f aca="false">IF(AE15=0,"",ROUND((AsOfDate-AF15)/365.25,1))</f>
        <v/>
      </c>
      <c r="M15" s="12" t="str">
        <f aca="false">IF(AE15=0,"",IF(AsOfDate&lt;AF15,"-",DATEDIF(AF15,AsOfDate,"y")&amp;"y "&amp;DATEDIF(AF15,AsOfDate,"ym")&amp;"m "&amp;DATEDIF(AF15,AsOfDate,"md")&amp;"d"))</f>
        <v/>
      </c>
      <c r="N15" s="13" t="str">
        <f aca="false">IF(AE15=0,"",O15*HoursPerDay)</f>
        <v/>
      </c>
      <c r="O15" s="13" t="str">
        <f aca="false">IF(AE15=0,"",AX15)</f>
        <v/>
      </c>
      <c r="P15" s="14"/>
      <c r="Q15" s="12" t="str">
        <f aca="false">IF(AE15=0,"",IF(AG15&lt;2,"",AK15&amp;" to "&amp;AL15&amp;" on "&amp;TEXT(AI15,"dd/mm/yyyy")&amp;IF(AI15&gt;AsOfDate," (future)",IF(AN15=AO15,"",IF(AO15="None"," - STOPPED accruing",IF(AN15="None"," - commencement for Bonus Leave"," - pathway changed"))))&amp;IF(AG15&lt;3,"","; "&amp;AL15&amp;" to "&amp;AM15&amp;" on "&amp;TEXT(AJ15,"dd/mm/yyyy")&amp;IF(AJ15&gt;AsOfDate," (future)",IF(AO15=AP15,"",IF(AP15="None"," - STOPPED accruing",IF(AO15="None"," - commencement for Bonus Leave","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IF(AE15=0,"",IF(NOT(LH_Ready),"",IF(AF15&gt;PFYDate,0,IF(LH_ColPeriod=0,W15-U15+V15,SUMIFS(INDEX(LH_Data,0,LH_ColAcc),INDEX(LH_Data,0,LH_ColFirst),$A15,INDEX(LH_Data,0,LH_ColSur),$B15,INDEX(LH_Data,0,LH_ColCat),BonusCat,INDEX(LH_Data,0,LH_ColPeriod),LH_OpenLabel)*UnitFactor))))</f>
        <v/>
      </c>
      <c r="U15" s="13" t="str">
        <f aca="false">IF(AE15=0,"",IF(NOT(LH_Ready),"",SUMIFS(INDEX(LH_Data,0,LH_ColAcc),INDEX(LH_Data,0,LH_ColFirst),$A15,INDEX(LH_Data,0,LH_ColSur),$B15,INDEX(LH_Data,0,LH_ColCat),BonusCat,INDEX(LH_Data,0,LH_ColStart),"&gt;="&amp;AF15)*UnitFactor))</f>
        <v/>
      </c>
      <c r="V15" s="13" t="str">
        <f aca="false">IF(AE15=0,"",IF(NOT(LH_Ready),"",SUMIFS(INDEX(LH_Data,0,LH_ColTaken),INDEX(LH_Data,0,LH_ColFirst),$A15,INDEX(LH_Data,0,LH_ColSur),$B15,INDEX(LH_Data,0,LH_ColCat),BonusCat,INDEX(LH_Data,0,LH_ColStart),"&gt;="&amp;AF15)*UnitFactor))</f>
        <v/>
      </c>
      <c r="W15" s="13" t="str">
        <f aca="false">IF(AE15=0,"",IF(NOT(LH_Ready),"",IF(BB15=0,0,INDEX(INDEX(LH_Data,0,LH_ColClose),BB15-1)*UnitFactor)))</f>
        <v/>
      </c>
      <c r="X15" s="13" t="str">
        <f aca="false">IF(AE15=0,"",(AX15-AY15)*HoursPerDay)</f>
        <v/>
      </c>
      <c r="Y15" s="13" t="str">
        <f aca="false">IF(AE15=0,"",IF(NOT(LH_Ready),"",IF(BA15=0,N15,IF(PFYDate&lt;$F15,N15-N(T15)-N(U15),X15-N(U15)))))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 hrs more than policy since commencement",IF(N(W15)&gt;O15*HoursPerDay+0.01,"CHECK - EH balance "&amp;ROUND(W15-O15*HoursPerDay,2)&amp;" hrs more than policy entitlement",IF(O15&gt;0,"OK - nothing to add",IF(AQ15="None",R15,"Not yet - first day on "&amp;TEXT(S15,"dd/mm/yyyy")))))))))</f>
        <v/>
      </c>
      <c r="AB15" s="13" t="str">
        <f aca="false">IF(OR(AE15=0,T15=""),"",AY15*HoursPerDay-T15)</f>
        <v/>
      </c>
      <c r="AC15" s="12" t="str">
        <f aca="false">IF(AE15=0,"",BA15)</f>
        <v/>
      </c>
      <c r="AD15" s="12"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IF(AE15=0,"",IF($J15&lt;&gt;"",$J15,IF(OR(CasualCounts="Yes",COUNT($G15:$I15)=0,COUNT($G15:$H15)=0),$F15,MIN($G15:$H15))))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8"/>
      <c r="B16" s="8"/>
      <c r="C16" s="8"/>
      <c r="D16" s="9"/>
      <c r="E16" s="10" t="str">
        <f aca="false">IF(OR(AE16=0,$D16=""),"",DATE(YEAR(AsOfDate)+IF(DATE(YEAR(AsOfDate),MONTH($D16),DAY($D16))&lt;=AsOfDate,1,0),MONTH($D16),DAY($D16)))</f>
        <v/>
      </c>
      <c r="F16" s="9"/>
      <c r="G16" s="9"/>
      <c r="H16" s="9"/>
      <c r="I16" s="9"/>
      <c r="J16" s="9"/>
      <c r="K16" s="10" t="str">
        <f aca="false">IF(AE16=0,"",DATE(YEAR(AsOfDate)+IF(DATE(YEAR(AsOfDate),MONTH(AF16),DAY(AF16))&lt;=AsOfDate,1,0),MONTH(AF16),DAY(AF16)))</f>
        <v/>
      </c>
      <c r="L16" s="11" t="str">
        <f aca="false">IF(AE16=0,"",ROUND((AsOfDate-AF16)/365.25,1))</f>
        <v/>
      </c>
      <c r="M16" s="12" t="str">
        <f aca="false">IF(AE16=0,"",IF(AsOfDate&lt;AF16,"-",DATEDIF(AF16,AsOfDate,"y")&amp;"y "&amp;DATEDIF(AF16,AsOfDate,"ym")&amp;"m "&amp;DATEDIF(AF16,AsOfDate,"md")&amp;"d"))</f>
        <v/>
      </c>
      <c r="N16" s="13" t="str">
        <f aca="false">IF(AE16=0,"",O16*HoursPerDay)</f>
        <v/>
      </c>
      <c r="O16" s="13" t="str">
        <f aca="false">IF(AE16=0,"",AX16)</f>
        <v/>
      </c>
      <c r="P16" s="14"/>
      <c r="Q16" s="12" t="str">
        <f aca="false">IF(AE16=0,"",IF(AG16&lt;2,"",AK16&amp;" to "&amp;AL16&amp;" on "&amp;TEXT(AI16,"dd/mm/yyyy")&amp;IF(AI16&gt;AsOfDate," (future)",IF(AN16=AO16,"",IF(AO16="None"," - STOPPED accruing",IF(AN16="None"," - commencement for Bonus Leave"," - pathway changed"))))&amp;IF(AG16&lt;3,"","; "&amp;AL16&amp;" to "&amp;AM16&amp;" on "&amp;TEXT(AJ16,"dd/mm/yyyy")&amp;IF(AJ16&gt;AsOfDate," (future)",IF(AO16=AP16,"",IF(AP16="None"," - STOPPED accruing",IF(AO16="None"," - commencement for Bonus Leave","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IF(AE16=0,"",IF(NOT(LH_Ready),"",IF(AF16&gt;PFYDate,0,IF(LH_ColPeriod=0,W16-U16+V16,SUMIFS(INDEX(LH_Data,0,LH_ColAcc),INDEX(LH_Data,0,LH_ColFirst),$A16,INDEX(LH_Data,0,LH_ColSur),$B16,INDEX(LH_Data,0,LH_ColCat),BonusCat,INDEX(LH_Data,0,LH_ColPeriod),LH_OpenLabel)*UnitFactor))))</f>
        <v/>
      </c>
      <c r="U16" s="13" t="str">
        <f aca="false">IF(AE16=0,"",IF(NOT(LH_Ready),"",SUMIFS(INDEX(LH_Data,0,LH_ColAcc),INDEX(LH_Data,0,LH_ColFirst),$A16,INDEX(LH_Data,0,LH_ColSur),$B16,INDEX(LH_Data,0,LH_ColCat),BonusCat,INDEX(LH_Data,0,LH_ColStart),"&gt;="&amp;AF16)*UnitFactor))</f>
        <v/>
      </c>
      <c r="V16" s="13" t="str">
        <f aca="false">IF(AE16=0,"",IF(NOT(LH_Ready),"",SUMIFS(INDEX(LH_Data,0,LH_ColTaken),INDEX(LH_Data,0,LH_ColFirst),$A16,INDEX(LH_Data,0,LH_ColSur),$B16,INDEX(LH_Data,0,LH_ColCat),BonusCat,INDEX(LH_Data,0,LH_ColStart),"&gt;="&amp;AF16)*UnitFactor))</f>
        <v/>
      </c>
      <c r="W16" s="13" t="str">
        <f aca="false">IF(AE16=0,"",IF(NOT(LH_Ready),"",IF(BB16=0,0,INDEX(INDEX(LH_Data,0,LH_ColClose),BB16-1)*UnitFactor)))</f>
        <v/>
      </c>
      <c r="X16" s="13" t="str">
        <f aca="false">IF(AE16=0,"",(AX16-AY16)*HoursPerDay)</f>
        <v/>
      </c>
      <c r="Y16" s="13" t="str">
        <f aca="false">IF(AE16=0,"",IF(NOT(LH_Ready),"",IF(BA16=0,N16,IF(PFYDate&lt;$F16,N16-N(T16)-N(U16),X16-N(U16)))))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 hrs more than policy since commencement",IF(N(W16)&gt;O16*HoursPerDay+0.01,"CHECK - EH balance "&amp;ROUND(W16-O16*HoursPerDay,2)&amp;" hrs more than policy entitlement",IF(O16&gt;0,"OK - nothing to add",IF(AQ16="None",R16,"Not yet - first day on "&amp;TEXT(S16,"dd/mm/yyyy")))))))))</f>
        <v/>
      </c>
      <c r="AB16" s="13" t="str">
        <f aca="false">IF(OR(AE16=0,T16=""),"",AY16*HoursPerDay-T16)</f>
        <v/>
      </c>
      <c r="AC16" s="12" t="str">
        <f aca="false">IF(AE16=0,"",BA16)</f>
        <v/>
      </c>
      <c r="AD16" s="12"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IF(AE16=0,"",IF($J16&lt;&gt;"",$J16,IF(OR(CasualCounts="Yes",COUNT($G16:$I16)=0,COUNT($G16:$H16)=0),$F16,MIN($G16:$H16))))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8"/>
      <c r="B17" s="8"/>
      <c r="C17" s="8"/>
      <c r="D17" s="9"/>
      <c r="E17" s="10" t="str">
        <f aca="false">IF(OR(AE17=0,$D17=""),"",DATE(YEAR(AsOfDate)+IF(DATE(YEAR(AsOfDate),MONTH($D17),DAY($D17))&lt;=AsOfDate,1,0),MONTH($D17),DAY($D17)))</f>
        <v/>
      </c>
      <c r="F17" s="9"/>
      <c r="G17" s="9"/>
      <c r="H17" s="9"/>
      <c r="I17" s="9"/>
      <c r="J17" s="9"/>
      <c r="K17" s="10" t="str">
        <f aca="false">IF(AE17=0,"",DATE(YEAR(AsOfDate)+IF(DATE(YEAR(AsOfDate),MONTH(AF17),DAY(AF17))&lt;=AsOfDate,1,0),MONTH(AF17),DAY(AF17)))</f>
        <v/>
      </c>
      <c r="L17" s="11" t="str">
        <f aca="false">IF(AE17=0,"",ROUND((AsOfDate-AF17)/365.25,1))</f>
        <v/>
      </c>
      <c r="M17" s="12" t="str">
        <f aca="false">IF(AE17=0,"",IF(AsOfDate&lt;AF17,"-",DATEDIF(AF17,AsOfDate,"y")&amp;"y "&amp;DATEDIF(AF17,AsOfDate,"ym")&amp;"m "&amp;DATEDIF(AF17,AsOfDate,"md")&amp;"d"))</f>
        <v/>
      </c>
      <c r="N17" s="13" t="str">
        <f aca="false">IF(AE17=0,"",O17*HoursPerDay)</f>
        <v/>
      </c>
      <c r="O17" s="13" t="str">
        <f aca="false">IF(AE17=0,"",AX17)</f>
        <v/>
      </c>
      <c r="P17" s="14"/>
      <c r="Q17" s="12" t="str">
        <f aca="false">IF(AE17=0,"",IF(AG17&lt;2,"",AK17&amp;" to "&amp;AL17&amp;" on "&amp;TEXT(AI17,"dd/mm/yyyy")&amp;IF(AI17&gt;AsOfDate," (future)",IF(AN17=AO17,"",IF(AO17="None"," - STOPPED accruing",IF(AN17="None"," - commencement for Bonus Leave"," - pathway changed"))))&amp;IF(AG17&lt;3,"","; "&amp;AL17&amp;" to "&amp;AM17&amp;" on "&amp;TEXT(AJ17,"dd/mm/yyyy")&amp;IF(AJ17&gt;AsOfDate," (future)",IF(AO17=AP17,"",IF(AP17="None"," - STOPPED accruing",IF(AO17="None"," - commencement for Bonus Leave","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IF(AE17=0,"",IF(NOT(LH_Ready),"",IF(AF17&gt;PFYDate,0,IF(LH_ColPeriod=0,W17-U17+V17,SUMIFS(INDEX(LH_Data,0,LH_ColAcc),INDEX(LH_Data,0,LH_ColFirst),$A17,INDEX(LH_Data,0,LH_ColSur),$B17,INDEX(LH_Data,0,LH_ColCat),BonusCat,INDEX(LH_Data,0,LH_ColPeriod),LH_OpenLabel)*UnitFactor))))</f>
        <v/>
      </c>
      <c r="U17" s="13" t="str">
        <f aca="false">IF(AE17=0,"",IF(NOT(LH_Ready),"",SUMIFS(INDEX(LH_Data,0,LH_ColAcc),INDEX(LH_Data,0,LH_ColFirst),$A17,INDEX(LH_Data,0,LH_ColSur),$B17,INDEX(LH_Data,0,LH_ColCat),BonusCat,INDEX(LH_Data,0,LH_ColStart),"&gt;="&amp;AF17)*UnitFactor))</f>
        <v/>
      </c>
      <c r="V17" s="13" t="str">
        <f aca="false">IF(AE17=0,"",IF(NOT(LH_Ready),"",SUMIFS(INDEX(LH_Data,0,LH_ColTaken),INDEX(LH_Data,0,LH_ColFirst),$A17,INDEX(LH_Data,0,LH_ColSur),$B17,INDEX(LH_Data,0,LH_ColCat),BonusCat,INDEX(LH_Data,0,LH_ColStart),"&gt;="&amp;AF17)*UnitFactor))</f>
        <v/>
      </c>
      <c r="W17" s="13" t="str">
        <f aca="false">IF(AE17=0,"",IF(NOT(LH_Ready),"",IF(BB17=0,0,INDEX(INDEX(LH_Data,0,LH_ColClose),BB17-1)*UnitFactor)))</f>
        <v/>
      </c>
      <c r="X17" s="13" t="str">
        <f aca="false">IF(AE17=0,"",(AX17-AY17)*HoursPerDay)</f>
        <v/>
      </c>
      <c r="Y17" s="13" t="str">
        <f aca="false">IF(AE17=0,"",IF(NOT(LH_Ready),"",IF(BA17=0,N17,IF(PFYDate&lt;$F17,N17-N(T17)-N(U17),X17-N(U17)))))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 hrs more than policy since commencement",IF(N(W17)&gt;O17*HoursPerDay+0.01,"CHECK - EH balance "&amp;ROUND(W17-O17*HoursPerDay,2)&amp;" hrs more than policy entitlement",IF(O17&gt;0,"OK - nothing to add",IF(AQ17="None",R17,"Not yet - first day on "&amp;TEXT(S17,"dd/mm/yyyy")))))))))</f>
        <v/>
      </c>
      <c r="AB17" s="13" t="str">
        <f aca="false">IF(OR(AE17=0,T17=""),"",AY17*HoursPerDay-T17)</f>
        <v/>
      </c>
      <c r="AC17" s="12" t="str">
        <f aca="false">IF(AE17=0,"",BA17)</f>
        <v/>
      </c>
      <c r="AD17" s="12"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IF(AE17=0,"",IF($J17&lt;&gt;"",$J17,IF(OR(CasualCounts="Yes",COUNT($G17:$I17)=0,COUNT($G17:$H17)=0),$F17,MIN($G17:$H17))))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8"/>
      <c r="B18" s="8"/>
      <c r="C18" s="8"/>
      <c r="D18" s="9"/>
      <c r="E18" s="10" t="str">
        <f aca="false">IF(OR(AE18=0,$D18=""),"",DATE(YEAR(AsOfDate)+IF(DATE(YEAR(AsOfDate),MONTH($D18),DAY($D18))&lt;=AsOfDate,1,0),MONTH($D18),DAY($D18)))</f>
        <v/>
      </c>
      <c r="F18" s="9"/>
      <c r="G18" s="9"/>
      <c r="H18" s="9"/>
      <c r="I18" s="9"/>
      <c r="J18" s="9"/>
      <c r="K18" s="10" t="str">
        <f aca="false">IF(AE18=0,"",DATE(YEAR(AsOfDate)+IF(DATE(YEAR(AsOfDate),MONTH(AF18),DAY(AF18))&lt;=AsOfDate,1,0),MONTH(AF18),DAY(AF18)))</f>
        <v/>
      </c>
      <c r="L18" s="11" t="str">
        <f aca="false">IF(AE18=0,"",ROUND((AsOfDate-AF18)/365.25,1))</f>
        <v/>
      </c>
      <c r="M18" s="12" t="str">
        <f aca="false">IF(AE18=0,"",IF(AsOfDate&lt;AF18,"-",DATEDIF(AF18,AsOfDate,"y")&amp;"y "&amp;DATEDIF(AF18,AsOfDate,"ym")&amp;"m "&amp;DATEDIF(AF18,AsOfDate,"md")&amp;"d"))</f>
        <v/>
      </c>
      <c r="N18" s="13" t="str">
        <f aca="false">IF(AE18=0,"",O18*HoursPerDay)</f>
        <v/>
      </c>
      <c r="O18" s="13" t="str">
        <f aca="false">IF(AE18=0,"",AX18)</f>
        <v/>
      </c>
      <c r="P18" s="14"/>
      <c r="Q18" s="12" t="str">
        <f aca="false">IF(AE18=0,"",IF(AG18&lt;2,"",AK18&amp;" to "&amp;AL18&amp;" on "&amp;TEXT(AI18,"dd/mm/yyyy")&amp;IF(AI18&gt;AsOfDate," (future)",IF(AN18=AO18,"",IF(AO18="None"," - STOPPED accruing",IF(AN18="None"," - commencement for Bonus Leave"," - pathway changed"))))&amp;IF(AG18&lt;3,"","; "&amp;AL18&amp;" to "&amp;AM18&amp;" on "&amp;TEXT(AJ18,"dd/mm/yyyy")&amp;IF(AJ18&gt;AsOfDate," (future)",IF(AO18=AP18,"",IF(AP18="None"," - STOPPED accruing",IF(AO18="None"," - commencement for Bonus Leave","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IF(AE18=0,"",IF(NOT(LH_Ready),"",IF(AF18&gt;PFYDate,0,IF(LH_ColPeriod=0,W18-U18+V18,SUMIFS(INDEX(LH_Data,0,LH_ColAcc),INDEX(LH_Data,0,LH_ColFirst),$A18,INDEX(LH_Data,0,LH_ColSur),$B18,INDEX(LH_Data,0,LH_ColCat),BonusCat,INDEX(LH_Data,0,LH_ColPeriod),LH_OpenLabel)*UnitFactor))))</f>
        <v/>
      </c>
      <c r="U18" s="13" t="str">
        <f aca="false">IF(AE18=0,"",IF(NOT(LH_Ready),"",SUMIFS(INDEX(LH_Data,0,LH_ColAcc),INDEX(LH_Data,0,LH_ColFirst),$A18,INDEX(LH_Data,0,LH_ColSur),$B18,INDEX(LH_Data,0,LH_ColCat),BonusCat,INDEX(LH_Data,0,LH_ColStart),"&gt;="&amp;AF18)*UnitFactor))</f>
        <v/>
      </c>
      <c r="V18" s="13" t="str">
        <f aca="false">IF(AE18=0,"",IF(NOT(LH_Ready),"",SUMIFS(INDEX(LH_Data,0,LH_ColTaken),INDEX(LH_Data,0,LH_ColFirst),$A18,INDEX(LH_Data,0,LH_ColSur),$B18,INDEX(LH_Data,0,LH_ColCat),BonusCat,INDEX(LH_Data,0,LH_ColStart),"&gt;="&amp;AF18)*UnitFactor))</f>
        <v/>
      </c>
      <c r="W18" s="13" t="str">
        <f aca="false">IF(AE18=0,"",IF(NOT(LH_Ready),"",IF(BB18=0,0,INDEX(INDEX(LH_Data,0,LH_ColClose),BB18-1)*UnitFactor)))</f>
        <v/>
      </c>
      <c r="X18" s="13" t="str">
        <f aca="false">IF(AE18=0,"",(AX18-AY18)*HoursPerDay)</f>
        <v/>
      </c>
      <c r="Y18" s="13" t="str">
        <f aca="false">IF(AE18=0,"",IF(NOT(LH_Ready),"",IF(BA18=0,N18,IF(PFYDate&lt;$F18,N18-N(T18)-N(U18),X18-N(U18)))))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 hrs more than policy since commencement",IF(N(W18)&gt;O18*HoursPerDay+0.01,"CHECK - EH balance "&amp;ROUND(W18-O18*HoursPerDay,2)&amp;" hrs more than policy entitlement",IF(O18&gt;0,"OK - nothing to add",IF(AQ18="None",R18,"Not yet - first day on "&amp;TEXT(S18,"dd/mm/yyyy")))))))))</f>
        <v/>
      </c>
      <c r="AB18" s="13" t="str">
        <f aca="false">IF(OR(AE18=0,T18=""),"",AY18*HoursPerDay-T18)</f>
        <v/>
      </c>
      <c r="AC18" s="12" t="str">
        <f aca="false">IF(AE18=0,"",BA18)</f>
        <v/>
      </c>
      <c r="AD18" s="12"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IF(AE18=0,"",IF($J18&lt;&gt;"",$J18,IF(OR(CasualCounts="Yes",COUNT($G18:$I18)=0,COUNT($G18:$H18)=0),$F18,MIN($G18:$H18))))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8"/>
      <c r="B19" s="8"/>
      <c r="C19" s="8"/>
      <c r="D19" s="9"/>
      <c r="E19" s="10" t="str">
        <f aca="false">IF(OR(AE19=0,$D19=""),"",DATE(YEAR(AsOfDate)+IF(DATE(YEAR(AsOfDate),MONTH($D19),DAY($D19))&lt;=AsOfDate,1,0),MONTH($D19),DAY($D19)))</f>
        <v/>
      </c>
      <c r="F19" s="9"/>
      <c r="G19" s="9"/>
      <c r="H19" s="9"/>
      <c r="I19" s="9"/>
      <c r="J19" s="9"/>
      <c r="K19" s="10" t="str">
        <f aca="false">IF(AE19=0,"",DATE(YEAR(AsOfDate)+IF(DATE(YEAR(AsOfDate),MONTH(AF19),DAY(AF19))&lt;=AsOfDate,1,0),MONTH(AF19),DAY(AF19)))</f>
        <v/>
      </c>
      <c r="L19" s="11" t="str">
        <f aca="false">IF(AE19=0,"",ROUND((AsOfDate-AF19)/365.25,1))</f>
        <v/>
      </c>
      <c r="M19" s="12" t="str">
        <f aca="false">IF(AE19=0,"",IF(AsOfDate&lt;AF19,"-",DATEDIF(AF19,AsOfDate,"y")&amp;"y "&amp;DATEDIF(AF19,AsOfDate,"ym")&amp;"m "&amp;DATEDIF(AF19,AsOfDate,"md")&amp;"d"))</f>
        <v/>
      </c>
      <c r="N19" s="13" t="str">
        <f aca="false">IF(AE19=0,"",O19*HoursPerDay)</f>
        <v/>
      </c>
      <c r="O19" s="13" t="str">
        <f aca="false">IF(AE19=0,"",AX19)</f>
        <v/>
      </c>
      <c r="P19" s="14"/>
      <c r="Q19" s="12" t="str">
        <f aca="false">IF(AE19=0,"",IF(AG19&lt;2,"",AK19&amp;" to "&amp;AL19&amp;" on "&amp;TEXT(AI19,"dd/mm/yyyy")&amp;IF(AI19&gt;AsOfDate," (future)",IF(AN19=AO19,"",IF(AO19="None"," - STOPPED accruing",IF(AN19="None"," - commencement for Bonus Leave"," - pathway changed"))))&amp;IF(AG19&lt;3,"","; "&amp;AL19&amp;" to "&amp;AM19&amp;" on "&amp;TEXT(AJ19,"dd/mm/yyyy")&amp;IF(AJ19&gt;AsOfDate," (future)",IF(AO19=AP19,"",IF(AP19="None"," - STOPPED accruing",IF(AO19="None"," - commencement for Bonus Leave","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IF(AE19=0,"",IF(NOT(LH_Ready),"",IF(AF19&gt;PFYDate,0,IF(LH_ColPeriod=0,W19-U19+V19,SUMIFS(INDEX(LH_Data,0,LH_ColAcc),INDEX(LH_Data,0,LH_ColFirst),$A19,INDEX(LH_Data,0,LH_ColSur),$B19,INDEX(LH_Data,0,LH_ColCat),BonusCat,INDEX(LH_Data,0,LH_ColPeriod),LH_OpenLabel)*UnitFactor))))</f>
        <v/>
      </c>
      <c r="U19" s="13" t="str">
        <f aca="false">IF(AE19=0,"",IF(NOT(LH_Ready),"",SUMIFS(INDEX(LH_Data,0,LH_ColAcc),INDEX(LH_Data,0,LH_ColFirst),$A19,INDEX(LH_Data,0,LH_ColSur),$B19,INDEX(LH_Data,0,LH_ColCat),BonusCat,INDEX(LH_Data,0,LH_ColStart),"&gt;="&amp;AF19)*UnitFactor))</f>
        <v/>
      </c>
      <c r="V19" s="13" t="str">
        <f aca="false">IF(AE19=0,"",IF(NOT(LH_Ready),"",SUMIFS(INDEX(LH_Data,0,LH_ColTaken),INDEX(LH_Data,0,LH_ColFirst),$A19,INDEX(LH_Data,0,LH_ColSur),$B19,INDEX(LH_Data,0,LH_ColCat),BonusCat,INDEX(LH_Data,0,LH_ColStart),"&gt;="&amp;AF19)*UnitFactor))</f>
        <v/>
      </c>
      <c r="W19" s="13" t="str">
        <f aca="false">IF(AE19=0,"",IF(NOT(LH_Ready),"",IF(BB19=0,0,INDEX(INDEX(LH_Data,0,LH_ColClose),BB19-1)*UnitFactor)))</f>
        <v/>
      </c>
      <c r="X19" s="13" t="str">
        <f aca="false">IF(AE19=0,"",(AX19-AY19)*HoursPerDay)</f>
        <v/>
      </c>
      <c r="Y19" s="13" t="str">
        <f aca="false">IF(AE19=0,"",IF(NOT(LH_Ready),"",IF(BA19=0,N19,IF(PFYDate&lt;$F19,N19-N(T19)-N(U19),X19-N(U19)))))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 hrs more than policy since commencement",IF(N(W19)&gt;O19*HoursPerDay+0.01,"CHECK - EH balance "&amp;ROUND(W19-O19*HoursPerDay,2)&amp;" hrs more than policy entitlement",IF(O19&gt;0,"OK - nothing to add",IF(AQ19="None",R19,"Not yet - first day on "&amp;TEXT(S19,"dd/mm/yyyy")))))))))</f>
        <v/>
      </c>
      <c r="AB19" s="13" t="str">
        <f aca="false">IF(OR(AE19=0,T19=""),"",AY19*HoursPerDay-T19)</f>
        <v/>
      </c>
      <c r="AC19" s="12" t="str">
        <f aca="false">IF(AE19=0,"",BA19)</f>
        <v/>
      </c>
      <c r="AD19" s="12"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IF(AE19=0,"",IF($J19&lt;&gt;"",$J19,IF(OR(CasualCounts="Yes",COUNT($G19:$I19)=0,COUNT($G19:$H19)=0),$F19,MIN($G19:$H19))))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8"/>
      <c r="B20" s="8"/>
      <c r="C20" s="8"/>
      <c r="D20" s="9"/>
      <c r="E20" s="10" t="str">
        <f aca="false">IF(OR(AE20=0,$D20=""),"",DATE(YEAR(AsOfDate)+IF(DATE(YEAR(AsOfDate),MONTH($D20),DAY($D20))&lt;=AsOfDate,1,0),MONTH($D20),DAY($D20)))</f>
        <v/>
      </c>
      <c r="F20" s="9"/>
      <c r="G20" s="9"/>
      <c r="H20" s="9"/>
      <c r="I20" s="9"/>
      <c r="J20" s="9"/>
      <c r="K20" s="10" t="str">
        <f aca="false">IF(AE20=0,"",DATE(YEAR(AsOfDate)+IF(DATE(YEAR(AsOfDate),MONTH(AF20),DAY(AF20))&lt;=AsOfDate,1,0),MONTH(AF20),DAY(AF20)))</f>
        <v/>
      </c>
      <c r="L20" s="11" t="str">
        <f aca="false">IF(AE20=0,"",ROUND((AsOfDate-AF20)/365.25,1))</f>
        <v/>
      </c>
      <c r="M20" s="12" t="str">
        <f aca="false">IF(AE20=0,"",IF(AsOfDate&lt;AF20,"-",DATEDIF(AF20,AsOfDate,"y")&amp;"y "&amp;DATEDIF(AF20,AsOfDate,"ym")&amp;"m "&amp;DATEDIF(AF20,AsOfDate,"md")&amp;"d"))</f>
        <v/>
      </c>
      <c r="N20" s="13" t="str">
        <f aca="false">IF(AE20=0,"",O20*HoursPerDay)</f>
        <v/>
      </c>
      <c r="O20" s="13" t="str">
        <f aca="false">IF(AE20=0,"",AX20)</f>
        <v/>
      </c>
      <c r="P20" s="14"/>
      <c r="Q20" s="12" t="str">
        <f aca="false">IF(AE20=0,"",IF(AG20&lt;2,"",AK20&amp;" to "&amp;AL20&amp;" on "&amp;TEXT(AI20,"dd/mm/yyyy")&amp;IF(AI20&gt;AsOfDate," (future)",IF(AN20=AO20,"",IF(AO20="None"," - STOPPED accruing",IF(AN20="None"," - commencement for Bonus Leave"," - pathway changed"))))&amp;IF(AG20&lt;3,"","; "&amp;AL20&amp;" to "&amp;AM20&amp;" on "&amp;TEXT(AJ20,"dd/mm/yyyy")&amp;IF(AJ20&gt;AsOfDate," (future)",IF(AO20=AP20,"",IF(AP20="None"," - STOPPED accruing",IF(AO20="None"," - commencement for Bonus Leave","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IF(AE20=0,"",IF(NOT(LH_Ready),"",IF(AF20&gt;PFYDate,0,IF(LH_ColPeriod=0,W20-U20+V20,SUMIFS(INDEX(LH_Data,0,LH_ColAcc),INDEX(LH_Data,0,LH_ColFirst),$A20,INDEX(LH_Data,0,LH_ColSur),$B20,INDEX(LH_Data,0,LH_ColCat),BonusCat,INDEX(LH_Data,0,LH_ColPeriod),LH_OpenLabel)*UnitFactor))))</f>
        <v/>
      </c>
      <c r="U20" s="13" t="str">
        <f aca="false">IF(AE20=0,"",IF(NOT(LH_Ready),"",SUMIFS(INDEX(LH_Data,0,LH_ColAcc),INDEX(LH_Data,0,LH_ColFirst),$A20,INDEX(LH_Data,0,LH_ColSur),$B20,INDEX(LH_Data,0,LH_ColCat),BonusCat,INDEX(LH_Data,0,LH_ColStart),"&gt;="&amp;AF20)*UnitFactor))</f>
        <v/>
      </c>
      <c r="V20" s="13" t="str">
        <f aca="false">IF(AE20=0,"",IF(NOT(LH_Ready),"",SUMIFS(INDEX(LH_Data,0,LH_ColTaken),INDEX(LH_Data,0,LH_ColFirst),$A20,INDEX(LH_Data,0,LH_ColSur),$B20,INDEX(LH_Data,0,LH_ColCat),BonusCat,INDEX(LH_Data,0,LH_ColStart),"&gt;="&amp;AF20)*UnitFactor))</f>
        <v/>
      </c>
      <c r="W20" s="13" t="str">
        <f aca="false">IF(AE20=0,"",IF(NOT(LH_Ready),"",IF(BB20=0,0,INDEX(INDEX(LH_Data,0,LH_ColClose),BB20-1)*UnitFactor)))</f>
        <v/>
      </c>
      <c r="X20" s="13" t="str">
        <f aca="false">IF(AE20=0,"",(AX20-AY20)*HoursPerDay)</f>
        <v/>
      </c>
      <c r="Y20" s="13" t="str">
        <f aca="false">IF(AE20=0,"",IF(NOT(LH_Ready),"",IF(BA20=0,N20,IF(PFYDate&lt;$F20,N20-N(T20)-N(U20),X20-N(U20)))))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 hrs more than policy since commencement",IF(N(W20)&gt;O20*HoursPerDay+0.01,"CHECK - EH balance "&amp;ROUND(W20-O20*HoursPerDay,2)&amp;" hrs more than policy entitlement",IF(O20&gt;0,"OK - nothing to add",IF(AQ20="None",R20,"Not yet - first day on "&amp;TEXT(S20,"dd/mm/yyyy")))))))))</f>
        <v/>
      </c>
      <c r="AB20" s="13" t="str">
        <f aca="false">IF(OR(AE20=0,T20=""),"",AY20*HoursPerDay-T20)</f>
        <v/>
      </c>
      <c r="AC20" s="12" t="str">
        <f aca="false">IF(AE20=0,"",BA20)</f>
        <v/>
      </c>
      <c r="AD20" s="12"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IF(AE20=0,"",IF($J20&lt;&gt;"",$J20,IF(OR(CasualCounts="Yes",COUNT($G20:$I20)=0,COUNT($G20:$H20)=0),$F20,MIN($G20:$H20))))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8"/>
      <c r="B21" s="8"/>
      <c r="C21" s="8"/>
      <c r="D21" s="9"/>
      <c r="E21" s="10" t="str">
        <f aca="false">IF(OR(AE21=0,$D21=""),"",DATE(YEAR(AsOfDate)+IF(DATE(YEAR(AsOfDate),MONTH($D21),DAY($D21))&lt;=AsOfDate,1,0),MONTH($D21),DAY($D21)))</f>
        <v/>
      </c>
      <c r="F21" s="9"/>
      <c r="G21" s="9"/>
      <c r="H21" s="9"/>
      <c r="I21" s="9"/>
      <c r="J21" s="9"/>
      <c r="K21" s="10" t="str">
        <f aca="false">IF(AE21=0,"",DATE(YEAR(AsOfDate)+IF(DATE(YEAR(AsOfDate),MONTH(AF21),DAY(AF21))&lt;=AsOfDate,1,0),MONTH(AF21),DAY(AF21)))</f>
        <v/>
      </c>
      <c r="L21" s="11" t="str">
        <f aca="false">IF(AE21=0,"",ROUND((AsOfDate-AF21)/365.25,1))</f>
        <v/>
      </c>
      <c r="M21" s="12" t="str">
        <f aca="false">IF(AE21=0,"",IF(AsOfDate&lt;AF21,"-",DATEDIF(AF21,AsOfDate,"y")&amp;"y "&amp;DATEDIF(AF21,AsOfDate,"ym")&amp;"m "&amp;DATEDIF(AF21,AsOfDate,"md")&amp;"d"))</f>
        <v/>
      </c>
      <c r="N21" s="13" t="str">
        <f aca="false">IF(AE21=0,"",O21*HoursPerDay)</f>
        <v/>
      </c>
      <c r="O21" s="13" t="str">
        <f aca="false">IF(AE21=0,"",AX21)</f>
        <v/>
      </c>
      <c r="P21" s="14"/>
      <c r="Q21" s="12" t="str">
        <f aca="false">IF(AE21=0,"",IF(AG21&lt;2,"",AK21&amp;" to "&amp;AL21&amp;" on "&amp;TEXT(AI21,"dd/mm/yyyy")&amp;IF(AI21&gt;AsOfDate," (future)",IF(AN21=AO21,"",IF(AO21="None"," - STOPPED accruing",IF(AN21="None"," - commencement for Bonus Leave"," - pathway changed"))))&amp;IF(AG21&lt;3,"","; "&amp;AL21&amp;" to "&amp;AM21&amp;" on "&amp;TEXT(AJ21,"dd/mm/yyyy")&amp;IF(AJ21&gt;AsOfDate," (future)",IF(AO21=AP21,"",IF(AP21="None"," - STOPPED accruing",IF(AO21="None"," - commencement for Bonus Leave","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IF(AE21=0,"",IF(NOT(LH_Ready),"",IF(AF21&gt;PFYDate,0,IF(LH_ColPeriod=0,W21-U21+V21,SUMIFS(INDEX(LH_Data,0,LH_ColAcc),INDEX(LH_Data,0,LH_ColFirst),$A21,INDEX(LH_Data,0,LH_ColSur),$B21,INDEX(LH_Data,0,LH_ColCat),BonusCat,INDEX(LH_Data,0,LH_ColPeriod),LH_OpenLabel)*UnitFactor))))</f>
        <v/>
      </c>
      <c r="U21" s="13" t="str">
        <f aca="false">IF(AE21=0,"",IF(NOT(LH_Ready),"",SUMIFS(INDEX(LH_Data,0,LH_ColAcc),INDEX(LH_Data,0,LH_ColFirst),$A21,INDEX(LH_Data,0,LH_ColSur),$B21,INDEX(LH_Data,0,LH_ColCat),BonusCat,INDEX(LH_Data,0,LH_ColStart),"&gt;="&amp;AF21)*UnitFactor))</f>
        <v/>
      </c>
      <c r="V21" s="13" t="str">
        <f aca="false">IF(AE21=0,"",IF(NOT(LH_Ready),"",SUMIFS(INDEX(LH_Data,0,LH_ColTaken),INDEX(LH_Data,0,LH_ColFirst),$A21,INDEX(LH_Data,0,LH_ColSur),$B21,INDEX(LH_Data,0,LH_ColCat),BonusCat,INDEX(LH_Data,0,LH_ColStart),"&gt;="&amp;AF21)*UnitFactor))</f>
        <v/>
      </c>
      <c r="W21" s="13" t="str">
        <f aca="false">IF(AE21=0,"",IF(NOT(LH_Ready),"",IF(BB21=0,0,INDEX(INDEX(LH_Data,0,LH_ColClose),BB21-1)*UnitFactor)))</f>
        <v/>
      </c>
      <c r="X21" s="13" t="str">
        <f aca="false">IF(AE21=0,"",(AX21-AY21)*HoursPerDay)</f>
        <v/>
      </c>
      <c r="Y21" s="13" t="str">
        <f aca="false">IF(AE21=0,"",IF(NOT(LH_Ready),"",IF(BA21=0,N21,IF(PFYDate&lt;$F21,N21-N(T21)-N(U21),X21-N(U21)))))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 hrs more than policy since commencement",IF(N(W21)&gt;O21*HoursPerDay+0.01,"CHECK - EH balance "&amp;ROUND(W21-O21*HoursPerDay,2)&amp;" hrs more than policy entitlement",IF(O21&gt;0,"OK - nothing to add",IF(AQ21="None",R21,"Not yet - first day on "&amp;TEXT(S21,"dd/mm/yyyy")))))))))</f>
        <v/>
      </c>
      <c r="AB21" s="13" t="str">
        <f aca="false">IF(OR(AE21=0,T21=""),"",AY21*HoursPerDay-T21)</f>
        <v/>
      </c>
      <c r="AC21" s="12" t="str">
        <f aca="false">IF(AE21=0,"",BA21)</f>
        <v/>
      </c>
      <c r="AD21" s="12"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IF(AE21=0,"",IF($J21&lt;&gt;"",$J21,IF(OR(CasualCounts="Yes",COUNT($G21:$I21)=0,COUNT($G21:$H21)=0),$F21,MIN($G21:$H21))))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8"/>
      <c r="B22" s="8"/>
      <c r="C22" s="8"/>
      <c r="D22" s="9"/>
      <c r="E22" s="10" t="str">
        <f aca="false">IF(OR(AE22=0,$D22=""),"",DATE(YEAR(AsOfDate)+IF(DATE(YEAR(AsOfDate),MONTH($D22),DAY($D22))&lt;=AsOfDate,1,0),MONTH($D22),DAY($D22)))</f>
        <v/>
      </c>
      <c r="F22" s="9"/>
      <c r="G22" s="9"/>
      <c r="H22" s="9"/>
      <c r="I22" s="9"/>
      <c r="J22" s="9"/>
      <c r="K22" s="10" t="str">
        <f aca="false">IF(AE22=0,"",DATE(YEAR(AsOfDate)+IF(DATE(YEAR(AsOfDate),MONTH(AF22),DAY(AF22))&lt;=AsOfDate,1,0),MONTH(AF22),DAY(AF22)))</f>
        <v/>
      </c>
      <c r="L22" s="11" t="str">
        <f aca="false">IF(AE22=0,"",ROUND((AsOfDate-AF22)/365.25,1))</f>
        <v/>
      </c>
      <c r="M22" s="12" t="str">
        <f aca="false">IF(AE22=0,"",IF(AsOfDate&lt;AF22,"-",DATEDIF(AF22,AsOfDate,"y")&amp;"y "&amp;DATEDIF(AF22,AsOfDate,"ym")&amp;"m "&amp;DATEDIF(AF22,AsOfDate,"md")&amp;"d"))</f>
        <v/>
      </c>
      <c r="N22" s="13" t="str">
        <f aca="false">IF(AE22=0,"",O22*HoursPerDay)</f>
        <v/>
      </c>
      <c r="O22" s="13" t="str">
        <f aca="false">IF(AE22=0,"",AX22)</f>
        <v/>
      </c>
      <c r="P22" s="14"/>
      <c r="Q22" s="12" t="str">
        <f aca="false">IF(AE22=0,"",IF(AG22&lt;2,"",AK22&amp;" to "&amp;AL22&amp;" on "&amp;TEXT(AI22,"dd/mm/yyyy")&amp;IF(AI22&gt;AsOfDate," (future)",IF(AN22=AO22,"",IF(AO22="None"," - STOPPED accruing",IF(AN22="None"," - commencement for Bonus Leave"," - pathway changed"))))&amp;IF(AG22&lt;3,"","; "&amp;AL22&amp;" to "&amp;AM22&amp;" on "&amp;TEXT(AJ22,"dd/mm/yyyy")&amp;IF(AJ22&gt;AsOfDate," (future)",IF(AO22=AP22,"",IF(AP22="None"," - STOPPED accruing",IF(AO22="None"," - commencement for Bonus Leave","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IF(AE22=0,"",IF(NOT(LH_Ready),"",IF(AF22&gt;PFYDate,0,IF(LH_ColPeriod=0,W22-U22+V22,SUMIFS(INDEX(LH_Data,0,LH_ColAcc),INDEX(LH_Data,0,LH_ColFirst),$A22,INDEX(LH_Data,0,LH_ColSur),$B22,INDEX(LH_Data,0,LH_ColCat),BonusCat,INDEX(LH_Data,0,LH_ColPeriod),LH_OpenLabel)*UnitFactor))))</f>
        <v/>
      </c>
      <c r="U22" s="13" t="str">
        <f aca="false">IF(AE22=0,"",IF(NOT(LH_Ready),"",SUMIFS(INDEX(LH_Data,0,LH_ColAcc),INDEX(LH_Data,0,LH_ColFirst),$A22,INDEX(LH_Data,0,LH_ColSur),$B22,INDEX(LH_Data,0,LH_ColCat),BonusCat,INDEX(LH_Data,0,LH_ColStart),"&gt;="&amp;AF22)*UnitFactor))</f>
        <v/>
      </c>
      <c r="V22" s="13" t="str">
        <f aca="false">IF(AE22=0,"",IF(NOT(LH_Ready),"",SUMIFS(INDEX(LH_Data,0,LH_ColTaken),INDEX(LH_Data,0,LH_ColFirst),$A22,INDEX(LH_Data,0,LH_ColSur),$B22,INDEX(LH_Data,0,LH_ColCat),BonusCat,INDEX(LH_Data,0,LH_ColStart),"&gt;="&amp;AF22)*UnitFactor))</f>
        <v/>
      </c>
      <c r="W22" s="13" t="str">
        <f aca="false">IF(AE22=0,"",IF(NOT(LH_Ready),"",IF(BB22=0,0,INDEX(INDEX(LH_Data,0,LH_ColClose),BB22-1)*UnitFactor)))</f>
        <v/>
      </c>
      <c r="X22" s="13" t="str">
        <f aca="false">IF(AE22=0,"",(AX22-AY22)*HoursPerDay)</f>
        <v/>
      </c>
      <c r="Y22" s="13" t="str">
        <f aca="false">IF(AE22=0,"",IF(NOT(LH_Ready),"",IF(BA22=0,N22,IF(PFYDate&lt;$F22,N22-N(T22)-N(U22),X22-N(U22)))))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 hrs more than policy since commencement",IF(N(W22)&gt;O22*HoursPerDay+0.01,"CHECK - EH balance "&amp;ROUND(W22-O22*HoursPerDay,2)&amp;" hrs more than policy entitlement",IF(O22&gt;0,"OK - nothing to add",IF(AQ22="None",R22,"Not yet - first day on "&amp;TEXT(S22,"dd/mm/yyyy")))))))))</f>
        <v/>
      </c>
      <c r="AB22" s="13" t="str">
        <f aca="false">IF(OR(AE22=0,T22=""),"",AY22*HoursPerDay-T22)</f>
        <v/>
      </c>
      <c r="AC22" s="12" t="str">
        <f aca="false">IF(AE22=0,"",BA22)</f>
        <v/>
      </c>
      <c r="AD22" s="12"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IF(AE22=0,"",IF($J22&lt;&gt;"",$J22,IF(OR(CasualCounts="Yes",COUNT($G22:$I22)=0,COUNT($G22:$H22)=0),$F22,MIN($G22:$H22))))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8"/>
      <c r="B23" s="8"/>
      <c r="C23" s="8"/>
      <c r="D23" s="9"/>
      <c r="E23" s="10" t="str">
        <f aca="false">IF(OR(AE23=0,$D23=""),"",DATE(YEAR(AsOfDate)+IF(DATE(YEAR(AsOfDate),MONTH($D23),DAY($D23))&lt;=AsOfDate,1,0),MONTH($D23),DAY($D23)))</f>
        <v/>
      </c>
      <c r="F23" s="9"/>
      <c r="G23" s="9"/>
      <c r="H23" s="9"/>
      <c r="I23" s="9"/>
      <c r="J23" s="9"/>
      <c r="K23" s="10" t="str">
        <f aca="false">IF(AE23=0,"",DATE(YEAR(AsOfDate)+IF(DATE(YEAR(AsOfDate),MONTH(AF23),DAY(AF23))&lt;=AsOfDate,1,0),MONTH(AF23),DAY(AF23)))</f>
        <v/>
      </c>
      <c r="L23" s="11" t="str">
        <f aca="false">IF(AE23=0,"",ROUND((AsOfDate-AF23)/365.25,1))</f>
        <v/>
      </c>
      <c r="M23" s="12" t="str">
        <f aca="false">IF(AE23=0,"",IF(AsOfDate&lt;AF23,"-",DATEDIF(AF23,AsOfDate,"y")&amp;"y "&amp;DATEDIF(AF23,AsOfDate,"ym")&amp;"m "&amp;DATEDIF(AF23,AsOfDate,"md")&amp;"d"))</f>
        <v/>
      </c>
      <c r="N23" s="13" t="str">
        <f aca="false">IF(AE23=0,"",O23*HoursPerDay)</f>
        <v/>
      </c>
      <c r="O23" s="13" t="str">
        <f aca="false">IF(AE23=0,"",AX23)</f>
        <v/>
      </c>
      <c r="P23" s="14"/>
      <c r="Q23" s="12" t="str">
        <f aca="false">IF(AE23=0,"",IF(AG23&lt;2,"",AK23&amp;" to "&amp;AL23&amp;" on "&amp;TEXT(AI23,"dd/mm/yyyy")&amp;IF(AI23&gt;AsOfDate," (future)",IF(AN23=AO23,"",IF(AO23="None"," - STOPPED accruing",IF(AN23="None"," - commencement for Bonus Leave"," - pathway changed"))))&amp;IF(AG23&lt;3,"","; "&amp;AL23&amp;" to "&amp;AM23&amp;" on "&amp;TEXT(AJ23,"dd/mm/yyyy")&amp;IF(AJ23&gt;AsOfDate," (future)",IF(AO23=AP23,"",IF(AP23="None"," - STOPPED accruing",IF(AO23="None"," - commencement for Bonus Leave","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IF(AE23=0,"",IF(NOT(LH_Ready),"",IF(AF23&gt;PFYDate,0,IF(LH_ColPeriod=0,W23-U23+V23,SUMIFS(INDEX(LH_Data,0,LH_ColAcc),INDEX(LH_Data,0,LH_ColFirst),$A23,INDEX(LH_Data,0,LH_ColSur),$B23,INDEX(LH_Data,0,LH_ColCat),BonusCat,INDEX(LH_Data,0,LH_ColPeriod),LH_OpenLabel)*UnitFactor))))</f>
        <v/>
      </c>
      <c r="U23" s="13" t="str">
        <f aca="false">IF(AE23=0,"",IF(NOT(LH_Ready),"",SUMIFS(INDEX(LH_Data,0,LH_ColAcc),INDEX(LH_Data,0,LH_ColFirst),$A23,INDEX(LH_Data,0,LH_ColSur),$B23,INDEX(LH_Data,0,LH_ColCat),BonusCat,INDEX(LH_Data,0,LH_ColStart),"&gt;="&amp;AF23)*UnitFactor))</f>
        <v/>
      </c>
      <c r="V23" s="13" t="str">
        <f aca="false">IF(AE23=0,"",IF(NOT(LH_Ready),"",SUMIFS(INDEX(LH_Data,0,LH_ColTaken),INDEX(LH_Data,0,LH_ColFirst),$A23,INDEX(LH_Data,0,LH_ColSur),$B23,INDEX(LH_Data,0,LH_ColCat),BonusCat,INDEX(LH_Data,0,LH_ColStart),"&gt;="&amp;AF23)*UnitFactor))</f>
        <v/>
      </c>
      <c r="W23" s="13" t="str">
        <f aca="false">IF(AE23=0,"",IF(NOT(LH_Ready),"",IF(BB23=0,0,INDEX(INDEX(LH_Data,0,LH_ColClose),BB23-1)*UnitFactor)))</f>
        <v/>
      </c>
      <c r="X23" s="13" t="str">
        <f aca="false">IF(AE23=0,"",(AX23-AY23)*HoursPerDay)</f>
        <v/>
      </c>
      <c r="Y23" s="13" t="str">
        <f aca="false">IF(AE23=0,"",IF(NOT(LH_Ready),"",IF(BA23=0,N23,IF(PFYDate&lt;$F23,N23-N(T23)-N(U23),X23-N(U23)))))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 hrs more than policy since commencement",IF(N(W23)&gt;O23*HoursPerDay+0.01,"CHECK - EH balance "&amp;ROUND(W23-O23*HoursPerDay,2)&amp;" hrs more than policy entitlement",IF(O23&gt;0,"OK - nothing to add",IF(AQ23="None",R23,"Not yet - first day on "&amp;TEXT(S23,"dd/mm/yyyy")))))))))</f>
        <v/>
      </c>
      <c r="AB23" s="13" t="str">
        <f aca="false">IF(OR(AE23=0,T23=""),"",AY23*HoursPerDay-T23)</f>
        <v/>
      </c>
      <c r="AC23" s="12" t="str">
        <f aca="false">IF(AE23=0,"",BA23)</f>
        <v/>
      </c>
      <c r="AD23" s="12"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IF(AE23=0,"",IF($J23&lt;&gt;"",$J23,IF(OR(CasualCounts="Yes",COUNT($G23:$I23)=0,COUNT($G23:$H23)=0),$F23,MIN($G23:$H23))))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8"/>
      <c r="B24" s="8"/>
      <c r="C24" s="8"/>
      <c r="D24" s="9"/>
      <c r="E24" s="10" t="str">
        <f aca="false">IF(OR(AE24=0,$D24=""),"",DATE(YEAR(AsOfDate)+IF(DATE(YEAR(AsOfDate),MONTH($D24),DAY($D24))&lt;=AsOfDate,1,0),MONTH($D24),DAY($D24)))</f>
        <v/>
      </c>
      <c r="F24" s="9"/>
      <c r="G24" s="9"/>
      <c r="H24" s="9"/>
      <c r="I24" s="9"/>
      <c r="J24" s="9"/>
      <c r="K24" s="10" t="str">
        <f aca="false">IF(AE24=0,"",DATE(YEAR(AsOfDate)+IF(DATE(YEAR(AsOfDate),MONTH(AF24),DAY(AF24))&lt;=AsOfDate,1,0),MONTH(AF24),DAY(AF24)))</f>
        <v/>
      </c>
      <c r="L24" s="11" t="str">
        <f aca="false">IF(AE24=0,"",ROUND((AsOfDate-AF24)/365.25,1))</f>
        <v/>
      </c>
      <c r="M24" s="12" t="str">
        <f aca="false">IF(AE24=0,"",IF(AsOfDate&lt;AF24,"-",DATEDIF(AF24,AsOfDate,"y")&amp;"y "&amp;DATEDIF(AF24,AsOfDate,"ym")&amp;"m "&amp;DATEDIF(AF24,AsOfDate,"md")&amp;"d"))</f>
        <v/>
      </c>
      <c r="N24" s="13" t="str">
        <f aca="false">IF(AE24=0,"",O24*HoursPerDay)</f>
        <v/>
      </c>
      <c r="O24" s="13" t="str">
        <f aca="false">IF(AE24=0,"",AX24)</f>
        <v/>
      </c>
      <c r="P24" s="14"/>
      <c r="Q24" s="12" t="str">
        <f aca="false">IF(AE24=0,"",IF(AG24&lt;2,"",AK24&amp;" to "&amp;AL24&amp;" on "&amp;TEXT(AI24,"dd/mm/yyyy")&amp;IF(AI24&gt;AsOfDate," (future)",IF(AN24=AO24,"",IF(AO24="None"," - STOPPED accruing",IF(AN24="None"," - commencement for Bonus Leave"," - pathway changed"))))&amp;IF(AG24&lt;3,"","; "&amp;AL24&amp;" to "&amp;AM24&amp;" on "&amp;TEXT(AJ24,"dd/mm/yyyy")&amp;IF(AJ24&gt;AsOfDate," (future)",IF(AO24=AP24,"",IF(AP24="None"," - STOPPED accruing",IF(AO24="None"," - commencement for Bonus Leave","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IF(AE24=0,"",IF(NOT(LH_Ready),"",IF(AF24&gt;PFYDate,0,IF(LH_ColPeriod=0,W24-U24+V24,SUMIFS(INDEX(LH_Data,0,LH_ColAcc),INDEX(LH_Data,0,LH_ColFirst),$A24,INDEX(LH_Data,0,LH_ColSur),$B24,INDEX(LH_Data,0,LH_ColCat),BonusCat,INDEX(LH_Data,0,LH_ColPeriod),LH_OpenLabel)*UnitFactor))))</f>
        <v/>
      </c>
      <c r="U24" s="13" t="str">
        <f aca="false">IF(AE24=0,"",IF(NOT(LH_Ready),"",SUMIFS(INDEX(LH_Data,0,LH_ColAcc),INDEX(LH_Data,0,LH_ColFirst),$A24,INDEX(LH_Data,0,LH_ColSur),$B24,INDEX(LH_Data,0,LH_ColCat),BonusCat,INDEX(LH_Data,0,LH_ColStart),"&gt;="&amp;AF24)*UnitFactor))</f>
        <v/>
      </c>
      <c r="V24" s="13" t="str">
        <f aca="false">IF(AE24=0,"",IF(NOT(LH_Ready),"",SUMIFS(INDEX(LH_Data,0,LH_ColTaken),INDEX(LH_Data,0,LH_ColFirst),$A24,INDEX(LH_Data,0,LH_ColSur),$B24,INDEX(LH_Data,0,LH_ColCat),BonusCat,INDEX(LH_Data,0,LH_ColStart),"&gt;="&amp;AF24)*UnitFactor))</f>
        <v/>
      </c>
      <c r="W24" s="13" t="str">
        <f aca="false">IF(AE24=0,"",IF(NOT(LH_Ready),"",IF(BB24=0,0,INDEX(INDEX(LH_Data,0,LH_ColClose),BB24-1)*UnitFactor)))</f>
        <v/>
      </c>
      <c r="X24" s="13" t="str">
        <f aca="false">IF(AE24=0,"",(AX24-AY24)*HoursPerDay)</f>
        <v/>
      </c>
      <c r="Y24" s="13" t="str">
        <f aca="false">IF(AE24=0,"",IF(NOT(LH_Ready),"",IF(BA24=0,N24,IF(PFYDate&lt;$F24,N24-N(T24)-N(U24),X24-N(U24)))))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 hrs more than policy since commencement",IF(N(W24)&gt;O24*HoursPerDay+0.01,"CHECK - EH balance "&amp;ROUND(W24-O24*HoursPerDay,2)&amp;" hrs more than policy entitlement",IF(O24&gt;0,"OK - nothing to add",IF(AQ24="None",R24,"Not yet - first day on "&amp;TEXT(S24,"dd/mm/yyyy")))))))))</f>
        <v/>
      </c>
      <c r="AB24" s="13" t="str">
        <f aca="false">IF(OR(AE24=0,T24=""),"",AY24*HoursPerDay-T24)</f>
        <v/>
      </c>
      <c r="AC24" s="12" t="str">
        <f aca="false">IF(AE24=0,"",BA24)</f>
        <v/>
      </c>
      <c r="AD24" s="12"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IF(AE24=0,"",IF($J24&lt;&gt;"",$J24,IF(OR(CasualCounts="Yes",COUNT($G24:$I24)=0,COUNT($G24:$H24)=0),$F24,MIN($G24:$H24))))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8"/>
      <c r="B25" s="8"/>
      <c r="C25" s="8"/>
      <c r="D25" s="9"/>
      <c r="E25" s="10" t="str">
        <f aca="false">IF(OR(AE25=0,$D25=""),"",DATE(YEAR(AsOfDate)+IF(DATE(YEAR(AsOfDate),MONTH($D25),DAY($D25))&lt;=AsOfDate,1,0),MONTH($D25),DAY($D25)))</f>
        <v/>
      </c>
      <c r="F25" s="9"/>
      <c r="G25" s="9"/>
      <c r="H25" s="9"/>
      <c r="I25" s="9"/>
      <c r="J25" s="9"/>
      <c r="K25" s="10" t="str">
        <f aca="false">IF(AE25=0,"",DATE(YEAR(AsOfDate)+IF(DATE(YEAR(AsOfDate),MONTH(AF25),DAY(AF25))&lt;=AsOfDate,1,0),MONTH(AF25),DAY(AF25)))</f>
        <v/>
      </c>
      <c r="L25" s="11" t="str">
        <f aca="false">IF(AE25=0,"",ROUND((AsOfDate-AF25)/365.25,1))</f>
        <v/>
      </c>
      <c r="M25" s="12" t="str">
        <f aca="false">IF(AE25=0,"",IF(AsOfDate&lt;AF25,"-",DATEDIF(AF25,AsOfDate,"y")&amp;"y "&amp;DATEDIF(AF25,AsOfDate,"ym")&amp;"m "&amp;DATEDIF(AF25,AsOfDate,"md")&amp;"d"))</f>
        <v/>
      </c>
      <c r="N25" s="13" t="str">
        <f aca="false">IF(AE25=0,"",O25*HoursPerDay)</f>
        <v/>
      </c>
      <c r="O25" s="13" t="str">
        <f aca="false">IF(AE25=0,"",AX25)</f>
        <v/>
      </c>
      <c r="P25" s="14"/>
      <c r="Q25" s="12" t="str">
        <f aca="false">IF(AE25=0,"",IF(AG25&lt;2,"",AK25&amp;" to "&amp;AL25&amp;" on "&amp;TEXT(AI25,"dd/mm/yyyy")&amp;IF(AI25&gt;AsOfDate," (future)",IF(AN25=AO25,"",IF(AO25="None"," - STOPPED accruing",IF(AN25="None"," - commencement for Bonus Leave"," - pathway changed"))))&amp;IF(AG25&lt;3,"","; "&amp;AL25&amp;" to "&amp;AM25&amp;" on "&amp;TEXT(AJ25,"dd/mm/yyyy")&amp;IF(AJ25&gt;AsOfDate," (future)",IF(AO25=AP25,"",IF(AP25="None"," - STOPPED accruing",IF(AO25="None"," - commencement for Bonus Leave","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IF(AE25=0,"",IF(NOT(LH_Ready),"",IF(AF25&gt;PFYDate,0,IF(LH_ColPeriod=0,W25-U25+V25,SUMIFS(INDEX(LH_Data,0,LH_ColAcc),INDEX(LH_Data,0,LH_ColFirst),$A25,INDEX(LH_Data,0,LH_ColSur),$B25,INDEX(LH_Data,0,LH_ColCat),BonusCat,INDEX(LH_Data,0,LH_ColPeriod),LH_OpenLabel)*UnitFactor))))</f>
        <v/>
      </c>
      <c r="U25" s="13" t="str">
        <f aca="false">IF(AE25=0,"",IF(NOT(LH_Ready),"",SUMIFS(INDEX(LH_Data,0,LH_ColAcc),INDEX(LH_Data,0,LH_ColFirst),$A25,INDEX(LH_Data,0,LH_ColSur),$B25,INDEX(LH_Data,0,LH_ColCat),BonusCat,INDEX(LH_Data,0,LH_ColStart),"&gt;="&amp;AF25)*UnitFactor))</f>
        <v/>
      </c>
      <c r="V25" s="13" t="str">
        <f aca="false">IF(AE25=0,"",IF(NOT(LH_Ready),"",SUMIFS(INDEX(LH_Data,0,LH_ColTaken),INDEX(LH_Data,0,LH_ColFirst),$A25,INDEX(LH_Data,0,LH_ColSur),$B25,INDEX(LH_Data,0,LH_ColCat),BonusCat,INDEX(LH_Data,0,LH_ColStart),"&gt;="&amp;AF25)*UnitFactor))</f>
        <v/>
      </c>
      <c r="W25" s="13" t="str">
        <f aca="false">IF(AE25=0,"",IF(NOT(LH_Ready),"",IF(BB25=0,0,INDEX(INDEX(LH_Data,0,LH_ColClose),BB25-1)*UnitFactor)))</f>
        <v/>
      </c>
      <c r="X25" s="13" t="str">
        <f aca="false">IF(AE25=0,"",(AX25-AY25)*HoursPerDay)</f>
        <v/>
      </c>
      <c r="Y25" s="13" t="str">
        <f aca="false">IF(AE25=0,"",IF(NOT(LH_Ready),"",IF(BA25=0,N25,IF(PFYDate&lt;$F25,N25-N(T25)-N(U25),X25-N(U25)))))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 hrs more than policy since commencement",IF(N(W25)&gt;O25*HoursPerDay+0.01,"CHECK - EH balance "&amp;ROUND(W25-O25*HoursPerDay,2)&amp;" hrs more than policy entitlement",IF(O25&gt;0,"OK - nothing to add",IF(AQ25="None",R25,"Not yet - first day on "&amp;TEXT(S25,"dd/mm/yyyy")))))))))</f>
        <v/>
      </c>
      <c r="AB25" s="13" t="str">
        <f aca="false">IF(OR(AE25=0,T25=""),"",AY25*HoursPerDay-T25)</f>
        <v/>
      </c>
      <c r="AC25" s="12" t="str">
        <f aca="false">IF(AE25=0,"",BA25)</f>
        <v/>
      </c>
      <c r="AD25" s="12"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IF(AE25=0,"",IF($J25&lt;&gt;"",$J25,IF(OR(CasualCounts="Yes",COUNT($G25:$I25)=0,COUNT($G25:$H25)=0),$F25,MIN($G25:$H25))))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8"/>
      <c r="B26" s="8"/>
      <c r="C26" s="8"/>
      <c r="D26" s="9"/>
      <c r="E26" s="10" t="str">
        <f aca="false">IF(OR(AE26=0,$D26=""),"",DATE(YEAR(AsOfDate)+IF(DATE(YEAR(AsOfDate),MONTH($D26),DAY($D26))&lt;=AsOfDate,1,0),MONTH($D26),DAY($D26)))</f>
        <v/>
      </c>
      <c r="F26" s="9"/>
      <c r="G26" s="9"/>
      <c r="H26" s="9"/>
      <c r="I26" s="9"/>
      <c r="J26" s="9"/>
      <c r="K26" s="10" t="str">
        <f aca="false">IF(AE26=0,"",DATE(YEAR(AsOfDate)+IF(DATE(YEAR(AsOfDate),MONTH(AF26),DAY(AF26))&lt;=AsOfDate,1,0),MONTH(AF26),DAY(AF26)))</f>
        <v/>
      </c>
      <c r="L26" s="11" t="str">
        <f aca="false">IF(AE26=0,"",ROUND((AsOfDate-AF26)/365.25,1))</f>
        <v/>
      </c>
      <c r="M26" s="12" t="str">
        <f aca="false">IF(AE26=0,"",IF(AsOfDate&lt;AF26,"-",DATEDIF(AF26,AsOfDate,"y")&amp;"y "&amp;DATEDIF(AF26,AsOfDate,"ym")&amp;"m "&amp;DATEDIF(AF26,AsOfDate,"md")&amp;"d"))</f>
        <v/>
      </c>
      <c r="N26" s="13" t="str">
        <f aca="false">IF(AE26=0,"",O26*HoursPerDay)</f>
        <v/>
      </c>
      <c r="O26" s="13" t="str">
        <f aca="false">IF(AE26=0,"",AX26)</f>
        <v/>
      </c>
      <c r="P26" s="14"/>
      <c r="Q26" s="12" t="str">
        <f aca="false">IF(AE26=0,"",IF(AG26&lt;2,"",AK26&amp;" to "&amp;AL26&amp;" on "&amp;TEXT(AI26,"dd/mm/yyyy")&amp;IF(AI26&gt;AsOfDate," (future)",IF(AN26=AO26,"",IF(AO26="None"," - STOPPED accruing",IF(AN26="None"," - commencement for Bonus Leave"," - pathway changed"))))&amp;IF(AG26&lt;3,"","; "&amp;AL26&amp;" to "&amp;AM26&amp;" on "&amp;TEXT(AJ26,"dd/mm/yyyy")&amp;IF(AJ26&gt;AsOfDate," (future)",IF(AO26=AP26,"",IF(AP26="None"," - STOPPED accruing",IF(AO26="None"," - commencement for Bonus Leave","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IF(AE26=0,"",IF(NOT(LH_Ready),"",IF(AF26&gt;PFYDate,0,IF(LH_ColPeriod=0,W26-U26+V26,SUMIFS(INDEX(LH_Data,0,LH_ColAcc),INDEX(LH_Data,0,LH_ColFirst),$A26,INDEX(LH_Data,0,LH_ColSur),$B26,INDEX(LH_Data,0,LH_ColCat),BonusCat,INDEX(LH_Data,0,LH_ColPeriod),LH_OpenLabel)*UnitFactor))))</f>
        <v/>
      </c>
      <c r="U26" s="13" t="str">
        <f aca="false">IF(AE26=0,"",IF(NOT(LH_Ready),"",SUMIFS(INDEX(LH_Data,0,LH_ColAcc),INDEX(LH_Data,0,LH_ColFirst),$A26,INDEX(LH_Data,0,LH_ColSur),$B26,INDEX(LH_Data,0,LH_ColCat),BonusCat,INDEX(LH_Data,0,LH_ColStart),"&gt;="&amp;AF26)*UnitFactor))</f>
        <v/>
      </c>
      <c r="V26" s="13" t="str">
        <f aca="false">IF(AE26=0,"",IF(NOT(LH_Ready),"",SUMIFS(INDEX(LH_Data,0,LH_ColTaken),INDEX(LH_Data,0,LH_ColFirst),$A26,INDEX(LH_Data,0,LH_ColSur),$B26,INDEX(LH_Data,0,LH_ColCat),BonusCat,INDEX(LH_Data,0,LH_ColStart),"&gt;="&amp;AF26)*UnitFactor))</f>
        <v/>
      </c>
      <c r="W26" s="13" t="str">
        <f aca="false">IF(AE26=0,"",IF(NOT(LH_Ready),"",IF(BB26=0,0,INDEX(INDEX(LH_Data,0,LH_ColClose),BB26-1)*UnitFactor)))</f>
        <v/>
      </c>
      <c r="X26" s="13" t="str">
        <f aca="false">IF(AE26=0,"",(AX26-AY26)*HoursPerDay)</f>
        <v/>
      </c>
      <c r="Y26" s="13" t="str">
        <f aca="false">IF(AE26=0,"",IF(NOT(LH_Ready),"",IF(BA26=0,N26,IF(PFYDate&lt;$F26,N26-N(T26)-N(U26),X26-N(U26)))))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 hrs more than policy since commencement",IF(N(W26)&gt;O26*HoursPerDay+0.01,"CHECK - EH balance "&amp;ROUND(W26-O26*HoursPerDay,2)&amp;" hrs more than policy entitlement",IF(O26&gt;0,"OK - nothing to add",IF(AQ26="None",R26,"Not yet - first day on "&amp;TEXT(S26,"dd/mm/yyyy")))))))))</f>
        <v/>
      </c>
      <c r="AB26" s="13" t="str">
        <f aca="false">IF(OR(AE26=0,T26=""),"",AY26*HoursPerDay-T26)</f>
        <v/>
      </c>
      <c r="AC26" s="12" t="str">
        <f aca="false">IF(AE26=0,"",BA26)</f>
        <v/>
      </c>
      <c r="AD26" s="12"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IF(AE26=0,"",IF($J26&lt;&gt;"",$J26,IF(OR(CasualCounts="Yes",COUNT($G26:$I26)=0,COUNT($G26:$H26)=0),$F26,MIN($G26:$H26))))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8"/>
      <c r="B27" s="8"/>
      <c r="C27" s="8"/>
      <c r="D27" s="9"/>
      <c r="E27" s="10" t="str">
        <f aca="false">IF(OR(AE27=0,$D27=""),"",DATE(YEAR(AsOfDate)+IF(DATE(YEAR(AsOfDate),MONTH($D27),DAY($D27))&lt;=AsOfDate,1,0),MONTH($D27),DAY($D27)))</f>
        <v/>
      </c>
      <c r="F27" s="9"/>
      <c r="G27" s="9"/>
      <c r="H27" s="9"/>
      <c r="I27" s="9"/>
      <c r="J27" s="9"/>
      <c r="K27" s="10" t="str">
        <f aca="false">IF(AE27=0,"",DATE(YEAR(AsOfDate)+IF(DATE(YEAR(AsOfDate),MONTH(AF27),DAY(AF27))&lt;=AsOfDate,1,0),MONTH(AF27),DAY(AF27)))</f>
        <v/>
      </c>
      <c r="L27" s="11" t="str">
        <f aca="false">IF(AE27=0,"",ROUND((AsOfDate-AF27)/365.25,1))</f>
        <v/>
      </c>
      <c r="M27" s="12" t="str">
        <f aca="false">IF(AE27=0,"",IF(AsOfDate&lt;AF27,"-",DATEDIF(AF27,AsOfDate,"y")&amp;"y "&amp;DATEDIF(AF27,AsOfDate,"ym")&amp;"m "&amp;DATEDIF(AF27,AsOfDate,"md")&amp;"d"))</f>
        <v/>
      </c>
      <c r="N27" s="13" t="str">
        <f aca="false">IF(AE27=0,"",O27*HoursPerDay)</f>
        <v/>
      </c>
      <c r="O27" s="13" t="str">
        <f aca="false">IF(AE27=0,"",AX27)</f>
        <v/>
      </c>
      <c r="P27" s="14"/>
      <c r="Q27" s="12" t="str">
        <f aca="false">IF(AE27=0,"",IF(AG27&lt;2,"",AK27&amp;" to "&amp;AL27&amp;" on "&amp;TEXT(AI27,"dd/mm/yyyy")&amp;IF(AI27&gt;AsOfDate," (future)",IF(AN27=AO27,"",IF(AO27="None"," - STOPPED accruing",IF(AN27="None"," - commencement for Bonus Leave"," - pathway changed"))))&amp;IF(AG27&lt;3,"","; "&amp;AL27&amp;" to "&amp;AM27&amp;" on "&amp;TEXT(AJ27,"dd/mm/yyyy")&amp;IF(AJ27&gt;AsOfDate," (future)",IF(AO27=AP27,"",IF(AP27="None"," - STOPPED accruing",IF(AO27="None"," - commencement for Bonus Leave","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IF(AE27=0,"",IF(NOT(LH_Ready),"",IF(AF27&gt;PFYDate,0,IF(LH_ColPeriod=0,W27-U27+V27,SUMIFS(INDEX(LH_Data,0,LH_ColAcc),INDEX(LH_Data,0,LH_ColFirst),$A27,INDEX(LH_Data,0,LH_ColSur),$B27,INDEX(LH_Data,0,LH_ColCat),BonusCat,INDEX(LH_Data,0,LH_ColPeriod),LH_OpenLabel)*UnitFactor))))</f>
        <v/>
      </c>
      <c r="U27" s="13" t="str">
        <f aca="false">IF(AE27=0,"",IF(NOT(LH_Ready),"",SUMIFS(INDEX(LH_Data,0,LH_ColAcc),INDEX(LH_Data,0,LH_ColFirst),$A27,INDEX(LH_Data,0,LH_ColSur),$B27,INDEX(LH_Data,0,LH_ColCat),BonusCat,INDEX(LH_Data,0,LH_ColStart),"&gt;="&amp;AF27)*UnitFactor))</f>
        <v/>
      </c>
      <c r="V27" s="13" t="str">
        <f aca="false">IF(AE27=0,"",IF(NOT(LH_Ready),"",SUMIFS(INDEX(LH_Data,0,LH_ColTaken),INDEX(LH_Data,0,LH_ColFirst),$A27,INDEX(LH_Data,0,LH_ColSur),$B27,INDEX(LH_Data,0,LH_ColCat),BonusCat,INDEX(LH_Data,0,LH_ColStart),"&gt;="&amp;AF27)*UnitFactor))</f>
        <v/>
      </c>
      <c r="W27" s="13" t="str">
        <f aca="false">IF(AE27=0,"",IF(NOT(LH_Ready),"",IF(BB27=0,0,INDEX(INDEX(LH_Data,0,LH_ColClose),BB27-1)*UnitFactor)))</f>
        <v/>
      </c>
      <c r="X27" s="13" t="str">
        <f aca="false">IF(AE27=0,"",(AX27-AY27)*HoursPerDay)</f>
        <v/>
      </c>
      <c r="Y27" s="13" t="str">
        <f aca="false">IF(AE27=0,"",IF(NOT(LH_Ready),"",IF(BA27=0,N27,IF(PFYDate&lt;$F27,N27-N(T27)-N(U27),X27-N(U27)))))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 hrs more than policy since commencement",IF(N(W27)&gt;O27*HoursPerDay+0.01,"CHECK - EH balance "&amp;ROUND(W27-O27*HoursPerDay,2)&amp;" hrs more than policy entitlement",IF(O27&gt;0,"OK - nothing to add",IF(AQ27="None",R27,"Not yet - first day on "&amp;TEXT(S27,"dd/mm/yyyy")))))))))</f>
        <v/>
      </c>
      <c r="AB27" s="13" t="str">
        <f aca="false">IF(OR(AE27=0,T27=""),"",AY27*HoursPerDay-T27)</f>
        <v/>
      </c>
      <c r="AC27" s="12" t="str">
        <f aca="false">IF(AE27=0,"",BA27)</f>
        <v/>
      </c>
      <c r="AD27" s="12"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IF(AE27=0,"",IF($J27&lt;&gt;"",$J27,IF(OR(CasualCounts="Yes",COUNT($G27:$I27)=0,COUNT($G27:$H27)=0),$F27,MIN($G27:$H27))))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8"/>
      <c r="B28" s="8"/>
      <c r="C28" s="8"/>
      <c r="D28" s="9"/>
      <c r="E28" s="10" t="str">
        <f aca="false">IF(OR(AE28=0,$D28=""),"",DATE(YEAR(AsOfDate)+IF(DATE(YEAR(AsOfDate),MONTH($D28),DAY($D28))&lt;=AsOfDate,1,0),MONTH($D28),DAY($D28)))</f>
        <v/>
      </c>
      <c r="F28" s="9"/>
      <c r="G28" s="9"/>
      <c r="H28" s="9"/>
      <c r="I28" s="9"/>
      <c r="J28" s="9"/>
      <c r="K28" s="10" t="str">
        <f aca="false">IF(AE28=0,"",DATE(YEAR(AsOfDate)+IF(DATE(YEAR(AsOfDate),MONTH(AF28),DAY(AF28))&lt;=AsOfDate,1,0),MONTH(AF28),DAY(AF28)))</f>
        <v/>
      </c>
      <c r="L28" s="11" t="str">
        <f aca="false">IF(AE28=0,"",ROUND((AsOfDate-AF28)/365.25,1))</f>
        <v/>
      </c>
      <c r="M28" s="12" t="str">
        <f aca="false">IF(AE28=0,"",IF(AsOfDate&lt;AF28,"-",DATEDIF(AF28,AsOfDate,"y")&amp;"y "&amp;DATEDIF(AF28,AsOfDate,"ym")&amp;"m "&amp;DATEDIF(AF28,AsOfDate,"md")&amp;"d"))</f>
        <v/>
      </c>
      <c r="N28" s="13" t="str">
        <f aca="false">IF(AE28=0,"",O28*HoursPerDay)</f>
        <v/>
      </c>
      <c r="O28" s="13" t="str">
        <f aca="false">IF(AE28=0,"",AX28)</f>
        <v/>
      </c>
      <c r="P28" s="14"/>
      <c r="Q28" s="12" t="str">
        <f aca="false">IF(AE28=0,"",IF(AG28&lt;2,"",AK28&amp;" to "&amp;AL28&amp;" on "&amp;TEXT(AI28,"dd/mm/yyyy")&amp;IF(AI28&gt;AsOfDate," (future)",IF(AN28=AO28,"",IF(AO28="None"," - STOPPED accruing",IF(AN28="None"," - commencement for Bonus Leave"," - pathway changed"))))&amp;IF(AG28&lt;3,"","; "&amp;AL28&amp;" to "&amp;AM28&amp;" on "&amp;TEXT(AJ28,"dd/mm/yyyy")&amp;IF(AJ28&gt;AsOfDate," (future)",IF(AO28=AP28,"",IF(AP28="None"," - STOPPED accruing",IF(AO28="None"," - commencement for Bonus Leave","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IF(AE28=0,"",IF(NOT(LH_Ready),"",IF(AF28&gt;PFYDate,0,IF(LH_ColPeriod=0,W28-U28+V28,SUMIFS(INDEX(LH_Data,0,LH_ColAcc),INDEX(LH_Data,0,LH_ColFirst),$A28,INDEX(LH_Data,0,LH_ColSur),$B28,INDEX(LH_Data,0,LH_ColCat),BonusCat,INDEX(LH_Data,0,LH_ColPeriod),LH_OpenLabel)*UnitFactor))))</f>
        <v/>
      </c>
      <c r="U28" s="13" t="str">
        <f aca="false">IF(AE28=0,"",IF(NOT(LH_Ready),"",SUMIFS(INDEX(LH_Data,0,LH_ColAcc),INDEX(LH_Data,0,LH_ColFirst),$A28,INDEX(LH_Data,0,LH_ColSur),$B28,INDEX(LH_Data,0,LH_ColCat),BonusCat,INDEX(LH_Data,0,LH_ColStart),"&gt;="&amp;AF28)*UnitFactor))</f>
        <v/>
      </c>
      <c r="V28" s="13" t="str">
        <f aca="false">IF(AE28=0,"",IF(NOT(LH_Ready),"",SUMIFS(INDEX(LH_Data,0,LH_ColTaken),INDEX(LH_Data,0,LH_ColFirst),$A28,INDEX(LH_Data,0,LH_ColSur),$B28,INDEX(LH_Data,0,LH_ColCat),BonusCat,INDEX(LH_Data,0,LH_ColStart),"&gt;="&amp;AF28)*UnitFactor))</f>
        <v/>
      </c>
      <c r="W28" s="13" t="str">
        <f aca="false">IF(AE28=0,"",IF(NOT(LH_Ready),"",IF(BB28=0,0,INDEX(INDEX(LH_Data,0,LH_ColClose),BB28-1)*UnitFactor)))</f>
        <v/>
      </c>
      <c r="X28" s="13" t="str">
        <f aca="false">IF(AE28=0,"",(AX28-AY28)*HoursPerDay)</f>
        <v/>
      </c>
      <c r="Y28" s="13" t="str">
        <f aca="false">IF(AE28=0,"",IF(NOT(LH_Ready),"",IF(BA28=0,N28,IF(PFYDate&lt;$F28,N28-N(T28)-N(U28),X28-N(U28)))))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 hrs more than policy since commencement",IF(N(W28)&gt;O28*HoursPerDay+0.01,"CHECK - EH balance "&amp;ROUND(W28-O28*HoursPerDay,2)&amp;" hrs more than policy entitlement",IF(O28&gt;0,"OK - nothing to add",IF(AQ28="None",R28,"Not yet - first day on "&amp;TEXT(S28,"dd/mm/yyyy")))))))))</f>
        <v/>
      </c>
      <c r="AB28" s="13" t="str">
        <f aca="false">IF(OR(AE28=0,T28=""),"",AY28*HoursPerDay-T28)</f>
        <v/>
      </c>
      <c r="AC28" s="12" t="str">
        <f aca="false">IF(AE28=0,"",BA28)</f>
        <v/>
      </c>
      <c r="AD28" s="12"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IF(AE28=0,"",IF($J28&lt;&gt;"",$J28,IF(OR(CasualCounts="Yes",COUNT($G28:$I28)=0,COUNT($G28:$H28)=0),$F28,MIN($G28:$H28))))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8"/>
      <c r="B29" s="8"/>
      <c r="C29" s="8"/>
      <c r="D29" s="9"/>
      <c r="E29" s="10" t="str">
        <f aca="false">IF(OR(AE29=0,$D29=""),"",DATE(YEAR(AsOfDate)+IF(DATE(YEAR(AsOfDate),MONTH($D29),DAY($D29))&lt;=AsOfDate,1,0),MONTH($D29),DAY($D29)))</f>
        <v/>
      </c>
      <c r="F29" s="9"/>
      <c r="G29" s="9"/>
      <c r="H29" s="9"/>
      <c r="I29" s="9"/>
      <c r="J29" s="9"/>
      <c r="K29" s="10" t="str">
        <f aca="false">IF(AE29=0,"",DATE(YEAR(AsOfDate)+IF(DATE(YEAR(AsOfDate),MONTH(AF29),DAY(AF29))&lt;=AsOfDate,1,0),MONTH(AF29),DAY(AF29)))</f>
        <v/>
      </c>
      <c r="L29" s="11" t="str">
        <f aca="false">IF(AE29=0,"",ROUND((AsOfDate-AF29)/365.25,1))</f>
        <v/>
      </c>
      <c r="M29" s="12" t="str">
        <f aca="false">IF(AE29=0,"",IF(AsOfDate&lt;AF29,"-",DATEDIF(AF29,AsOfDate,"y")&amp;"y "&amp;DATEDIF(AF29,AsOfDate,"ym")&amp;"m "&amp;DATEDIF(AF29,AsOfDate,"md")&amp;"d"))</f>
        <v/>
      </c>
      <c r="N29" s="13" t="str">
        <f aca="false">IF(AE29=0,"",O29*HoursPerDay)</f>
        <v/>
      </c>
      <c r="O29" s="13" t="str">
        <f aca="false">IF(AE29=0,"",AX29)</f>
        <v/>
      </c>
      <c r="P29" s="14"/>
      <c r="Q29" s="12" t="str">
        <f aca="false">IF(AE29=0,"",IF(AG29&lt;2,"",AK29&amp;" to "&amp;AL29&amp;" on "&amp;TEXT(AI29,"dd/mm/yyyy")&amp;IF(AI29&gt;AsOfDate," (future)",IF(AN29=AO29,"",IF(AO29="None"," - STOPPED accruing",IF(AN29="None"," - commencement for Bonus Leave"," - pathway changed"))))&amp;IF(AG29&lt;3,"","; "&amp;AL29&amp;" to "&amp;AM29&amp;" on "&amp;TEXT(AJ29,"dd/mm/yyyy")&amp;IF(AJ29&gt;AsOfDate," (future)",IF(AO29=AP29,"",IF(AP29="None"," - STOPPED accruing",IF(AO29="None"," - commencement for Bonus Leave","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IF(AE29=0,"",IF(NOT(LH_Ready),"",IF(AF29&gt;PFYDate,0,IF(LH_ColPeriod=0,W29-U29+V29,SUMIFS(INDEX(LH_Data,0,LH_ColAcc),INDEX(LH_Data,0,LH_ColFirst),$A29,INDEX(LH_Data,0,LH_ColSur),$B29,INDEX(LH_Data,0,LH_ColCat),BonusCat,INDEX(LH_Data,0,LH_ColPeriod),LH_OpenLabel)*UnitFactor))))</f>
        <v/>
      </c>
      <c r="U29" s="13" t="str">
        <f aca="false">IF(AE29=0,"",IF(NOT(LH_Ready),"",SUMIFS(INDEX(LH_Data,0,LH_ColAcc),INDEX(LH_Data,0,LH_ColFirst),$A29,INDEX(LH_Data,0,LH_ColSur),$B29,INDEX(LH_Data,0,LH_ColCat),BonusCat,INDEX(LH_Data,0,LH_ColStart),"&gt;="&amp;AF29)*UnitFactor))</f>
        <v/>
      </c>
      <c r="V29" s="13" t="str">
        <f aca="false">IF(AE29=0,"",IF(NOT(LH_Ready),"",SUMIFS(INDEX(LH_Data,0,LH_ColTaken),INDEX(LH_Data,0,LH_ColFirst),$A29,INDEX(LH_Data,0,LH_ColSur),$B29,INDEX(LH_Data,0,LH_ColCat),BonusCat,INDEX(LH_Data,0,LH_ColStart),"&gt;="&amp;AF29)*UnitFactor))</f>
        <v/>
      </c>
      <c r="W29" s="13" t="str">
        <f aca="false">IF(AE29=0,"",IF(NOT(LH_Ready),"",IF(BB29=0,0,INDEX(INDEX(LH_Data,0,LH_ColClose),BB29-1)*UnitFactor)))</f>
        <v/>
      </c>
      <c r="X29" s="13" t="str">
        <f aca="false">IF(AE29=0,"",(AX29-AY29)*HoursPerDay)</f>
        <v/>
      </c>
      <c r="Y29" s="13" t="str">
        <f aca="false">IF(AE29=0,"",IF(NOT(LH_Ready),"",IF(BA29=0,N29,IF(PFYDate&lt;$F29,N29-N(T29)-N(U29),X29-N(U29)))))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 hrs more than policy since commencement",IF(N(W29)&gt;O29*HoursPerDay+0.01,"CHECK - EH balance "&amp;ROUND(W29-O29*HoursPerDay,2)&amp;" hrs more than policy entitlement",IF(O29&gt;0,"OK - nothing to add",IF(AQ29="None",R29,"Not yet - first day on "&amp;TEXT(S29,"dd/mm/yyyy")))))))))</f>
        <v/>
      </c>
      <c r="AB29" s="13" t="str">
        <f aca="false">IF(OR(AE29=0,T29=""),"",AY29*HoursPerDay-T29)</f>
        <v/>
      </c>
      <c r="AC29" s="12" t="str">
        <f aca="false">IF(AE29=0,"",BA29)</f>
        <v/>
      </c>
      <c r="AD29" s="12"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IF(AE29=0,"",IF($J29&lt;&gt;"",$J29,IF(OR(CasualCounts="Yes",COUNT($G29:$I29)=0,COUNT($G29:$H29)=0),$F29,MIN($G29:$H29))))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8"/>
      <c r="B30" s="8"/>
      <c r="C30" s="8"/>
      <c r="D30" s="9"/>
      <c r="E30" s="10" t="str">
        <f aca="false">IF(OR(AE30=0,$D30=""),"",DATE(YEAR(AsOfDate)+IF(DATE(YEAR(AsOfDate),MONTH($D30),DAY($D30))&lt;=AsOfDate,1,0),MONTH($D30),DAY($D30)))</f>
        <v/>
      </c>
      <c r="F30" s="9"/>
      <c r="G30" s="9"/>
      <c r="H30" s="9"/>
      <c r="I30" s="9"/>
      <c r="J30" s="9"/>
      <c r="K30" s="10" t="str">
        <f aca="false">IF(AE30=0,"",DATE(YEAR(AsOfDate)+IF(DATE(YEAR(AsOfDate),MONTH(AF30),DAY(AF30))&lt;=AsOfDate,1,0),MONTH(AF30),DAY(AF30)))</f>
        <v/>
      </c>
      <c r="L30" s="11" t="str">
        <f aca="false">IF(AE30=0,"",ROUND((AsOfDate-AF30)/365.25,1))</f>
        <v/>
      </c>
      <c r="M30" s="12" t="str">
        <f aca="false">IF(AE30=0,"",IF(AsOfDate&lt;AF30,"-",DATEDIF(AF30,AsOfDate,"y")&amp;"y "&amp;DATEDIF(AF30,AsOfDate,"ym")&amp;"m "&amp;DATEDIF(AF30,AsOfDate,"md")&amp;"d"))</f>
        <v/>
      </c>
      <c r="N30" s="13" t="str">
        <f aca="false">IF(AE30=0,"",O30*HoursPerDay)</f>
        <v/>
      </c>
      <c r="O30" s="13" t="str">
        <f aca="false">IF(AE30=0,"",AX30)</f>
        <v/>
      </c>
      <c r="P30" s="14"/>
      <c r="Q30" s="12" t="str">
        <f aca="false">IF(AE30=0,"",IF(AG30&lt;2,"",AK30&amp;" to "&amp;AL30&amp;" on "&amp;TEXT(AI30,"dd/mm/yyyy")&amp;IF(AI30&gt;AsOfDate," (future)",IF(AN30=AO30,"",IF(AO30="None"," - STOPPED accruing",IF(AN30="None"," - commencement for Bonus Leave"," - pathway changed"))))&amp;IF(AG30&lt;3,"","; "&amp;AL30&amp;" to "&amp;AM30&amp;" on "&amp;TEXT(AJ30,"dd/mm/yyyy")&amp;IF(AJ30&gt;AsOfDate," (future)",IF(AO30=AP30,"",IF(AP30="None"," - STOPPED accruing",IF(AO30="None"," - commencement for Bonus Leave","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IF(AE30=0,"",IF(NOT(LH_Ready),"",IF(AF30&gt;PFYDate,0,IF(LH_ColPeriod=0,W30-U30+V30,SUMIFS(INDEX(LH_Data,0,LH_ColAcc),INDEX(LH_Data,0,LH_ColFirst),$A30,INDEX(LH_Data,0,LH_ColSur),$B30,INDEX(LH_Data,0,LH_ColCat),BonusCat,INDEX(LH_Data,0,LH_ColPeriod),LH_OpenLabel)*UnitFactor))))</f>
        <v/>
      </c>
      <c r="U30" s="13" t="str">
        <f aca="false">IF(AE30=0,"",IF(NOT(LH_Ready),"",SUMIFS(INDEX(LH_Data,0,LH_ColAcc),INDEX(LH_Data,0,LH_ColFirst),$A30,INDEX(LH_Data,0,LH_ColSur),$B30,INDEX(LH_Data,0,LH_ColCat),BonusCat,INDEX(LH_Data,0,LH_ColStart),"&gt;="&amp;AF30)*UnitFactor))</f>
        <v/>
      </c>
      <c r="V30" s="13" t="str">
        <f aca="false">IF(AE30=0,"",IF(NOT(LH_Ready),"",SUMIFS(INDEX(LH_Data,0,LH_ColTaken),INDEX(LH_Data,0,LH_ColFirst),$A30,INDEX(LH_Data,0,LH_ColSur),$B30,INDEX(LH_Data,0,LH_ColCat),BonusCat,INDEX(LH_Data,0,LH_ColStart),"&gt;="&amp;AF30)*UnitFactor))</f>
        <v/>
      </c>
      <c r="W30" s="13" t="str">
        <f aca="false">IF(AE30=0,"",IF(NOT(LH_Ready),"",IF(BB30=0,0,INDEX(INDEX(LH_Data,0,LH_ColClose),BB30-1)*UnitFactor)))</f>
        <v/>
      </c>
      <c r="X30" s="13" t="str">
        <f aca="false">IF(AE30=0,"",(AX30-AY30)*HoursPerDay)</f>
        <v/>
      </c>
      <c r="Y30" s="13" t="str">
        <f aca="false">IF(AE30=0,"",IF(NOT(LH_Ready),"",IF(BA30=0,N30,IF(PFYDate&lt;$F30,N30-N(T30)-N(U30),X30-N(U30)))))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 hrs more than policy since commencement",IF(N(W30)&gt;O30*HoursPerDay+0.01,"CHECK - EH balance "&amp;ROUND(W30-O30*HoursPerDay,2)&amp;" hrs more than policy entitlement",IF(O30&gt;0,"OK - nothing to add",IF(AQ30="None",R30,"Not yet - first day on "&amp;TEXT(S30,"dd/mm/yyyy")))))))))</f>
        <v/>
      </c>
      <c r="AB30" s="13" t="str">
        <f aca="false">IF(OR(AE30=0,T30=""),"",AY30*HoursPerDay-T30)</f>
        <v/>
      </c>
      <c r="AC30" s="12" t="str">
        <f aca="false">IF(AE30=0,"",BA30)</f>
        <v/>
      </c>
      <c r="AD30" s="12"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IF(AE30=0,"",IF($J30&lt;&gt;"",$J30,IF(OR(CasualCounts="Yes",COUNT($G30:$I30)=0,COUNT($G30:$H30)=0),$F30,MIN($G30:$H30))))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8"/>
      <c r="B31" s="8"/>
      <c r="C31" s="8"/>
      <c r="D31" s="9"/>
      <c r="E31" s="10" t="str">
        <f aca="false">IF(OR(AE31=0,$D31=""),"",DATE(YEAR(AsOfDate)+IF(DATE(YEAR(AsOfDate),MONTH($D31),DAY($D31))&lt;=AsOfDate,1,0),MONTH($D31),DAY($D31)))</f>
        <v/>
      </c>
      <c r="F31" s="9"/>
      <c r="G31" s="9"/>
      <c r="H31" s="9"/>
      <c r="I31" s="9"/>
      <c r="J31" s="9"/>
      <c r="K31" s="10" t="str">
        <f aca="false">IF(AE31=0,"",DATE(YEAR(AsOfDate)+IF(DATE(YEAR(AsOfDate),MONTH(AF31),DAY(AF31))&lt;=AsOfDate,1,0),MONTH(AF31),DAY(AF31)))</f>
        <v/>
      </c>
      <c r="L31" s="11" t="str">
        <f aca="false">IF(AE31=0,"",ROUND((AsOfDate-AF31)/365.25,1))</f>
        <v/>
      </c>
      <c r="M31" s="12" t="str">
        <f aca="false">IF(AE31=0,"",IF(AsOfDate&lt;AF31,"-",DATEDIF(AF31,AsOfDate,"y")&amp;"y "&amp;DATEDIF(AF31,AsOfDate,"ym")&amp;"m "&amp;DATEDIF(AF31,AsOfDate,"md")&amp;"d"))</f>
        <v/>
      </c>
      <c r="N31" s="13" t="str">
        <f aca="false">IF(AE31=0,"",O31*HoursPerDay)</f>
        <v/>
      </c>
      <c r="O31" s="13" t="str">
        <f aca="false">IF(AE31=0,"",AX31)</f>
        <v/>
      </c>
      <c r="P31" s="14"/>
      <c r="Q31" s="12" t="str">
        <f aca="false">IF(AE31=0,"",IF(AG31&lt;2,"",AK31&amp;" to "&amp;AL31&amp;" on "&amp;TEXT(AI31,"dd/mm/yyyy")&amp;IF(AI31&gt;AsOfDate," (future)",IF(AN31=AO31,"",IF(AO31="None"," - STOPPED accruing",IF(AN31="None"," - commencement for Bonus Leave"," - pathway changed"))))&amp;IF(AG31&lt;3,"","; "&amp;AL31&amp;" to "&amp;AM31&amp;" on "&amp;TEXT(AJ31,"dd/mm/yyyy")&amp;IF(AJ31&gt;AsOfDate," (future)",IF(AO31=AP31,"",IF(AP31="None"," - STOPPED accruing",IF(AO31="None"," - commencement for Bonus Leave","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IF(AE31=0,"",IF(NOT(LH_Ready),"",IF(AF31&gt;PFYDate,0,IF(LH_ColPeriod=0,W31-U31+V31,SUMIFS(INDEX(LH_Data,0,LH_ColAcc),INDEX(LH_Data,0,LH_ColFirst),$A31,INDEX(LH_Data,0,LH_ColSur),$B31,INDEX(LH_Data,0,LH_ColCat),BonusCat,INDEX(LH_Data,0,LH_ColPeriod),LH_OpenLabel)*UnitFactor))))</f>
        <v/>
      </c>
      <c r="U31" s="13" t="str">
        <f aca="false">IF(AE31=0,"",IF(NOT(LH_Ready),"",SUMIFS(INDEX(LH_Data,0,LH_ColAcc),INDEX(LH_Data,0,LH_ColFirst),$A31,INDEX(LH_Data,0,LH_ColSur),$B31,INDEX(LH_Data,0,LH_ColCat),BonusCat,INDEX(LH_Data,0,LH_ColStart),"&gt;="&amp;AF31)*UnitFactor))</f>
        <v/>
      </c>
      <c r="V31" s="13" t="str">
        <f aca="false">IF(AE31=0,"",IF(NOT(LH_Ready),"",SUMIFS(INDEX(LH_Data,0,LH_ColTaken),INDEX(LH_Data,0,LH_ColFirst),$A31,INDEX(LH_Data,0,LH_ColSur),$B31,INDEX(LH_Data,0,LH_ColCat),BonusCat,INDEX(LH_Data,0,LH_ColStart),"&gt;="&amp;AF31)*UnitFactor))</f>
        <v/>
      </c>
      <c r="W31" s="13" t="str">
        <f aca="false">IF(AE31=0,"",IF(NOT(LH_Ready),"",IF(BB31=0,0,INDEX(INDEX(LH_Data,0,LH_ColClose),BB31-1)*UnitFactor)))</f>
        <v/>
      </c>
      <c r="X31" s="13" t="str">
        <f aca="false">IF(AE31=0,"",(AX31-AY31)*HoursPerDay)</f>
        <v/>
      </c>
      <c r="Y31" s="13" t="str">
        <f aca="false">IF(AE31=0,"",IF(NOT(LH_Ready),"",IF(BA31=0,N31,IF(PFYDate&lt;$F31,N31-N(T31)-N(U31),X31-N(U31)))))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 hrs more than policy since commencement",IF(N(W31)&gt;O31*HoursPerDay+0.01,"CHECK - EH balance "&amp;ROUND(W31-O31*HoursPerDay,2)&amp;" hrs more than policy entitlement",IF(O31&gt;0,"OK - nothing to add",IF(AQ31="None",R31,"Not yet - first day on "&amp;TEXT(S31,"dd/mm/yyyy")))))))))</f>
        <v/>
      </c>
      <c r="AB31" s="13" t="str">
        <f aca="false">IF(OR(AE31=0,T31=""),"",AY31*HoursPerDay-T31)</f>
        <v/>
      </c>
      <c r="AC31" s="12" t="str">
        <f aca="false">IF(AE31=0,"",BA31)</f>
        <v/>
      </c>
      <c r="AD31" s="12"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IF(AE31=0,"",IF($J31&lt;&gt;"",$J31,IF(OR(CasualCounts="Yes",COUNT($G31:$I31)=0,COUNT($G31:$H31)=0),$F31,MIN($G31:$H31))))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8"/>
      <c r="B32" s="8"/>
      <c r="C32" s="8"/>
      <c r="D32" s="9"/>
      <c r="E32" s="10" t="str">
        <f aca="false">IF(OR(AE32=0,$D32=""),"",DATE(YEAR(AsOfDate)+IF(DATE(YEAR(AsOfDate),MONTH($D32),DAY($D32))&lt;=AsOfDate,1,0),MONTH($D32),DAY($D32)))</f>
        <v/>
      </c>
      <c r="F32" s="9"/>
      <c r="G32" s="9"/>
      <c r="H32" s="9"/>
      <c r="I32" s="9"/>
      <c r="J32" s="9"/>
      <c r="K32" s="10" t="str">
        <f aca="false">IF(AE32=0,"",DATE(YEAR(AsOfDate)+IF(DATE(YEAR(AsOfDate),MONTH(AF32),DAY(AF32))&lt;=AsOfDate,1,0),MONTH(AF32),DAY(AF32)))</f>
        <v/>
      </c>
      <c r="L32" s="11" t="str">
        <f aca="false">IF(AE32=0,"",ROUND((AsOfDate-AF32)/365.25,1))</f>
        <v/>
      </c>
      <c r="M32" s="12" t="str">
        <f aca="false">IF(AE32=0,"",IF(AsOfDate&lt;AF32,"-",DATEDIF(AF32,AsOfDate,"y")&amp;"y "&amp;DATEDIF(AF32,AsOfDate,"ym")&amp;"m "&amp;DATEDIF(AF32,AsOfDate,"md")&amp;"d"))</f>
        <v/>
      </c>
      <c r="N32" s="13" t="str">
        <f aca="false">IF(AE32=0,"",O32*HoursPerDay)</f>
        <v/>
      </c>
      <c r="O32" s="13" t="str">
        <f aca="false">IF(AE32=0,"",AX32)</f>
        <v/>
      </c>
      <c r="P32" s="14"/>
      <c r="Q32" s="12" t="str">
        <f aca="false">IF(AE32=0,"",IF(AG32&lt;2,"",AK32&amp;" to "&amp;AL32&amp;" on "&amp;TEXT(AI32,"dd/mm/yyyy")&amp;IF(AI32&gt;AsOfDate," (future)",IF(AN32=AO32,"",IF(AO32="None"," - STOPPED accruing",IF(AN32="None"," - commencement for Bonus Leave"," - pathway changed"))))&amp;IF(AG32&lt;3,"","; "&amp;AL32&amp;" to "&amp;AM32&amp;" on "&amp;TEXT(AJ32,"dd/mm/yyyy")&amp;IF(AJ32&gt;AsOfDate," (future)",IF(AO32=AP32,"",IF(AP32="None"," - STOPPED accruing",IF(AO32="None"," - commencement for Bonus Leave","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IF(AE32=0,"",IF(NOT(LH_Ready),"",IF(AF32&gt;PFYDate,0,IF(LH_ColPeriod=0,W32-U32+V32,SUMIFS(INDEX(LH_Data,0,LH_ColAcc),INDEX(LH_Data,0,LH_ColFirst),$A32,INDEX(LH_Data,0,LH_ColSur),$B32,INDEX(LH_Data,0,LH_ColCat),BonusCat,INDEX(LH_Data,0,LH_ColPeriod),LH_OpenLabel)*UnitFactor))))</f>
        <v/>
      </c>
      <c r="U32" s="13" t="str">
        <f aca="false">IF(AE32=0,"",IF(NOT(LH_Ready),"",SUMIFS(INDEX(LH_Data,0,LH_ColAcc),INDEX(LH_Data,0,LH_ColFirst),$A32,INDEX(LH_Data,0,LH_ColSur),$B32,INDEX(LH_Data,0,LH_ColCat),BonusCat,INDEX(LH_Data,0,LH_ColStart),"&gt;="&amp;AF32)*UnitFactor))</f>
        <v/>
      </c>
      <c r="V32" s="13" t="str">
        <f aca="false">IF(AE32=0,"",IF(NOT(LH_Ready),"",SUMIFS(INDEX(LH_Data,0,LH_ColTaken),INDEX(LH_Data,0,LH_ColFirst),$A32,INDEX(LH_Data,0,LH_ColSur),$B32,INDEX(LH_Data,0,LH_ColCat),BonusCat,INDEX(LH_Data,0,LH_ColStart),"&gt;="&amp;AF32)*UnitFactor))</f>
        <v/>
      </c>
      <c r="W32" s="13" t="str">
        <f aca="false">IF(AE32=0,"",IF(NOT(LH_Ready),"",IF(BB32=0,0,INDEX(INDEX(LH_Data,0,LH_ColClose),BB32-1)*UnitFactor)))</f>
        <v/>
      </c>
      <c r="X32" s="13" t="str">
        <f aca="false">IF(AE32=0,"",(AX32-AY32)*HoursPerDay)</f>
        <v/>
      </c>
      <c r="Y32" s="13" t="str">
        <f aca="false">IF(AE32=0,"",IF(NOT(LH_Ready),"",IF(BA32=0,N32,IF(PFYDate&lt;$F32,N32-N(T32)-N(U32),X32-N(U32)))))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 hrs more than policy since commencement",IF(N(W32)&gt;O32*HoursPerDay+0.01,"CHECK - EH balance "&amp;ROUND(W32-O32*HoursPerDay,2)&amp;" hrs more than policy entitlement",IF(O32&gt;0,"OK - nothing to add",IF(AQ32="None",R32,"Not yet - first day on "&amp;TEXT(S32,"dd/mm/yyyy")))))))))</f>
        <v/>
      </c>
      <c r="AB32" s="13" t="str">
        <f aca="false">IF(OR(AE32=0,T32=""),"",AY32*HoursPerDay-T32)</f>
        <v/>
      </c>
      <c r="AC32" s="12" t="str">
        <f aca="false">IF(AE32=0,"",BA32)</f>
        <v/>
      </c>
      <c r="AD32" s="12"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IF(AE32=0,"",IF($J32&lt;&gt;"",$J32,IF(OR(CasualCounts="Yes",COUNT($G32:$I32)=0,COUNT($G32:$H32)=0),$F32,MIN($G32:$H32))))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8"/>
      <c r="B33" s="8"/>
      <c r="C33" s="8"/>
      <c r="D33" s="9"/>
      <c r="E33" s="10" t="str">
        <f aca="false">IF(OR(AE33=0,$D33=""),"",DATE(YEAR(AsOfDate)+IF(DATE(YEAR(AsOfDate),MONTH($D33),DAY($D33))&lt;=AsOfDate,1,0),MONTH($D33),DAY($D33)))</f>
        <v/>
      </c>
      <c r="F33" s="9"/>
      <c r="G33" s="9"/>
      <c r="H33" s="9"/>
      <c r="I33" s="9"/>
      <c r="J33" s="9"/>
      <c r="K33" s="10" t="str">
        <f aca="false">IF(AE33=0,"",DATE(YEAR(AsOfDate)+IF(DATE(YEAR(AsOfDate),MONTH(AF33),DAY(AF33))&lt;=AsOfDate,1,0),MONTH(AF33),DAY(AF33)))</f>
        <v/>
      </c>
      <c r="L33" s="11" t="str">
        <f aca="false">IF(AE33=0,"",ROUND((AsOfDate-AF33)/365.25,1))</f>
        <v/>
      </c>
      <c r="M33" s="12" t="str">
        <f aca="false">IF(AE33=0,"",IF(AsOfDate&lt;AF33,"-",DATEDIF(AF33,AsOfDate,"y")&amp;"y "&amp;DATEDIF(AF33,AsOfDate,"ym")&amp;"m "&amp;DATEDIF(AF33,AsOfDate,"md")&amp;"d"))</f>
        <v/>
      </c>
      <c r="N33" s="13" t="str">
        <f aca="false">IF(AE33=0,"",O33*HoursPerDay)</f>
        <v/>
      </c>
      <c r="O33" s="13" t="str">
        <f aca="false">IF(AE33=0,"",AX33)</f>
        <v/>
      </c>
      <c r="P33" s="14"/>
      <c r="Q33" s="12" t="str">
        <f aca="false">IF(AE33=0,"",IF(AG33&lt;2,"",AK33&amp;" to "&amp;AL33&amp;" on "&amp;TEXT(AI33,"dd/mm/yyyy")&amp;IF(AI33&gt;AsOfDate," (future)",IF(AN33=AO33,"",IF(AO33="None"," - STOPPED accruing",IF(AN33="None"," - commencement for Bonus Leave"," - pathway changed"))))&amp;IF(AG33&lt;3,"","; "&amp;AL33&amp;" to "&amp;AM33&amp;" on "&amp;TEXT(AJ33,"dd/mm/yyyy")&amp;IF(AJ33&gt;AsOfDate," (future)",IF(AO33=AP33,"",IF(AP33="None"," - STOPPED accruing",IF(AO33="None"," - commencement for Bonus Leave","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IF(AE33=0,"",IF(NOT(LH_Ready),"",IF(AF33&gt;PFYDate,0,IF(LH_ColPeriod=0,W33-U33+V33,SUMIFS(INDEX(LH_Data,0,LH_ColAcc),INDEX(LH_Data,0,LH_ColFirst),$A33,INDEX(LH_Data,0,LH_ColSur),$B33,INDEX(LH_Data,0,LH_ColCat),BonusCat,INDEX(LH_Data,0,LH_ColPeriod),LH_OpenLabel)*UnitFactor))))</f>
        <v/>
      </c>
      <c r="U33" s="13" t="str">
        <f aca="false">IF(AE33=0,"",IF(NOT(LH_Ready),"",SUMIFS(INDEX(LH_Data,0,LH_ColAcc),INDEX(LH_Data,0,LH_ColFirst),$A33,INDEX(LH_Data,0,LH_ColSur),$B33,INDEX(LH_Data,0,LH_ColCat),BonusCat,INDEX(LH_Data,0,LH_ColStart),"&gt;="&amp;AF33)*UnitFactor))</f>
        <v/>
      </c>
      <c r="V33" s="13" t="str">
        <f aca="false">IF(AE33=0,"",IF(NOT(LH_Ready),"",SUMIFS(INDEX(LH_Data,0,LH_ColTaken),INDEX(LH_Data,0,LH_ColFirst),$A33,INDEX(LH_Data,0,LH_ColSur),$B33,INDEX(LH_Data,0,LH_ColCat),BonusCat,INDEX(LH_Data,0,LH_ColStart),"&gt;="&amp;AF33)*UnitFactor))</f>
        <v/>
      </c>
      <c r="W33" s="13" t="str">
        <f aca="false">IF(AE33=0,"",IF(NOT(LH_Ready),"",IF(BB33=0,0,INDEX(INDEX(LH_Data,0,LH_ColClose),BB33-1)*UnitFactor)))</f>
        <v/>
      </c>
      <c r="X33" s="13" t="str">
        <f aca="false">IF(AE33=0,"",(AX33-AY33)*HoursPerDay)</f>
        <v/>
      </c>
      <c r="Y33" s="13" t="str">
        <f aca="false">IF(AE33=0,"",IF(NOT(LH_Ready),"",IF(BA33=0,N33,IF(PFYDate&lt;$F33,N33-N(T33)-N(U33),X33-N(U33)))))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 hrs more than policy since commencement",IF(N(W33)&gt;O33*HoursPerDay+0.01,"CHECK - EH balance "&amp;ROUND(W33-O33*HoursPerDay,2)&amp;" hrs more than policy entitlement",IF(O33&gt;0,"OK - nothing to add",IF(AQ33="None",R33,"Not yet - first day on "&amp;TEXT(S33,"dd/mm/yyyy")))))))))</f>
        <v/>
      </c>
      <c r="AB33" s="13" t="str">
        <f aca="false">IF(OR(AE33=0,T33=""),"",AY33*HoursPerDay-T33)</f>
        <v/>
      </c>
      <c r="AC33" s="12" t="str">
        <f aca="false">IF(AE33=0,"",BA33)</f>
        <v/>
      </c>
      <c r="AD33" s="12"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IF(AE33=0,"",IF($J33&lt;&gt;"",$J33,IF(OR(CasualCounts="Yes",COUNT($G33:$I33)=0,COUNT($G33:$H33)=0),$F33,MIN($G33:$H33))))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8"/>
      <c r="B34" s="8"/>
      <c r="C34" s="8"/>
      <c r="D34" s="9"/>
      <c r="E34" s="10" t="str">
        <f aca="false">IF(OR(AE34=0,$D34=""),"",DATE(YEAR(AsOfDate)+IF(DATE(YEAR(AsOfDate),MONTH($D34),DAY($D34))&lt;=AsOfDate,1,0),MONTH($D34),DAY($D34)))</f>
        <v/>
      </c>
      <c r="F34" s="9"/>
      <c r="G34" s="9"/>
      <c r="H34" s="9"/>
      <c r="I34" s="9"/>
      <c r="J34" s="9"/>
      <c r="K34" s="10" t="str">
        <f aca="false">IF(AE34=0,"",DATE(YEAR(AsOfDate)+IF(DATE(YEAR(AsOfDate),MONTH(AF34),DAY(AF34))&lt;=AsOfDate,1,0),MONTH(AF34),DAY(AF34)))</f>
        <v/>
      </c>
      <c r="L34" s="11" t="str">
        <f aca="false">IF(AE34=0,"",ROUND((AsOfDate-AF34)/365.25,1))</f>
        <v/>
      </c>
      <c r="M34" s="12" t="str">
        <f aca="false">IF(AE34=0,"",IF(AsOfDate&lt;AF34,"-",DATEDIF(AF34,AsOfDate,"y")&amp;"y "&amp;DATEDIF(AF34,AsOfDate,"ym")&amp;"m "&amp;DATEDIF(AF34,AsOfDate,"md")&amp;"d"))</f>
        <v/>
      </c>
      <c r="N34" s="13" t="str">
        <f aca="false">IF(AE34=0,"",O34*HoursPerDay)</f>
        <v/>
      </c>
      <c r="O34" s="13" t="str">
        <f aca="false">IF(AE34=0,"",AX34)</f>
        <v/>
      </c>
      <c r="P34" s="14"/>
      <c r="Q34" s="12" t="str">
        <f aca="false">IF(AE34=0,"",IF(AG34&lt;2,"",AK34&amp;" to "&amp;AL34&amp;" on "&amp;TEXT(AI34,"dd/mm/yyyy")&amp;IF(AI34&gt;AsOfDate," (future)",IF(AN34=AO34,"",IF(AO34="None"," - STOPPED accruing",IF(AN34="None"," - commencement for Bonus Leave"," - pathway changed"))))&amp;IF(AG34&lt;3,"","; "&amp;AL34&amp;" to "&amp;AM34&amp;" on "&amp;TEXT(AJ34,"dd/mm/yyyy")&amp;IF(AJ34&gt;AsOfDate," (future)",IF(AO34=AP34,"",IF(AP34="None"," - STOPPED accruing",IF(AO34="None"," - commencement for Bonus Leave","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IF(AE34=0,"",IF(NOT(LH_Ready),"",IF(AF34&gt;PFYDate,0,IF(LH_ColPeriod=0,W34-U34+V34,SUMIFS(INDEX(LH_Data,0,LH_ColAcc),INDEX(LH_Data,0,LH_ColFirst),$A34,INDEX(LH_Data,0,LH_ColSur),$B34,INDEX(LH_Data,0,LH_ColCat),BonusCat,INDEX(LH_Data,0,LH_ColPeriod),LH_OpenLabel)*UnitFactor))))</f>
        <v/>
      </c>
      <c r="U34" s="13" t="str">
        <f aca="false">IF(AE34=0,"",IF(NOT(LH_Ready),"",SUMIFS(INDEX(LH_Data,0,LH_ColAcc),INDEX(LH_Data,0,LH_ColFirst),$A34,INDEX(LH_Data,0,LH_ColSur),$B34,INDEX(LH_Data,0,LH_ColCat),BonusCat,INDEX(LH_Data,0,LH_ColStart),"&gt;="&amp;AF34)*UnitFactor))</f>
        <v/>
      </c>
      <c r="V34" s="13" t="str">
        <f aca="false">IF(AE34=0,"",IF(NOT(LH_Ready),"",SUMIFS(INDEX(LH_Data,0,LH_ColTaken),INDEX(LH_Data,0,LH_ColFirst),$A34,INDEX(LH_Data,0,LH_ColSur),$B34,INDEX(LH_Data,0,LH_ColCat),BonusCat,INDEX(LH_Data,0,LH_ColStart),"&gt;="&amp;AF34)*UnitFactor))</f>
        <v/>
      </c>
      <c r="W34" s="13" t="str">
        <f aca="false">IF(AE34=0,"",IF(NOT(LH_Ready),"",IF(BB34=0,0,INDEX(INDEX(LH_Data,0,LH_ColClose),BB34-1)*UnitFactor)))</f>
        <v/>
      </c>
      <c r="X34" s="13" t="str">
        <f aca="false">IF(AE34=0,"",(AX34-AY34)*HoursPerDay)</f>
        <v/>
      </c>
      <c r="Y34" s="13" t="str">
        <f aca="false">IF(AE34=0,"",IF(NOT(LH_Ready),"",IF(BA34=0,N34,IF(PFYDate&lt;$F34,N34-N(T34)-N(U34),X34-N(U34)))))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 hrs more than policy since commencement",IF(N(W34)&gt;O34*HoursPerDay+0.01,"CHECK - EH balance "&amp;ROUND(W34-O34*HoursPerDay,2)&amp;" hrs more than policy entitlement",IF(O34&gt;0,"OK - nothing to add",IF(AQ34="None",R34,"Not yet - first day on "&amp;TEXT(S34,"dd/mm/yyyy")))))))))</f>
        <v/>
      </c>
      <c r="AB34" s="13" t="str">
        <f aca="false">IF(OR(AE34=0,T34=""),"",AY34*HoursPerDay-T34)</f>
        <v/>
      </c>
      <c r="AC34" s="12" t="str">
        <f aca="false">IF(AE34=0,"",BA34)</f>
        <v/>
      </c>
      <c r="AD34" s="12"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IF(AE34=0,"",IF($J34&lt;&gt;"",$J34,IF(OR(CasualCounts="Yes",COUNT($G34:$I34)=0,COUNT($G34:$H34)=0),$F34,MIN($G34:$H34))))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8"/>
      <c r="B35" s="8"/>
      <c r="C35" s="8"/>
      <c r="D35" s="9"/>
      <c r="E35" s="10" t="str">
        <f aca="false">IF(OR(AE35=0,$D35=""),"",DATE(YEAR(AsOfDate)+IF(DATE(YEAR(AsOfDate),MONTH($D35),DAY($D35))&lt;=AsOfDate,1,0),MONTH($D35),DAY($D35)))</f>
        <v/>
      </c>
      <c r="F35" s="9"/>
      <c r="G35" s="9"/>
      <c r="H35" s="9"/>
      <c r="I35" s="9"/>
      <c r="J35" s="9"/>
      <c r="K35" s="10" t="str">
        <f aca="false">IF(AE35=0,"",DATE(YEAR(AsOfDate)+IF(DATE(YEAR(AsOfDate),MONTH(AF35),DAY(AF35))&lt;=AsOfDate,1,0),MONTH(AF35),DAY(AF35)))</f>
        <v/>
      </c>
      <c r="L35" s="11" t="str">
        <f aca="false">IF(AE35=0,"",ROUND((AsOfDate-AF35)/365.25,1))</f>
        <v/>
      </c>
      <c r="M35" s="12" t="str">
        <f aca="false">IF(AE35=0,"",IF(AsOfDate&lt;AF35,"-",DATEDIF(AF35,AsOfDate,"y")&amp;"y "&amp;DATEDIF(AF35,AsOfDate,"ym")&amp;"m "&amp;DATEDIF(AF35,AsOfDate,"md")&amp;"d"))</f>
        <v/>
      </c>
      <c r="N35" s="13" t="str">
        <f aca="false">IF(AE35=0,"",O35*HoursPerDay)</f>
        <v/>
      </c>
      <c r="O35" s="13" t="str">
        <f aca="false">IF(AE35=0,"",AX35)</f>
        <v/>
      </c>
      <c r="P35" s="14"/>
      <c r="Q35" s="12" t="str">
        <f aca="false">IF(AE35=0,"",IF(AG35&lt;2,"",AK35&amp;" to "&amp;AL35&amp;" on "&amp;TEXT(AI35,"dd/mm/yyyy")&amp;IF(AI35&gt;AsOfDate," (future)",IF(AN35=AO35,"",IF(AO35="None"," - STOPPED accruing",IF(AN35="None"," - commencement for Bonus Leave"," - pathway changed"))))&amp;IF(AG35&lt;3,"","; "&amp;AL35&amp;" to "&amp;AM35&amp;" on "&amp;TEXT(AJ35,"dd/mm/yyyy")&amp;IF(AJ35&gt;AsOfDate," (future)",IF(AO35=AP35,"",IF(AP35="None"," - STOPPED accruing",IF(AO35="None"," - commencement for Bonus Leave","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IF(AE35=0,"",IF(NOT(LH_Ready),"",IF(AF35&gt;PFYDate,0,IF(LH_ColPeriod=0,W35-U35+V35,SUMIFS(INDEX(LH_Data,0,LH_ColAcc),INDEX(LH_Data,0,LH_ColFirst),$A35,INDEX(LH_Data,0,LH_ColSur),$B35,INDEX(LH_Data,0,LH_ColCat),BonusCat,INDEX(LH_Data,0,LH_ColPeriod),LH_OpenLabel)*UnitFactor))))</f>
        <v/>
      </c>
      <c r="U35" s="13" t="str">
        <f aca="false">IF(AE35=0,"",IF(NOT(LH_Ready),"",SUMIFS(INDEX(LH_Data,0,LH_ColAcc),INDEX(LH_Data,0,LH_ColFirst),$A35,INDEX(LH_Data,0,LH_ColSur),$B35,INDEX(LH_Data,0,LH_ColCat),BonusCat,INDEX(LH_Data,0,LH_ColStart),"&gt;="&amp;AF35)*UnitFactor))</f>
        <v/>
      </c>
      <c r="V35" s="13" t="str">
        <f aca="false">IF(AE35=0,"",IF(NOT(LH_Ready),"",SUMIFS(INDEX(LH_Data,0,LH_ColTaken),INDEX(LH_Data,0,LH_ColFirst),$A35,INDEX(LH_Data,0,LH_ColSur),$B35,INDEX(LH_Data,0,LH_ColCat),BonusCat,INDEX(LH_Data,0,LH_ColStart),"&gt;="&amp;AF35)*UnitFactor))</f>
        <v/>
      </c>
      <c r="W35" s="13" t="str">
        <f aca="false">IF(AE35=0,"",IF(NOT(LH_Ready),"",IF(BB35=0,0,INDEX(INDEX(LH_Data,0,LH_ColClose),BB35-1)*UnitFactor)))</f>
        <v/>
      </c>
      <c r="X35" s="13" t="str">
        <f aca="false">IF(AE35=0,"",(AX35-AY35)*HoursPerDay)</f>
        <v/>
      </c>
      <c r="Y35" s="13" t="str">
        <f aca="false">IF(AE35=0,"",IF(NOT(LH_Ready),"",IF(BA35=0,N35,IF(PFYDate&lt;$F35,N35-N(T35)-N(U35),X35-N(U35)))))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 hrs more than policy since commencement",IF(N(W35)&gt;O35*HoursPerDay+0.01,"CHECK - EH balance "&amp;ROUND(W35-O35*HoursPerDay,2)&amp;" hrs more than policy entitlement",IF(O35&gt;0,"OK - nothing to add",IF(AQ35="None",R35,"Not yet - first day on "&amp;TEXT(S35,"dd/mm/yyyy")))))))))</f>
        <v/>
      </c>
      <c r="AB35" s="13" t="str">
        <f aca="false">IF(OR(AE35=0,T35=""),"",AY35*HoursPerDay-T35)</f>
        <v/>
      </c>
      <c r="AC35" s="12" t="str">
        <f aca="false">IF(AE35=0,"",BA35)</f>
        <v/>
      </c>
      <c r="AD35" s="12"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IF(AE35=0,"",IF($J35&lt;&gt;"",$J35,IF(OR(CasualCounts="Yes",COUNT($G35:$I35)=0,COUNT($G35:$H35)=0),$F35,MIN($G35:$H35))))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8"/>
      <c r="B36" s="8"/>
      <c r="C36" s="8"/>
      <c r="D36" s="9"/>
      <c r="E36" s="10" t="str">
        <f aca="false">IF(OR(AE36=0,$D36=""),"",DATE(YEAR(AsOfDate)+IF(DATE(YEAR(AsOfDate),MONTH($D36),DAY($D36))&lt;=AsOfDate,1,0),MONTH($D36),DAY($D36)))</f>
        <v/>
      </c>
      <c r="F36" s="9"/>
      <c r="G36" s="9"/>
      <c r="H36" s="9"/>
      <c r="I36" s="9"/>
      <c r="J36" s="9"/>
      <c r="K36" s="10" t="str">
        <f aca="false">IF(AE36=0,"",DATE(YEAR(AsOfDate)+IF(DATE(YEAR(AsOfDate),MONTH(AF36),DAY(AF36))&lt;=AsOfDate,1,0),MONTH(AF36),DAY(AF36)))</f>
        <v/>
      </c>
      <c r="L36" s="11" t="str">
        <f aca="false">IF(AE36=0,"",ROUND((AsOfDate-AF36)/365.25,1))</f>
        <v/>
      </c>
      <c r="M36" s="12" t="str">
        <f aca="false">IF(AE36=0,"",IF(AsOfDate&lt;AF36,"-",DATEDIF(AF36,AsOfDate,"y")&amp;"y "&amp;DATEDIF(AF36,AsOfDate,"ym")&amp;"m "&amp;DATEDIF(AF36,AsOfDate,"md")&amp;"d"))</f>
        <v/>
      </c>
      <c r="N36" s="13" t="str">
        <f aca="false">IF(AE36=0,"",O36*HoursPerDay)</f>
        <v/>
      </c>
      <c r="O36" s="13" t="str">
        <f aca="false">IF(AE36=0,"",AX36)</f>
        <v/>
      </c>
      <c r="P36" s="14"/>
      <c r="Q36" s="12" t="str">
        <f aca="false">IF(AE36=0,"",IF(AG36&lt;2,"",AK36&amp;" to "&amp;AL36&amp;" on "&amp;TEXT(AI36,"dd/mm/yyyy")&amp;IF(AI36&gt;AsOfDate," (future)",IF(AN36=AO36,"",IF(AO36="None"," - STOPPED accruing",IF(AN36="None"," - commencement for Bonus Leave"," - pathway changed"))))&amp;IF(AG36&lt;3,"","; "&amp;AL36&amp;" to "&amp;AM36&amp;" on "&amp;TEXT(AJ36,"dd/mm/yyyy")&amp;IF(AJ36&gt;AsOfDate," (future)",IF(AO36=AP36,"",IF(AP36="None"," - STOPPED accruing",IF(AO36="None"," - commencement for Bonus Leave","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IF(AE36=0,"",IF(NOT(LH_Ready),"",IF(AF36&gt;PFYDate,0,IF(LH_ColPeriod=0,W36-U36+V36,SUMIFS(INDEX(LH_Data,0,LH_ColAcc),INDEX(LH_Data,0,LH_ColFirst),$A36,INDEX(LH_Data,0,LH_ColSur),$B36,INDEX(LH_Data,0,LH_ColCat),BonusCat,INDEX(LH_Data,0,LH_ColPeriod),LH_OpenLabel)*UnitFactor))))</f>
        <v/>
      </c>
      <c r="U36" s="13" t="str">
        <f aca="false">IF(AE36=0,"",IF(NOT(LH_Ready),"",SUMIFS(INDEX(LH_Data,0,LH_ColAcc),INDEX(LH_Data,0,LH_ColFirst),$A36,INDEX(LH_Data,0,LH_ColSur),$B36,INDEX(LH_Data,0,LH_ColCat),BonusCat,INDEX(LH_Data,0,LH_ColStart),"&gt;="&amp;AF36)*UnitFactor))</f>
        <v/>
      </c>
      <c r="V36" s="13" t="str">
        <f aca="false">IF(AE36=0,"",IF(NOT(LH_Ready),"",SUMIFS(INDEX(LH_Data,0,LH_ColTaken),INDEX(LH_Data,0,LH_ColFirst),$A36,INDEX(LH_Data,0,LH_ColSur),$B36,INDEX(LH_Data,0,LH_ColCat),BonusCat,INDEX(LH_Data,0,LH_ColStart),"&gt;="&amp;AF36)*UnitFactor))</f>
        <v/>
      </c>
      <c r="W36" s="13" t="str">
        <f aca="false">IF(AE36=0,"",IF(NOT(LH_Ready),"",IF(BB36=0,0,INDEX(INDEX(LH_Data,0,LH_ColClose),BB36-1)*UnitFactor)))</f>
        <v/>
      </c>
      <c r="X36" s="13" t="str">
        <f aca="false">IF(AE36=0,"",(AX36-AY36)*HoursPerDay)</f>
        <v/>
      </c>
      <c r="Y36" s="13" t="str">
        <f aca="false">IF(AE36=0,"",IF(NOT(LH_Ready),"",IF(BA36=0,N36,IF(PFYDate&lt;$F36,N36-N(T36)-N(U36),X36-N(U36)))))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 hrs more than policy since commencement",IF(N(W36)&gt;O36*HoursPerDay+0.01,"CHECK - EH balance "&amp;ROUND(W36-O36*HoursPerDay,2)&amp;" hrs more than policy entitlement",IF(O36&gt;0,"OK - nothing to add",IF(AQ36="None",R36,"Not yet - first day on "&amp;TEXT(S36,"dd/mm/yyyy")))))))))</f>
        <v/>
      </c>
      <c r="AB36" s="13" t="str">
        <f aca="false">IF(OR(AE36=0,T36=""),"",AY36*HoursPerDay-T36)</f>
        <v/>
      </c>
      <c r="AC36" s="12" t="str">
        <f aca="false">IF(AE36=0,"",BA36)</f>
        <v/>
      </c>
      <c r="AD36" s="12"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IF(AE36=0,"",IF($J36&lt;&gt;"",$J36,IF(OR(CasualCounts="Yes",COUNT($G36:$I36)=0,COUNT($G36:$H36)=0),$F36,MIN($G36:$H36))))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8"/>
      <c r="B37" s="8"/>
      <c r="C37" s="8"/>
      <c r="D37" s="9"/>
      <c r="E37" s="10" t="str">
        <f aca="false">IF(OR(AE37=0,$D37=""),"",DATE(YEAR(AsOfDate)+IF(DATE(YEAR(AsOfDate),MONTH($D37),DAY($D37))&lt;=AsOfDate,1,0),MONTH($D37),DAY($D37)))</f>
        <v/>
      </c>
      <c r="F37" s="9"/>
      <c r="G37" s="9"/>
      <c r="H37" s="9"/>
      <c r="I37" s="9"/>
      <c r="J37" s="9"/>
      <c r="K37" s="10" t="str">
        <f aca="false">IF(AE37=0,"",DATE(YEAR(AsOfDate)+IF(DATE(YEAR(AsOfDate),MONTH(AF37),DAY(AF37))&lt;=AsOfDate,1,0),MONTH(AF37),DAY(AF37)))</f>
        <v/>
      </c>
      <c r="L37" s="11" t="str">
        <f aca="false">IF(AE37=0,"",ROUND((AsOfDate-AF37)/365.25,1))</f>
        <v/>
      </c>
      <c r="M37" s="12" t="str">
        <f aca="false">IF(AE37=0,"",IF(AsOfDate&lt;AF37,"-",DATEDIF(AF37,AsOfDate,"y")&amp;"y "&amp;DATEDIF(AF37,AsOfDate,"ym")&amp;"m "&amp;DATEDIF(AF37,AsOfDate,"md")&amp;"d"))</f>
        <v/>
      </c>
      <c r="N37" s="13" t="str">
        <f aca="false">IF(AE37=0,"",O37*HoursPerDay)</f>
        <v/>
      </c>
      <c r="O37" s="13" t="str">
        <f aca="false">IF(AE37=0,"",AX37)</f>
        <v/>
      </c>
      <c r="P37" s="14"/>
      <c r="Q37" s="12" t="str">
        <f aca="false">IF(AE37=0,"",IF(AG37&lt;2,"",AK37&amp;" to "&amp;AL37&amp;" on "&amp;TEXT(AI37,"dd/mm/yyyy")&amp;IF(AI37&gt;AsOfDate," (future)",IF(AN37=AO37,"",IF(AO37="None"," - STOPPED accruing",IF(AN37="None"," - commencement for Bonus Leave"," - pathway changed"))))&amp;IF(AG37&lt;3,"","; "&amp;AL37&amp;" to "&amp;AM37&amp;" on "&amp;TEXT(AJ37,"dd/mm/yyyy")&amp;IF(AJ37&gt;AsOfDate," (future)",IF(AO37=AP37,"",IF(AP37="None"," - STOPPED accruing",IF(AO37="None"," - commencement for Bonus Leave","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IF(AE37=0,"",IF(NOT(LH_Ready),"",IF(AF37&gt;PFYDate,0,IF(LH_ColPeriod=0,W37-U37+V37,SUMIFS(INDEX(LH_Data,0,LH_ColAcc),INDEX(LH_Data,0,LH_ColFirst),$A37,INDEX(LH_Data,0,LH_ColSur),$B37,INDEX(LH_Data,0,LH_ColCat),BonusCat,INDEX(LH_Data,0,LH_ColPeriod),LH_OpenLabel)*UnitFactor))))</f>
        <v/>
      </c>
      <c r="U37" s="13" t="str">
        <f aca="false">IF(AE37=0,"",IF(NOT(LH_Ready),"",SUMIFS(INDEX(LH_Data,0,LH_ColAcc),INDEX(LH_Data,0,LH_ColFirst),$A37,INDEX(LH_Data,0,LH_ColSur),$B37,INDEX(LH_Data,0,LH_ColCat),BonusCat,INDEX(LH_Data,0,LH_ColStart),"&gt;="&amp;AF37)*UnitFactor))</f>
        <v/>
      </c>
      <c r="V37" s="13" t="str">
        <f aca="false">IF(AE37=0,"",IF(NOT(LH_Ready),"",SUMIFS(INDEX(LH_Data,0,LH_ColTaken),INDEX(LH_Data,0,LH_ColFirst),$A37,INDEX(LH_Data,0,LH_ColSur),$B37,INDEX(LH_Data,0,LH_ColCat),BonusCat,INDEX(LH_Data,0,LH_ColStart),"&gt;="&amp;AF37)*UnitFactor))</f>
        <v/>
      </c>
      <c r="W37" s="13" t="str">
        <f aca="false">IF(AE37=0,"",IF(NOT(LH_Ready),"",IF(BB37=0,0,INDEX(INDEX(LH_Data,0,LH_ColClose),BB37-1)*UnitFactor)))</f>
        <v/>
      </c>
      <c r="X37" s="13" t="str">
        <f aca="false">IF(AE37=0,"",(AX37-AY37)*HoursPerDay)</f>
        <v/>
      </c>
      <c r="Y37" s="13" t="str">
        <f aca="false">IF(AE37=0,"",IF(NOT(LH_Ready),"",IF(BA37=0,N37,IF(PFYDate&lt;$F37,N37-N(T37)-N(U37),X37-N(U37)))))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 hrs more than policy since commencement",IF(N(W37)&gt;O37*HoursPerDay+0.01,"CHECK - EH balance "&amp;ROUND(W37-O37*HoursPerDay,2)&amp;" hrs more than policy entitlement",IF(O37&gt;0,"OK - nothing to add",IF(AQ37="None",R37,"Not yet - first day on "&amp;TEXT(S37,"dd/mm/yyyy")))))))))</f>
        <v/>
      </c>
      <c r="AB37" s="13" t="str">
        <f aca="false">IF(OR(AE37=0,T37=""),"",AY37*HoursPerDay-T37)</f>
        <v/>
      </c>
      <c r="AC37" s="12" t="str">
        <f aca="false">IF(AE37=0,"",BA37)</f>
        <v/>
      </c>
      <c r="AD37" s="12"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IF(AE37=0,"",IF($J37&lt;&gt;"",$J37,IF(OR(CasualCounts="Yes",COUNT($G37:$I37)=0,COUNT($G37:$H37)=0),$F37,MIN($G37:$H37))))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8"/>
      <c r="B38" s="8"/>
      <c r="C38" s="8"/>
      <c r="D38" s="9"/>
      <c r="E38" s="10" t="str">
        <f aca="false">IF(OR(AE38=0,$D38=""),"",DATE(YEAR(AsOfDate)+IF(DATE(YEAR(AsOfDate),MONTH($D38),DAY($D38))&lt;=AsOfDate,1,0),MONTH($D38),DAY($D38)))</f>
        <v/>
      </c>
      <c r="F38" s="9"/>
      <c r="G38" s="9"/>
      <c r="H38" s="9"/>
      <c r="I38" s="9"/>
      <c r="J38" s="9"/>
      <c r="K38" s="10" t="str">
        <f aca="false">IF(AE38=0,"",DATE(YEAR(AsOfDate)+IF(DATE(YEAR(AsOfDate),MONTH(AF38),DAY(AF38))&lt;=AsOfDate,1,0),MONTH(AF38),DAY(AF38)))</f>
        <v/>
      </c>
      <c r="L38" s="11" t="str">
        <f aca="false">IF(AE38=0,"",ROUND((AsOfDate-AF38)/365.25,1))</f>
        <v/>
      </c>
      <c r="M38" s="12" t="str">
        <f aca="false">IF(AE38=0,"",IF(AsOfDate&lt;AF38,"-",DATEDIF(AF38,AsOfDate,"y")&amp;"y "&amp;DATEDIF(AF38,AsOfDate,"ym")&amp;"m "&amp;DATEDIF(AF38,AsOfDate,"md")&amp;"d"))</f>
        <v/>
      </c>
      <c r="N38" s="13" t="str">
        <f aca="false">IF(AE38=0,"",O38*HoursPerDay)</f>
        <v/>
      </c>
      <c r="O38" s="13" t="str">
        <f aca="false">IF(AE38=0,"",AX38)</f>
        <v/>
      </c>
      <c r="P38" s="14"/>
      <c r="Q38" s="12" t="str">
        <f aca="false">IF(AE38=0,"",IF(AG38&lt;2,"",AK38&amp;" to "&amp;AL38&amp;" on "&amp;TEXT(AI38,"dd/mm/yyyy")&amp;IF(AI38&gt;AsOfDate," (future)",IF(AN38=AO38,"",IF(AO38="None"," - STOPPED accruing",IF(AN38="None"," - commencement for Bonus Leave"," - pathway changed"))))&amp;IF(AG38&lt;3,"","; "&amp;AL38&amp;" to "&amp;AM38&amp;" on "&amp;TEXT(AJ38,"dd/mm/yyyy")&amp;IF(AJ38&gt;AsOfDate," (future)",IF(AO38=AP38,"",IF(AP38="None"," - STOPPED accruing",IF(AO38="None"," - commencement for Bonus Leave","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IF(AE38=0,"",IF(NOT(LH_Ready),"",IF(AF38&gt;PFYDate,0,IF(LH_ColPeriod=0,W38-U38+V38,SUMIFS(INDEX(LH_Data,0,LH_ColAcc),INDEX(LH_Data,0,LH_ColFirst),$A38,INDEX(LH_Data,0,LH_ColSur),$B38,INDEX(LH_Data,0,LH_ColCat),BonusCat,INDEX(LH_Data,0,LH_ColPeriod),LH_OpenLabel)*UnitFactor))))</f>
        <v/>
      </c>
      <c r="U38" s="13" t="str">
        <f aca="false">IF(AE38=0,"",IF(NOT(LH_Ready),"",SUMIFS(INDEX(LH_Data,0,LH_ColAcc),INDEX(LH_Data,0,LH_ColFirst),$A38,INDEX(LH_Data,0,LH_ColSur),$B38,INDEX(LH_Data,0,LH_ColCat),BonusCat,INDEX(LH_Data,0,LH_ColStart),"&gt;="&amp;AF38)*UnitFactor))</f>
        <v/>
      </c>
      <c r="V38" s="13" t="str">
        <f aca="false">IF(AE38=0,"",IF(NOT(LH_Ready),"",SUMIFS(INDEX(LH_Data,0,LH_ColTaken),INDEX(LH_Data,0,LH_ColFirst),$A38,INDEX(LH_Data,0,LH_ColSur),$B38,INDEX(LH_Data,0,LH_ColCat),BonusCat,INDEX(LH_Data,0,LH_ColStart),"&gt;="&amp;AF38)*UnitFactor))</f>
        <v/>
      </c>
      <c r="W38" s="13" t="str">
        <f aca="false">IF(AE38=0,"",IF(NOT(LH_Ready),"",IF(BB38=0,0,INDEX(INDEX(LH_Data,0,LH_ColClose),BB38-1)*UnitFactor)))</f>
        <v/>
      </c>
      <c r="X38" s="13" t="str">
        <f aca="false">IF(AE38=0,"",(AX38-AY38)*HoursPerDay)</f>
        <v/>
      </c>
      <c r="Y38" s="13" t="str">
        <f aca="false">IF(AE38=0,"",IF(NOT(LH_Ready),"",IF(BA38=0,N38,IF(PFYDate&lt;$F38,N38-N(T38)-N(U38),X38-N(U38)))))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 hrs more than policy since commencement",IF(N(W38)&gt;O38*HoursPerDay+0.01,"CHECK - EH balance "&amp;ROUND(W38-O38*HoursPerDay,2)&amp;" hrs more than policy entitlement",IF(O38&gt;0,"OK - nothing to add",IF(AQ38="None",R38,"Not yet - first day on "&amp;TEXT(S38,"dd/mm/yyyy")))))))))</f>
        <v/>
      </c>
      <c r="AB38" s="13" t="str">
        <f aca="false">IF(OR(AE38=0,T38=""),"",AY38*HoursPerDay-T38)</f>
        <v/>
      </c>
      <c r="AC38" s="12" t="str">
        <f aca="false">IF(AE38=0,"",BA38)</f>
        <v/>
      </c>
      <c r="AD38" s="12"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IF(AE38=0,"",IF($J38&lt;&gt;"",$J38,IF(OR(CasualCounts="Yes",COUNT($G38:$I38)=0,COUNT($G38:$H38)=0),$F38,MIN($G38:$H38))))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8"/>
      <c r="B39" s="8"/>
      <c r="C39" s="8"/>
      <c r="D39" s="9"/>
      <c r="E39" s="10" t="str">
        <f aca="false">IF(OR(AE39=0,$D39=""),"",DATE(YEAR(AsOfDate)+IF(DATE(YEAR(AsOfDate),MONTH($D39),DAY($D39))&lt;=AsOfDate,1,0),MONTH($D39),DAY($D39)))</f>
        <v/>
      </c>
      <c r="F39" s="9"/>
      <c r="G39" s="9"/>
      <c r="H39" s="9"/>
      <c r="I39" s="9"/>
      <c r="J39" s="9"/>
      <c r="K39" s="10" t="str">
        <f aca="false">IF(AE39=0,"",DATE(YEAR(AsOfDate)+IF(DATE(YEAR(AsOfDate),MONTH(AF39),DAY(AF39))&lt;=AsOfDate,1,0),MONTH(AF39),DAY(AF39)))</f>
        <v/>
      </c>
      <c r="L39" s="11" t="str">
        <f aca="false">IF(AE39=0,"",ROUND((AsOfDate-AF39)/365.25,1))</f>
        <v/>
      </c>
      <c r="M39" s="12" t="str">
        <f aca="false">IF(AE39=0,"",IF(AsOfDate&lt;AF39,"-",DATEDIF(AF39,AsOfDate,"y")&amp;"y "&amp;DATEDIF(AF39,AsOfDate,"ym")&amp;"m "&amp;DATEDIF(AF39,AsOfDate,"md")&amp;"d"))</f>
        <v/>
      </c>
      <c r="N39" s="13" t="str">
        <f aca="false">IF(AE39=0,"",O39*HoursPerDay)</f>
        <v/>
      </c>
      <c r="O39" s="13" t="str">
        <f aca="false">IF(AE39=0,"",AX39)</f>
        <v/>
      </c>
      <c r="P39" s="14"/>
      <c r="Q39" s="12" t="str">
        <f aca="false">IF(AE39=0,"",IF(AG39&lt;2,"",AK39&amp;" to "&amp;AL39&amp;" on "&amp;TEXT(AI39,"dd/mm/yyyy")&amp;IF(AI39&gt;AsOfDate," (future)",IF(AN39=AO39,"",IF(AO39="None"," - STOPPED accruing",IF(AN39="None"," - commencement for Bonus Leave"," - pathway changed"))))&amp;IF(AG39&lt;3,"","; "&amp;AL39&amp;" to "&amp;AM39&amp;" on "&amp;TEXT(AJ39,"dd/mm/yyyy")&amp;IF(AJ39&gt;AsOfDate," (future)",IF(AO39=AP39,"",IF(AP39="None"," - STOPPED accruing",IF(AO39="None"," - commencement for Bonus Leave","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IF(AE39=0,"",IF(NOT(LH_Ready),"",IF(AF39&gt;PFYDate,0,IF(LH_ColPeriod=0,W39-U39+V39,SUMIFS(INDEX(LH_Data,0,LH_ColAcc),INDEX(LH_Data,0,LH_ColFirst),$A39,INDEX(LH_Data,0,LH_ColSur),$B39,INDEX(LH_Data,0,LH_ColCat),BonusCat,INDEX(LH_Data,0,LH_ColPeriod),LH_OpenLabel)*UnitFactor))))</f>
        <v/>
      </c>
      <c r="U39" s="13" t="str">
        <f aca="false">IF(AE39=0,"",IF(NOT(LH_Ready),"",SUMIFS(INDEX(LH_Data,0,LH_ColAcc),INDEX(LH_Data,0,LH_ColFirst),$A39,INDEX(LH_Data,0,LH_ColSur),$B39,INDEX(LH_Data,0,LH_ColCat),BonusCat,INDEX(LH_Data,0,LH_ColStart),"&gt;="&amp;AF39)*UnitFactor))</f>
        <v/>
      </c>
      <c r="V39" s="13" t="str">
        <f aca="false">IF(AE39=0,"",IF(NOT(LH_Ready),"",SUMIFS(INDEX(LH_Data,0,LH_ColTaken),INDEX(LH_Data,0,LH_ColFirst),$A39,INDEX(LH_Data,0,LH_ColSur),$B39,INDEX(LH_Data,0,LH_ColCat),BonusCat,INDEX(LH_Data,0,LH_ColStart),"&gt;="&amp;AF39)*UnitFactor))</f>
        <v/>
      </c>
      <c r="W39" s="13" t="str">
        <f aca="false">IF(AE39=0,"",IF(NOT(LH_Ready),"",IF(BB39=0,0,INDEX(INDEX(LH_Data,0,LH_ColClose),BB39-1)*UnitFactor)))</f>
        <v/>
      </c>
      <c r="X39" s="13" t="str">
        <f aca="false">IF(AE39=0,"",(AX39-AY39)*HoursPerDay)</f>
        <v/>
      </c>
      <c r="Y39" s="13" t="str">
        <f aca="false">IF(AE39=0,"",IF(NOT(LH_Ready),"",IF(BA39=0,N39,IF(PFYDate&lt;$F39,N39-N(T39)-N(U39),X39-N(U39)))))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 hrs more than policy since commencement",IF(N(W39)&gt;O39*HoursPerDay+0.01,"CHECK - EH balance "&amp;ROUND(W39-O39*HoursPerDay,2)&amp;" hrs more than policy entitlement",IF(O39&gt;0,"OK - nothing to add",IF(AQ39="None",R39,"Not yet - first day on "&amp;TEXT(S39,"dd/mm/yyyy")))))))))</f>
        <v/>
      </c>
      <c r="AB39" s="13" t="str">
        <f aca="false">IF(OR(AE39=0,T39=""),"",AY39*HoursPerDay-T39)</f>
        <v/>
      </c>
      <c r="AC39" s="12" t="str">
        <f aca="false">IF(AE39=0,"",BA39)</f>
        <v/>
      </c>
      <c r="AD39" s="12"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IF(AE39=0,"",IF($J39&lt;&gt;"",$J39,IF(OR(CasualCounts="Yes",COUNT($G39:$I39)=0,COUNT($G39:$H39)=0),$F39,MIN($G39:$H39))))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8"/>
      <c r="B40" s="8"/>
      <c r="C40" s="8"/>
      <c r="D40" s="9"/>
      <c r="E40" s="10" t="str">
        <f aca="false">IF(OR(AE40=0,$D40=""),"",DATE(YEAR(AsOfDate)+IF(DATE(YEAR(AsOfDate),MONTH($D40),DAY($D40))&lt;=AsOfDate,1,0),MONTH($D40),DAY($D40)))</f>
        <v/>
      </c>
      <c r="F40" s="9"/>
      <c r="G40" s="9"/>
      <c r="H40" s="9"/>
      <c r="I40" s="9"/>
      <c r="J40" s="9"/>
      <c r="K40" s="10" t="str">
        <f aca="false">IF(AE40=0,"",DATE(YEAR(AsOfDate)+IF(DATE(YEAR(AsOfDate),MONTH(AF40),DAY(AF40))&lt;=AsOfDate,1,0),MONTH(AF40),DAY(AF40)))</f>
        <v/>
      </c>
      <c r="L40" s="11" t="str">
        <f aca="false">IF(AE40=0,"",ROUND((AsOfDate-AF40)/365.25,1))</f>
        <v/>
      </c>
      <c r="M40" s="12" t="str">
        <f aca="false">IF(AE40=0,"",IF(AsOfDate&lt;AF40,"-",DATEDIF(AF40,AsOfDate,"y")&amp;"y "&amp;DATEDIF(AF40,AsOfDate,"ym")&amp;"m "&amp;DATEDIF(AF40,AsOfDate,"md")&amp;"d"))</f>
        <v/>
      </c>
      <c r="N40" s="13" t="str">
        <f aca="false">IF(AE40=0,"",O40*HoursPerDay)</f>
        <v/>
      </c>
      <c r="O40" s="13" t="str">
        <f aca="false">IF(AE40=0,"",AX40)</f>
        <v/>
      </c>
      <c r="P40" s="14"/>
      <c r="Q40" s="12" t="str">
        <f aca="false">IF(AE40=0,"",IF(AG40&lt;2,"",AK40&amp;" to "&amp;AL40&amp;" on "&amp;TEXT(AI40,"dd/mm/yyyy")&amp;IF(AI40&gt;AsOfDate," (future)",IF(AN40=AO40,"",IF(AO40="None"," - STOPPED accruing",IF(AN40="None"," - commencement for Bonus Leave"," - pathway changed"))))&amp;IF(AG40&lt;3,"","; "&amp;AL40&amp;" to "&amp;AM40&amp;" on "&amp;TEXT(AJ40,"dd/mm/yyyy")&amp;IF(AJ40&gt;AsOfDate," (future)",IF(AO40=AP40,"",IF(AP40="None"," - STOPPED accruing",IF(AO40="None"," - commencement for Bonus Leave","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IF(AE40=0,"",IF(NOT(LH_Ready),"",IF(AF40&gt;PFYDate,0,IF(LH_ColPeriod=0,W40-U40+V40,SUMIFS(INDEX(LH_Data,0,LH_ColAcc),INDEX(LH_Data,0,LH_ColFirst),$A40,INDEX(LH_Data,0,LH_ColSur),$B40,INDEX(LH_Data,0,LH_ColCat),BonusCat,INDEX(LH_Data,0,LH_ColPeriod),LH_OpenLabel)*UnitFactor))))</f>
        <v/>
      </c>
      <c r="U40" s="13" t="str">
        <f aca="false">IF(AE40=0,"",IF(NOT(LH_Ready),"",SUMIFS(INDEX(LH_Data,0,LH_ColAcc),INDEX(LH_Data,0,LH_ColFirst),$A40,INDEX(LH_Data,0,LH_ColSur),$B40,INDEX(LH_Data,0,LH_ColCat),BonusCat,INDEX(LH_Data,0,LH_ColStart),"&gt;="&amp;AF40)*UnitFactor))</f>
        <v/>
      </c>
      <c r="V40" s="13" t="str">
        <f aca="false">IF(AE40=0,"",IF(NOT(LH_Ready),"",SUMIFS(INDEX(LH_Data,0,LH_ColTaken),INDEX(LH_Data,0,LH_ColFirst),$A40,INDEX(LH_Data,0,LH_ColSur),$B40,INDEX(LH_Data,0,LH_ColCat),BonusCat,INDEX(LH_Data,0,LH_ColStart),"&gt;="&amp;AF40)*UnitFactor))</f>
        <v/>
      </c>
      <c r="W40" s="13" t="str">
        <f aca="false">IF(AE40=0,"",IF(NOT(LH_Ready),"",IF(BB40=0,0,INDEX(INDEX(LH_Data,0,LH_ColClose),BB40-1)*UnitFactor)))</f>
        <v/>
      </c>
      <c r="X40" s="13" t="str">
        <f aca="false">IF(AE40=0,"",(AX40-AY40)*HoursPerDay)</f>
        <v/>
      </c>
      <c r="Y40" s="13" t="str">
        <f aca="false">IF(AE40=0,"",IF(NOT(LH_Ready),"",IF(BA40=0,N40,IF(PFYDate&lt;$F40,N40-N(T40)-N(U40),X40-N(U40)))))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 hrs more than policy since commencement",IF(N(W40)&gt;O40*HoursPerDay+0.01,"CHECK - EH balance "&amp;ROUND(W40-O40*HoursPerDay,2)&amp;" hrs more than policy entitlement",IF(O40&gt;0,"OK - nothing to add",IF(AQ40="None",R40,"Not yet - first day on "&amp;TEXT(S40,"dd/mm/yyyy")))))))))</f>
        <v/>
      </c>
      <c r="AB40" s="13" t="str">
        <f aca="false">IF(OR(AE40=0,T40=""),"",AY40*HoursPerDay-T40)</f>
        <v/>
      </c>
      <c r="AC40" s="12" t="str">
        <f aca="false">IF(AE40=0,"",BA40)</f>
        <v/>
      </c>
      <c r="AD40" s="12"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IF(AE40=0,"",IF($J40&lt;&gt;"",$J40,IF(OR(CasualCounts="Yes",COUNT($G40:$I40)=0,COUNT($G40:$H40)=0),$F40,MIN($G40:$H40))))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8"/>
      <c r="B41" s="8"/>
      <c r="C41" s="8"/>
      <c r="D41" s="9"/>
      <c r="E41" s="10" t="str">
        <f aca="false">IF(OR(AE41=0,$D41=""),"",DATE(YEAR(AsOfDate)+IF(DATE(YEAR(AsOfDate),MONTH($D41),DAY($D41))&lt;=AsOfDate,1,0),MONTH($D41),DAY($D41)))</f>
        <v/>
      </c>
      <c r="F41" s="9"/>
      <c r="G41" s="9"/>
      <c r="H41" s="9"/>
      <c r="I41" s="9"/>
      <c r="J41" s="9"/>
      <c r="K41" s="10" t="str">
        <f aca="false">IF(AE41=0,"",DATE(YEAR(AsOfDate)+IF(DATE(YEAR(AsOfDate),MONTH(AF41),DAY(AF41))&lt;=AsOfDate,1,0),MONTH(AF41),DAY(AF41)))</f>
        <v/>
      </c>
      <c r="L41" s="11" t="str">
        <f aca="false">IF(AE41=0,"",ROUND((AsOfDate-AF41)/365.25,1))</f>
        <v/>
      </c>
      <c r="M41" s="12" t="str">
        <f aca="false">IF(AE41=0,"",IF(AsOfDate&lt;AF41,"-",DATEDIF(AF41,AsOfDate,"y")&amp;"y "&amp;DATEDIF(AF41,AsOfDate,"ym")&amp;"m "&amp;DATEDIF(AF41,AsOfDate,"md")&amp;"d"))</f>
        <v/>
      </c>
      <c r="N41" s="13" t="str">
        <f aca="false">IF(AE41=0,"",O41*HoursPerDay)</f>
        <v/>
      </c>
      <c r="O41" s="13" t="str">
        <f aca="false">IF(AE41=0,"",AX41)</f>
        <v/>
      </c>
      <c r="P41" s="14"/>
      <c r="Q41" s="12" t="str">
        <f aca="false">IF(AE41=0,"",IF(AG41&lt;2,"",AK41&amp;" to "&amp;AL41&amp;" on "&amp;TEXT(AI41,"dd/mm/yyyy")&amp;IF(AI41&gt;AsOfDate," (future)",IF(AN41=AO41,"",IF(AO41="None"," - STOPPED accruing",IF(AN41="None"," - commencement for Bonus Leave"," - pathway changed"))))&amp;IF(AG41&lt;3,"","; "&amp;AL41&amp;" to "&amp;AM41&amp;" on "&amp;TEXT(AJ41,"dd/mm/yyyy")&amp;IF(AJ41&gt;AsOfDate," (future)",IF(AO41=AP41,"",IF(AP41="None"," - STOPPED accruing",IF(AO41="None"," - commencement for Bonus Leave","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IF(AE41=0,"",IF(NOT(LH_Ready),"",IF(AF41&gt;PFYDate,0,IF(LH_ColPeriod=0,W41-U41+V41,SUMIFS(INDEX(LH_Data,0,LH_ColAcc),INDEX(LH_Data,0,LH_ColFirst),$A41,INDEX(LH_Data,0,LH_ColSur),$B41,INDEX(LH_Data,0,LH_ColCat),BonusCat,INDEX(LH_Data,0,LH_ColPeriod),LH_OpenLabel)*UnitFactor))))</f>
        <v/>
      </c>
      <c r="U41" s="13" t="str">
        <f aca="false">IF(AE41=0,"",IF(NOT(LH_Ready),"",SUMIFS(INDEX(LH_Data,0,LH_ColAcc),INDEX(LH_Data,0,LH_ColFirst),$A41,INDEX(LH_Data,0,LH_ColSur),$B41,INDEX(LH_Data,0,LH_ColCat),BonusCat,INDEX(LH_Data,0,LH_ColStart),"&gt;="&amp;AF41)*UnitFactor))</f>
        <v/>
      </c>
      <c r="V41" s="13" t="str">
        <f aca="false">IF(AE41=0,"",IF(NOT(LH_Ready),"",SUMIFS(INDEX(LH_Data,0,LH_ColTaken),INDEX(LH_Data,0,LH_ColFirst),$A41,INDEX(LH_Data,0,LH_ColSur),$B41,INDEX(LH_Data,0,LH_ColCat),BonusCat,INDEX(LH_Data,0,LH_ColStart),"&gt;="&amp;AF41)*UnitFactor))</f>
        <v/>
      </c>
      <c r="W41" s="13" t="str">
        <f aca="false">IF(AE41=0,"",IF(NOT(LH_Ready),"",IF(BB41=0,0,INDEX(INDEX(LH_Data,0,LH_ColClose),BB41-1)*UnitFactor)))</f>
        <v/>
      </c>
      <c r="X41" s="13" t="str">
        <f aca="false">IF(AE41=0,"",(AX41-AY41)*HoursPerDay)</f>
        <v/>
      </c>
      <c r="Y41" s="13" t="str">
        <f aca="false">IF(AE41=0,"",IF(NOT(LH_Ready),"",IF(BA41=0,N41,IF(PFYDate&lt;$F41,N41-N(T41)-N(U41),X41-N(U41)))))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 hrs more than policy since commencement",IF(N(W41)&gt;O41*HoursPerDay+0.01,"CHECK - EH balance "&amp;ROUND(W41-O41*HoursPerDay,2)&amp;" hrs more than policy entitlement",IF(O41&gt;0,"OK - nothing to add",IF(AQ41="None",R41,"Not yet - first day on "&amp;TEXT(S41,"dd/mm/yyyy")))))))))</f>
        <v/>
      </c>
      <c r="AB41" s="13" t="str">
        <f aca="false">IF(OR(AE41=0,T41=""),"",AY41*HoursPerDay-T41)</f>
        <v/>
      </c>
      <c r="AC41" s="12" t="str">
        <f aca="false">IF(AE41=0,"",BA41)</f>
        <v/>
      </c>
      <c r="AD41" s="12"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IF(AE41=0,"",IF($J41&lt;&gt;"",$J41,IF(OR(CasualCounts="Yes",COUNT($G41:$I41)=0,COUNT($G41:$H41)=0),$F41,MIN($G41:$H41))))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8"/>
      <c r="B42" s="8"/>
      <c r="C42" s="8"/>
      <c r="D42" s="9"/>
      <c r="E42" s="10" t="str">
        <f aca="false">IF(OR(AE42=0,$D42=""),"",DATE(YEAR(AsOfDate)+IF(DATE(YEAR(AsOfDate),MONTH($D42),DAY($D42))&lt;=AsOfDate,1,0),MONTH($D42),DAY($D42)))</f>
        <v/>
      </c>
      <c r="F42" s="9"/>
      <c r="G42" s="9"/>
      <c r="H42" s="9"/>
      <c r="I42" s="9"/>
      <c r="J42" s="9"/>
      <c r="K42" s="10" t="str">
        <f aca="false">IF(AE42=0,"",DATE(YEAR(AsOfDate)+IF(DATE(YEAR(AsOfDate),MONTH(AF42),DAY(AF42))&lt;=AsOfDate,1,0),MONTH(AF42),DAY(AF42)))</f>
        <v/>
      </c>
      <c r="L42" s="11" t="str">
        <f aca="false">IF(AE42=0,"",ROUND((AsOfDate-AF42)/365.25,1))</f>
        <v/>
      </c>
      <c r="M42" s="12" t="str">
        <f aca="false">IF(AE42=0,"",IF(AsOfDate&lt;AF42,"-",DATEDIF(AF42,AsOfDate,"y")&amp;"y "&amp;DATEDIF(AF42,AsOfDate,"ym")&amp;"m "&amp;DATEDIF(AF42,AsOfDate,"md")&amp;"d"))</f>
        <v/>
      </c>
      <c r="N42" s="13" t="str">
        <f aca="false">IF(AE42=0,"",O42*HoursPerDay)</f>
        <v/>
      </c>
      <c r="O42" s="13" t="str">
        <f aca="false">IF(AE42=0,"",AX42)</f>
        <v/>
      </c>
      <c r="P42" s="14"/>
      <c r="Q42" s="12" t="str">
        <f aca="false">IF(AE42=0,"",IF(AG42&lt;2,"",AK42&amp;" to "&amp;AL42&amp;" on "&amp;TEXT(AI42,"dd/mm/yyyy")&amp;IF(AI42&gt;AsOfDate," (future)",IF(AN42=AO42,"",IF(AO42="None"," - STOPPED accruing",IF(AN42="None"," - commencement for Bonus Leave"," - pathway changed"))))&amp;IF(AG42&lt;3,"","; "&amp;AL42&amp;" to "&amp;AM42&amp;" on "&amp;TEXT(AJ42,"dd/mm/yyyy")&amp;IF(AJ42&gt;AsOfDate," (future)",IF(AO42=AP42,"",IF(AP42="None"," - STOPPED accruing",IF(AO42="None"," - commencement for Bonus Leave","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IF(AE42=0,"",IF(NOT(LH_Ready),"",IF(AF42&gt;PFYDate,0,IF(LH_ColPeriod=0,W42-U42+V42,SUMIFS(INDEX(LH_Data,0,LH_ColAcc),INDEX(LH_Data,0,LH_ColFirst),$A42,INDEX(LH_Data,0,LH_ColSur),$B42,INDEX(LH_Data,0,LH_ColCat),BonusCat,INDEX(LH_Data,0,LH_ColPeriod),LH_OpenLabel)*UnitFactor))))</f>
        <v/>
      </c>
      <c r="U42" s="13" t="str">
        <f aca="false">IF(AE42=0,"",IF(NOT(LH_Ready),"",SUMIFS(INDEX(LH_Data,0,LH_ColAcc),INDEX(LH_Data,0,LH_ColFirst),$A42,INDEX(LH_Data,0,LH_ColSur),$B42,INDEX(LH_Data,0,LH_ColCat),BonusCat,INDEX(LH_Data,0,LH_ColStart),"&gt;="&amp;AF42)*UnitFactor))</f>
        <v/>
      </c>
      <c r="V42" s="13" t="str">
        <f aca="false">IF(AE42=0,"",IF(NOT(LH_Ready),"",SUMIFS(INDEX(LH_Data,0,LH_ColTaken),INDEX(LH_Data,0,LH_ColFirst),$A42,INDEX(LH_Data,0,LH_ColSur),$B42,INDEX(LH_Data,0,LH_ColCat),BonusCat,INDEX(LH_Data,0,LH_ColStart),"&gt;="&amp;AF42)*UnitFactor))</f>
        <v/>
      </c>
      <c r="W42" s="13" t="str">
        <f aca="false">IF(AE42=0,"",IF(NOT(LH_Ready),"",IF(BB42=0,0,INDEX(INDEX(LH_Data,0,LH_ColClose),BB42-1)*UnitFactor)))</f>
        <v/>
      </c>
      <c r="X42" s="13" t="str">
        <f aca="false">IF(AE42=0,"",(AX42-AY42)*HoursPerDay)</f>
        <v/>
      </c>
      <c r="Y42" s="13" t="str">
        <f aca="false">IF(AE42=0,"",IF(NOT(LH_Ready),"",IF(BA42=0,N42,IF(PFYDate&lt;$F42,N42-N(T42)-N(U42),X42-N(U42)))))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 hrs more than policy since commencement",IF(N(W42)&gt;O42*HoursPerDay+0.01,"CHECK - EH balance "&amp;ROUND(W42-O42*HoursPerDay,2)&amp;" hrs more than policy entitlement",IF(O42&gt;0,"OK - nothing to add",IF(AQ42="None",R42,"Not yet - first day on "&amp;TEXT(S42,"dd/mm/yyyy")))))))))</f>
        <v/>
      </c>
      <c r="AB42" s="13" t="str">
        <f aca="false">IF(OR(AE42=0,T42=""),"",AY42*HoursPerDay-T42)</f>
        <v/>
      </c>
      <c r="AC42" s="12" t="str">
        <f aca="false">IF(AE42=0,"",BA42)</f>
        <v/>
      </c>
      <c r="AD42" s="12"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IF(AE42=0,"",IF($J42&lt;&gt;"",$J42,IF(OR(CasualCounts="Yes",COUNT($G42:$I42)=0,COUNT($G42:$H42)=0),$F42,MIN($G42:$H42))))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8"/>
      <c r="B43" s="8"/>
      <c r="C43" s="8"/>
      <c r="D43" s="9"/>
      <c r="E43" s="10" t="str">
        <f aca="false">IF(OR(AE43=0,$D43=""),"",DATE(YEAR(AsOfDate)+IF(DATE(YEAR(AsOfDate),MONTH($D43),DAY($D43))&lt;=AsOfDate,1,0),MONTH($D43),DAY($D43)))</f>
        <v/>
      </c>
      <c r="F43" s="9"/>
      <c r="G43" s="9"/>
      <c r="H43" s="9"/>
      <c r="I43" s="9"/>
      <c r="J43" s="9"/>
      <c r="K43" s="10" t="str">
        <f aca="false">IF(AE43=0,"",DATE(YEAR(AsOfDate)+IF(DATE(YEAR(AsOfDate),MONTH(AF43),DAY(AF43))&lt;=AsOfDate,1,0),MONTH(AF43),DAY(AF43)))</f>
        <v/>
      </c>
      <c r="L43" s="11" t="str">
        <f aca="false">IF(AE43=0,"",ROUND((AsOfDate-AF43)/365.25,1))</f>
        <v/>
      </c>
      <c r="M43" s="12" t="str">
        <f aca="false">IF(AE43=0,"",IF(AsOfDate&lt;AF43,"-",DATEDIF(AF43,AsOfDate,"y")&amp;"y "&amp;DATEDIF(AF43,AsOfDate,"ym")&amp;"m "&amp;DATEDIF(AF43,AsOfDate,"md")&amp;"d"))</f>
        <v/>
      </c>
      <c r="N43" s="13" t="str">
        <f aca="false">IF(AE43=0,"",O43*HoursPerDay)</f>
        <v/>
      </c>
      <c r="O43" s="13" t="str">
        <f aca="false">IF(AE43=0,"",AX43)</f>
        <v/>
      </c>
      <c r="P43" s="14"/>
      <c r="Q43" s="12" t="str">
        <f aca="false">IF(AE43=0,"",IF(AG43&lt;2,"",AK43&amp;" to "&amp;AL43&amp;" on "&amp;TEXT(AI43,"dd/mm/yyyy")&amp;IF(AI43&gt;AsOfDate," (future)",IF(AN43=AO43,"",IF(AO43="None"," - STOPPED accruing",IF(AN43="None"," - commencement for Bonus Leave"," - pathway changed"))))&amp;IF(AG43&lt;3,"","; "&amp;AL43&amp;" to "&amp;AM43&amp;" on "&amp;TEXT(AJ43,"dd/mm/yyyy")&amp;IF(AJ43&gt;AsOfDate," (future)",IF(AO43=AP43,"",IF(AP43="None"," - STOPPED accruing",IF(AO43="None"," - commencement for Bonus Leave","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IF(AE43=0,"",IF(NOT(LH_Ready),"",IF(AF43&gt;PFYDate,0,IF(LH_ColPeriod=0,W43-U43+V43,SUMIFS(INDEX(LH_Data,0,LH_ColAcc),INDEX(LH_Data,0,LH_ColFirst),$A43,INDEX(LH_Data,0,LH_ColSur),$B43,INDEX(LH_Data,0,LH_ColCat),BonusCat,INDEX(LH_Data,0,LH_ColPeriod),LH_OpenLabel)*UnitFactor))))</f>
        <v/>
      </c>
      <c r="U43" s="13" t="str">
        <f aca="false">IF(AE43=0,"",IF(NOT(LH_Ready),"",SUMIFS(INDEX(LH_Data,0,LH_ColAcc),INDEX(LH_Data,0,LH_ColFirst),$A43,INDEX(LH_Data,0,LH_ColSur),$B43,INDEX(LH_Data,0,LH_ColCat),BonusCat,INDEX(LH_Data,0,LH_ColStart),"&gt;="&amp;AF43)*UnitFactor))</f>
        <v/>
      </c>
      <c r="V43" s="13" t="str">
        <f aca="false">IF(AE43=0,"",IF(NOT(LH_Ready),"",SUMIFS(INDEX(LH_Data,0,LH_ColTaken),INDEX(LH_Data,0,LH_ColFirst),$A43,INDEX(LH_Data,0,LH_ColSur),$B43,INDEX(LH_Data,0,LH_ColCat),BonusCat,INDEX(LH_Data,0,LH_ColStart),"&gt;="&amp;AF43)*UnitFactor))</f>
        <v/>
      </c>
      <c r="W43" s="13" t="str">
        <f aca="false">IF(AE43=0,"",IF(NOT(LH_Ready),"",IF(BB43=0,0,INDEX(INDEX(LH_Data,0,LH_ColClose),BB43-1)*UnitFactor)))</f>
        <v/>
      </c>
      <c r="X43" s="13" t="str">
        <f aca="false">IF(AE43=0,"",(AX43-AY43)*HoursPerDay)</f>
        <v/>
      </c>
      <c r="Y43" s="13" t="str">
        <f aca="false">IF(AE43=0,"",IF(NOT(LH_Ready),"",IF(BA43=0,N43,IF(PFYDate&lt;$F43,N43-N(T43)-N(U43),X43-N(U43)))))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 hrs more than policy since commencement",IF(N(W43)&gt;O43*HoursPerDay+0.01,"CHECK - EH balance "&amp;ROUND(W43-O43*HoursPerDay,2)&amp;" hrs more than policy entitlement",IF(O43&gt;0,"OK - nothing to add",IF(AQ43="None",R43,"Not yet - first day on "&amp;TEXT(S43,"dd/mm/yyyy")))))))))</f>
        <v/>
      </c>
      <c r="AB43" s="13" t="str">
        <f aca="false">IF(OR(AE43=0,T43=""),"",AY43*HoursPerDay-T43)</f>
        <v/>
      </c>
      <c r="AC43" s="12" t="str">
        <f aca="false">IF(AE43=0,"",BA43)</f>
        <v/>
      </c>
      <c r="AD43" s="12"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IF(AE43=0,"",IF($J43&lt;&gt;"",$J43,IF(OR(CasualCounts="Yes",COUNT($G43:$I43)=0,COUNT($G43:$H43)=0),$F43,MIN($G43:$H43))))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8"/>
      <c r="B44" s="8"/>
      <c r="C44" s="8"/>
      <c r="D44" s="9"/>
      <c r="E44" s="10" t="str">
        <f aca="false">IF(OR(AE44=0,$D44=""),"",DATE(YEAR(AsOfDate)+IF(DATE(YEAR(AsOfDate),MONTH($D44),DAY($D44))&lt;=AsOfDate,1,0),MONTH($D44),DAY($D44)))</f>
        <v/>
      </c>
      <c r="F44" s="9"/>
      <c r="G44" s="9"/>
      <c r="H44" s="9"/>
      <c r="I44" s="9"/>
      <c r="J44" s="9"/>
      <c r="K44" s="10" t="str">
        <f aca="false">IF(AE44=0,"",DATE(YEAR(AsOfDate)+IF(DATE(YEAR(AsOfDate),MONTH(AF44),DAY(AF44))&lt;=AsOfDate,1,0),MONTH(AF44),DAY(AF44)))</f>
        <v/>
      </c>
      <c r="L44" s="11" t="str">
        <f aca="false">IF(AE44=0,"",ROUND((AsOfDate-AF44)/365.25,1))</f>
        <v/>
      </c>
      <c r="M44" s="12" t="str">
        <f aca="false">IF(AE44=0,"",IF(AsOfDate&lt;AF44,"-",DATEDIF(AF44,AsOfDate,"y")&amp;"y "&amp;DATEDIF(AF44,AsOfDate,"ym")&amp;"m "&amp;DATEDIF(AF44,AsOfDate,"md")&amp;"d"))</f>
        <v/>
      </c>
      <c r="N44" s="13" t="str">
        <f aca="false">IF(AE44=0,"",O44*HoursPerDay)</f>
        <v/>
      </c>
      <c r="O44" s="13" t="str">
        <f aca="false">IF(AE44=0,"",AX44)</f>
        <v/>
      </c>
      <c r="P44" s="14"/>
      <c r="Q44" s="12" t="str">
        <f aca="false">IF(AE44=0,"",IF(AG44&lt;2,"",AK44&amp;" to "&amp;AL44&amp;" on "&amp;TEXT(AI44,"dd/mm/yyyy")&amp;IF(AI44&gt;AsOfDate," (future)",IF(AN44=AO44,"",IF(AO44="None"," - STOPPED accruing",IF(AN44="None"," - commencement for Bonus Leave"," - pathway changed"))))&amp;IF(AG44&lt;3,"","; "&amp;AL44&amp;" to "&amp;AM44&amp;" on "&amp;TEXT(AJ44,"dd/mm/yyyy")&amp;IF(AJ44&gt;AsOfDate," (future)",IF(AO44=AP44,"",IF(AP44="None"," - STOPPED accruing",IF(AO44="None"," - commencement for Bonus Leave","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IF(AE44=0,"",IF(NOT(LH_Ready),"",IF(AF44&gt;PFYDate,0,IF(LH_ColPeriod=0,W44-U44+V44,SUMIFS(INDEX(LH_Data,0,LH_ColAcc),INDEX(LH_Data,0,LH_ColFirst),$A44,INDEX(LH_Data,0,LH_ColSur),$B44,INDEX(LH_Data,0,LH_ColCat),BonusCat,INDEX(LH_Data,0,LH_ColPeriod),LH_OpenLabel)*UnitFactor))))</f>
        <v/>
      </c>
      <c r="U44" s="13" t="str">
        <f aca="false">IF(AE44=0,"",IF(NOT(LH_Ready),"",SUMIFS(INDEX(LH_Data,0,LH_ColAcc),INDEX(LH_Data,0,LH_ColFirst),$A44,INDEX(LH_Data,0,LH_ColSur),$B44,INDEX(LH_Data,0,LH_ColCat),BonusCat,INDEX(LH_Data,0,LH_ColStart),"&gt;="&amp;AF44)*UnitFactor))</f>
        <v/>
      </c>
      <c r="V44" s="13" t="str">
        <f aca="false">IF(AE44=0,"",IF(NOT(LH_Ready),"",SUMIFS(INDEX(LH_Data,0,LH_ColTaken),INDEX(LH_Data,0,LH_ColFirst),$A44,INDEX(LH_Data,0,LH_ColSur),$B44,INDEX(LH_Data,0,LH_ColCat),BonusCat,INDEX(LH_Data,0,LH_ColStart),"&gt;="&amp;AF44)*UnitFactor))</f>
        <v/>
      </c>
      <c r="W44" s="13" t="str">
        <f aca="false">IF(AE44=0,"",IF(NOT(LH_Ready),"",IF(BB44=0,0,INDEX(INDEX(LH_Data,0,LH_ColClose),BB44-1)*UnitFactor)))</f>
        <v/>
      </c>
      <c r="X44" s="13" t="str">
        <f aca="false">IF(AE44=0,"",(AX44-AY44)*HoursPerDay)</f>
        <v/>
      </c>
      <c r="Y44" s="13" t="str">
        <f aca="false">IF(AE44=0,"",IF(NOT(LH_Ready),"",IF(BA44=0,N44,IF(PFYDate&lt;$F44,N44-N(T44)-N(U44),X44-N(U44)))))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 hrs more than policy since commencement",IF(N(W44)&gt;O44*HoursPerDay+0.01,"CHECK - EH balance "&amp;ROUND(W44-O44*HoursPerDay,2)&amp;" hrs more than policy entitlement",IF(O44&gt;0,"OK - nothing to add",IF(AQ44="None",R44,"Not yet - first day on "&amp;TEXT(S44,"dd/mm/yyyy")))))))))</f>
        <v/>
      </c>
      <c r="AB44" s="13" t="str">
        <f aca="false">IF(OR(AE44=0,T44=""),"",AY44*HoursPerDay-T44)</f>
        <v/>
      </c>
      <c r="AC44" s="12" t="str">
        <f aca="false">IF(AE44=0,"",BA44)</f>
        <v/>
      </c>
      <c r="AD44" s="12"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IF(AE44=0,"",IF($J44&lt;&gt;"",$J44,IF(OR(CasualCounts="Yes",COUNT($G44:$I44)=0,COUNT($G44:$H44)=0),$F44,MIN($G44:$H44))))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8"/>
      <c r="B45" s="8"/>
      <c r="C45" s="8"/>
      <c r="D45" s="9"/>
      <c r="E45" s="10" t="str">
        <f aca="false">IF(OR(AE45=0,$D45=""),"",DATE(YEAR(AsOfDate)+IF(DATE(YEAR(AsOfDate),MONTH($D45),DAY($D45))&lt;=AsOfDate,1,0),MONTH($D45),DAY($D45)))</f>
        <v/>
      </c>
      <c r="F45" s="9"/>
      <c r="G45" s="9"/>
      <c r="H45" s="9"/>
      <c r="I45" s="9"/>
      <c r="J45" s="9"/>
      <c r="K45" s="10" t="str">
        <f aca="false">IF(AE45=0,"",DATE(YEAR(AsOfDate)+IF(DATE(YEAR(AsOfDate),MONTH(AF45),DAY(AF45))&lt;=AsOfDate,1,0),MONTH(AF45),DAY(AF45)))</f>
        <v/>
      </c>
      <c r="L45" s="11" t="str">
        <f aca="false">IF(AE45=0,"",ROUND((AsOfDate-AF45)/365.25,1))</f>
        <v/>
      </c>
      <c r="M45" s="12" t="str">
        <f aca="false">IF(AE45=0,"",IF(AsOfDate&lt;AF45,"-",DATEDIF(AF45,AsOfDate,"y")&amp;"y "&amp;DATEDIF(AF45,AsOfDate,"ym")&amp;"m "&amp;DATEDIF(AF45,AsOfDate,"md")&amp;"d"))</f>
        <v/>
      </c>
      <c r="N45" s="13" t="str">
        <f aca="false">IF(AE45=0,"",O45*HoursPerDay)</f>
        <v/>
      </c>
      <c r="O45" s="13" t="str">
        <f aca="false">IF(AE45=0,"",AX45)</f>
        <v/>
      </c>
      <c r="P45" s="14"/>
      <c r="Q45" s="12" t="str">
        <f aca="false">IF(AE45=0,"",IF(AG45&lt;2,"",AK45&amp;" to "&amp;AL45&amp;" on "&amp;TEXT(AI45,"dd/mm/yyyy")&amp;IF(AI45&gt;AsOfDate," (future)",IF(AN45=AO45,"",IF(AO45="None"," - STOPPED accruing",IF(AN45="None"," - commencement for Bonus Leave"," - pathway changed"))))&amp;IF(AG45&lt;3,"","; "&amp;AL45&amp;" to "&amp;AM45&amp;" on "&amp;TEXT(AJ45,"dd/mm/yyyy")&amp;IF(AJ45&gt;AsOfDate," (future)",IF(AO45=AP45,"",IF(AP45="None"," - STOPPED accruing",IF(AO45="None"," - commencement for Bonus Leave","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IF(AE45=0,"",IF(NOT(LH_Ready),"",IF(AF45&gt;PFYDate,0,IF(LH_ColPeriod=0,W45-U45+V45,SUMIFS(INDEX(LH_Data,0,LH_ColAcc),INDEX(LH_Data,0,LH_ColFirst),$A45,INDEX(LH_Data,0,LH_ColSur),$B45,INDEX(LH_Data,0,LH_ColCat),BonusCat,INDEX(LH_Data,0,LH_ColPeriod),LH_OpenLabel)*UnitFactor))))</f>
        <v/>
      </c>
      <c r="U45" s="13" t="str">
        <f aca="false">IF(AE45=0,"",IF(NOT(LH_Ready),"",SUMIFS(INDEX(LH_Data,0,LH_ColAcc),INDEX(LH_Data,0,LH_ColFirst),$A45,INDEX(LH_Data,0,LH_ColSur),$B45,INDEX(LH_Data,0,LH_ColCat),BonusCat,INDEX(LH_Data,0,LH_ColStart),"&gt;="&amp;AF45)*UnitFactor))</f>
        <v/>
      </c>
      <c r="V45" s="13" t="str">
        <f aca="false">IF(AE45=0,"",IF(NOT(LH_Ready),"",SUMIFS(INDEX(LH_Data,0,LH_ColTaken),INDEX(LH_Data,0,LH_ColFirst),$A45,INDEX(LH_Data,0,LH_ColSur),$B45,INDEX(LH_Data,0,LH_ColCat),BonusCat,INDEX(LH_Data,0,LH_ColStart),"&gt;="&amp;AF45)*UnitFactor))</f>
        <v/>
      </c>
      <c r="W45" s="13" t="str">
        <f aca="false">IF(AE45=0,"",IF(NOT(LH_Ready),"",IF(BB45=0,0,INDEX(INDEX(LH_Data,0,LH_ColClose),BB45-1)*UnitFactor)))</f>
        <v/>
      </c>
      <c r="X45" s="13" t="str">
        <f aca="false">IF(AE45=0,"",(AX45-AY45)*HoursPerDay)</f>
        <v/>
      </c>
      <c r="Y45" s="13" t="str">
        <f aca="false">IF(AE45=0,"",IF(NOT(LH_Ready),"",IF(BA45=0,N45,IF(PFYDate&lt;$F45,N45-N(T45)-N(U45),X45-N(U45)))))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 hrs more than policy since commencement",IF(N(W45)&gt;O45*HoursPerDay+0.01,"CHECK - EH balance "&amp;ROUND(W45-O45*HoursPerDay,2)&amp;" hrs more than policy entitlement",IF(O45&gt;0,"OK - nothing to add",IF(AQ45="None",R45,"Not yet - first day on "&amp;TEXT(S45,"dd/mm/yyyy")))))))))</f>
        <v/>
      </c>
      <c r="AB45" s="13" t="str">
        <f aca="false">IF(OR(AE45=0,T45=""),"",AY45*HoursPerDay-T45)</f>
        <v/>
      </c>
      <c r="AC45" s="12" t="str">
        <f aca="false">IF(AE45=0,"",BA45)</f>
        <v/>
      </c>
      <c r="AD45" s="12"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IF(AE45=0,"",IF($J45&lt;&gt;"",$J45,IF(OR(CasualCounts="Yes",COUNT($G45:$I45)=0,COUNT($G45:$H45)=0),$F45,MIN($G45:$H45))))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8"/>
      <c r="B46" s="8"/>
      <c r="C46" s="8"/>
      <c r="D46" s="9"/>
      <c r="E46" s="10" t="str">
        <f aca="false">IF(OR(AE46=0,$D46=""),"",DATE(YEAR(AsOfDate)+IF(DATE(YEAR(AsOfDate),MONTH($D46),DAY($D46))&lt;=AsOfDate,1,0),MONTH($D46),DAY($D46)))</f>
        <v/>
      </c>
      <c r="F46" s="9"/>
      <c r="G46" s="9"/>
      <c r="H46" s="9"/>
      <c r="I46" s="9"/>
      <c r="J46" s="9"/>
      <c r="K46" s="10" t="str">
        <f aca="false">IF(AE46=0,"",DATE(YEAR(AsOfDate)+IF(DATE(YEAR(AsOfDate),MONTH(AF46),DAY(AF46))&lt;=AsOfDate,1,0),MONTH(AF46),DAY(AF46)))</f>
        <v/>
      </c>
      <c r="L46" s="11" t="str">
        <f aca="false">IF(AE46=0,"",ROUND((AsOfDate-AF46)/365.25,1))</f>
        <v/>
      </c>
      <c r="M46" s="12" t="str">
        <f aca="false">IF(AE46=0,"",IF(AsOfDate&lt;AF46,"-",DATEDIF(AF46,AsOfDate,"y")&amp;"y "&amp;DATEDIF(AF46,AsOfDate,"ym")&amp;"m "&amp;DATEDIF(AF46,AsOfDate,"md")&amp;"d"))</f>
        <v/>
      </c>
      <c r="N46" s="13" t="str">
        <f aca="false">IF(AE46=0,"",O46*HoursPerDay)</f>
        <v/>
      </c>
      <c r="O46" s="13" t="str">
        <f aca="false">IF(AE46=0,"",AX46)</f>
        <v/>
      </c>
      <c r="P46" s="14"/>
      <c r="Q46" s="12" t="str">
        <f aca="false">IF(AE46=0,"",IF(AG46&lt;2,"",AK46&amp;" to "&amp;AL46&amp;" on "&amp;TEXT(AI46,"dd/mm/yyyy")&amp;IF(AI46&gt;AsOfDate," (future)",IF(AN46=AO46,"",IF(AO46="None"," - STOPPED accruing",IF(AN46="None"," - commencement for Bonus Leave"," - pathway changed"))))&amp;IF(AG46&lt;3,"","; "&amp;AL46&amp;" to "&amp;AM46&amp;" on "&amp;TEXT(AJ46,"dd/mm/yyyy")&amp;IF(AJ46&gt;AsOfDate," (future)",IF(AO46=AP46,"",IF(AP46="None"," - STOPPED accruing",IF(AO46="None"," - commencement for Bonus Leave","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IF(AE46=0,"",IF(NOT(LH_Ready),"",IF(AF46&gt;PFYDate,0,IF(LH_ColPeriod=0,W46-U46+V46,SUMIFS(INDEX(LH_Data,0,LH_ColAcc),INDEX(LH_Data,0,LH_ColFirst),$A46,INDEX(LH_Data,0,LH_ColSur),$B46,INDEX(LH_Data,0,LH_ColCat),BonusCat,INDEX(LH_Data,0,LH_ColPeriod),LH_OpenLabel)*UnitFactor))))</f>
        <v/>
      </c>
      <c r="U46" s="13" t="str">
        <f aca="false">IF(AE46=0,"",IF(NOT(LH_Ready),"",SUMIFS(INDEX(LH_Data,0,LH_ColAcc),INDEX(LH_Data,0,LH_ColFirst),$A46,INDEX(LH_Data,0,LH_ColSur),$B46,INDEX(LH_Data,0,LH_ColCat),BonusCat,INDEX(LH_Data,0,LH_ColStart),"&gt;="&amp;AF46)*UnitFactor))</f>
        <v/>
      </c>
      <c r="V46" s="13" t="str">
        <f aca="false">IF(AE46=0,"",IF(NOT(LH_Ready),"",SUMIFS(INDEX(LH_Data,0,LH_ColTaken),INDEX(LH_Data,0,LH_ColFirst),$A46,INDEX(LH_Data,0,LH_ColSur),$B46,INDEX(LH_Data,0,LH_ColCat),BonusCat,INDEX(LH_Data,0,LH_ColStart),"&gt;="&amp;AF46)*UnitFactor))</f>
        <v/>
      </c>
      <c r="W46" s="13" t="str">
        <f aca="false">IF(AE46=0,"",IF(NOT(LH_Ready),"",IF(BB46=0,0,INDEX(INDEX(LH_Data,0,LH_ColClose),BB46-1)*UnitFactor)))</f>
        <v/>
      </c>
      <c r="X46" s="13" t="str">
        <f aca="false">IF(AE46=0,"",(AX46-AY46)*HoursPerDay)</f>
        <v/>
      </c>
      <c r="Y46" s="13" t="str">
        <f aca="false">IF(AE46=0,"",IF(NOT(LH_Ready),"",IF(BA46=0,N46,IF(PFYDate&lt;$F46,N46-N(T46)-N(U46),X46-N(U46)))))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 hrs more than policy since commencement",IF(N(W46)&gt;O46*HoursPerDay+0.01,"CHECK - EH balance "&amp;ROUND(W46-O46*HoursPerDay,2)&amp;" hrs more than policy entitlement",IF(O46&gt;0,"OK - nothing to add",IF(AQ46="None",R46,"Not yet - first day on "&amp;TEXT(S46,"dd/mm/yyyy")))))))))</f>
        <v/>
      </c>
      <c r="AB46" s="13" t="str">
        <f aca="false">IF(OR(AE46=0,T46=""),"",AY46*HoursPerDay-T46)</f>
        <v/>
      </c>
      <c r="AC46" s="12" t="str">
        <f aca="false">IF(AE46=0,"",BA46)</f>
        <v/>
      </c>
      <c r="AD46" s="12"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IF(AE46=0,"",IF($J46&lt;&gt;"",$J46,IF(OR(CasualCounts="Yes",COUNT($G46:$I46)=0,COUNT($G46:$H46)=0),$F46,MIN($G46:$H46))))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8"/>
      <c r="B47" s="8"/>
      <c r="C47" s="8"/>
      <c r="D47" s="9"/>
      <c r="E47" s="10" t="str">
        <f aca="false">IF(OR(AE47=0,$D47=""),"",DATE(YEAR(AsOfDate)+IF(DATE(YEAR(AsOfDate),MONTH($D47),DAY($D47))&lt;=AsOfDate,1,0),MONTH($D47),DAY($D47)))</f>
        <v/>
      </c>
      <c r="F47" s="9"/>
      <c r="G47" s="9"/>
      <c r="H47" s="9"/>
      <c r="I47" s="9"/>
      <c r="J47" s="9"/>
      <c r="K47" s="10" t="str">
        <f aca="false">IF(AE47=0,"",DATE(YEAR(AsOfDate)+IF(DATE(YEAR(AsOfDate),MONTH(AF47),DAY(AF47))&lt;=AsOfDate,1,0),MONTH(AF47),DAY(AF47)))</f>
        <v/>
      </c>
      <c r="L47" s="11" t="str">
        <f aca="false">IF(AE47=0,"",ROUND((AsOfDate-AF47)/365.25,1))</f>
        <v/>
      </c>
      <c r="M47" s="12" t="str">
        <f aca="false">IF(AE47=0,"",IF(AsOfDate&lt;AF47,"-",DATEDIF(AF47,AsOfDate,"y")&amp;"y "&amp;DATEDIF(AF47,AsOfDate,"ym")&amp;"m "&amp;DATEDIF(AF47,AsOfDate,"md")&amp;"d"))</f>
        <v/>
      </c>
      <c r="N47" s="13" t="str">
        <f aca="false">IF(AE47=0,"",O47*HoursPerDay)</f>
        <v/>
      </c>
      <c r="O47" s="13" t="str">
        <f aca="false">IF(AE47=0,"",AX47)</f>
        <v/>
      </c>
      <c r="P47" s="14"/>
      <c r="Q47" s="12" t="str">
        <f aca="false">IF(AE47=0,"",IF(AG47&lt;2,"",AK47&amp;" to "&amp;AL47&amp;" on "&amp;TEXT(AI47,"dd/mm/yyyy")&amp;IF(AI47&gt;AsOfDate," (future)",IF(AN47=AO47,"",IF(AO47="None"," - STOPPED accruing",IF(AN47="None"," - commencement for Bonus Leave"," - pathway changed"))))&amp;IF(AG47&lt;3,"","; "&amp;AL47&amp;" to "&amp;AM47&amp;" on "&amp;TEXT(AJ47,"dd/mm/yyyy")&amp;IF(AJ47&gt;AsOfDate," (future)",IF(AO47=AP47,"",IF(AP47="None"," - STOPPED accruing",IF(AO47="None"," - commencement for Bonus Leave","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IF(AE47=0,"",IF(NOT(LH_Ready),"",IF(AF47&gt;PFYDate,0,IF(LH_ColPeriod=0,W47-U47+V47,SUMIFS(INDEX(LH_Data,0,LH_ColAcc),INDEX(LH_Data,0,LH_ColFirst),$A47,INDEX(LH_Data,0,LH_ColSur),$B47,INDEX(LH_Data,0,LH_ColCat),BonusCat,INDEX(LH_Data,0,LH_ColPeriod),LH_OpenLabel)*UnitFactor))))</f>
        <v/>
      </c>
      <c r="U47" s="13" t="str">
        <f aca="false">IF(AE47=0,"",IF(NOT(LH_Ready),"",SUMIFS(INDEX(LH_Data,0,LH_ColAcc),INDEX(LH_Data,0,LH_ColFirst),$A47,INDEX(LH_Data,0,LH_ColSur),$B47,INDEX(LH_Data,0,LH_ColCat),BonusCat,INDEX(LH_Data,0,LH_ColStart),"&gt;="&amp;AF47)*UnitFactor))</f>
        <v/>
      </c>
      <c r="V47" s="13" t="str">
        <f aca="false">IF(AE47=0,"",IF(NOT(LH_Ready),"",SUMIFS(INDEX(LH_Data,0,LH_ColTaken),INDEX(LH_Data,0,LH_ColFirst),$A47,INDEX(LH_Data,0,LH_ColSur),$B47,INDEX(LH_Data,0,LH_ColCat),BonusCat,INDEX(LH_Data,0,LH_ColStart),"&gt;="&amp;AF47)*UnitFactor))</f>
        <v/>
      </c>
      <c r="W47" s="13" t="str">
        <f aca="false">IF(AE47=0,"",IF(NOT(LH_Ready),"",IF(BB47=0,0,INDEX(INDEX(LH_Data,0,LH_ColClose),BB47-1)*UnitFactor)))</f>
        <v/>
      </c>
      <c r="X47" s="13" t="str">
        <f aca="false">IF(AE47=0,"",(AX47-AY47)*HoursPerDay)</f>
        <v/>
      </c>
      <c r="Y47" s="13" t="str">
        <f aca="false">IF(AE47=0,"",IF(NOT(LH_Ready),"",IF(BA47=0,N47,IF(PFYDate&lt;$F47,N47-N(T47)-N(U47),X47-N(U47)))))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 hrs more than policy since commencement",IF(N(W47)&gt;O47*HoursPerDay+0.01,"CHECK - EH balance "&amp;ROUND(W47-O47*HoursPerDay,2)&amp;" hrs more than policy entitlement",IF(O47&gt;0,"OK - nothing to add",IF(AQ47="None",R47,"Not yet - first day on "&amp;TEXT(S47,"dd/mm/yyyy")))))))))</f>
        <v/>
      </c>
      <c r="AB47" s="13" t="str">
        <f aca="false">IF(OR(AE47=0,T47=""),"",AY47*HoursPerDay-T47)</f>
        <v/>
      </c>
      <c r="AC47" s="12" t="str">
        <f aca="false">IF(AE47=0,"",BA47)</f>
        <v/>
      </c>
      <c r="AD47" s="12"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IF(AE47=0,"",IF($J47&lt;&gt;"",$J47,IF(OR(CasualCounts="Yes",COUNT($G47:$I47)=0,COUNT($G47:$H47)=0),$F47,MIN($G47:$H47))))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8"/>
      <c r="B48" s="8"/>
      <c r="C48" s="8"/>
      <c r="D48" s="9"/>
      <c r="E48" s="10" t="str">
        <f aca="false">IF(OR(AE48=0,$D48=""),"",DATE(YEAR(AsOfDate)+IF(DATE(YEAR(AsOfDate),MONTH($D48),DAY($D48))&lt;=AsOfDate,1,0),MONTH($D48),DAY($D48)))</f>
        <v/>
      </c>
      <c r="F48" s="9"/>
      <c r="G48" s="9"/>
      <c r="H48" s="9"/>
      <c r="I48" s="9"/>
      <c r="J48" s="9"/>
      <c r="K48" s="10" t="str">
        <f aca="false">IF(AE48=0,"",DATE(YEAR(AsOfDate)+IF(DATE(YEAR(AsOfDate),MONTH(AF48),DAY(AF48))&lt;=AsOfDate,1,0),MONTH(AF48),DAY(AF48)))</f>
        <v/>
      </c>
      <c r="L48" s="11" t="str">
        <f aca="false">IF(AE48=0,"",ROUND((AsOfDate-AF48)/365.25,1))</f>
        <v/>
      </c>
      <c r="M48" s="12" t="str">
        <f aca="false">IF(AE48=0,"",IF(AsOfDate&lt;AF48,"-",DATEDIF(AF48,AsOfDate,"y")&amp;"y "&amp;DATEDIF(AF48,AsOfDate,"ym")&amp;"m "&amp;DATEDIF(AF48,AsOfDate,"md")&amp;"d"))</f>
        <v/>
      </c>
      <c r="N48" s="13" t="str">
        <f aca="false">IF(AE48=0,"",O48*HoursPerDay)</f>
        <v/>
      </c>
      <c r="O48" s="13" t="str">
        <f aca="false">IF(AE48=0,"",AX48)</f>
        <v/>
      </c>
      <c r="P48" s="14"/>
      <c r="Q48" s="12" t="str">
        <f aca="false">IF(AE48=0,"",IF(AG48&lt;2,"",AK48&amp;" to "&amp;AL48&amp;" on "&amp;TEXT(AI48,"dd/mm/yyyy")&amp;IF(AI48&gt;AsOfDate," (future)",IF(AN48=AO48,"",IF(AO48="None"," - STOPPED accruing",IF(AN48="None"," - commencement for Bonus Leave"," - pathway changed"))))&amp;IF(AG48&lt;3,"","; "&amp;AL48&amp;" to "&amp;AM48&amp;" on "&amp;TEXT(AJ48,"dd/mm/yyyy")&amp;IF(AJ48&gt;AsOfDate," (future)",IF(AO48=AP48,"",IF(AP48="None"," - STOPPED accruing",IF(AO48="None"," - commencement for Bonus Leave","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IF(AE48=0,"",IF(NOT(LH_Ready),"",IF(AF48&gt;PFYDate,0,IF(LH_ColPeriod=0,W48-U48+V48,SUMIFS(INDEX(LH_Data,0,LH_ColAcc),INDEX(LH_Data,0,LH_ColFirst),$A48,INDEX(LH_Data,0,LH_ColSur),$B48,INDEX(LH_Data,0,LH_ColCat),BonusCat,INDEX(LH_Data,0,LH_ColPeriod),LH_OpenLabel)*UnitFactor))))</f>
        <v/>
      </c>
      <c r="U48" s="13" t="str">
        <f aca="false">IF(AE48=0,"",IF(NOT(LH_Ready),"",SUMIFS(INDEX(LH_Data,0,LH_ColAcc),INDEX(LH_Data,0,LH_ColFirst),$A48,INDEX(LH_Data,0,LH_ColSur),$B48,INDEX(LH_Data,0,LH_ColCat),BonusCat,INDEX(LH_Data,0,LH_ColStart),"&gt;="&amp;AF48)*UnitFactor))</f>
        <v/>
      </c>
      <c r="V48" s="13" t="str">
        <f aca="false">IF(AE48=0,"",IF(NOT(LH_Ready),"",SUMIFS(INDEX(LH_Data,0,LH_ColTaken),INDEX(LH_Data,0,LH_ColFirst),$A48,INDEX(LH_Data,0,LH_ColSur),$B48,INDEX(LH_Data,0,LH_ColCat),BonusCat,INDEX(LH_Data,0,LH_ColStart),"&gt;="&amp;AF48)*UnitFactor))</f>
        <v/>
      </c>
      <c r="W48" s="13" t="str">
        <f aca="false">IF(AE48=0,"",IF(NOT(LH_Ready),"",IF(BB48=0,0,INDEX(INDEX(LH_Data,0,LH_ColClose),BB48-1)*UnitFactor)))</f>
        <v/>
      </c>
      <c r="X48" s="13" t="str">
        <f aca="false">IF(AE48=0,"",(AX48-AY48)*HoursPerDay)</f>
        <v/>
      </c>
      <c r="Y48" s="13" t="str">
        <f aca="false">IF(AE48=0,"",IF(NOT(LH_Ready),"",IF(BA48=0,N48,IF(PFYDate&lt;$F48,N48-N(T48)-N(U48),X48-N(U48)))))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 hrs more than policy since commencement",IF(N(W48)&gt;O48*HoursPerDay+0.01,"CHECK - EH balance "&amp;ROUND(W48-O48*HoursPerDay,2)&amp;" hrs more than policy entitlement",IF(O48&gt;0,"OK - nothing to add",IF(AQ48="None",R48,"Not yet - first day on "&amp;TEXT(S48,"dd/mm/yyyy")))))))))</f>
        <v/>
      </c>
      <c r="AB48" s="13" t="str">
        <f aca="false">IF(OR(AE48=0,T48=""),"",AY48*HoursPerDay-T48)</f>
        <v/>
      </c>
      <c r="AC48" s="12" t="str">
        <f aca="false">IF(AE48=0,"",BA48)</f>
        <v/>
      </c>
      <c r="AD48" s="12"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IF(AE48=0,"",IF($J48&lt;&gt;"",$J48,IF(OR(CasualCounts="Yes",COUNT($G48:$I48)=0,COUNT($G48:$H48)=0),$F48,MIN($G48:$H48))))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8"/>
      <c r="B49" s="8"/>
      <c r="C49" s="8"/>
      <c r="D49" s="9"/>
      <c r="E49" s="10" t="str">
        <f aca="false">IF(OR(AE49=0,$D49=""),"",DATE(YEAR(AsOfDate)+IF(DATE(YEAR(AsOfDate),MONTH($D49),DAY($D49))&lt;=AsOfDate,1,0),MONTH($D49),DAY($D49)))</f>
        <v/>
      </c>
      <c r="F49" s="9"/>
      <c r="G49" s="9"/>
      <c r="H49" s="9"/>
      <c r="I49" s="9"/>
      <c r="J49" s="9"/>
      <c r="K49" s="10" t="str">
        <f aca="false">IF(AE49=0,"",DATE(YEAR(AsOfDate)+IF(DATE(YEAR(AsOfDate),MONTH(AF49),DAY(AF49))&lt;=AsOfDate,1,0),MONTH(AF49),DAY(AF49)))</f>
        <v/>
      </c>
      <c r="L49" s="11" t="str">
        <f aca="false">IF(AE49=0,"",ROUND((AsOfDate-AF49)/365.25,1))</f>
        <v/>
      </c>
      <c r="M49" s="12" t="str">
        <f aca="false">IF(AE49=0,"",IF(AsOfDate&lt;AF49,"-",DATEDIF(AF49,AsOfDate,"y")&amp;"y "&amp;DATEDIF(AF49,AsOfDate,"ym")&amp;"m "&amp;DATEDIF(AF49,AsOfDate,"md")&amp;"d"))</f>
        <v/>
      </c>
      <c r="N49" s="13" t="str">
        <f aca="false">IF(AE49=0,"",O49*HoursPerDay)</f>
        <v/>
      </c>
      <c r="O49" s="13" t="str">
        <f aca="false">IF(AE49=0,"",AX49)</f>
        <v/>
      </c>
      <c r="P49" s="14"/>
      <c r="Q49" s="12" t="str">
        <f aca="false">IF(AE49=0,"",IF(AG49&lt;2,"",AK49&amp;" to "&amp;AL49&amp;" on "&amp;TEXT(AI49,"dd/mm/yyyy")&amp;IF(AI49&gt;AsOfDate," (future)",IF(AN49=AO49,"",IF(AO49="None"," - STOPPED accruing",IF(AN49="None"," - commencement for Bonus Leave"," - pathway changed"))))&amp;IF(AG49&lt;3,"","; "&amp;AL49&amp;" to "&amp;AM49&amp;" on "&amp;TEXT(AJ49,"dd/mm/yyyy")&amp;IF(AJ49&gt;AsOfDate," (future)",IF(AO49=AP49,"",IF(AP49="None"," - STOPPED accruing",IF(AO49="None"," - commencement for Bonus Leave","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IF(AE49=0,"",IF(NOT(LH_Ready),"",IF(AF49&gt;PFYDate,0,IF(LH_ColPeriod=0,W49-U49+V49,SUMIFS(INDEX(LH_Data,0,LH_ColAcc),INDEX(LH_Data,0,LH_ColFirst),$A49,INDEX(LH_Data,0,LH_ColSur),$B49,INDEX(LH_Data,0,LH_ColCat),BonusCat,INDEX(LH_Data,0,LH_ColPeriod),LH_OpenLabel)*UnitFactor))))</f>
        <v/>
      </c>
      <c r="U49" s="13" t="str">
        <f aca="false">IF(AE49=0,"",IF(NOT(LH_Ready),"",SUMIFS(INDEX(LH_Data,0,LH_ColAcc),INDEX(LH_Data,0,LH_ColFirst),$A49,INDEX(LH_Data,0,LH_ColSur),$B49,INDEX(LH_Data,0,LH_ColCat),BonusCat,INDEX(LH_Data,0,LH_ColStart),"&gt;="&amp;AF49)*UnitFactor))</f>
        <v/>
      </c>
      <c r="V49" s="13" t="str">
        <f aca="false">IF(AE49=0,"",IF(NOT(LH_Ready),"",SUMIFS(INDEX(LH_Data,0,LH_ColTaken),INDEX(LH_Data,0,LH_ColFirst),$A49,INDEX(LH_Data,0,LH_ColSur),$B49,INDEX(LH_Data,0,LH_ColCat),BonusCat,INDEX(LH_Data,0,LH_ColStart),"&gt;="&amp;AF49)*UnitFactor))</f>
        <v/>
      </c>
      <c r="W49" s="13" t="str">
        <f aca="false">IF(AE49=0,"",IF(NOT(LH_Ready),"",IF(BB49=0,0,INDEX(INDEX(LH_Data,0,LH_ColClose),BB49-1)*UnitFactor)))</f>
        <v/>
      </c>
      <c r="X49" s="13" t="str">
        <f aca="false">IF(AE49=0,"",(AX49-AY49)*HoursPerDay)</f>
        <v/>
      </c>
      <c r="Y49" s="13" t="str">
        <f aca="false">IF(AE49=0,"",IF(NOT(LH_Ready),"",IF(BA49=0,N49,IF(PFYDate&lt;$F49,N49-N(T49)-N(U49),X49-N(U49)))))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 hrs more than policy since commencement",IF(N(W49)&gt;O49*HoursPerDay+0.01,"CHECK - EH balance "&amp;ROUND(W49-O49*HoursPerDay,2)&amp;" hrs more than policy entitlement",IF(O49&gt;0,"OK - nothing to add",IF(AQ49="None",R49,"Not yet - first day on "&amp;TEXT(S49,"dd/mm/yyyy")))))))))</f>
        <v/>
      </c>
      <c r="AB49" s="13" t="str">
        <f aca="false">IF(OR(AE49=0,T49=""),"",AY49*HoursPerDay-T49)</f>
        <v/>
      </c>
      <c r="AC49" s="12" t="str">
        <f aca="false">IF(AE49=0,"",BA49)</f>
        <v/>
      </c>
      <c r="AD49" s="12"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IF(AE49=0,"",IF($J49&lt;&gt;"",$J49,IF(OR(CasualCounts="Yes",COUNT($G49:$I49)=0,COUNT($G49:$H49)=0),$F49,MIN($G49:$H49))))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8"/>
      <c r="B50" s="8"/>
      <c r="C50" s="8"/>
      <c r="D50" s="9"/>
      <c r="E50" s="10" t="str">
        <f aca="false">IF(OR(AE50=0,$D50=""),"",DATE(YEAR(AsOfDate)+IF(DATE(YEAR(AsOfDate),MONTH($D50),DAY($D50))&lt;=AsOfDate,1,0),MONTH($D50),DAY($D50)))</f>
        <v/>
      </c>
      <c r="F50" s="9"/>
      <c r="G50" s="9"/>
      <c r="H50" s="9"/>
      <c r="I50" s="9"/>
      <c r="J50" s="9"/>
      <c r="K50" s="10" t="str">
        <f aca="false">IF(AE50=0,"",DATE(YEAR(AsOfDate)+IF(DATE(YEAR(AsOfDate),MONTH(AF50),DAY(AF50))&lt;=AsOfDate,1,0),MONTH(AF50),DAY(AF50)))</f>
        <v/>
      </c>
      <c r="L50" s="11" t="str">
        <f aca="false">IF(AE50=0,"",ROUND((AsOfDate-AF50)/365.25,1))</f>
        <v/>
      </c>
      <c r="M50" s="12" t="str">
        <f aca="false">IF(AE50=0,"",IF(AsOfDate&lt;AF50,"-",DATEDIF(AF50,AsOfDate,"y")&amp;"y "&amp;DATEDIF(AF50,AsOfDate,"ym")&amp;"m "&amp;DATEDIF(AF50,AsOfDate,"md")&amp;"d"))</f>
        <v/>
      </c>
      <c r="N50" s="13" t="str">
        <f aca="false">IF(AE50=0,"",O50*HoursPerDay)</f>
        <v/>
      </c>
      <c r="O50" s="13" t="str">
        <f aca="false">IF(AE50=0,"",AX50)</f>
        <v/>
      </c>
      <c r="P50" s="14"/>
      <c r="Q50" s="12" t="str">
        <f aca="false">IF(AE50=0,"",IF(AG50&lt;2,"",AK50&amp;" to "&amp;AL50&amp;" on "&amp;TEXT(AI50,"dd/mm/yyyy")&amp;IF(AI50&gt;AsOfDate," (future)",IF(AN50=AO50,"",IF(AO50="None"," - STOPPED accruing",IF(AN50="None"," - commencement for Bonus Leave"," - pathway changed"))))&amp;IF(AG50&lt;3,"","; "&amp;AL50&amp;" to "&amp;AM50&amp;" on "&amp;TEXT(AJ50,"dd/mm/yyyy")&amp;IF(AJ50&gt;AsOfDate," (future)",IF(AO50=AP50,"",IF(AP50="None"," - STOPPED accruing",IF(AO50="None"," - commencement for Bonus Leave","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IF(AE50=0,"",IF(NOT(LH_Ready),"",IF(AF50&gt;PFYDate,0,IF(LH_ColPeriod=0,W50-U50+V50,SUMIFS(INDEX(LH_Data,0,LH_ColAcc),INDEX(LH_Data,0,LH_ColFirst),$A50,INDEX(LH_Data,0,LH_ColSur),$B50,INDEX(LH_Data,0,LH_ColCat),BonusCat,INDEX(LH_Data,0,LH_ColPeriod),LH_OpenLabel)*UnitFactor))))</f>
        <v/>
      </c>
      <c r="U50" s="13" t="str">
        <f aca="false">IF(AE50=0,"",IF(NOT(LH_Ready),"",SUMIFS(INDEX(LH_Data,0,LH_ColAcc),INDEX(LH_Data,0,LH_ColFirst),$A50,INDEX(LH_Data,0,LH_ColSur),$B50,INDEX(LH_Data,0,LH_ColCat),BonusCat,INDEX(LH_Data,0,LH_ColStart),"&gt;="&amp;AF50)*UnitFactor))</f>
        <v/>
      </c>
      <c r="V50" s="13" t="str">
        <f aca="false">IF(AE50=0,"",IF(NOT(LH_Ready),"",SUMIFS(INDEX(LH_Data,0,LH_ColTaken),INDEX(LH_Data,0,LH_ColFirst),$A50,INDEX(LH_Data,0,LH_ColSur),$B50,INDEX(LH_Data,0,LH_ColCat),BonusCat,INDEX(LH_Data,0,LH_ColStart),"&gt;="&amp;AF50)*UnitFactor))</f>
        <v/>
      </c>
      <c r="W50" s="13" t="str">
        <f aca="false">IF(AE50=0,"",IF(NOT(LH_Ready),"",IF(BB50=0,0,INDEX(INDEX(LH_Data,0,LH_ColClose),BB50-1)*UnitFactor)))</f>
        <v/>
      </c>
      <c r="X50" s="13" t="str">
        <f aca="false">IF(AE50=0,"",(AX50-AY50)*HoursPerDay)</f>
        <v/>
      </c>
      <c r="Y50" s="13" t="str">
        <f aca="false">IF(AE50=0,"",IF(NOT(LH_Ready),"",IF(BA50=0,N50,IF(PFYDate&lt;$F50,N50-N(T50)-N(U50),X50-N(U50)))))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 hrs more than policy since commencement",IF(N(W50)&gt;O50*HoursPerDay+0.01,"CHECK - EH balance "&amp;ROUND(W50-O50*HoursPerDay,2)&amp;" hrs more than policy entitlement",IF(O50&gt;0,"OK - nothing to add",IF(AQ50="None",R50,"Not yet - first day on "&amp;TEXT(S50,"dd/mm/yyyy")))))))))</f>
        <v/>
      </c>
      <c r="AB50" s="13" t="str">
        <f aca="false">IF(OR(AE50=0,T50=""),"",AY50*HoursPerDay-T50)</f>
        <v/>
      </c>
      <c r="AC50" s="12" t="str">
        <f aca="false">IF(AE50=0,"",BA50)</f>
        <v/>
      </c>
      <c r="AD50" s="12"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IF(AE50=0,"",IF($J50&lt;&gt;"",$J50,IF(OR(CasualCounts="Yes",COUNT($G50:$I50)=0,COUNT($G50:$H50)=0),$F50,MIN($G50:$H50))))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8"/>
      <c r="B51" s="8"/>
      <c r="C51" s="8"/>
      <c r="D51" s="9"/>
      <c r="E51" s="10" t="str">
        <f aca="false">IF(OR(AE51=0,$D51=""),"",DATE(YEAR(AsOfDate)+IF(DATE(YEAR(AsOfDate),MONTH($D51),DAY($D51))&lt;=AsOfDate,1,0),MONTH($D51),DAY($D51)))</f>
        <v/>
      </c>
      <c r="F51" s="9"/>
      <c r="G51" s="9"/>
      <c r="H51" s="9"/>
      <c r="I51" s="9"/>
      <c r="J51" s="9"/>
      <c r="K51" s="10" t="str">
        <f aca="false">IF(AE51=0,"",DATE(YEAR(AsOfDate)+IF(DATE(YEAR(AsOfDate),MONTH(AF51),DAY(AF51))&lt;=AsOfDate,1,0),MONTH(AF51),DAY(AF51)))</f>
        <v/>
      </c>
      <c r="L51" s="11" t="str">
        <f aca="false">IF(AE51=0,"",ROUND((AsOfDate-AF51)/365.25,1))</f>
        <v/>
      </c>
      <c r="M51" s="12" t="str">
        <f aca="false">IF(AE51=0,"",IF(AsOfDate&lt;AF51,"-",DATEDIF(AF51,AsOfDate,"y")&amp;"y "&amp;DATEDIF(AF51,AsOfDate,"ym")&amp;"m "&amp;DATEDIF(AF51,AsOfDate,"md")&amp;"d"))</f>
        <v/>
      </c>
      <c r="N51" s="13" t="str">
        <f aca="false">IF(AE51=0,"",O51*HoursPerDay)</f>
        <v/>
      </c>
      <c r="O51" s="13" t="str">
        <f aca="false">IF(AE51=0,"",AX51)</f>
        <v/>
      </c>
      <c r="P51" s="14"/>
      <c r="Q51" s="12" t="str">
        <f aca="false">IF(AE51=0,"",IF(AG51&lt;2,"",AK51&amp;" to "&amp;AL51&amp;" on "&amp;TEXT(AI51,"dd/mm/yyyy")&amp;IF(AI51&gt;AsOfDate," (future)",IF(AN51=AO51,"",IF(AO51="None"," - STOPPED accruing",IF(AN51="None"," - commencement for Bonus Leave"," - pathway changed"))))&amp;IF(AG51&lt;3,"","; "&amp;AL51&amp;" to "&amp;AM51&amp;" on "&amp;TEXT(AJ51,"dd/mm/yyyy")&amp;IF(AJ51&gt;AsOfDate," (future)",IF(AO51=AP51,"",IF(AP51="None"," - STOPPED accruing",IF(AO51="None"," - commencement for Bonus Leave","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IF(AE51=0,"",IF(NOT(LH_Ready),"",IF(AF51&gt;PFYDate,0,IF(LH_ColPeriod=0,W51-U51+V51,SUMIFS(INDEX(LH_Data,0,LH_ColAcc),INDEX(LH_Data,0,LH_ColFirst),$A51,INDEX(LH_Data,0,LH_ColSur),$B51,INDEX(LH_Data,0,LH_ColCat),BonusCat,INDEX(LH_Data,0,LH_ColPeriod),LH_OpenLabel)*UnitFactor))))</f>
        <v/>
      </c>
      <c r="U51" s="13" t="str">
        <f aca="false">IF(AE51=0,"",IF(NOT(LH_Ready),"",SUMIFS(INDEX(LH_Data,0,LH_ColAcc),INDEX(LH_Data,0,LH_ColFirst),$A51,INDEX(LH_Data,0,LH_ColSur),$B51,INDEX(LH_Data,0,LH_ColCat),BonusCat,INDEX(LH_Data,0,LH_ColStart),"&gt;="&amp;AF51)*UnitFactor))</f>
        <v/>
      </c>
      <c r="V51" s="13" t="str">
        <f aca="false">IF(AE51=0,"",IF(NOT(LH_Ready),"",SUMIFS(INDEX(LH_Data,0,LH_ColTaken),INDEX(LH_Data,0,LH_ColFirst),$A51,INDEX(LH_Data,0,LH_ColSur),$B51,INDEX(LH_Data,0,LH_ColCat),BonusCat,INDEX(LH_Data,0,LH_ColStart),"&gt;="&amp;AF51)*UnitFactor))</f>
        <v/>
      </c>
      <c r="W51" s="13" t="str">
        <f aca="false">IF(AE51=0,"",IF(NOT(LH_Ready),"",IF(BB51=0,0,INDEX(INDEX(LH_Data,0,LH_ColClose),BB51-1)*UnitFactor)))</f>
        <v/>
      </c>
      <c r="X51" s="13" t="str">
        <f aca="false">IF(AE51=0,"",(AX51-AY51)*HoursPerDay)</f>
        <v/>
      </c>
      <c r="Y51" s="13" t="str">
        <f aca="false">IF(AE51=0,"",IF(NOT(LH_Ready),"",IF(BA51=0,N51,IF(PFYDate&lt;$F51,N51-N(T51)-N(U51),X51-N(U51)))))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 hrs more than policy since commencement",IF(N(W51)&gt;O51*HoursPerDay+0.01,"CHECK - EH balance "&amp;ROUND(W51-O51*HoursPerDay,2)&amp;" hrs more than policy entitlement",IF(O51&gt;0,"OK - nothing to add",IF(AQ51="None",R51,"Not yet - first day on "&amp;TEXT(S51,"dd/mm/yyyy")))))))))</f>
        <v/>
      </c>
      <c r="AB51" s="13" t="str">
        <f aca="false">IF(OR(AE51=0,T51=""),"",AY51*HoursPerDay-T51)</f>
        <v/>
      </c>
      <c r="AC51" s="12" t="str">
        <f aca="false">IF(AE51=0,"",BA51)</f>
        <v/>
      </c>
      <c r="AD51" s="12"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IF(AE51=0,"",IF($J51&lt;&gt;"",$J51,IF(OR(CasualCounts="Yes",COUNT($G51:$I51)=0,COUNT($G51:$H51)=0),$F51,MIN($G51:$H51))))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8"/>
      <c r="B52" s="8"/>
      <c r="C52" s="8"/>
      <c r="D52" s="9"/>
      <c r="E52" s="10" t="str">
        <f aca="false">IF(OR(AE52=0,$D52=""),"",DATE(YEAR(AsOfDate)+IF(DATE(YEAR(AsOfDate),MONTH($D52),DAY($D52))&lt;=AsOfDate,1,0),MONTH($D52),DAY($D52)))</f>
        <v/>
      </c>
      <c r="F52" s="9"/>
      <c r="G52" s="9"/>
      <c r="H52" s="9"/>
      <c r="I52" s="9"/>
      <c r="J52" s="9"/>
      <c r="K52" s="10" t="str">
        <f aca="false">IF(AE52=0,"",DATE(YEAR(AsOfDate)+IF(DATE(YEAR(AsOfDate),MONTH(AF52),DAY(AF52))&lt;=AsOfDate,1,0),MONTH(AF52),DAY(AF52)))</f>
        <v/>
      </c>
      <c r="L52" s="11" t="str">
        <f aca="false">IF(AE52=0,"",ROUND((AsOfDate-AF52)/365.25,1))</f>
        <v/>
      </c>
      <c r="M52" s="12" t="str">
        <f aca="false">IF(AE52=0,"",IF(AsOfDate&lt;AF52,"-",DATEDIF(AF52,AsOfDate,"y")&amp;"y "&amp;DATEDIF(AF52,AsOfDate,"ym")&amp;"m "&amp;DATEDIF(AF52,AsOfDate,"md")&amp;"d"))</f>
        <v/>
      </c>
      <c r="N52" s="13" t="str">
        <f aca="false">IF(AE52=0,"",O52*HoursPerDay)</f>
        <v/>
      </c>
      <c r="O52" s="13" t="str">
        <f aca="false">IF(AE52=0,"",AX52)</f>
        <v/>
      </c>
      <c r="P52" s="14"/>
      <c r="Q52" s="12" t="str">
        <f aca="false">IF(AE52=0,"",IF(AG52&lt;2,"",AK52&amp;" to "&amp;AL52&amp;" on "&amp;TEXT(AI52,"dd/mm/yyyy")&amp;IF(AI52&gt;AsOfDate," (future)",IF(AN52=AO52,"",IF(AO52="None"," - STOPPED accruing",IF(AN52="None"," - commencement for Bonus Leave"," - pathway changed"))))&amp;IF(AG52&lt;3,"","; "&amp;AL52&amp;" to "&amp;AM52&amp;" on "&amp;TEXT(AJ52,"dd/mm/yyyy")&amp;IF(AJ52&gt;AsOfDate," (future)",IF(AO52=AP52,"",IF(AP52="None"," - STOPPED accruing",IF(AO52="None"," - commencement for Bonus Leave","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IF(AE52=0,"",IF(NOT(LH_Ready),"",IF(AF52&gt;PFYDate,0,IF(LH_ColPeriod=0,W52-U52+V52,SUMIFS(INDEX(LH_Data,0,LH_ColAcc),INDEX(LH_Data,0,LH_ColFirst),$A52,INDEX(LH_Data,0,LH_ColSur),$B52,INDEX(LH_Data,0,LH_ColCat),BonusCat,INDEX(LH_Data,0,LH_ColPeriod),LH_OpenLabel)*UnitFactor))))</f>
        <v/>
      </c>
      <c r="U52" s="13" t="str">
        <f aca="false">IF(AE52=0,"",IF(NOT(LH_Ready),"",SUMIFS(INDEX(LH_Data,0,LH_ColAcc),INDEX(LH_Data,0,LH_ColFirst),$A52,INDEX(LH_Data,0,LH_ColSur),$B52,INDEX(LH_Data,0,LH_ColCat),BonusCat,INDEX(LH_Data,0,LH_ColStart),"&gt;="&amp;AF52)*UnitFactor))</f>
        <v/>
      </c>
      <c r="V52" s="13" t="str">
        <f aca="false">IF(AE52=0,"",IF(NOT(LH_Ready),"",SUMIFS(INDEX(LH_Data,0,LH_ColTaken),INDEX(LH_Data,0,LH_ColFirst),$A52,INDEX(LH_Data,0,LH_ColSur),$B52,INDEX(LH_Data,0,LH_ColCat),BonusCat,INDEX(LH_Data,0,LH_ColStart),"&gt;="&amp;AF52)*UnitFactor))</f>
        <v/>
      </c>
      <c r="W52" s="13" t="str">
        <f aca="false">IF(AE52=0,"",IF(NOT(LH_Ready),"",IF(BB52=0,0,INDEX(INDEX(LH_Data,0,LH_ColClose),BB52-1)*UnitFactor)))</f>
        <v/>
      </c>
      <c r="X52" s="13" t="str">
        <f aca="false">IF(AE52=0,"",(AX52-AY52)*HoursPerDay)</f>
        <v/>
      </c>
      <c r="Y52" s="13" t="str">
        <f aca="false">IF(AE52=0,"",IF(NOT(LH_Ready),"",IF(BA52=0,N52,IF(PFYDate&lt;$F52,N52-N(T52)-N(U52),X52-N(U52)))))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 hrs more than policy since commencement",IF(N(W52)&gt;O52*HoursPerDay+0.01,"CHECK - EH balance "&amp;ROUND(W52-O52*HoursPerDay,2)&amp;" hrs more than policy entitlement",IF(O52&gt;0,"OK - nothing to add",IF(AQ52="None",R52,"Not yet - first day on "&amp;TEXT(S52,"dd/mm/yyyy")))))))))</f>
        <v/>
      </c>
      <c r="AB52" s="13" t="str">
        <f aca="false">IF(OR(AE52=0,T52=""),"",AY52*HoursPerDay-T52)</f>
        <v/>
      </c>
      <c r="AC52" s="12" t="str">
        <f aca="false">IF(AE52=0,"",BA52)</f>
        <v/>
      </c>
      <c r="AD52" s="12"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IF(AE52=0,"",IF($J52&lt;&gt;"",$J52,IF(OR(CasualCounts="Yes",COUNT($G52:$I52)=0,COUNT($G52:$H52)=0),$F52,MIN($G52:$H52))))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8"/>
      <c r="B53" s="8"/>
      <c r="C53" s="8"/>
      <c r="D53" s="9"/>
      <c r="E53" s="10" t="str">
        <f aca="false">IF(OR(AE53=0,$D53=""),"",DATE(YEAR(AsOfDate)+IF(DATE(YEAR(AsOfDate),MONTH($D53),DAY($D53))&lt;=AsOfDate,1,0),MONTH($D53),DAY($D53)))</f>
        <v/>
      </c>
      <c r="F53" s="9"/>
      <c r="G53" s="9"/>
      <c r="H53" s="9"/>
      <c r="I53" s="9"/>
      <c r="J53" s="9"/>
      <c r="K53" s="10" t="str">
        <f aca="false">IF(AE53=0,"",DATE(YEAR(AsOfDate)+IF(DATE(YEAR(AsOfDate),MONTH(AF53),DAY(AF53))&lt;=AsOfDate,1,0),MONTH(AF53),DAY(AF53)))</f>
        <v/>
      </c>
      <c r="L53" s="11" t="str">
        <f aca="false">IF(AE53=0,"",ROUND((AsOfDate-AF53)/365.25,1))</f>
        <v/>
      </c>
      <c r="M53" s="12" t="str">
        <f aca="false">IF(AE53=0,"",IF(AsOfDate&lt;AF53,"-",DATEDIF(AF53,AsOfDate,"y")&amp;"y "&amp;DATEDIF(AF53,AsOfDate,"ym")&amp;"m "&amp;DATEDIF(AF53,AsOfDate,"md")&amp;"d"))</f>
        <v/>
      </c>
      <c r="N53" s="13" t="str">
        <f aca="false">IF(AE53=0,"",O53*HoursPerDay)</f>
        <v/>
      </c>
      <c r="O53" s="13" t="str">
        <f aca="false">IF(AE53=0,"",AX53)</f>
        <v/>
      </c>
      <c r="P53" s="14"/>
      <c r="Q53" s="12" t="str">
        <f aca="false">IF(AE53=0,"",IF(AG53&lt;2,"",AK53&amp;" to "&amp;AL53&amp;" on "&amp;TEXT(AI53,"dd/mm/yyyy")&amp;IF(AI53&gt;AsOfDate," (future)",IF(AN53=AO53,"",IF(AO53="None"," - STOPPED accruing",IF(AN53="None"," - commencement for Bonus Leave"," - pathway changed"))))&amp;IF(AG53&lt;3,"","; "&amp;AL53&amp;" to "&amp;AM53&amp;" on "&amp;TEXT(AJ53,"dd/mm/yyyy")&amp;IF(AJ53&gt;AsOfDate," (future)",IF(AO53=AP53,"",IF(AP53="None"," - STOPPED accruing",IF(AO53="None"," - commencement for Bonus Leave","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IF(AE53=0,"",IF(NOT(LH_Ready),"",IF(AF53&gt;PFYDate,0,IF(LH_ColPeriod=0,W53-U53+V53,SUMIFS(INDEX(LH_Data,0,LH_ColAcc),INDEX(LH_Data,0,LH_ColFirst),$A53,INDEX(LH_Data,0,LH_ColSur),$B53,INDEX(LH_Data,0,LH_ColCat),BonusCat,INDEX(LH_Data,0,LH_ColPeriod),LH_OpenLabel)*UnitFactor))))</f>
        <v/>
      </c>
      <c r="U53" s="13" t="str">
        <f aca="false">IF(AE53=0,"",IF(NOT(LH_Ready),"",SUMIFS(INDEX(LH_Data,0,LH_ColAcc),INDEX(LH_Data,0,LH_ColFirst),$A53,INDEX(LH_Data,0,LH_ColSur),$B53,INDEX(LH_Data,0,LH_ColCat),BonusCat,INDEX(LH_Data,0,LH_ColStart),"&gt;="&amp;AF53)*UnitFactor))</f>
        <v/>
      </c>
      <c r="V53" s="13" t="str">
        <f aca="false">IF(AE53=0,"",IF(NOT(LH_Ready),"",SUMIFS(INDEX(LH_Data,0,LH_ColTaken),INDEX(LH_Data,0,LH_ColFirst),$A53,INDEX(LH_Data,0,LH_ColSur),$B53,INDEX(LH_Data,0,LH_ColCat),BonusCat,INDEX(LH_Data,0,LH_ColStart),"&gt;="&amp;AF53)*UnitFactor))</f>
        <v/>
      </c>
      <c r="W53" s="13" t="str">
        <f aca="false">IF(AE53=0,"",IF(NOT(LH_Ready),"",IF(BB53=0,0,INDEX(INDEX(LH_Data,0,LH_ColClose),BB53-1)*UnitFactor)))</f>
        <v/>
      </c>
      <c r="X53" s="13" t="str">
        <f aca="false">IF(AE53=0,"",(AX53-AY53)*HoursPerDay)</f>
        <v/>
      </c>
      <c r="Y53" s="13" t="str">
        <f aca="false">IF(AE53=0,"",IF(NOT(LH_Ready),"",IF(BA53=0,N53,IF(PFYDate&lt;$F53,N53-N(T53)-N(U53),X53-N(U53)))))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 hrs more than policy since commencement",IF(N(W53)&gt;O53*HoursPerDay+0.01,"CHECK - EH balance "&amp;ROUND(W53-O53*HoursPerDay,2)&amp;" hrs more than policy entitlement",IF(O53&gt;0,"OK - nothing to add",IF(AQ53="None",R53,"Not yet - first day on "&amp;TEXT(S53,"dd/mm/yyyy")))))))))</f>
        <v/>
      </c>
      <c r="AB53" s="13" t="str">
        <f aca="false">IF(OR(AE53=0,T53=""),"",AY53*HoursPerDay-T53)</f>
        <v/>
      </c>
      <c r="AC53" s="12" t="str">
        <f aca="false">IF(AE53=0,"",BA53)</f>
        <v/>
      </c>
      <c r="AD53" s="12"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IF(AE53=0,"",IF($J53&lt;&gt;"",$J53,IF(OR(CasualCounts="Yes",COUNT($G53:$I53)=0,COUNT($G53:$H53)=0),$F53,MIN($G53:$H53))))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8"/>
      <c r="B54" s="8"/>
      <c r="C54" s="8"/>
      <c r="D54" s="9"/>
      <c r="E54" s="10" t="str">
        <f aca="false">IF(OR(AE54=0,$D54=""),"",DATE(YEAR(AsOfDate)+IF(DATE(YEAR(AsOfDate),MONTH($D54),DAY($D54))&lt;=AsOfDate,1,0),MONTH($D54),DAY($D54)))</f>
        <v/>
      </c>
      <c r="F54" s="9"/>
      <c r="G54" s="9"/>
      <c r="H54" s="9"/>
      <c r="I54" s="9"/>
      <c r="J54" s="9"/>
      <c r="K54" s="10" t="str">
        <f aca="false">IF(AE54=0,"",DATE(YEAR(AsOfDate)+IF(DATE(YEAR(AsOfDate),MONTH(AF54),DAY(AF54))&lt;=AsOfDate,1,0),MONTH(AF54),DAY(AF54)))</f>
        <v/>
      </c>
      <c r="L54" s="11" t="str">
        <f aca="false">IF(AE54=0,"",ROUND((AsOfDate-AF54)/365.25,1))</f>
        <v/>
      </c>
      <c r="M54" s="12" t="str">
        <f aca="false">IF(AE54=0,"",IF(AsOfDate&lt;AF54,"-",DATEDIF(AF54,AsOfDate,"y")&amp;"y "&amp;DATEDIF(AF54,AsOfDate,"ym")&amp;"m "&amp;DATEDIF(AF54,AsOfDate,"md")&amp;"d"))</f>
        <v/>
      </c>
      <c r="N54" s="13" t="str">
        <f aca="false">IF(AE54=0,"",O54*HoursPerDay)</f>
        <v/>
      </c>
      <c r="O54" s="13" t="str">
        <f aca="false">IF(AE54=0,"",AX54)</f>
        <v/>
      </c>
      <c r="P54" s="14"/>
      <c r="Q54" s="12" t="str">
        <f aca="false">IF(AE54=0,"",IF(AG54&lt;2,"",AK54&amp;" to "&amp;AL54&amp;" on "&amp;TEXT(AI54,"dd/mm/yyyy")&amp;IF(AI54&gt;AsOfDate," (future)",IF(AN54=AO54,"",IF(AO54="None"," - STOPPED accruing",IF(AN54="None"," - commencement for Bonus Leave"," - pathway changed"))))&amp;IF(AG54&lt;3,"","; "&amp;AL54&amp;" to "&amp;AM54&amp;" on "&amp;TEXT(AJ54,"dd/mm/yyyy")&amp;IF(AJ54&gt;AsOfDate," (future)",IF(AO54=AP54,"",IF(AP54="None"," - STOPPED accruing",IF(AO54="None"," - commencement for Bonus Leave","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IF(AE54=0,"",IF(NOT(LH_Ready),"",IF(AF54&gt;PFYDate,0,IF(LH_ColPeriod=0,W54-U54+V54,SUMIFS(INDEX(LH_Data,0,LH_ColAcc),INDEX(LH_Data,0,LH_ColFirst),$A54,INDEX(LH_Data,0,LH_ColSur),$B54,INDEX(LH_Data,0,LH_ColCat),BonusCat,INDEX(LH_Data,0,LH_ColPeriod),LH_OpenLabel)*UnitFactor))))</f>
        <v/>
      </c>
      <c r="U54" s="13" t="str">
        <f aca="false">IF(AE54=0,"",IF(NOT(LH_Ready),"",SUMIFS(INDEX(LH_Data,0,LH_ColAcc),INDEX(LH_Data,0,LH_ColFirst),$A54,INDEX(LH_Data,0,LH_ColSur),$B54,INDEX(LH_Data,0,LH_ColCat),BonusCat,INDEX(LH_Data,0,LH_ColStart),"&gt;="&amp;AF54)*UnitFactor))</f>
        <v/>
      </c>
      <c r="V54" s="13" t="str">
        <f aca="false">IF(AE54=0,"",IF(NOT(LH_Ready),"",SUMIFS(INDEX(LH_Data,0,LH_ColTaken),INDEX(LH_Data,0,LH_ColFirst),$A54,INDEX(LH_Data,0,LH_ColSur),$B54,INDEX(LH_Data,0,LH_ColCat),BonusCat,INDEX(LH_Data,0,LH_ColStart),"&gt;="&amp;AF54)*UnitFactor))</f>
        <v/>
      </c>
      <c r="W54" s="13" t="str">
        <f aca="false">IF(AE54=0,"",IF(NOT(LH_Ready),"",IF(BB54=0,0,INDEX(INDEX(LH_Data,0,LH_ColClose),BB54-1)*UnitFactor)))</f>
        <v/>
      </c>
      <c r="X54" s="13" t="str">
        <f aca="false">IF(AE54=0,"",(AX54-AY54)*HoursPerDay)</f>
        <v/>
      </c>
      <c r="Y54" s="13" t="str">
        <f aca="false">IF(AE54=0,"",IF(NOT(LH_Ready),"",IF(BA54=0,N54,IF(PFYDate&lt;$F54,N54-N(T54)-N(U54),X54-N(U54)))))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 hrs more than policy since commencement",IF(N(W54)&gt;O54*HoursPerDay+0.01,"CHECK - EH balance "&amp;ROUND(W54-O54*HoursPerDay,2)&amp;" hrs more than policy entitlement",IF(O54&gt;0,"OK - nothing to add",IF(AQ54="None",R54,"Not yet - first day on "&amp;TEXT(S54,"dd/mm/yyyy")))))))))</f>
        <v/>
      </c>
      <c r="AB54" s="13" t="str">
        <f aca="false">IF(OR(AE54=0,T54=""),"",AY54*HoursPerDay-T54)</f>
        <v/>
      </c>
      <c r="AC54" s="12" t="str">
        <f aca="false">IF(AE54=0,"",BA54)</f>
        <v/>
      </c>
      <c r="AD54" s="12"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IF(AE54=0,"",IF($J54&lt;&gt;"",$J54,IF(OR(CasualCounts="Yes",COUNT($G54:$I54)=0,COUNT($G54:$H54)=0),$F54,MIN($G54:$H54))))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8"/>
      <c r="B55" s="8"/>
      <c r="C55" s="8"/>
      <c r="D55" s="9"/>
      <c r="E55" s="10" t="str">
        <f aca="false">IF(OR(AE55=0,$D55=""),"",DATE(YEAR(AsOfDate)+IF(DATE(YEAR(AsOfDate),MONTH($D55),DAY($D55))&lt;=AsOfDate,1,0),MONTH($D55),DAY($D55)))</f>
        <v/>
      </c>
      <c r="F55" s="9"/>
      <c r="G55" s="9"/>
      <c r="H55" s="9"/>
      <c r="I55" s="9"/>
      <c r="J55" s="9"/>
      <c r="K55" s="10" t="str">
        <f aca="false">IF(AE55=0,"",DATE(YEAR(AsOfDate)+IF(DATE(YEAR(AsOfDate),MONTH(AF55),DAY(AF55))&lt;=AsOfDate,1,0),MONTH(AF55),DAY(AF55)))</f>
        <v/>
      </c>
      <c r="L55" s="11" t="str">
        <f aca="false">IF(AE55=0,"",ROUND((AsOfDate-AF55)/365.25,1))</f>
        <v/>
      </c>
      <c r="M55" s="12" t="str">
        <f aca="false">IF(AE55=0,"",IF(AsOfDate&lt;AF55,"-",DATEDIF(AF55,AsOfDate,"y")&amp;"y "&amp;DATEDIF(AF55,AsOfDate,"ym")&amp;"m "&amp;DATEDIF(AF55,AsOfDate,"md")&amp;"d"))</f>
        <v/>
      </c>
      <c r="N55" s="13" t="str">
        <f aca="false">IF(AE55=0,"",O55*HoursPerDay)</f>
        <v/>
      </c>
      <c r="O55" s="13" t="str">
        <f aca="false">IF(AE55=0,"",AX55)</f>
        <v/>
      </c>
      <c r="P55" s="14"/>
      <c r="Q55" s="12" t="str">
        <f aca="false">IF(AE55=0,"",IF(AG55&lt;2,"",AK55&amp;" to "&amp;AL55&amp;" on "&amp;TEXT(AI55,"dd/mm/yyyy")&amp;IF(AI55&gt;AsOfDate," (future)",IF(AN55=AO55,"",IF(AO55="None"," - STOPPED accruing",IF(AN55="None"," - commencement for Bonus Leave"," - pathway changed"))))&amp;IF(AG55&lt;3,"","; "&amp;AL55&amp;" to "&amp;AM55&amp;" on "&amp;TEXT(AJ55,"dd/mm/yyyy")&amp;IF(AJ55&gt;AsOfDate," (future)",IF(AO55=AP55,"",IF(AP55="None"," - STOPPED accruing",IF(AO55="None"," - commencement for Bonus Leave","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IF(AE55=0,"",IF(NOT(LH_Ready),"",IF(AF55&gt;PFYDate,0,IF(LH_ColPeriod=0,W55-U55+V55,SUMIFS(INDEX(LH_Data,0,LH_ColAcc),INDEX(LH_Data,0,LH_ColFirst),$A55,INDEX(LH_Data,0,LH_ColSur),$B55,INDEX(LH_Data,0,LH_ColCat),BonusCat,INDEX(LH_Data,0,LH_ColPeriod),LH_OpenLabel)*UnitFactor))))</f>
        <v/>
      </c>
      <c r="U55" s="13" t="str">
        <f aca="false">IF(AE55=0,"",IF(NOT(LH_Ready),"",SUMIFS(INDEX(LH_Data,0,LH_ColAcc),INDEX(LH_Data,0,LH_ColFirst),$A55,INDEX(LH_Data,0,LH_ColSur),$B55,INDEX(LH_Data,0,LH_ColCat),BonusCat,INDEX(LH_Data,0,LH_ColStart),"&gt;="&amp;AF55)*UnitFactor))</f>
        <v/>
      </c>
      <c r="V55" s="13" t="str">
        <f aca="false">IF(AE55=0,"",IF(NOT(LH_Ready),"",SUMIFS(INDEX(LH_Data,0,LH_ColTaken),INDEX(LH_Data,0,LH_ColFirst),$A55,INDEX(LH_Data,0,LH_ColSur),$B55,INDEX(LH_Data,0,LH_ColCat),BonusCat,INDEX(LH_Data,0,LH_ColStart),"&gt;="&amp;AF55)*UnitFactor))</f>
        <v/>
      </c>
      <c r="W55" s="13" t="str">
        <f aca="false">IF(AE55=0,"",IF(NOT(LH_Ready),"",IF(BB55=0,0,INDEX(INDEX(LH_Data,0,LH_ColClose),BB55-1)*UnitFactor)))</f>
        <v/>
      </c>
      <c r="X55" s="13" t="str">
        <f aca="false">IF(AE55=0,"",(AX55-AY55)*HoursPerDay)</f>
        <v/>
      </c>
      <c r="Y55" s="13" t="str">
        <f aca="false">IF(AE55=0,"",IF(NOT(LH_Ready),"",IF(BA55=0,N55,IF(PFYDate&lt;$F55,N55-N(T55)-N(U55),X55-N(U55)))))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 hrs more than policy since commencement",IF(N(W55)&gt;O55*HoursPerDay+0.01,"CHECK - EH balance "&amp;ROUND(W55-O55*HoursPerDay,2)&amp;" hrs more than policy entitlement",IF(O55&gt;0,"OK - nothing to add",IF(AQ55="None",R55,"Not yet - first day on "&amp;TEXT(S55,"dd/mm/yyyy")))))))))</f>
        <v/>
      </c>
      <c r="AB55" s="13" t="str">
        <f aca="false">IF(OR(AE55=0,T55=""),"",AY55*HoursPerDay-T55)</f>
        <v/>
      </c>
      <c r="AC55" s="12" t="str">
        <f aca="false">IF(AE55=0,"",BA55)</f>
        <v/>
      </c>
      <c r="AD55" s="12"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IF(AE55=0,"",IF($J55&lt;&gt;"",$J55,IF(OR(CasualCounts="Yes",COUNT($G55:$I55)=0,COUNT($G55:$H55)=0),$F55,MIN($G55:$H55))))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8"/>
      <c r="B56" s="8"/>
      <c r="C56" s="8"/>
      <c r="D56" s="9"/>
      <c r="E56" s="10" t="str">
        <f aca="false">IF(OR(AE56=0,$D56=""),"",DATE(YEAR(AsOfDate)+IF(DATE(YEAR(AsOfDate),MONTH($D56),DAY($D56))&lt;=AsOfDate,1,0),MONTH($D56),DAY($D56)))</f>
        <v/>
      </c>
      <c r="F56" s="9"/>
      <c r="G56" s="9"/>
      <c r="H56" s="9"/>
      <c r="I56" s="9"/>
      <c r="J56" s="9"/>
      <c r="K56" s="10" t="str">
        <f aca="false">IF(AE56=0,"",DATE(YEAR(AsOfDate)+IF(DATE(YEAR(AsOfDate),MONTH(AF56),DAY(AF56))&lt;=AsOfDate,1,0),MONTH(AF56),DAY(AF56)))</f>
        <v/>
      </c>
      <c r="L56" s="11" t="str">
        <f aca="false">IF(AE56=0,"",ROUND((AsOfDate-AF56)/365.25,1))</f>
        <v/>
      </c>
      <c r="M56" s="12" t="str">
        <f aca="false">IF(AE56=0,"",IF(AsOfDate&lt;AF56,"-",DATEDIF(AF56,AsOfDate,"y")&amp;"y "&amp;DATEDIF(AF56,AsOfDate,"ym")&amp;"m "&amp;DATEDIF(AF56,AsOfDate,"md")&amp;"d"))</f>
        <v/>
      </c>
      <c r="N56" s="13" t="str">
        <f aca="false">IF(AE56=0,"",O56*HoursPerDay)</f>
        <v/>
      </c>
      <c r="O56" s="13" t="str">
        <f aca="false">IF(AE56=0,"",AX56)</f>
        <v/>
      </c>
      <c r="P56" s="14"/>
      <c r="Q56" s="12" t="str">
        <f aca="false">IF(AE56=0,"",IF(AG56&lt;2,"",AK56&amp;" to "&amp;AL56&amp;" on "&amp;TEXT(AI56,"dd/mm/yyyy")&amp;IF(AI56&gt;AsOfDate," (future)",IF(AN56=AO56,"",IF(AO56="None"," - STOPPED accruing",IF(AN56="None"," - commencement for Bonus Leave"," - pathway changed"))))&amp;IF(AG56&lt;3,"","; "&amp;AL56&amp;" to "&amp;AM56&amp;" on "&amp;TEXT(AJ56,"dd/mm/yyyy")&amp;IF(AJ56&gt;AsOfDate," (future)",IF(AO56=AP56,"",IF(AP56="None"," - STOPPED accruing",IF(AO56="None"," - commencement for Bonus Leave","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IF(AE56=0,"",IF(NOT(LH_Ready),"",IF(AF56&gt;PFYDate,0,IF(LH_ColPeriod=0,W56-U56+V56,SUMIFS(INDEX(LH_Data,0,LH_ColAcc),INDEX(LH_Data,0,LH_ColFirst),$A56,INDEX(LH_Data,0,LH_ColSur),$B56,INDEX(LH_Data,0,LH_ColCat),BonusCat,INDEX(LH_Data,0,LH_ColPeriod),LH_OpenLabel)*UnitFactor))))</f>
        <v/>
      </c>
      <c r="U56" s="13" t="str">
        <f aca="false">IF(AE56=0,"",IF(NOT(LH_Ready),"",SUMIFS(INDEX(LH_Data,0,LH_ColAcc),INDEX(LH_Data,0,LH_ColFirst),$A56,INDEX(LH_Data,0,LH_ColSur),$B56,INDEX(LH_Data,0,LH_ColCat),BonusCat,INDEX(LH_Data,0,LH_ColStart),"&gt;="&amp;AF56)*UnitFactor))</f>
        <v/>
      </c>
      <c r="V56" s="13" t="str">
        <f aca="false">IF(AE56=0,"",IF(NOT(LH_Ready),"",SUMIFS(INDEX(LH_Data,0,LH_ColTaken),INDEX(LH_Data,0,LH_ColFirst),$A56,INDEX(LH_Data,0,LH_ColSur),$B56,INDEX(LH_Data,0,LH_ColCat),BonusCat,INDEX(LH_Data,0,LH_ColStart),"&gt;="&amp;AF56)*UnitFactor))</f>
        <v/>
      </c>
      <c r="W56" s="13" t="str">
        <f aca="false">IF(AE56=0,"",IF(NOT(LH_Ready),"",IF(BB56=0,0,INDEX(INDEX(LH_Data,0,LH_ColClose),BB56-1)*UnitFactor)))</f>
        <v/>
      </c>
      <c r="X56" s="13" t="str">
        <f aca="false">IF(AE56=0,"",(AX56-AY56)*HoursPerDay)</f>
        <v/>
      </c>
      <c r="Y56" s="13" t="str">
        <f aca="false">IF(AE56=0,"",IF(NOT(LH_Ready),"",IF(BA56=0,N56,IF(PFYDate&lt;$F56,N56-N(T56)-N(U56),X56-N(U56)))))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 hrs more than policy since commencement",IF(N(W56)&gt;O56*HoursPerDay+0.01,"CHECK - EH balance "&amp;ROUND(W56-O56*HoursPerDay,2)&amp;" hrs more than policy entitlement",IF(O56&gt;0,"OK - nothing to add",IF(AQ56="None",R56,"Not yet - first day on "&amp;TEXT(S56,"dd/mm/yyyy")))))))))</f>
        <v/>
      </c>
      <c r="AB56" s="13" t="str">
        <f aca="false">IF(OR(AE56=0,T56=""),"",AY56*HoursPerDay-T56)</f>
        <v/>
      </c>
      <c r="AC56" s="12" t="str">
        <f aca="false">IF(AE56=0,"",BA56)</f>
        <v/>
      </c>
      <c r="AD56" s="12"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IF(AE56=0,"",IF($J56&lt;&gt;"",$J56,IF(OR(CasualCounts="Yes",COUNT($G56:$I56)=0,COUNT($G56:$H56)=0),$F56,MIN($G56:$H56))))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8"/>
      <c r="B57" s="8"/>
      <c r="C57" s="8"/>
      <c r="D57" s="9"/>
      <c r="E57" s="10" t="str">
        <f aca="false">IF(OR(AE57=0,$D57=""),"",DATE(YEAR(AsOfDate)+IF(DATE(YEAR(AsOfDate),MONTH($D57),DAY($D57))&lt;=AsOfDate,1,0),MONTH($D57),DAY($D57)))</f>
        <v/>
      </c>
      <c r="F57" s="9"/>
      <c r="G57" s="9"/>
      <c r="H57" s="9"/>
      <c r="I57" s="9"/>
      <c r="J57" s="9"/>
      <c r="K57" s="10" t="str">
        <f aca="false">IF(AE57=0,"",DATE(YEAR(AsOfDate)+IF(DATE(YEAR(AsOfDate),MONTH(AF57),DAY(AF57))&lt;=AsOfDate,1,0),MONTH(AF57),DAY(AF57)))</f>
        <v/>
      </c>
      <c r="L57" s="11" t="str">
        <f aca="false">IF(AE57=0,"",ROUND((AsOfDate-AF57)/365.25,1))</f>
        <v/>
      </c>
      <c r="M57" s="12" t="str">
        <f aca="false">IF(AE57=0,"",IF(AsOfDate&lt;AF57,"-",DATEDIF(AF57,AsOfDate,"y")&amp;"y "&amp;DATEDIF(AF57,AsOfDate,"ym")&amp;"m "&amp;DATEDIF(AF57,AsOfDate,"md")&amp;"d"))</f>
        <v/>
      </c>
      <c r="N57" s="13" t="str">
        <f aca="false">IF(AE57=0,"",O57*HoursPerDay)</f>
        <v/>
      </c>
      <c r="O57" s="13" t="str">
        <f aca="false">IF(AE57=0,"",AX57)</f>
        <v/>
      </c>
      <c r="P57" s="14"/>
      <c r="Q57" s="12" t="str">
        <f aca="false">IF(AE57=0,"",IF(AG57&lt;2,"",AK57&amp;" to "&amp;AL57&amp;" on "&amp;TEXT(AI57,"dd/mm/yyyy")&amp;IF(AI57&gt;AsOfDate," (future)",IF(AN57=AO57,"",IF(AO57="None"," - STOPPED accruing",IF(AN57="None"," - commencement for Bonus Leave"," - pathway changed"))))&amp;IF(AG57&lt;3,"","; "&amp;AL57&amp;" to "&amp;AM57&amp;" on "&amp;TEXT(AJ57,"dd/mm/yyyy")&amp;IF(AJ57&gt;AsOfDate," (future)",IF(AO57=AP57,"",IF(AP57="None"," - STOPPED accruing",IF(AO57="None"," - commencement for Bonus Leave","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IF(AE57=0,"",IF(NOT(LH_Ready),"",IF(AF57&gt;PFYDate,0,IF(LH_ColPeriod=0,W57-U57+V57,SUMIFS(INDEX(LH_Data,0,LH_ColAcc),INDEX(LH_Data,0,LH_ColFirst),$A57,INDEX(LH_Data,0,LH_ColSur),$B57,INDEX(LH_Data,0,LH_ColCat),BonusCat,INDEX(LH_Data,0,LH_ColPeriod),LH_OpenLabel)*UnitFactor))))</f>
        <v/>
      </c>
      <c r="U57" s="13" t="str">
        <f aca="false">IF(AE57=0,"",IF(NOT(LH_Ready),"",SUMIFS(INDEX(LH_Data,0,LH_ColAcc),INDEX(LH_Data,0,LH_ColFirst),$A57,INDEX(LH_Data,0,LH_ColSur),$B57,INDEX(LH_Data,0,LH_ColCat),BonusCat,INDEX(LH_Data,0,LH_ColStart),"&gt;="&amp;AF57)*UnitFactor))</f>
        <v/>
      </c>
      <c r="V57" s="13" t="str">
        <f aca="false">IF(AE57=0,"",IF(NOT(LH_Ready),"",SUMIFS(INDEX(LH_Data,0,LH_ColTaken),INDEX(LH_Data,0,LH_ColFirst),$A57,INDEX(LH_Data,0,LH_ColSur),$B57,INDEX(LH_Data,0,LH_ColCat),BonusCat,INDEX(LH_Data,0,LH_ColStart),"&gt;="&amp;AF57)*UnitFactor))</f>
        <v/>
      </c>
      <c r="W57" s="13" t="str">
        <f aca="false">IF(AE57=0,"",IF(NOT(LH_Ready),"",IF(BB57=0,0,INDEX(INDEX(LH_Data,0,LH_ColClose),BB57-1)*UnitFactor)))</f>
        <v/>
      </c>
      <c r="X57" s="13" t="str">
        <f aca="false">IF(AE57=0,"",(AX57-AY57)*HoursPerDay)</f>
        <v/>
      </c>
      <c r="Y57" s="13" t="str">
        <f aca="false">IF(AE57=0,"",IF(NOT(LH_Ready),"",IF(BA57=0,N57,IF(PFYDate&lt;$F57,N57-N(T57)-N(U57),X57-N(U57)))))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 hrs more than policy since commencement",IF(N(W57)&gt;O57*HoursPerDay+0.01,"CHECK - EH balance "&amp;ROUND(W57-O57*HoursPerDay,2)&amp;" hrs more than policy entitlement",IF(O57&gt;0,"OK - nothing to add",IF(AQ57="None",R57,"Not yet - first day on "&amp;TEXT(S57,"dd/mm/yyyy")))))))))</f>
        <v/>
      </c>
      <c r="AB57" s="13" t="str">
        <f aca="false">IF(OR(AE57=0,T57=""),"",AY57*HoursPerDay-T57)</f>
        <v/>
      </c>
      <c r="AC57" s="12" t="str">
        <f aca="false">IF(AE57=0,"",BA57)</f>
        <v/>
      </c>
      <c r="AD57" s="12"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IF(AE57=0,"",IF($J57&lt;&gt;"",$J57,IF(OR(CasualCounts="Yes",COUNT($G57:$I57)=0,COUNT($G57:$H57)=0),$F57,MIN($G57:$H57))))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8"/>
      <c r="B58" s="8"/>
      <c r="C58" s="8"/>
      <c r="D58" s="9"/>
      <c r="E58" s="10" t="str">
        <f aca="false">IF(OR(AE58=0,$D58=""),"",DATE(YEAR(AsOfDate)+IF(DATE(YEAR(AsOfDate),MONTH($D58),DAY($D58))&lt;=AsOfDate,1,0),MONTH($D58),DAY($D58)))</f>
        <v/>
      </c>
      <c r="F58" s="9"/>
      <c r="G58" s="9"/>
      <c r="H58" s="9"/>
      <c r="I58" s="9"/>
      <c r="J58" s="9"/>
      <c r="K58" s="10" t="str">
        <f aca="false">IF(AE58=0,"",DATE(YEAR(AsOfDate)+IF(DATE(YEAR(AsOfDate),MONTH(AF58),DAY(AF58))&lt;=AsOfDate,1,0),MONTH(AF58),DAY(AF58)))</f>
        <v/>
      </c>
      <c r="L58" s="11" t="str">
        <f aca="false">IF(AE58=0,"",ROUND((AsOfDate-AF58)/365.25,1))</f>
        <v/>
      </c>
      <c r="M58" s="12" t="str">
        <f aca="false">IF(AE58=0,"",IF(AsOfDate&lt;AF58,"-",DATEDIF(AF58,AsOfDate,"y")&amp;"y "&amp;DATEDIF(AF58,AsOfDate,"ym")&amp;"m "&amp;DATEDIF(AF58,AsOfDate,"md")&amp;"d"))</f>
        <v/>
      </c>
      <c r="N58" s="13" t="str">
        <f aca="false">IF(AE58=0,"",O58*HoursPerDay)</f>
        <v/>
      </c>
      <c r="O58" s="13" t="str">
        <f aca="false">IF(AE58=0,"",AX58)</f>
        <v/>
      </c>
      <c r="P58" s="14"/>
      <c r="Q58" s="12" t="str">
        <f aca="false">IF(AE58=0,"",IF(AG58&lt;2,"",AK58&amp;" to "&amp;AL58&amp;" on "&amp;TEXT(AI58,"dd/mm/yyyy")&amp;IF(AI58&gt;AsOfDate," (future)",IF(AN58=AO58,"",IF(AO58="None"," - STOPPED accruing",IF(AN58="None"," - commencement for Bonus Leave"," - pathway changed"))))&amp;IF(AG58&lt;3,"","; "&amp;AL58&amp;" to "&amp;AM58&amp;" on "&amp;TEXT(AJ58,"dd/mm/yyyy")&amp;IF(AJ58&gt;AsOfDate," (future)",IF(AO58=AP58,"",IF(AP58="None"," - STOPPED accruing",IF(AO58="None"," - commencement for Bonus Leave","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IF(AE58=0,"",IF(NOT(LH_Ready),"",IF(AF58&gt;PFYDate,0,IF(LH_ColPeriod=0,W58-U58+V58,SUMIFS(INDEX(LH_Data,0,LH_ColAcc),INDEX(LH_Data,0,LH_ColFirst),$A58,INDEX(LH_Data,0,LH_ColSur),$B58,INDEX(LH_Data,0,LH_ColCat),BonusCat,INDEX(LH_Data,0,LH_ColPeriod),LH_OpenLabel)*UnitFactor))))</f>
        <v/>
      </c>
      <c r="U58" s="13" t="str">
        <f aca="false">IF(AE58=0,"",IF(NOT(LH_Ready),"",SUMIFS(INDEX(LH_Data,0,LH_ColAcc),INDEX(LH_Data,0,LH_ColFirst),$A58,INDEX(LH_Data,0,LH_ColSur),$B58,INDEX(LH_Data,0,LH_ColCat),BonusCat,INDEX(LH_Data,0,LH_ColStart),"&gt;="&amp;AF58)*UnitFactor))</f>
        <v/>
      </c>
      <c r="V58" s="13" t="str">
        <f aca="false">IF(AE58=0,"",IF(NOT(LH_Ready),"",SUMIFS(INDEX(LH_Data,0,LH_ColTaken),INDEX(LH_Data,0,LH_ColFirst),$A58,INDEX(LH_Data,0,LH_ColSur),$B58,INDEX(LH_Data,0,LH_ColCat),BonusCat,INDEX(LH_Data,0,LH_ColStart),"&gt;="&amp;AF58)*UnitFactor))</f>
        <v/>
      </c>
      <c r="W58" s="13" t="str">
        <f aca="false">IF(AE58=0,"",IF(NOT(LH_Ready),"",IF(BB58=0,0,INDEX(INDEX(LH_Data,0,LH_ColClose),BB58-1)*UnitFactor)))</f>
        <v/>
      </c>
      <c r="X58" s="13" t="str">
        <f aca="false">IF(AE58=0,"",(AX58-AY58)*HoursPerDay)</f>
        <v/>
      </c>
      <c r="Y58" s="13" t="str">
        <f aca="false">IF(AE58=0,"",IF(NOT(LH_Ready),"",IF(BA58=0,N58,IF(PFYDate&lt;$F58,N58-N(T58)-N(U58),X58-N(U58)))))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 hrs more than policy since commencement",IF(N(W58)&gt;O58*HoursPerDay+0.01,"CHECK - EH balance "&amp;ROUND(W58-O58*HoursPerDay,2)&amp;" hrs more than policy entitlement",IF(O58&gt;0,"OK - nothing to add",IF(AQ58="None",R58,"Not yet - first day on "&amp;TEXT(S58,"dd/mm/yyyy")))))))))</f>
        <v/>
      </c>
      <c r="AB58" s="13" t="str">
        <f aca="false">IF(OR(AE58=0,T58=""),"",AY58*HoursPerDay-T58)</f>
        <v/>
      </c>
      <c r="AC58" s="12" t="str">
        <f aca="false">IF(AE58=0,"",BA58)</f>
        <v/>
      </c>
      <c r="AD58" s="12"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IF(AE58=0,"",IF($J58&lt;&gt;"",$J58,IF(OR(CasualCounts="Yes",COUNT($G58:$I58)=0,COUNT($G58:$H58)=0),$F58,MIN($G58:$H58))))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8"/>
      <c r="B59" s="8"/>
      <c r="C59" s="8"/>
      <c r="D59" s="9"/>
      <c r="E59" s="10" t="str">
        <f aca="false">IF(OR(AE59=0,$D59=""),"",DATE(YEAR(AsOfDate)+IF(DATE(YEAR(AsOfDate),MONTH($D59),DAY($D59))&lt;=AsOfDate,1,0),MONTH($D59),DAY($D59)))</f>
        <v/>
      </c>
      <c r="F59" s="9"/>
      <c r="G59" s="9"/>
      <c r="H59" s="9"/>
      <c r="I59" s="9"/>
      <c r="J59" s="9"/>
      <c r="K59" s="10" t="str">
        <f aca="false">IF(AE59=0,"",DATE(YEAR(AsOfDate)+IF(DATE(YEAR(AsOfDate),MONTH(AF59),DAY(AF59))&lt;=AsOfDate,1,0),MONTH(AF59),DAY(AF59)))</f>
        <v/>
      </c>
      <c r="L59" s="11" t="str">
        <f aca="false">IF(AE59=0,"",ROUND((AsOfDate-AF59)/365.25,1))</f>
        <v/>
      </c>
      <c r="M59" s="12" t="str">
        <f aca="false">IF(AE59=0,"",IF(AsOfDate&lt;AF59,"-",DATEDIF(AF59,AsOfDate,"y")&amp;"y "&amp;DATEDIF(AF59,AsOfDate,"ym")&amp;"m "&amp;DATEDIF(AF59,AsOfDate,"md")&amp;"d"))</f>
        <v/>
      </c>
      <c r="N59" s="13" t="str">
        <f aca="false">IF(AE59=0,"",O59*HoursPerDay)</f>
        <v/>
      </c>
      <c r="O59" s="13" t="str">
        <f aca="false">IF(AE59=0,"",AX59)</f>
        <v/>
      </c>
      <c r="P59" s="14"/>
      <c r="Q59" s="12" t="str">
        <f aca="false">IF(AE59=0,"",IF(AG59&lt;2,"",AK59&amp;" to "&amp;AL59&amp;" on "&amp;TEXT(AI59,"dd/mm/yyyy")&amp;IF(AI59&gt;AsOfDate," (future)",IF(AN59=AO59,"",IF(AO59="None"," - STOPPED accruing",IF(AN59="None"," - commencement for Bonus Leave"," - pathway changed"))))&amp;IF(AG59&lt;3,"","; "&amp;AL59&amp;" to "&amp;AM59&amp;" on "&amp;TEXT(AJ59,"dd/mm/yyyy")&amp;IF(AJ59&gt;AsOfDate," (future)",IF(AO59=AP59,"",IF(AP59="None"," - STOPPED accruing",IF(AO59="None"," - commencement for Bonus Leave","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IF(AE59=0,"",IF(NOT(LH_Ready),"",IF(AF59&gt;PFYDate,0,IF(LH_ColPeriod=0,W59-U59+V59,SUMIFS(INDEX(LH_Data,0,LH_ColAcc),INDEX(LH_Data,0,LH_ColFirst),$A59,INDEX(LH_Data,0,LH_ColSur),$B59,INDEX(LH_Data,0,LH_ColCat),BonusCat,INDEX(LH_Data,0,LH_ColPeriod),LH_OpenLabel)*UnitFactor))))</f>
        <v/>
      </c>
      <c r="U59" s="13" t="str">
        <f aca="false">IF(AE59=0,"",IF(NOT(LH_Ready),"",SUMIFS(INDEX(LH_Data,0,LH_ColAcc),INDEX(LH_Data,0,LH_ColFirst),$A59,INDEX(LH_Data,0,LH_ColSur),$B59,INDEX(LH_Data,0,LH_ColCat),BonusCat,INDEX(LH_Data,0,LH_ColStart),"&gt;="&amp;AF59)*UnitFactor))</f>
        <v/>
      </c>
      <c r="V59" s="13" t="str">
        <f aca="false">IF(AE59=0,"",IF(NOT(LH_Ready),"",SUMIFS(INDEX(LH_Data,0,LH_ColTaken),INDEX(LH_Data,0,LH_ColFirst),$A59,INDEX(LH_Data,0,LH_ColSur),$B59,INDEX(LH_Data,0,LH_ColCat),BonusCat,INDEX(LH_Data,0,LH_ColStart),"&gt;="&amp;AF59)*UnitFactor))</f>
        <v/>
      </c>
      <c r="W59" s="13" t="str">
        <f aca="false">IF(AE59=0,"",IF(NOT(LH_Ready),"",IF(BB59=0,0,INDEX(INDEX(LH_Data,0,LH_ColClose),BB59-1)*UnitFactor)))</f>
        <v/>
      </c>
      <c r="X59" s="13" t="str">
        <f aca="false">IF(AE59=0,"",(AX59-AY59)*HoursPerDay)</f>
        <v/>
      </c>
      <c r="Y59" s="13" t="str">
        <f aca="false">IF(AE59=0,"",IF(NOT(LH_Ready),"",IF(BA59=0,N59,IF(PFYDate&lt;$F59,N59-N(T59)-N(U59),X59-N(U59)))))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 hrs more than policy since commencement",IF(N(W59)&gt;O59*HoursPerDay+0.01,"CHECK - EH balance "&amp;ROUND(W59-O59*HoursPerDay,2)&amp;" hrs more than policy entitlement",IF(O59&gt;0,"OK - nothing to add",IF(AQ59="None",R59,"Not yet - first day on "&amp;TEXT(S59,"dd/mm/yyyy")))))))))</f>
        <v/>
      </c>
      <c r="AB59" s="13" t="str">
        <f aca="false">IF(OR(AE59=0,T59=""),"",AY59*HoursPerDay-T59)</f>
        <v/>
      </c>
      <c r="AC59" s="12" t="str">
        <f aca="false">IF(AE59=0,"",BA59)</f>
        <v/>
      </c>
      <c r="AD59" s="12"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IF(AE59=0,"",IF($J59&lt;&gt;"",$J59,IF(OR(CasualCounts="Yes",COUNT($G59:$I59)=0,COUNT($G59:$H59)=0),$F59,MIN($G59:$H59))))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8"/>
      <c r="B60" s="8"/>
      <c r="C60" s="8"/>
      <c r="D60" s="9"/>
      <c r="E60" s="10" t="str">
        <f aca="false">IF(OR(AE60=0,$D60=""),"",DATE(YEAR(AsOfDate)+IF(DATE(YEAR(AsOfDate),MONTH($D60),DAY($D60))&lt;=AsOfDate,1,0),MONTH($D60),DAY($D60)))</f>
        <v/>
      </c>
      <c r="F60" s="9"/>
      <c r="G60" s="9"/>
      <c r="H60" s="9"/>
      <c r="I60" s="9"/>
      <c r="J60" s="9"/>
      <c r="K60" s="10" t="str">
        <f aca="false">IF(AE60=0,"",DATE(YEAR(AsOfDate)+IF(DATE(YEAR(AsOfDate),MONTH(AF60),DAY(AF60))&lt;=AsOfDate,1,0),MONTH(AF60),DAY(AF60)))</f>
        <v/>
      </c>
      <c r="L60" s="11" t="str">
        <f aca="false">IF(AE60=0,"",ROUND((AsOfDate-AF60)/365.25,1))</f>
        <v/>
      </c>
      <c r="M60" s="12" t="str">
        <f aca="false">IF(AE60=0,"",IF(AsOfDate&lt;AF60,"-",DATEDIF(AF60,AsOfDate,"y")&amp;"y "&amp;DATEDIF(AF60,AsOfDate,"ym")&amp;"m "&amp;DATEDIF(AF60,AsOfDate,"md")&amp;"d"))</f>
        <v/>
      </c>
      <c r="N60" s="13" t="str">
        <f aca="false">IF(AE60=0,"",O60*HoursPerDay)</f>
        <v/>
      </c>
      <c r="O60" s="13" t="str">
        <f aca="false">IF(AE60=0,"",AX60)</f>
        <v/>
      </c>
      <c r="P60" s="14"/>
      <c r="Q60" s="12" t="str">
        <f aca="false">IF(AE60=0,"",IF(AG60&lt;2,"",AK60&amp;" to "&amp;AL60&amp;" on "&amp;TEXT(AI60,"dd/mm/yyyy")&amp;IF(AI60&gt;AsOfDate," (future)",IF(AN60=AO60,"",IF(AO60="None"," - STOPPED accruing",IF(AN60="None"," - commencement for Bonus Leave"," - pathway changed"))))&amp;IF(AG60&lt;3,"","; "&amp;AL60&amp;" to "&amp;AM60&amp;" on "&amp;TEXT(AJ60,"dd/mm/yyyy")&amp;IF(AJ60&gt;AsOfDate," (future)",IF(AO60=AP60,"",IF(AP60="None"," - STOPPED accruing",IF(AO60="None"," - commencement for Bonus Leave","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IF(AE60=0,"",IF(NOT(LH_Ready),"",IF(AF60&gt;PFYDate,0,IF(LH_ColPeriod=0,W60-U60+V60,SUMIFS(INDEX(LH_Data,0,LH_ColAcc),INDEX(LH_Data,0,LH_ColFirst),$A60,INDEX(LH_Data,0,LH_ColSur),$B60,INDEX(LH_Data,0,LH_ColCat),BonusCat,INDEX(LH_Data,0,LH_ColPeriod),LH_OpenLabel)*UnitFactor))))</f>
        <v/>
      </c>
      <c r="U60" s="13" t="str">
        <f aca="false">IF(AE60=0,"",IF(NOT(LH_Ready),"",SUMIFS(INDEX(LH_Data,0,LH_ColAcc),INDEX(LH_Data,0,LH_ColFirst),$A60,INDEX(LH_Data,0,LH_ColSur),$B60,INDEX(LH_Data,0,LH_ColCat),BonusCat,INDEX(LH_Data,0,LH_ColStart),"&gt;="&amp;AF60)*UnitFactor))</f>
        <v/>
      </c>
      <c r="V60" s="13" t="str">
        <f aca="false">IF(AE60=0,"",IF(NOT(LH_Ready),"",SUMIFS(INDEX(LH_Data,0,LH_ColTaken),INDEX(LH_Data,0,LH_ColFirst),$A60,INDEX(LH_Data,0,LH_ColSur),$B60,INDEX(LH_Data,0,LH_ColCat),BonusCat,INDEX(LH_Data,0,LH_ColStart),"&gt;="&amp;AF60)*UnitFactor))</f>
        <v/>
      </c>
      <c r="W60" s="13" t="str">
        <f aca="false">IF(AE60=0,"",IF(NOT(LH_Ready),"",IF(BB60=0,0,INDEX(INDEX(LH_Data,0,LH_ColClose),BB60-1)*UnitFactor)))</f>
        <v/>
      </c>
      <c r="X60" s="13" t="str">
        <f aca="false">IF(AE60=0,"",(AX60-AY60)*HoursPerDay)</f>
        <v/>
      </c>
      <c r="Y60" s="13" t="str">
        <f aca="false">IF(AE60=0,"",IF(NOT(LH_Ready),"",IF(BA60=0,N60,IF(PFYDate&lt;$F60,N60-N(T60)-N(U60),X60-N(U60)))))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 hrs more than policy since commencement",IF(N(W60)&gt;O60*HoursPerDay+0.01,"CHECK - EH balance "&amp;ROUND(W60-O60*HoursPerDay,2)&amp;" hrs more than policy entitlement",IF(O60&gt;0,"OK - nothing to add",IF(AQ60="None",R60,"Not yet - first day on "&amp;TEXT(S60,"dd/mm/yyyy")))))))))</f>
        <v/>
      </c>
      <c r="AB60" s="13" t="str">
        <f aca="false">IF(OR(AE60=0,T60=""),"",AY60*HoursPerDay-T60)</f>
        <v/>
      </c>
      <c r="AC60" s="12" t="str">
        <f aca="false">IF(AE60=0,"",BA60)</f>
        <v/>
      </c>
      <c r="AD60" s="12"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IF(AE60=0,"",IF($J60&lt;&gt;"",$J60,IF(OR(CasualCounts="Yes",COUNT($G60:$I60)=0,COUNT($G60:$H60)=0),$F60,MIN($G60:$H60))))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8"/>
      <c r="B61" s="8"/>
      <c r="C61" s="8"/>
      <c r="D61" s="9"/>
      <c r="E61" s="10" t="str">
        <f aca="false">IF(OR(AE61=0,$D61=""),"",DATE(YEAR(AsOfDate)+IF(DATE(YEAR(AsOfDate),MONTH($D61),DAY($D61))&lt;=AsOfDate,1,0),MONTH($D61),DAY($D61)))</f>
        <v/>
      </c>
      <c r="F61" s="9"/>
      <c r="G61" s="9"/>
      <c r="H61" s="9"/>
      <c r="I61" s="9"/>
      <c r="J61" s="9"/>
      <c r="K61" s="10" t="str">
        <f aca="false">IF(AE61=0,"",DATE(YEAR(AsOfDate)+IF(DATE(YEAR(AsOfDate),MONTH(AF61),DAY(AF61))&lt;=AsOfDate,1,0),MONTH(AF61),DAY(AF61)))</f>
        <v/>
      </c>
      <c r="L61" s="11" t="str">
        <f aca="false">IF(AE61=0,"",ROUND((AsOfDate-AF61)/365.25,1))</f>
        <v/>
      </c>
      <c r="M61" s="12" t="str">
        <f aca="false">IF(AE61=0,"",IF(AsOfDate&lt;AF61,"-",DATEDIF(AF61,AsOfDate,"y")&amp;"y "&amp;DATEDIF(AF61,AsOfDate,"ym")&amp;"m "&amp;DATEDIF(AF61,AsOfDate,"md")&amp;"d"))</f>
        <v/>
      </c>
      <c r="N61" s="13" t="str">
        <f aca="false">IF(AE61=0,"",O61*HoursPerDay)</f>
        <v/>
      </c>
      <c r="O61" s="13" t="str">
        <f aca="false">IF(AE61=0,"",AX61)</f>
        <v/>
      </c>
      <c r="P61" s="14"/>
      <c r="Q61" s="12" t="str">
        <f aca="false">IF(AE61=0,"",IF(AG61&lt;2,"",AK61&amp;" to "&amp;AL61&amp;" on "&amp;TEXT(AI61,"dd/mm/yyyy")&amp;IF(AI61&gt;AsOfDate," (future)",IF(AN61=AO61,"",IF(AO61="None"," - STOPPED accruing",IF(AN61="None"," - commencement for Bonus Leave"," - pathway changed"))))&amp;IF(AG61&lt;3,"","; "&amp;AL61&amp;" to "&amp;AM61&amp;" on "&amp;TEXT(AJ61,"dd/mm/yyyy")&amp;IF(AJ61&gt;AsOfDate," (future)",IF(AO61=AP61,"",IF(AP61="None"," - STOPPED accruing",IF(AO61="None"," - commencement for Bonus Leave","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IF(AE61=0,"",IF(NOT(LH_Ready),"",IF(AF61&gt;PFYDate,0,IF(LH_ColPeriod=0,W61-U61+V61,SUMIFS(INDEX(LH_Data,0,LH_ColAcc),INDEX(LH_Data,0,LH_ColFirst),$A61,INDEX(LH_Data,0,LH_ColSur),$B61,INDEX(LH_Data,0,LH_ColCat),BonusCat,INDEX(LH_Data,0,LH_ColPeriod),LH_OpenLabel)*UnitFactor))))</f>
        <v/>
      </c>
      <c r="U61" s="13" t="str">
        <f aca="false">IF(AE61=0,"",IF(NOT(LH_Ready),"",SUMIFS(INDEX(LH_Data,0,LH_ColAcc),INDEX(LH_Data,0,LH_ColFirst),$A61,INDEX(LH_Data,0,LH_ColSur),$B61,INDEX(LH_Data,0,LH_ColCat),BonusCat,INDEX(LH_Data,0,LH_ColStart),"&gt;="&amp;AF61)*UnitFactor))</f>
        <v/>
      </c>
      <c r="V61" s="13" t="str">
        <f aca="false">IF(AE61=0,"",IF(NOT(LH_Ready),"",SUMIFS(INDEX(LH_Data,0,LH_ColTaken),INDEX(LH_Data,0,LH_ColFirst),$A61,INDEX(LH_Data,0,LH_ColSur),$B61,INDEX(LH_Data,0,LH_ColCat),BonusCat,INDEX(LH_Data,0,LH_ColStart),"&gt;="&amp;AF61)*UnitFactor))</f>
        <v/>
      </c>
      <c r="W61" s="13" t="str">
        <f aca="false">IF(AE61=0,"",IF(NOT(LH_Ready),"",IF(BB61=0,0,INDEX(INDEX(LH_Data,0,LH_ColClose),BB61-1)*UnitFactor)))</f>
        <v/>
      </c>
      <c r="X61" s="13" t="str">
        <f aca="false">IF(AE61=0,"",(AX61-AY61)*HoursPerDay)</f>
        <v/>
      </c>
      <c r="Y61" s="13" t="str">
        <f aca="false">IF(AE61=0,"",IF(NOT(LH_Ready),"",IF(BA61=0,N61,IF(PFYDate&lt;$F61,N61-N(T61)-N(U61),X61-N(U61)))))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 hrs more than policy since commencement",IF(N(W61)&gt;O61*HoursPerDay+0.01,"CHECK - EH balance "&amp;ROUND(W61-O61*HoursPerDay,2)&amp;" hrs more than policy entitlement",IF(O61&gt;0,"OK - nothing to add",IF(AQ61="None",R61,"Not yet - first day on "&amp;TEXT(S61,"dd/mm/yyyy")))))))))</f>
        <v/>
      </c>
      <c r="AB61" s="13" t="str">
        <f aca="false">IF(OR(AE61=0,T61=""),"",AY61*HoursPerDay-T61)</f>
        <v/>
      </c>
      <c r="AC61" s="12" t="str">
        <f aca="false">IF(AE61=0,"",BA61)</f>
        <v/>
      </c>
      <c r="AD61" s="12"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IF(AE61=0,"",IF($J61&lt;&gt;"",$J61,IF(OR(CasualCounts="Yes",COUNT($G61:$I61)=0,COUNT($G61:$H61)=0),$F61,MIN($G61:$H61))))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8"/>
      <c r="B62" s="8"/>
      <c r="C62" s="8"/>
      <c r="D62" s="9"/>
      <c r="E62" s="10" t="str">
        <f aca="false">IF(OR(AE62=0,$D62=""),"",DATE(YEAR(AsOfDate)+IF(DATE(YEAR(AsOfDate),MONTH($D62),DAY($D62))&lt;=AsOfDate,1,0),MONTH($D62),DAY($D62)))</f>
        <v/>
      </c>
      <c r="F62" s="9"/>
      <c r="G62" s="9"/>
      <c r="H62" s="9"/>
      <c r="I62" s="9"/>
      <c r="J62" s="9"/>
      <c r="K62" s="10" t="str">
        <f aca="false">IF(AE62=0,"",DATE(YEAR(AsOfDate)+IF(DATE(YEAR(AsOfDate),MONTH(AF62),DAY(AF62))&lt;=AsOfDate,1,0),MONTH(AF62),DAY(AF62)))</f>
        <v/>
      </c>
      <c r="L62" s="11" t="str">
        <f aca="false">IF(AE62=0,"",ROUND((AsOfDate-AF62)/365.25,1))</f>
        <v/>
      </c>
      <c r="M62" s="12" t="str">
        <f aca="false">IF(AE62=0,"",IF(AsOfDate&lt;AF62,"-",DATEDIF(AF62,AsOfDate,"y")&amp;"y "&amp;DATEDIF(AF62,AsOfDate,"ym")&amp;"m "&amp;DATEDIF(AF62,AsOfDate,"md")&amp;"d"))</f>
        <v/>
      </c>
      <c r="N62" s="13" t="str">
        <f aca="false">IF(AE62=0,"",O62*HoursPerDay)</f>
        <v/>
      </c>
      <c r="O62" s="13" t="str">
        <f aca="false">IF(AE62=0,"",AX62)</f>
        <v/>
      </c>
      <c r="P62" s="14"/>
      <c r="Q62" s="12" t="str">
        <f aca="false">IF(AE62=0,"",IF(AG62&lt;2,"",AK62&amp;" to "&amp;AL62&amp;" on "&amp;TEXT(AI62,"dd/mm/yyyy")&amp;IF(AI62&gt;AsOfDate," (future)",IF(AN62=AO62,"",IF(AO62="None"," - STOPPED accruing",IF(AN62="None"," - commencement for Bonus Leave"," - pathway changed"))))&amp;IF(AG62&lt;3,"","; "&amp;AL62&amp;" to "&amp;AM62&amp;" on "&amp;TEXT(AJ62,"dd/mm/yyyy")&amp;IF(AJ62&gt;AsOfDate," (future)",IF(AO62=AP62,"",IF(AP62="None"," - STOPPED accruing",IF(AO62="None"," - commencement for Bonus Leave","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IF(AE62=0,"",IF(NOT(LH_Ready),"",IF(AF62&gt;PFYDate,0,IF(LH_ColPeriod=0,W62-U62+V62,SUMIFS(INDEX(LH_Data,0,LH_ColAcc),INDEX(LH_Data,0,LH_ColFirst),$A62,INDEX(LH_Data,0,LH_ColSur),$B62,INDEX(LH_Data,0,LH_ColCat),BonusCat,INDEX(LH_Data,0,LH_ColPeriod),LH_OpenLabel)*UnitFactor))))</f>
        <v/>
      </c>
      <c r="U62" s="13" t="str">
        <f aca="false">IF(AE62=0,"",IF(NOT(LH_Ready),"",SUMIFS(INDEX(LH_Data,0,LH_ColAcc),INDEX(LH_Data,0,LH_ColFirst),$A62,INDEX(LH_Data,0,LH_ColSur),$B62,INDEX(LH_Data,0,LH_ColCat),BonusCat,INDEX(LH_Data,0,LH_ColStart),"&gt;="&amp;AF62)*UnitFactor))</f>
        <v/>
      </c>
      <c r="V62" s="13" t="str">
        <f aca="false">IF(AE62=0,"",IF(NOT(LH_Ready),"",SUMIFS(INDEX(LH_Data,0,LH_ColTaken),INDEX(LH_Data,0,LH_ColFirst),$A62,INDEX(LH_Data,0,LH_ColSur),$B62,INDEX(LH_Data,0,LH_ColCat),BonusCat,INDEX(LH_Data,0,LH_ColStart),"&gt;="&amp;AF62)*UnitFactor))</f>
        <v/>
      </c>
      <c r="W62" s="13" t="str">
        <f aca="false">IF(AE62=0,"",IF(NOT(LH_Ready),"",IF(BB62=0,0,INDEX(INDEX(LH_Data,0,LH_ColClose),BB62-1)*UnitFactor)))</f>
        <v/>
      </c>
      <c r="X62" s="13" t="str">
        <f aca="false">IF(AE62=0,"",(AX62-AY62)*HoursPerDay)</f>
        <v/>
      </c>
      <c r="Y62" s="13" t="str">
        <f aca="false">IF(AE62=0,"",IF(NOT(LH_Ready),"",IF(BA62=0,N62,IF(PFYDate&lt;$F62,N62-N(T62)-N(U62),X62-N(U62)))))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 hrs more than policy since commencement",IF(N(W62)&gt;O62*HoursPerDay+0.01,"CHECK - EH balance "&amp;ROUND(W62-O62*HoursPerDay,2)&amp;" hrs more than policy entitlement",IF(O62&gt;0,"OK - nothing to add",IF(AQ62="None",R62,"Not yet - first day on "&amp;TEXT(S62,"dd/mm/yyyy")))))))))</f>
        <v/>
      </c>
      <c r="AB62" s="13" t="str">
        <f aca="false">IF(OR(AE62=0,T62=""),"",AY62*HoursPerDay-T62)</f>
        <v/>
      </c>
      <c r="AC62" s="12" t="str">
        <f aca="false">IF(AE62=0,"",BA62)</f>
        <v/>
      </c>
      <c r="AD62" s="12"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IF(AE62=0,"",IF($J62&lt;&gt;"",$J62,IF(OR(CasualCounts="Yes",COUNT($G62:$I62)=0,COUNT($G62:$H62)=0),$F62,MIN($G62:$H62))))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8"/>
      <c r="B63" s="8"/>
      <c r="C63" s="8"/>
      <c r="D63" s="9"/>
      <c r="E63" s="10" t="str">
        <f aca="false">IF(OR(AE63=0,$D63=""),"",DATE(YEAR(AsOfDate)+IF(DATE(YEAR(AsOfDate),MONTH($D63),DAY($D63))&lt;=AsOfDate,1,0),MONTH($D63),DAY($D63)))</f>
        <v/>
      </c>
      <c r="F63" s="9"/>
      <c r="G63" s="9"/>
      <c r="H63" s="9"/>
      <c r="I63" s="9"/>
      <c r="J63" s="9"/>
      <c r="K63" s="10" t="str">
        <f aca="false">IF(AE63=0,"",DATE(YEAR(AsOfDate)+IF(DATE(YEAR(AsOfDate),MONTH(AF63),DAY(AF63))&lt;=AsOfDate,1,0),MONTH(AF63),DAY(AF63)))</f>
        <v/>
      </c>
      <c r="L63" s="11" t="str">
        <f aca="false">IF(AE63=0,"",ROUND((AsOfDate-AF63)/365.25,1))</f>
        <v/>
      </c>
      <c r="M63" s="12" t="str">
        <f aca="false">IF(AE63=0,"",IF(AsOfDate&lt;AF63,"-",DATEDIF(AF63,AsOfDate,"y")&amp;"y "&amp;DATEDIF(AF63,AsOfDate,"ym")&amp;"m "&amp;DATEDIF(AF63,AsOfDate,"md")&amp;"d"))</f>
        <v/>
      </c>
      <c r="N63" s="13" t="str">
        <f aca="false">IF(AE63=0,"",O63*HoursPerDay)</f>
        <v/>
      </c>
      <c r="O63" s="13" t="str">
        <f aca="false">IF(AE63=0,"",AX63)</f>
        <v/>
      </c>
      <c r="P63" s="14"/>
      <c r="Q63" s="12" t="str">
        <f aca="false">IF(AE63=0,"",IF(AG63&lt;2,"",AK63&amp;" to "&amp;AL63&amp;" on "&amp;TEXT(AI63,"dd/mm/yyyy")&amp;IF(AI63&gt;AsOfDate," (future)",IF(AN63=AO63,"",IF(AO63="None"," - STOPPED accruing",IF(AN63="None"," - commencement for Bonus Leave"," - pathway changed"))))&amp;IF(AG63&lt;3,"","; "&amp;AL63&amp;" to "&amp;AM63&amp;" on "&amp;TEXT(AJ63,"dd/mm/yyyy")&amp;IF(AJ63&gt;AsOfDate," (future)",IF(AO63=AP63,"",IF(AP63="None"," - STOPPED accruing",IF(AO63="None"," - commencement for Bonus Leave","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IF(AE63=0,"",IF(NOT(LH_Ready),"",IF(AF63&gt;PFYDate,0,IF(LH_ColPeriod=0,W63-U63+V63,SUMIFS(INDEX(LH_Data,0,LH_ColAcc),INDEX(LH_Data,0,LH_ColFirst),$A63,INDEX(LH_Data,0,LH_ColSur),$B63,INDEX(LH_Data,0,LH_ColCat),BonusCat,INDEX(LH_Data,0,LH_ColPeriod),LH_OpenLabel)*UnitFactor))))</f>
        <v/>
      </c>
      <c r="U63" s="13" t="str">
        <f aca="false">IF(AE63=0,"",IF(NOT(LH_Ready),"",SUMIFS(INDEX(LH_Data,0,LH_ColAcc),INDEX(LH_Data,0,LH_ColFirst),$A63,INDEX(LH_Data,0,LH_ColSur),$B63,INDEX(LH_Data,0,LH_ColCat),BonusCat,INDEX(LH_Data,0,LH_ColStart),"&gt;="&amp;AF63)*UnitFactor))</f>
        <v/>
      </c>
      <c r="V63" s="13" t="str">
        <f aca="false">IF(AE63=0,"",IF(NOT(LH_Ready),"",SUMIFS(INDEX(LH_Data,0,LH_ColTaken),INDEX(LH_Data,0,LH_ColFirst),$A63,INDEX(LH_Data,0,LH_ColSur),$B63,INDEX(LH_Data,0,LH_ColCat),BonusCat,INDEX(LH_Data,0,LH_ColStart),"&gt;="&amp;AF63)*UnitFactor))</f>
        <v/>
      </c>
      <c r="W63" s="13" t="str">
        <f aca="false">IF(AE63=0,"",IF(NOT(LH_Ready),"",IF(BB63=0,0,INDEX(INDEX(LH_Data,0,LH_ColClose),BB63-1)*UnitFactor)))</f>
        <v/>
      </c>
      <c r="X63" s="13" t="str">
        <f aca="false">IF(AE63=0,"",(AX63-AY63)*HoursPerDay)</f>
        <v/>
      </c>
      <c r="Y63" s="13" t="str">
        <f aca="false">IF(AE63=0,"",IF(NOT(LH_Ready),"",IF(BA63=0,N63,IF(PFYDate&lt;$F63,N63-N(T63)-N(U63),X63-N(U63)))))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 hrs more than policy since commencement",IF(N(W63)&gt;O63*HoursPerDay+0.01,"CHECK - EH balance "&amp;ROUND(W63-O63*HoursPerDay,2)&amp;" hrs more than policy entitlement",IF(O63&gt;0,"OK - nothing to add",IF(AQ63="None",R63,"Not yet - first day on "&amp;TEXT(S63,"dd/mm/yyyy")))))))))</f>
        <v/>
      </c>
      <c r="AB63" s="13" t="str">
        <f aca="false">IF(OR(AE63=0,T63=""),"",AY63*HoursPerDay-T63)</f>
        <v/>
      </c>
      <c r="AC63" s="12" t="str">
        <f aca="false">IF(AE63=0,"",BA63)</f>
        <v/>
      </c>
      <c r="AD63" s="12"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IF(AE63=0,"",IF($J63&lt;&gt;"",$J63,IF(OR(CasualCounts="Yes",COUNT($G63:$I63)=0,COUNT($G63:$H63)=0),$F63,MIN($G63:$H63))))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8"/>
      <c r="B64" s="8"/>
      <c r="C64" s="8"/>
      <c r="D64" s="9"/>
      <c r="E64" s="10" t="str">
        <f aca="false">IF(OR(AE64=0,$D64=""),"",DATE(YEAR(AsOfDate)+IF(DATE(YEAR(AsOfDate),MONTH($D64),DAY($D64))&lt;=AsOfDate,1,0),MONTH($D64),DAY($D64)))</f>
        <v/>
      </c>
      <c r="F64" s="9"/>
      <c r="G64" s="9"/>
      <c r="H64" s="9"/>
      <c r="I64" s="9"/>
      <c r="J64" s="9"/>
      <c r="K64" s="10" t="str">
        <f aca="false">IF(AE64=0,"",DATE(YEAR(AsOfDate)+IF(DATE(YEAR(AsOfDate),MONTH(AF64),DAY(AF64))&lt;=AsOfDate,1,0),MONTH(AF64),DAY(AF64)))</f>
        <v/>
      </c>
      <c r="L64" s="11" t="str">
        <f aca="false">IF(AE64=0,"",ROUND((AsOfDate-AF64)/365.25,1))</f>
        <v/>
      </c>
      <c r="M64" s="12" t="str">
        <f aca="false">IF(AE64=0,"",IF(AsOfDate&lt;AF64,"-",DATEDIF(AF64,AsOfDate,"y")&amp;"y "&amp;DATEDIF(AF64,AsOfDate,"ym")&amp;"m "&amp;DATEDIF(AF64,AsOfDate,"md")&amp;"d"))</f>
        <v/>
      </c>
      <c r="N64" s="13" t="str">
        <f aca="false">IF(AE64=0,"",O64*HoursPerDay)</f>
        <v/>
      </c>
      <c r="O64" s="13" t="str">
        <f aca="false">IF(AE64=0,"",AX64)</f>
        <v/>
      </c>
      <c r="P64" s="14"/>
      <c r="Q64" s="12" t="str">
        <f aca="false">IF(AE64=0,"",IF(AG64&lt;2,"",AK64&amp;" to "&amp;AL64&amp;" on "&amp;TEXT(AI64,"dd/mm/yyyy")&amp;IF(AI64&gt;AsOfDate," (future)",IF(AN64=AO64,"",IF(AO64="None"," - STOPPED accruing",IF(AN64="None"," - commencement for Bonus Leave"," - pathway changed"))))&amp;IF(AG64&lt;3,"","; "&amp;AL64&amp;" to "&amp;AM64&amp;" on "&amp;TEXT(AJ64,"dd/mm/yyyy")&amp;IF(AJ64&gt;AsOfDate," (future)",IF(AO64=AP64,"",IF(AP64="None"," - STOPPED accruing",IF(AO64="None"," - commencement for Bonus Leave","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IF(AE64=0,"",IF(NOT(LH_Ready),"",IF(AF64&gt;PFYDate,0,IF(LH_ColPeriod=0,W64-U64+V64,SUMIFS(INDEX(LH_Data,0,LH_ColAcc),INDEX(LH_Data,0,LH_ColFirst),$A64,INDEX(LH_Data,0,LH_ColSur),$B64,INDEX(LH_Data,0,LH_ColCat),BonusCat,INDEX(LH_Data,0,LH_ColPeriod),LH_OpenLabel)*UnitFactor))))</f>
        <v/>
      </c>
      <c r="U64" s="13" t="str">
        <f aca="false">IF(AE64=0,"",IF(NOT(LH_Ready),"",SUMIFS(INDEX(LH_Data,0,LH_ColAcc),INDEX(LH_Data,0,LH_ColFirst),$A64,INDEX(LH_Data,0,LH_ColSur),$B64,INDEX(LH_Data,0,LH_ColCat),BonusCat,INDEX(LH_Data,0,LH_ColStart),"&gt;="&amp;AF64)*UnitFactor))</f>
        <v/>
      </c>
      <c r="V64" s="13" t="str">
        <f aca="false">IF(AE64=0,"",IF(NOT(LH_Ready),"",SUMIFS(INDEX(LH_Data,0,LH_ColTaken),INDEX(LH_Data,0,LH_ColFirst),$A64,INDEX(LH_Data,0,LH_ColSur),$B64,INDEX(LH_Data,0,LH_ColCat),BonusCat,INDEX(LH_Data,0,LH_ColStart),"&gt;="&amp;AF64)*UnitFactor))</f>
        <v/>
      </c>
      <c r="W64" s="13" t="str">
        <f aca="false">IF(AE64=0,"",IF(NOT(LH_Ready),"",IF(BB64=0,0,INDEX(INDEX(LH_Data,0,LH_ColClose),BB64-1)*UnitFactor)))</f>
        <v/>
      </c>
      <c r="X64" s="13" t="str">
        <f aca="false">IF(AE64=0,"",(AX64-AY64)*HoursPerDay)</f>
        <v/>
      </c>
      <c r="Y64" s="13" t="str">
        <f aca="false">IF(AE64=0,"",IF(NOT(LH_Ready),"",IF(BA64=0,N64,IF(PFYDate&lt;$F64,N64-N(T64)-N(U64),X64-N(U64)))))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 hrs more than policy since commencement",IF(N(W64)&gt;O64*HoursPerDay+0.01,"CHECK - EH balance "&amp;ROUND(W64-O64*HoursPerDay,2)&amp;" hrs more than policy entitlement",IF(O64&gt;0,"OK - nothing to add",IF(AQ64="None",R64,"Not yet - first day on "&amp;TEXT(S64,"dd/mm/yyyy")))))))))</f>
        <v/>
      </c>
      <c r="AB64" s="13" t="str">
        <f aca="false">IF(OR(AE64=0,T64=""),"",AY64*HoursPerDay-T64)</f>
        <v/>
      </c>
      <c r="AC64" s="12" t="str">
        <f aca="false">IF(AE64=0,"",BA64)</f>
        <v/>
      </c>
      <c r="AD64" s="12"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IF(AE64=0,"",IF($J64&lt;&gt;"",$J64,IF(OR(CasualCounts="Yes",COUNT($G64:$I64)=0,COUNT($G64:$H64)=0),$F64,MIN($G64:$H64))))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8"/>
      <c r="B65" s="8"/>
      <c r="C65" s="8"/>
      <c r="D65" s="9"/>
      <c r="E65" s="10" t="str">
        <f aca="false">IF(OR(AE65=0,$D65=""),"",DATE(YEAR(AsOfDate)+IF(DATE(YEAR(AsOfDate),MONTH($D65),DAY($D65))&lt;=AsOfDate,1,0),MONTH($D65),DAY($D65)))</f>
        <v/>
      </c>
      <c r="F65" s="9"/>
      <c r="G65" s="9"/>
      <c r="H65" s="9"/>
      <c r="I65" s="9"/>
      <c r="J65" s="9"/>
      <c r="K65" s="10" t="str">
        <f aca="false">IF(AE65=0,"",DATE(YEAR(AsOfDate)+IF(DATE(YEAR(AsOfDate),MONTH(AF65),DAY(AF65))&lt;=AsOfDate,1,0),MONTH(AF65),DAY(AF65)))</f>
        <v/>
      </c>
      <c r="L65" s="11" t="str">
        <f aca="false">IF(AE65=0,"",ROUND((AsOfDate-AF65)/365.25,1))</f>
        <v/>
      </c>
      <c r="M65" s="12" t="str">
        <f aca="false">IF(AE65=0,"",IF(AsOfDate&lt;AF65,"-",DATEDIF(AF65,AsOfDate,"y")&amp;"y "&amp;DATEDIF(AF65,AsOfDate,"ym")&amp;"m "&amp;DATEDIF(AF65,AsOfDate,"md")&amp;"d"))</f>
        <v/>
      </c>
      <c r="N65" s="13" t="str">
        <f aca="false">IF(AE65=0,"",O65*HoursPerDay)</f>
        <v/>
      </c>
      <c r="O65" s="13" t="str">
        <f aca="false">IF(AE65=0,"",AX65)</f>
        <v/>
      </c>
      <c r="P65" s="14"/>
      <c r="Q65" s="12" t="str">
        <f aca="false">IF(AE65=0,"",IF(AG65&lt;2,"",AK65&amp;" to "&amp;AL65&amp;" on "&amp;TEXT(AI65,"dd/mm/yyyy")&amp;IF(AI65&gt;AsOfDate," (future)",IF(AN65=AO65,"",IF(AO65="None"," - STOPPED accruing",IF(AN65="None"," - commencement for Bonus Leave"," - pathway changed"))))&amp;IF(AG65&lt;3,"","; "&amp;AL65&amp;" to "&amp;AM65&amp;" on "&amp;TEXT(AJ65,"dd/mm/yyyy")&amp;IF(AJ65&gt;AsOfDate," (future)",IF(AO65=AP65,"",IF(AP65="None"," - STOPPED accruing",IF(AO65="None"," - commencement for Bonus Leave","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IF(AE65=0,"",IF(NOT(LH_Ready),"",IF(AF65&gt;PFYDate,0,IF(LH_ColPeriod=0,W65-U65+V65,SUMIFS(INDEX(LH_Data,0,LH_ColAcc),INDEX(LH_Data,0,LH_ColFirst),$A65,INDEX(LH_Data,0,LH_ColSur),$B65,INDEX(LH_Data,0,LH_ColCat),BonusCat,INDEX(LH_Data,0,LH_ColPeriod),LH_OpenLabel)*UnitFactor))))</f>
        <v/>
      </c>
      <c r="U65" s="13" t="str">
        <f aca="false">IF(AE65=0,"",IF(NOT(LH_Ready),"",SUMIFS(INDEX(LH_Data,0,LH_ColAcc),INDEX(LH_Data,0,LH_ColFirst),$A65,INDEX(LH_Data,0,LH_ColSur),$B65,INDEX(LH_Data,0,LH_ColCat),BonusCat,INDEX(LH_Data,0,LH_ColStart),"&gt;="&amp;AF65)*UnitFactor))</f>
        <v/>
      </c>
      <c r="V65" s="13" t="str">
        <f aca="false">IF(AE65=0,"",IF(NOT(LH_Ready),"",SUMIFS(INDEX(LH_Data,0,LH_ColTaken),INDEX(LH_Data,0,LH_ColFirst),$A65,INDEX(LH_Data,0,LH_ColSur),$B65,INDEX(LH_Data,0,LH_ColCat),BonusCat,INDEX(LH_Data,0,LH_ColStart),"&gt;="&amp;AF65)*UnitFactor))</f>
        <v/>
      </c>
      <c r="W65" s="13" t="str">
        <f aca="false">IF(AE65=0,"",IF(NOT(LH_Ready),"",IF(BB65=0,0,INDEX(INDEX(LH_Data,0,LH_ColClose),BB65-1)*UnitFactor)))</f>
        <v/>
      </c>
      <c r="X65" s="13" t="str">
        <f aca="false">IF(AE65=0,"",(AX65-AY65)*HoursPerDay)</f>
        <v/>
      </c>
      <c r="Y65" s="13" t="str">
        <f aca="false">IF(AE65=0,"",IF(NOT(LH_Ready),"",IF(BA65=0,N65,IF(PFYDate&lt;$F65,N65-N(T65)-N(U65),X65-N(U65)))))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 hrs more than policy since commencement",IF(N(W65)&gt;O65*HoursPerDay+0.01,"CHECK - EH balance "&amp;ROUND(W65-O65*HoursPerDay,2)&amp;" hrs more than policy entitlement",IF(O65&gt;0,"OK - nothing to add",IF(AQ65="None",R65,"Not yet - first day on "&amp;TEXT(S65,"dd/mm/yyyy")))))))))</f>
        <v/>
      </c>
      <c r="AB65" s="13" t="str">
        <f aca="false">IF(OR(AE65=0,T65=""),"",AY65*HoursPerDay-T65)</f>
        <v/>
      </c>
      <c r="AC65" s="12" t="str">
        <f aca="false">IF(AE65=0,"",BA65)</f>
        <v/>
      </c>
      <c r="AD65" s="12"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IF(AE65=0,"",IF($J65&lt;&gt;"",$J65,IF(OR(CasualCounts="Yes",COUNT($G65:$I65)=0,COUNT($G65:$H65)=0),$F65,MIN($G65:$H65))))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8"/>
      <c r="B66" s="8"/>
      <c r="C66" s="8"/>
      <c r="D66" s="9"/>
      <c r="E66" s="10" t="str">
        <f aca="false">IF(OR(AE66=0,$D66=""),"",DATE(YEAR(AsOfDate)+IF(DATE(YEAR(AsOfDate),MONTH($D66),DAY($D66))&lt;=AsOfDate,1,0),MONTH($D66),DAY($D66)))</f>
        <v/>
      </c>
      <c r="F66" s="9"/>
      <c r="G66" s="9"/>
      <c r="H66" s="9"/>
      <c r="I66" s="9"/>
      <c r="J66" s="9"/>
      <c r="K66" s="10" t="str">
        <f aca="false">IF(AE66=0,"",DATE(YEAR(AsOfDate)+IF(DATE(YEAR(AsOfDate),MONTH(AF66),DAY(AF66))&lt;=AsOfDate,1,0),MONTH(AF66),DAY(AF66)))</f>
        <v/>
      </c>
      <c r="L66" s="11" t="str">
        <f aca="false">IF(AE66=0,"",ROUND((AsOfDate-AF66)/365.25,1))</f>
        <v/>
      </c>
      <c r="M66" s="12" t="str">
        <f aca="false">IF(AE66=0,"",IF(AsOfDate&lt;AF66,"-",DATEDIF(AF66,AsOfDate,"y")&amp;"y "&amp;DATEDIF(AF66,AsOfDate,"ym")&amp;"m "&amp;DATEDIF(AF66,AsOfDate,"md")&amp;"d"))</f>
        <v/>
      </c>
      <c r="N66" s="13" t="str">
        <f aca="false">IF(AE66=0,"",O66*HoursPerDay)</f>
        <v/>
      </c>
      <c r="O66" s="13" t="str">
        <f aca="false">IF(AE66=0,"",AX66)</f>
        <v/>
      </c>
      <c r="P66" s="14"/>
      <c r="Q66" s="12" t="str">
        <f aca="false">IF(AE66=0,"",IF(AG66&lt;2,"",AK66&amp;" to "&amp;AL66&amp;" on "&amp;TEXT(AI66,"dd/mm/yyyy")&amp;IF(AI66&gt;AsOfDate," (future)",IF(AN66=AO66,"",IF(AO66="None"," - STOPPED accruing",IF(AN66="None"," - commencement for Bonus Leave"," - pathway changed"))))&amp;IF(AG66&lt;3,"","; "&amp;AL66&amp;" to "&amp;AM66&amp;" on "&amp;TEXT(AJ66,"dd/mm/yyyy")&amp;IF(AJ66&gt;AsOfDate," (future)",IF(AO66=AP66,"",IF(AP66="None"," - STOPPED accruing",IF(AO66="None"," - commencement for Bonus Leave","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IF(AE66=0,"",IF(NOT(LH_Ready),"",IF(AF66&gt;PFYDate,0,IF(LH_ColPeriod=0,W66-U66+V66,SUMIFS(INDEX(LH_Data,0,LH_ColAcc),INDEX(LH_Data,0,LH_ColFirst),$A66,INDEX(LH_Data,0,LH_ColSur),$B66,INDEX(LH_Data,0,LH_ColCat),BonusCat,INDEX(LH_Data,0,LH_ColPeriod),LH_OpenLabel)*UnitFactor))))</f>
        <v/>
      </c>
      <c r="U66" s="13" t="str">
        <f aca="false">IF(AE66=0,"",IF(NOT(LH_Ready),"",SUMIFS(INDEX(LH_Data,0,LH_ColAcc),INDEX(LH_Data,0,LH_ColFirst),$A66,INDEX(LH_Data,0,LH_ColSur),$B66,INDEX(LH_Data,0,LH_ColCat),BonusCat,INDEX(LH_Data,0,LH_ColStart),"&gt;="&amp;AF66)*UnitFactor))</f>
        <v/>
      </c>
      <c r="V66" s="13" t="str">
        <f aca="false">IF(AE66=0,"",IF(NOT(LH_Ready),"",SUMIFS(INDEX(LH_Data,0,LH_ColTaken),INDEX(LH_Data,0,LH_ColFirst),$A66,INDEX(LH_Data,0,LH_ColSur),$B66,INDEX(LH_Data,0,LH_ColCat),BonusCat,INDEX(LH_Data,0,LH_ColStart),"&gt;="&amp;AF66)*UnitFactor))</f>
        <v/>
      </c>
      <c r="W66" s="13" t="str">
        <f aca="false">IF(AE66=0,"",IF(NOT(LH_Ready),"",IF(BB66=0,0,INDEX(INDEX(LH_Data,0,LH_ColClose),BB66-1)*UnitFactor)))</f>
        <v/>
      </c>
      <c r="X66" s="13" t="str">
        <f aca="false">IF(AE66=0,"",(AX66-AY66)*HoursPerDay)</f>
        <v/>
      </c>
      <c r="Y66" s="13" t="str">
        <f aca="false">IF(AE66=0,"",IF(NOT(LH_Ready),"",IF(BA66=0,N66,IF(PFYDate&lt;$F66,N66-N(T66)-N(U66),X66-N(U66)))))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 hrs more than policy since commencement",IF(N(W66)&gt;O66*HoursPerDay+0.01,"CHECK - EH balance "&amp;ROUND(W66-O66*HoursPerDay,2)&amp;" hrs more than policy entitlement",IF(O66&gt;0,"OK - nothing to add",IF(AQ66="None",R66,"Not yet - first day on "&amp;TEXT(S66,"dd/mm/yyyy")))))))))</f>
        <v/>
      </c>
      <c r="AB66" s="13" t="str">
        <f aca="false">IF(OR(AE66=0,T66=""),"",AY66*HoursPerDay-T66)</f>
        <v/>
      </c>
      <c r="AC66" s="12" t="str">
        <f aca="false">IF(AE66=0,"",BA66)</f>
        <v/>
      </c>
      <c r="AD66" s="12"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IF(AE66=0,"",IF($J66&lt;&gt;"",$J66,IF(OR(CasualCounts="Yes",COUNT($G66:$I66)=0,COUNT($G66:$H66)=0),$F66,MIN($G66:$H66))))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8"/>
      <c r="B67" s="8"/>
      <c r="C67" s="8"/>
      <c r="D67" s="9"/>
      <c r="E67" s="10" t="str">
        <f aca="false">IF(OR(AE67=0,$D67=""),"",DATE(YEAR(AsOfDate)+IF(DATE(YEAR(AsOfDate),MONTH($D67),DAY($D67))&lt;=AsOfDate,1,0),MONTH($D67),DAY($D67)))</f>
        <v/>
      </c>
      <c r="F67" s="9"/>
      <c r="G67" s="9"/>
      <c r="H67" s="9"/>
      <c r="I67" s="9"/>
      <c r="J67" s="9"/>
      <c r="K67" s="10" t="str">
        <f aca="false">IF(AE67=0,"",DATE(YEAR(AsOfDate)+IF(DATE(YEAR(AsOfDate),MONTH(AF67),DAY(AF67))&lt;=AsOfDate,1,0),MONTH(AF67),DAY(AF67)))</f>
        <v/>
      </c>
      <c r="L67" s="11" t="str">
        <f aca="false">IF(AE67=0,"",ROUND((AsOfDate-AF67)/365.25,1))</f>
        <v/>
      </c>
      <c r="M67" s="12" t="str">
        <f aca="false">IF(AE67=0,"",IF(AsOfDate&lt;AF67,"-",DATEDIF(AF67,AsOfDate,"y")&amp;"y "&amp;DATEDIF(AF67,AsOfDate,"ym")&amp;"m "&amp;DATEDIF(AF67,AsOfDate,"md")&amp;"d"))</f>
        <v/>
      </c>
      <c r="N67" s="13" t="str">
        <f aca="false">IF(AE67=0,"",O67*HoursPerDay)</f>
        <v/>
      </c>
      <c r="O67" s="13" t="str">
        <f aca="false">IF(AE67=0,"",AX67)</f>
        <v/>
      </c>
      <c r="P67" s="14"/>
      <c r="Q67" s="12" t="str">
        <f aca="false">IF(AE67=0,"",IF(AG67&lt;2,"",AK67&amp;" to "&amp;AL67&amp;" on "&amp;TEXT(AI67,"dd/mm/yyyy")&amp;IF(AI67&gt;AsOfDate," (future)",IF(AN67=AO67,"",IF(AO67="None"," - STOPPED accruing",IF(AN67="None"," - commencement for Bonus Leave"," - pathway changed"))))&amp;IF(AG67&lt;3,"","; "&amp;AL67&amp;" to "&amp;AM67&amp;" on "&amp;TEXT(AJ67,"dd/mm/yyyy")&amp;IF(AJ67&gt;AsOfDate," (future)",IF(AO67=AP67,"",IF(AP67="None"," - STOPPED accruing",IF(AO67="None"," - commencement for Bonus Leave","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IF(AE67=0,"",IF(NOT(LH_Ready),"",IF(AF67&gt;PFYDate,0,IF(LH_ColPeriod=0,W67-U67+V67,SUMIFS(INDEX(LH_Data,0,LH_ColAcc),INDEX(LH_Data,0,LH_ColFirst),$A67,INDEX(LH_Data,0,LH_ColSur),$B67,INDEX(LH_Data,0,LH_ColCat),BonusCat,INDEX(LH_Data,0,LH_ColPeriod),LH_OpenLabel)*UnitFactor))))</f>
        <v/>
      </c>
      <c r="U67" s="13" t="str">
        <f aca="false">IF(AE67=0,"",IF(NOT(LH_Ready),"",SUMIFS(INDEX(LH_Data,0,LH_ColAcc),INDEX(LH_Data,0,LH_ColFirst),$A67,INDEX(LH_Data,0,LH_ColSur),$B67,INDEX(LH_Data,0,LH_ColCat),BonusCat,INDEX(LH_Data,0,LH_ColStart),"&gt;="&amp;AF67)*UnitFactor))</f>
        <v/>
      </c>
      <c r="V67" s="13" t="str">
        <f aca="false">IF(AE67=0,"",IF(NOT(LH_Ready),"",SUMIFS(INDEX(LH_Data,0,LH_ColTaken),INDEX(LH_Data,0,LH_ColFirst),$A67,INDEX(LH_Data,0,LH_ColSur),$B67,INDEX(LH_Data,0,LH_ColCat),BonusCat,INDEX(LH_Data,0,LH_ColStart),"&gt;="&amp;AF67)*UnitFactor))</f>
        <v/>
      </c>
      <c r="W67" s="13" t="str">
        <f aca="false">IF(AE67=0,"",IF(NOT(LH_Ready),"",IF(BB67=0,0,INDEX(INDEX(LH_Data,0,LH_ColClose),BB67-1)*UnitFactor)))</f>
        <v/>
      </c>
      <c r="X67" s="13" t="str">
        <f aca="false">IF(AE67=0,"",(AX67-AY67)*HoursPerDay)</f>
        <v/>
      </c>
      <c r="Y67" s="13" t="str">
        <f aca="false">IF(AE67=0,"",IF(NOT(LH_Ready),"",IF(BA67=0,N67,IF(PFYDate&lt;$F67,N67-N(T67)-N(U67),X67-N(U67)))))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 hrs more than policy since commencement",IF(N(W67)&gt;O67*HoursPerDay+0.01,"CHECK - EH balance "&amp;ROUND(W67-O67*HoursPerDay,2)&amp;" hrs more than policy entitlement",IF(O67&gt;0,"OK - nothing to add",IF(AQ67="None",R67,"Not yet - first day on "&amp;TEXT(S67,"dd/mm/yyyy")))))))))</f>
        <v/>
      </c>
      <c r="AB67" s="13" t="str">
        <f aca="false">IF(OR(AE67=0,T67=""),"",AY67*HoursPerDay-T67)</f>
        <v/>
      </c>
      <c r="AC67" s="12" t="str">
        <f aca="false">IF(AE67=0,"",BA67)</f>
        <v/>
      </c>
      <c r="AD67" s="12"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IF(AE67=0,"",IF($J67&lt;&gt;"",$J67,IF(OR(CasualCounts="Yes",COUNT($G67:$I67)=0,COUNT($G67:$H67)=0),$F67,MIN($G67:$H67))))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8"/>
      <c r="B68" s="8"/>
      <c r="C68" s="8"/>
      <c r="D68" s="9"/>
      <c r="E68" s="10" t="str">
        <f aca="false">IF(OR(AE68=0,$D68=""),"",DATE(YEAR(AsOfDate)+IF(DATE(YEAR(AsOfDate),MONTH($D68),DAY($D68))&lt;=AsOfDate,1,0),MONTH($D68),DAY($D68)))</f>
        <v/>
      </c>
      <c r="F68" s="9"/>
      <c r="G68" s="9"/>
      <c r="H68" s="9"/>
      <c r="I68" s="9"/>
      <c r="J68" s="9"/>
      <c r="K68" s="10" t="str">
        <f aca="false">IF(AE68=0,"",DATE(YEAR(AsOfDate)+IF(DATE(YEAR(AsOfDate),MONTH(AF68),DAY(AF68))&lt;=AsOfDate,1,0),MONTH(AF68),DAY(AF68)))</f>
        <v/>
      </c>
      <c r="L68" s="11" t="str">
        <f aca="false">IF(AE68=0,"",ROUND((AsOfDate-AF68)/365.25,1))</f>
        <v/>
      </c>
      <c r="M68" s="12" t="str">
        <f aca="false">IF(AE68=0,"",IF(AsOfDate&lt;AF68,"-",DATEDIF(AF68,AsOfDate,"y")&amp;"y "&amp;DATEDIF(AF68,AsOfDate,"ym")&amp;"m "&amp;DATEDIF(AF68,AsOfDate,"md")&amp;"d"))</f>
        <v/>
      </c>
      <c r="N68" s="13" t="str">
        <f aca="false">IF(AE68=0,"",O68*HoursPerDay)</f>
        <v/>
      </c>
      <c r="O68" s="13" t="str">
        <f aca="false">IF(AE68=0,"",AX68)</f>
        <v/>
      </c>
      <c r="P68" s="14"/>
      <c r="Q68" s="12" t="str">
        <f aca="false">IF(AE68=0,"",IF(AG68&lt;2,"",AK68&amp;" to "&amp;AL68&amp;" on "&amp;TEXT(AI68,"dd/mm/yyyy")&amp;IF(AI68&gt;AsOfDate," (future)",IF(AN68=AO68,"",IF(AO68="None"," - STOPPED accruing",IF(AN68="None"," - commencement for Bonus Leave"," - pathway changed"))))&amp;IF(AG68&lt;3,"","; "&amp;AL68&amp;" to "&amp;AM68&amp;" on "&amp;TEXT(AJ68,"dd/mm/yyyy")&amp;IF(AJ68&gt;AsOfDate," (future)",IF(AO68=AP68,"",IF(AP68="None"," - STOPPED accruing",IF(AO68="None"," - commencement for Bonus Leave","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IF(AE68=0,"",IF(NOT(LH_Ready),"",IF(AF68&gt;PFYDate,0,IF(LH_ColPeriod=0,W68-U68+V68,SUMIFS(INDEX(LH_Data,0,LH_ColAcc),INDEX(LH_Data,0,LH_ColFirst),$A68,INDEX(LH_Data,0,LH_ColSur),$B68,INDEX(LH_Data,0,LH_ColCat),BonusCat,INDEX(LH_Data,0,LH_ColPeriod),LH_OpenLabel)*UnitFactor))))</f>
        <v/>
      </c>
      <c r="U68" s="13" t="str">
        <f aca="false">IF(AE68=0,"",IF(NOT(LH_Ready),"",SUMIFS(INDEX(LH_Data,0,LH_ColAcc),INDEX(LH_Data,0,LH_ColFirst),$A68,INDEX(LH_Data,0,LH_ColSur),$B68,INDEX(LH_Data,0,LH_ColCat),BonusCat,INDEX(LH_Data,0,LH_ColStart),"&gt;="&amp;AF68)*UnitFactor))</f>
        <v/>
      </c>
      <c r="V68" s="13" t="str">
        <f aca="false">IF(AE68=0,"",IF(NOT(LH_Ready),"",SUMIFS(INDEX(LH_Data,0,LH_ColTaken),INDEX(LH_Data,0,LH_ColFirst),$A68,INDEX(LH_Data,0,LH_ColSur),$B68,INDEX(LH_Data,0,LH_ColCat),BonusCat,INDEX(LH_Data,0,LH_ColStart),"&gt;="&amp;AF68)*UnitFactor))</f>
        <v/>
      </c>
      <c r="W68" s="13" t="str">
        <f aca="false">IF(AE68=0,"",IF(NOT(LH_Ready),"",IF(BB68=0,0,INDEX(INDEX(LH_Data,0,LH_ColClose),BB68-1)*UnitFactor)))</f>
        <v/>
      </c>
      <c r="X68" s="13" t="str">
        <f aca="false">IF(AE68=0,"",(AX68-AY68)*HoursPerDay)</f>
        <v/>
      </c>
      <c r="Y68" s="13" t="str">
        <f aca="false">IF(AE68=0,"",IF(NOT(LH_Ready),"",IF(BA68=0,N68,IF(PFYDate&lt;$F68,N68-N(T68)-N(U68),X68-N(U68)))))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 hrs more than policy since commencement",IF(N(W68)&gt;O68*HoursPerDay+0.01,"CHECK - EH balance "&amp;ROUND(W68-O68*HoursPerDay,2)&amp;" hrs more than policy entitlement",IF(O68&gt;0,"OK - nothing to add",IF(AQ68="None",R68,"Not yet - first day on "&amp;TEXT(S68,"dd/mm/yyyy")))))))))</f>
        <v/>
      </c>
      <c r="AB68" s="13" t="str">
        <f aca="false">IF(OR(AE68=0,T68=""),"",AY68*HoursPerDay-T68)</f>
        <v/>
      </c>
      <c r="AC68" s="12" t="str">
        <f aca="false">IF(AE68=0,"",BA68)</f>
        <v/>
      </c>
      <c r="AD68" s="12"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IF(AE68=0,"",IF($J68&lt;&gt;"",$J68,IF(OR(CasualCounts="Yes",COUNT($G68:$I68)=0,COUNT($G68:$H68)=0),$F68,MIN($G68:$H68))))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8"/>
      <c r="B69" s="8"/>
      <c r="C69" s="8"/>
      <c r="D69" s="9"/>
      <c r="E69" s="10" t="str">
        <f aca="false">IF(OR(AE69=0,$D69=""),"",DATE(YEAR(AsOfDate)+IF(DATE(YEAR(AsOfDate),MONTH($D69),DAY($D69))&lt;=AsOfDate,1,0),MONTH($D69),DAY($D69)))</f>
        <v/>
      </c>
      <c r="F69" s="9"/>
      <c r="G69" s="9"/>
      <c r="H69" s="9"/>
      <c r="I69" s="9"/>
      <c r="J69" s="9"/>
      <c r="K69" s="10" t="str">
        <f aca="false">IF(AE69=0,"",DATE(YEAR(AsOfDate)+IF(DATE(YEAR(AsOfDate),MONTH(AF69),DAY(AF69))&lt;=AsOfDate,1,0),MONTH(AF69),DAY(AF69)))</f>
        <v/>
      </c>
      <c r="L69" s="11" t="str">
        <f aca="false">IF(AE69=0,"",ROUND((AsOfDate-AF69)/365.25,1))</f>
        <v/>
      </c>
      <c r="M69" s="12" t="str">
        <f aca="false">IF(AE69=0,"",IF(AsOfDate&lt;AF69,"-",DATEDIF(AF69,AsOfDate,"y")&amp;"y "&amp;DATEDIF(AF69,AsOfDate,"ym")&amp;"m "&amp;DATEDIF(AF69,AsOfDate,"md")&amp;"d"))</f>
        <v/>
      </c>
      <c r="N69" s="13" t="str">
        <f aca="false">IF(AE69=0,"",O69*HoursPerDay)</f>
        <v/>
      </c>
      <c r="O69" s="13" t="str">
        <f aca="false">IF(AE69=0,"",AX69)</f>
        <v/>
      </c>
      <c r="P69" s="14"/>
      <c r="Q69" s="12" t="str">
        <f aca="false">IF(AE69=0,"",IF(AG69&lt;2,"",AK69&amp;" to "&amp;AL69&amp;" on "&amp;TEXT(AI69,"dd/mm/yyyy")&amp;IF(AI69&gt;AsOfDate," (future)",IF(AN69=AO69,"",IF(AO69="None"," - STOPPED accruing",IF(AN69="None"," - commencement for Bonus Leave"," - pathway changed"))))&amp;IF(AG69&lt;3,"","; "&amp;AL69&amp;" to "&amp;AM69&amp;" on "&amp;TEXT(AJ69,"dd/mm/yyyy")&amp;IF(AJ69&gt;AsOfDate," (future)",IF(AO69=AP69,"",IF(AP69="None"," - STOPPED accruing",IF(AO69="None"," - commencement for Bonus Leave","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IF(AE69=0,"",IF(NOT(LH_Ready),"",IF(AF69&gt;PFYDate,0,IF(LH_ColPeriod=0,W69-U69+V69,SUMIFS(INDEX(LH_Data,0,LH_ColAcc),INDEX(LH_Data,0,LH_ColFirst),$A69,INDEX(LH_Data,0,LH_ColSur),$B69,INDEX(LH_Data,0,LH_ColCat),BonusCat,INDEX(LH_Data,0,LH_ColPeriod),LH_OpenLabel)*UnitFactor))))</f>
        <v/>
      </c>
      <c r="U69" s="13" t="str">
        <f aca="false">IF(AE69=0,"",IF(NOT(LH_Ready),"",SUMIFS(INDEX(LH_Data,0,LH_ColAcc),INDEX(LH_Data,0,LH_ColFirst),$A69,INDEX(LH_Data,0,LH_ColSur),$B69,INDEX(LH_Data,0,LH_ColCat),BonusCat,INDEX(LH_Data,0,LH_ColStart),"&gt;="&amp;AF69)*UnitFactor))</f>
        <v/>
      </c>
      <c r="V69" s="13" t="str">
        <f aca="false">IF(AE69=0,"",IF(NOT(LH_Ready),"",SUMIFS(INDEX(LH_Data,0,LH_ColTaken),INDEX(LH_Data,0,LH_ColFirst),$A69,INDEX(LH_Data,0,LH_ColSur),$B69,INDEX(LH_Data,0,LH_ColCat),BonusCat,INDEX(LH_Data,0,LH_ColStart),"&gt;="&amp;AF69)*UnitFactor))</f>
        <v/>
      </c>
      <c r="W69" s="13" t="str">
        <f aca="false">IF(AE69=0,"",IF(NOT(LH_Ready),"",IF(BB69=0,0,INDEX(INDEX(LH_Data,0,LH_ColClose),BB69-1)*UnitFactor)))</f>
        <v/>
      </c>
      <c r="X69" s="13" t="str">
        <f aca="false">IF(AE69=0,"",(AX69-AY69)*HoursPerDay)</f>
        <v/>
      </c>
      <c r="Y69" s="13" t="str">
        <f aca="false">IF(AE69=0,"",IF(NOT(LH_Ready),"",IF(BA69=0,N69,IF(PFYDate&lt;$F69,N69-N(T69)-N(U69),X69-N(U69)))))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 hrs more than policy since commencement",IF(N(W69)&gt;O69*HoursPerDay+0.01,"CHECK - EH balance "&amp;ROUND(W69-O69*HoursPerDay,2)&amp;" hrs more than policy entitlement",IF(O69&gt;0,"OK - nothing to add",IF(AQ69="None",R69,"Not yet - first day on "&amp;TEXT(S69,"dd/mm/yyyy")))))))))</f>
        <v/>
      </c>
      <c r="AB69" s="13" t="str">
        <f aca="false">IF(OR(AE69=0,T69=""),"",AY69*HoursPerDay-T69)</f>
        <v/>
      </c>
      <c r="AC69" s="12" t="str">
        <f aca="false">IF(AE69=0,"",BA69)</f>
        <v/>
      </c>
      <c r="AD69" s="12"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IF(AE69=0,"",IF($J69&lt;&gt;"",$J69,IF(OR(CasualCounts="Yes",COUNT($G69:$I69)=0,COUNT($G69:$H69)=0),$F69,MIN($G69:$H69))))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8"/>
      <c r="B70" s="8"/>
      <c r="C70" s="8"/>
      <c r="D70" s="9"/>
      <c r="E70" s="10" t="str">
        <f aca="false">IF(OR(AE70=0,$D70=""),"",DATE(YEAR(AsOfDate)+IF(DATE(YEAR(AsOfDate),MONTH($D70),DAY($D70))&lt;=AsOfDate,1,0),MONTH($D70),DAY($D70)))</f>
        <v/>
      </c>
      <c r="F70" s="9"/>
      <c r="G70" s="9"/>
      <c r="H70" s="9"/>
      <c r="I70" s="9"/>
      <c r="J70" s="9"/>
      <c r="K70" s="10" t="str">
        <f aca="false">IF(AE70=0,"",DATE(YEAR(AsOfDate)+IF(DATE(YEAR(AsOfDate),MONTH(AF70),DAY(AF70))&lt;=AsOfDate,1,0),MONTH(AF70),DAY(AF70)))</f>
        <v/>
      </c>
      <c r="L70" s="11" t="str">
        <f aca="false">IF(AE70=0,"",ROUND((AsOfDate-AF70)/365.25,1))</f>
        <v/>
      </c>
      <c r="M70" s="12" t="str">
        <f aca="false">IF(AE70=0,"",IF(AsOfDate&lt;AF70,"-",DATEDIF(AF70,AsOfDate,"y")&amp;"y "&amp;DATEDIF(AF70,AsOfDate,"ym")&amp;"m "&amp;DATEDIF(AF70,AsOfDate,"md")&amp;"d"))</f>
        <v/>
      </c>
      <c r="N70" s="13" t="str">
        <f aca="false">IF(AE70=0,"",O70*HoursPerDay)</f>
        <v/>
      </c>
      <c r="O70" s="13" t="str">
        <f aca="false">IF(AE70=0,"",AX70)</f>
        <v/>
      </c>
      <c r="P70" s="14"/>
      <c r="Q70" s="12" t="str">
        <f aca="false">IF(AE70=0,"",IF(AG70&lt;2,"",AK70&amp;" to "&amp;AL70&amp;" on "&amp;TEXT(AI70,"dd/mm/yyyy")&amp;IF(AI70&gt;AsOfDate," (future)",IF(AN70=AO70,"",IF(AO70="None"," - STOPPED accruing",IF(AN70="None"," - commencement for Bonus Leave"," - pathway changed"))))&amp;IF(AG70&lt;3,"","; "&amp;AL70&amp;" to "&amp;AM70&amp;" on "&amp;TEXT(AJ70,"dd/mm/yyyy")&amp;IF(AJ70&gt;AsOfDate," (future)",IF(AO70=AP70,"",IF(AP70="None"," - STOPPED accruing",IF(AO70="None"," - commencement for Bonus Leave","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IF(AE70=0,"",IF(NOT(LH_Ready),"",IF(AF70&gt;PFYDate,0,IF(LH_ColPeriod=0,W70-U70+V70,SUMIFS(INDEX(LH_Data,0,LH_ColAcc),INDEX(LH_Data,0,LH_ColFirst),$A70,INDEX(LH_Data,0,LH_ColSur),$B70,INDEX(LH_Data,0,LH_ColCat),BonusCat,INDEX(LH_Data,0,LH_ColPeriod),LH_OpenLabel)*UnitFactor))))</f>
        <v/>
      </c>
      <c r="U70" s="13" t="str">
        <f aca="false">IF(AE70=0,"",IF(NOT(LH_Ready),"",SUMIFS(INDEX(LH_Data,0,LH_ColAcc),INDEX(LH_Data,0,LH_ColFirst),$A70,INDEX(LH_Data,0,LH_ColSur),$B70,INDEX(LH_Data,0,LH_ColCat),BonusCat,INDEX(LH_Data,0,LH_ColStart),"&gt;="&amp;AF70)*UnitFactor))</f>
        <v/>
      </c>
      <c r="V70" s="13" t="str">
        <f aca="false">IF(AE70=0,"",IF(NOT(LH_Ready),"",SUMIFS(INDEX(LH_Data,0,LH_ColTaken),INDEX(LH_Data,0,LH_ColFirst),$A70,INDEX(LH_Data,0,LH_ColSur),$B70,INDEX(LH_Data,0,LH_ColCat),BonusCat,INDEX(LH_Data,0,LH_ColStart),"&gt;="&amp;AF70)*UnitFactor))</f>
        <v/>
      </c>
      <c r="W70" s="13" t="str">
        <f aca="false">IF(AE70=0,"",IF(NOT(LH_Ready),"",IF(BB70=0,0,INDEX(INDEX(LH_Data,0,LH_ColClose),BB70-1)*UnitFactor)))</f>
        <v/>
      </c>
      <c r="X70" s="13" t="str">
        <f aca="false">IF(AE70=0,"",(AX70-AY70)*HoursPerDay)</f>
        <v/>
      </c>
      <c r="Y70" s="13" t="str">
        <f aca="false">IF(AE70=0,"",IF(NOT(LH_Ready),"",IF(BA70=0,N70,IF(PFYDate&lt;$F70,N70-N(T70)-N(U70),X70-N(U70)))))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 hrs more than policy since commencement",IF(N(W70)&gt;O70*HoursPerDay+0.01,"CHECK - EH balance "&amp;ROUND(W70-O70*HoursPerDay,2)&amp;" hrs more than policy entitlement",IF(O70&gt;0,"OK - nothing to add",IF(AQ70="None",R70,"Not yet - first day on "&amp;TEXT(S70,"dd/mm/yyyy")))))))))</f>
        <v/>
      </c>
      <c r="AB70" s="13" t="str">
        <f aca="false">IF(OR(AE70=0,T70=""),"",AY70*HoursPerDay-T70)</f>
        <v/>
      </c>
      <c r="AC70" s="12" t="str">
        <f aca="false">IF(AE70=0,"",BA70)</f>
        <v/>
      </c>
      <c r="AD70" s="12"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IF(AE70=0,"",IF($J70&lt;&gt;"",$J70,IF(OR(CasualCounts="Yes",COUNT($G70:$I70)=0,COUNT($G70:$H70)=0),$F70,MIN($G70:$H70))))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8"/>
      <c r="B71" s="8"/>
      <c r="C71" s="8"/>
      <c r="D71" s="9"/>
      <c r="E71" s="10" t="str">
        <f aca="false">IF(OR(AE71=0,$D71=""),"",DATE(YEAR(AsOfDate)+IF(DATE(YEAR(AsOfDate),MONTH($D71),DAY($D71))&lt;=AsOfDate,1,0),MONTH($D71),DAY($D71)))</f>
        <v/>
      </c>
      <c r="F71" s="9"/>
      <c r="G71" s="9"/>
      <c r="H71" s="9"/>
      <c r="I71" s="9"/>
      <c r="J71" s="9"/>
      <c r="K71" s="10" t="str">
        <f aca="false">IF(AE71=0,"",DATE(YEAR(AsOfDate)+IF(DATE(YEAR(AsOfDate),MONTH(AF71),DAY(AF71))&lt;=AsOfDate,1,0),MONTH(AF71),DAY(AF71)))</f>
        <v/>
      </c>
      <c r="L71" s="11" t="str">
        <f aca="false">IF(AE71=0,"",ROUND((AsOfDate-AF71)/365.25,1))</f>
        <v/>
      </c>
      <c r="M71" s="12" t="str">
        <f aca="false">IF(AE71=0,"",IF(AsOfDate&lt;AF71,"-",DATEDIF(AF71,AsOfDate,"y")&amp;"y "&amp;DATEDIF(AF71,AsOfDate,"ym")&amp;"m "&amp;DATEDIF(AF71,AsOfDate,"md")&amp;"d"))</f>
        <v/>
      </c>
      <c r="N71" s="13" t="str">
        <f aca="false">IF(AE71=0,"",O71*HoursPerDay)</f>
        <v/>
      </c>
      <c r="O71" s="13" t="str">
        <f aca="false">IF(AE71=0,"",AX71)</f>
        <v/>
      </c>
      <c r="P71" s="14"/>
      <c r="Q71" s="12" t="str">
        <f aca="false">IF(AE71=0,"",IF(AG71&lt;2,"",AK71&amp;" to "&amp;AL71&amp;" on "&amp;TEXT(AI71,"dd/mm/yyyy")&amp;IF(AI71&gt;AsOfDate," (future)",IF(AN71=AO71,"",IF(AO71="None"," - STOPPED accruing",IF(AN71="None"," - commencement for Bonus Leave"," - pathway changed"))))&amp;IF(AG71&lt;3,"","; "&amp;AL71&amp;" to "&amp;AM71&amp;" on "&amp;TEXT(AJ71,"dd/mm/yyyy")&amp;IF(AJ71&gt;AsOfDate," (future)",IF(AO71=AP71,"",IF(AP71="None"," - STOPPED accruing",IF(AO71="None"," - commencement for Bonus Leave","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IF(AE71=0,"",IF(NOT(LH_Ready),"",IF(AF71&gt;PFYDate,0,IF(LH_ColPeriod=0,W71-U71+V71,SUMIFS(INDEX(LH_Data,0,LH_ColAcc),INDEX(LH_Data,0,LH_ColFirst),$A71,INDEX(LH_Data,0,LH_ColSur),$B71,INDEX(LH_Data,0,LH_ColCat),BonusCat,INDEX(LH_Data,0,LH_ColPeriod),LH_OpenLabel)*UnitFactor))))</f>
        <v/>
      </c>
      <c r="U71" s="13" t="str">
        <f aca="false">IF(AE71=0,"",IF(NOT(LH_Ready),"",SUMIFS(INDEX(LH_Data,0,LH_ColAcc),INDEX(LH_Data,0,LH_ColFirst),$A71,INDEX(LH_Data,0,LH_ColSur),$B71,INDEX(LH_Data,0,LH_ColCat),BonusCat,INDEX(LH_Data,0,LH_ColStart),"&gt;="&amp;AF71)*UnitFactor))</f>
        <v/>
      </c>
      <c r="V71" s="13" t="str">
        <f aca="false">IF(AE71=0,"",IF(NOT(LH_Ready),"",SUMIFS(INDEX(LH_Data,0,LH_ColTaken),INDEX(LH_Data,0,LH_ColFirst),$A71,INDEX(LH_Data,0,LH_ColSur),$B71,INDEX(LH_Data,0,LH_ColCat),BonusCat,INDEX(LH_Data,0,LH_ColStart),"&gt;="&amp;AF71)*UnitFactor))</f>
        <v/>
      </c>
      <c r="W71" s="13" t="str">
        <f aca="false">IF(AE71=0,"",IF(NOT(LH_Ready),"",IF(BB71=0,0,INDEX(INDEX(LH_Data,0,LH_ColClose),BB71-1)*UnitFactor)))</f>
        <v/>
      </c>
      <c r="X71" s="13" t="str">
        <f aca="false">IF(AE71=0,"",(AX71-AY71)*HoursPerDay)</f>
        <v/>
      </c>
      <c r="Y71" s="13" t="str">
        <f aca="false">IF(AE71=0,"",IF(NOT(LH_Ready),"",IF(BA71=0,N71,IF(PFYDate&lt;$F71,N71-N(T71)-N(U71),X71-N(U71)))))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 hrs more than policy since commencement",IF(N(W71)&gt;O71*HoursPerDay+0.01,"CHECK - EH balance "&amp;ROUND(W71-O71*HoursPerDay,2)&amp;" hrs more than policy entitlement",IF(O71&gt;0,"OK - nothing to add",IF(AQ71="None",R71,"Not yet - first day on "&amp;TEXT(S71,"dd/mm/yyyy")))))))))</f>
        <v/>
      </c>
      <c r="AB71" s="13" t="str">
        <f aca="false">IF(OR(AE71=0,T71=""),"",AY71*HoursPerDay-T71)</f>
        <v/>
      </c>
      <c r="AC71" s="12" t="str">
        <f aca="false">IF(AE71=0,"",BA71)</f>
        <v/>
      </c>
      <c r="AD71" s="12"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IF(AE71=0,"",IF($J71&lt;&gt;"",$J71,IF(OR(CasualCounts="Yes",COUNT($G71:$I71)=0,COUNT($G71:$H71)=0),$F71,MIN($G71:$H71))))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8"/>
      <c r="B72" s="8"/>
      <c r="C72" s="8"/>
      <c r="D72" s="9"/>
      <c r="E72" s="10" t="str">
        <f aca="false">IF(OR(AE72=0,$D72=""),"",DATE(YEAR(AsOfDate)+IF(DATE(YEAR(AsOfDate),MONTH($D72),DAY($D72))&lt;=AsOfDate,1,0),MONTH($D72),DAY($D72)))</f>
        <v/>
      </c>
      <c r="F72" s="9"/>
      <c r="G72" s="9"/>
      <c r="H72" s="9"/>
      <c r="I72" s="9"/>
      <c r="J72" s="9"/>
      <c r="K72" s="10" t="str">
        <f aca="false">IF(AE72=0,"",DATE(YEAR(AsOfDate)+IF(DATE(YEAR(AsOfDate),MONTH(AF72),DAY(AF72))&lt;=AsOfDate,1,0),MONTH(AF72),DAY(AF72)))</f>
        <v/>
      </c>
      <c r="L72" s="11" t="str">
        <f aca="false">IF(AE72=0,"",ROUND((AsOfDate-AF72)/365.25,1))</f>
        <v/>
      </c>
      <c r="M72" s="12" t="str">
        <f aca="false">IF(AE72=0,"",IF(AsOfDate&lt;AF72,"-",DATEDIF(AF72,AsOfDate,"y")&amp;"y "&amp;DATEDIF(AF72,AsOfDate,"ym")&amp;"m "&amp;DATEDIF(AF72,AsOfDate,"md")&amp;"d"))</f>
        <v/>
      </c>
      <c r="N72" s="13" t="str">
        <f aca="false">IF(AE72=0,"",O72*HoursPerDay)</f>
        <v/>
      </c>
      <c r="O72" s="13" t="str">
        <f aca="false">IF(AE72=0,"",AX72)</f>
        <v/>
      </c>
      <c r="P72" s="14"/>
      <c r="Q72" s="12" t="str">
        <f aca="false">IF(AE72=0,"",IF(AG72&lt;2,"",AK72&amp;" to "&amp;AL72&amp;" on "&amp;TEXT(AI72,"dd/mm/yyyy")&amp;IF(AI72&gt;AsOfDate," (future)",IF(AN72=AO72,"",IF(AO72="None"," - STOPPED accruing",IF(AN72="None"," - commencement for Bonus Leave"," - pathway changed"))))&amp;IF(AG72&lt;3,"","; "&amp;AL72&amp;" to "&amp;AM72&amp;" on "&amp;TEXT(AJ72,"dd/mm/yyyy")&amp;IF(AJ72&gt;AsOfDate," (future)",IF(AO72=AP72,"",IF(AP72="None"," - STOPPED accruing",IF(AO72="None"," - commencement for Bonus Leave","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IF(AE72=0,"",IF(NOT(LH_Ready),"",IF(AF72&gt;PFYDate,0,IF(LH_ColPeriod=0,W72-U72+V72,SUMIFS(INDEX(LH_Data,0,LH_ColAcc),INDEX(LH_Data,0,LH_ColFirst),$A72,INDEX(LH_Data,0,LH_ColSur),$B72,INDEX(LH_Data,0,LH_ColCat),BonusCat,INDEX(LH_Data,0,LH_ColPeriod),LH_OpenLabel)*UnitFactor))))</f>
        <v/>
      </c>
      <c r="U72" s="13" t="str">
        <f aca="false">IF(AE72=0,"",IF(NOT(LH_Ready),"",SUMIFS(INDEX(LH_Data,0,LH_ColAcc),INDEX(LH_Data,0,LH_ColFirst),$A72,INDEX(LH_Data,0,LH_ColSur),$B72,INDEX(LH_Data,0,LH_ColCat),BonusCat,INDEX(LH_Data,0,LH_ColStart),"&gt;="&amp;AF72)*UnitFactor))</f>
        <v/>
      </c>
      <c r="V72" s="13" t="str">
        <f aca="false">IF(AE72=0,"",IF(NOT(LH_Ready),"",SUMIFS(INDEX(LH_Data,0,LH_ColTaken),INDEX(LH_Data,0,LH_ColFirst),$A72,INDEX(LH_Data,0,LH_ColSur),$B72,INDEX(LH_Data,0,LH_ColCat),BonusCat,INDEX(LH_Data,0,LH_ColStart),"&gt;="&amp;AF72)*UnitFactor))</f>
        <v/>
      </c>
      <c r="W72" s="13" t="str">
        <f aca="false">IF(AE72=0,"",IF(NOT(LH_Ready),"",IF(BB72=0,0,INDEX(INDEX(LH_Data,0,LH_ColClose),BB72-1)*UnitFactor)))</f>
        <v/>
      </c>
      <c r="X72" s="13" t="str">
        <f aca="false">IF(AE72=0,"",(AX72-AY72)*HoursPerDay)</f>
        <v/>
      </c>
      <c r="Y72" s="13" t="str">
        <f aca="false">IF(AE72=0,"",IF(NOT(LH_Ready),"",IF(BA72=0,N72,IF(PFYDate&lt;$F72,N72-N(T72)-N(U72),X72-N(U72)))))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 hrs more than policy since commencement",IF(N(W72)&gt;O72*HoursPerDay+0.01,"CHECK - EH balance "&amp;ROUND(W72-O72*HoursPerDay,2)&amp;" hrs more than policy entitlement",IF(O72&gt;0,"OK - nothing to add",IF(AQ72="None",R72,"Not yet - first day on "&amp;TEXT(S72,"dd/mm/yyyy")))))))))</f>
        <v/>
      </c>
      <c r="AB72" s="13" t="str">
        <f aca="false">IF(OR(AE72=0,T72=""),"",AY72*HoursPerDay-T72)</f>
        <v/>
      </c>
      <c r="AC72" s="12" t="str">
        <f aca="false">IF(AE72=0,"",BA72)</f>
        <v/>
      </c>
      <c r="AD72" s="12"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IF(AE72=0,"",IF($J72&lt;&gt;"",$J72,IF(OR(CasualCounts="Yes",COUNT($G72:$I72)=0,COUNT($G72:$H72)=0),$F72,MIN($G72:$H72))))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8"/>
      <c r="B73" s="8"/>
      <c r="C73" s="8"/>
      <c r="D73" s="9"/>
      <c r="E73" s="10" t="str">
        <f aca="false">IF(OR(AE73=0,$D73=""),"",DATE(YEAR(AsOfDate)+IF(DATE(YEAR(AsOfDate),MONTH($D73),DAY($D73))&lt;=AsOfDate,1,0),MONTH($D73),DAY($D73)))</f>
        <v/>
      </c>
      <c r="F73" s="9"/>
      <c r="G73" s="9"/>
      <c r="H73" s="9"/>
      <c r="I73" s="9"/>
      <c r="J73" s="9"/>
      <c r="K73" s="10" t="str">
        <f aca="false">IF(AE73=0,"",DATE(YEAR(AsOfDate)+IF(DATE(YEAR(AsOfDate),MONTH(AF73),DAY(AF73))&lt;=AsOfDate,1,0),MONTH(AF73),DAY(AF73)))</f>
        <v/>
      </c>
      <c r="L73" s="11" t="str">
        <f aca="false">IF(AE73=0,"",ROUND((AsOfDate-AF73)/365.25,1))</f>
        <v/>
      </c>
      <c r="M73" s="12" t="str">
        <f aca="false">IF(AE73=0,"",IF(AsOfDate&lt;AF73,"-",DATEDIF(AF73,AsOfDate,"y")&amp;"y "&amp;DATEDIF(AF73,AsOfDate,"ym")&amp;"m "&amp;DATEDIF(AF73,AsOfDate,"md")&amp;"d"))</f>
        <v/>
      </c>
      <c r="N73" s="13" t="str">
        <f aca="false">IF(AE73=0,"",O73*HoursPerDay)</f>
        <v/>
      </c>
      <c r="O73" s="13" t="str">
        <f aca="false">IF(AE73=0,"",AX73)</f>
        <v/>
      </c>
      <c r="P73" s="14"/>
      <c r="Q73" s="12" t="str">
        <f aca="false">IF(AE73=0,"",IF(AG73&lt;2,"",AK73&amp;" to "&amp;AL73&amp;" on "&amp;TEXT(AI73,"dd/mm/yyyy")&amp;IF(AI73&gt;AsOfDate," (future)",IF(AN73=AO73,"",IF(AO73="None"," - STOPPED accruing",IF(AN73="None"," - commencement for Bonus Leave"," - pathway changed"))))&amp;IF(AG73&lt;3,"","; "&amp;AL73&amp;" to "&amp;AM73&amp;" on "&amp;TEXT(AJ73,"dd/mm/yyyy")&amp;IF(AJ73&gt;AsOfDate," (future)",IF(AO73=AP73,"",IF(AP73="None"," - STOPPED accruing",IF(AO73="None"," - commencement for Bonus Leave","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IF(AE73=0,"",IF(NOT(LH_Ready),"",IF(AF73&gt;PFYDate,0,IF(LH_ColPeriod=0,W73-U73+V73,SUMIFS(INDEX(LH_Data,0,LH_ColAcc),INDEX(LH_Data,0,LH_ColFirst),$A73,INDEX(LH_Data,0,LH_ColSur),$B73,INDEX(LH_Data,0,LH_ColCat),BonusCat,INDEX(LH_Data,0,LH_ColPeriod),LH_OpenLabel)*UnitFactor))))</f>
        <v/>
      </c>
      <c r="U73" s="13" t="str">
        <f aca="false">IF(AE73=0,"",IF(NOT(LH_Ready),"",SUMIFS(INDEX(LH_Data,0,LH_ColAcc),INDEX(LH_Data,0,LH_ColFirst),$A73,INDEX(LH_Data,0,LH_ColSur),$B73,INDEX(LH_Data,0,LH_ColCat),BonusCat,INDEX(LH_Data,0,LH_ColStart),"&gt;="&amp;AF73)*UnitFactor))</f>
        <v/>
      </c>
      <c r="V73" s="13" t="str">
        <f aca="false">IF(AE73=0,"",IF(NOT(LH_Ready),"",SUMIFS(INDEX(LH_Data,0,LH_ColTaken),INDEX(LH_Data,0,LH_ColFirst),$A73,INDEX(LH_Data,0,LH_ColSur),$B73,INDEX(LH_Data,0,LH_ColCat),BonusCat,INDEX(LH_Data,0,LH_ColStart),"&gt;="&amp;AF73)*UnitFactor))</f>
        <v/>
      </c>
      <c r="W73" s="13" t="str">
        <f aca="false">IF(AE73=0,"",IF(NOT(LH_Ready),"",IF(BB73=0,0,INDEX(INDEX(LH_Data,0,LH_ColClose),BB73-1)*UnitFactor)))</f>
        <v/>
      </c>
      <c r="X73" s="13" t="str">
        <f aca="false">IF(AE73=0,"",(AX73-AY73)*HoursPerDay)</f>
        <v/>
      </c>
      <c r="Y73" s="13" t="str">
        <f aca="false">IF(AE73=0,"",IF(NOT(LH_Ready),"",IF(BA73=0,N73,IF(PFYDate&lt;$F73,N73-N(T73)-N(U73),X73-N(U73)))))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 hrs more than policy since commencement",IF(N(W73)&gt;O73*HoursPerDay+0.01,"CHECK - EH balance "&amp;ROUND(W73-O73*HoursPerDay,2)&amp;" hrs more than policy entitlement",IF(O73&gt;0,"OK - nothing to add",IF(AQ73="None",R73,"Not yet - first day on "&amp;TEXT(S73,"dd/mm/yyyy")))))))))</f>
        <v/>
      </c>
      <c r="AB73" s="13" t="str">
        <f aca="false">IF(OR(AE73=0,T73=""),"",AY73*HoursPerDay-T73)</f>
        <v/>
      </c>
      <c r="AC73" s="12" t="str">
        <f aca="false">IF(AE73=0,"",BA73)</f>
        <v/>
      </c>
      <c r="AD73" s="12"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IF(AE73=0,"",IF($J73&lt;&gt;"",$J73,IF(OR(CasualCounts="Yes",COUNT($G73:$I73)=0,COUNT($G73:$H73)=0),$F73,MIN($G73:$H73))))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8"/>
      <c r="B74" s="8"/>
      <c r="C74" s="8"/>
      <c r="D74" s="9"/>
      <c r="E74" s="10" t="str">
        <f aca="false">IF(OR(AE74=0,$D74=""),"",DATE(YEAR(AsOfDate)+IF(DATE(YEAR(AsOfDate),MONTH($D74),DAY($D74))&lt;=AsOfDate,1,0),MONTH($D74),DAY($D74)))</f>
        <v/>
      </c>
      <c r="F74" s="9"/>
      <c r="G74" s="9"/>
      <c r="H74" s="9"/>
      <c r="I74" s="9"/>
      <c r="J74" s="9"/>
      <c r="K74" s="10" t="str">
        <f aca="false">IF(AE74=0,"",DATE(YEAR(AsOfDate)+IF(DATE(YEAR(AsOfDate),MONTH(AF74),DAY(AF74))&lt;=AsOfDate,1,0),MONTH(AF74),DAY(AF74)))</f>
        <v/>
      </c>
      <c r="L74" s="11" t="str">
        <f aca="false">IF(AE74=0,"",ROUND((AsOfDate-AF74)/365.25,1))</f>
        <v/>
      </c>
      <c r="M74" s="12" t="str">
        <f aca="false">IF(AE74=0,"",IF(AsOfDate&lt;AF74,"-",DATEDIF(AF74,AsOfDate,"y")&amp;"y "&amp;DATEDIF(AF74,AsOfDate,"ym")&amp;"m "&amp;DATEDIF(AF74,AsOfDate,"md")&amp;"d"))</f>
        <v/>
      </c>
      <c r="N74" s="13" t="str">
        <f aca="false">IF(AE74=0,"",O74*HoursPerDay)</f>
        <v/>
      </c>
      <c r="O74" s="13" t="str">
        <f aca="false">IF(AE74=0,"",AX74)</f>
        <v/>
      </c>
      <c r="P74" s="14"/>
      <c r="Q74" s="12" t="str">
        <f aca="false">IF(AE74=0,"",IF(AG74&lt;2,"",AK74&amp;" to "&amp;AL74&amp;" on "&amp;TEXT(AI74,"dd/mm/yyyy")&amp;IF(AI74&gt;AsOfDate," (future)",IF(AN74=AO74,"",IF(AO74="None"," - STOPPED accruing",IF(AN74="None"," - commencement for Bonus Leave"," - pathway changed"))))&amp;IF(AG74&lt;3,"","; "&amp;AL74&amp;" to "&amp;AM74&amp;" on "&amp;TEXT(AJ74,"dd/mm/yyyy")&amp;IF(AJ74&gt;AsOfDate," (future)",IF(AO74=AP74,"",IF(AP74="None"," - STOPPED accruing",IF(AO74="None"," - commencement for Bonus Leave","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IF(AE74=0,"",IF(NOT(LH_Ready),"",IF(AF74&gt;PFYDate,0,IF(LH_ColPeriod=0,W74-U74+V74,SUMIFS(INDEX(LH_Data,0,LH_ColAcc),INDEX(LH_Data,0,LH_ColFirst),$A74,INDEX(LH_Data,0,LH_ColSur),$B74,INDEX(LH_Data,0,LH_ColCat),BonusCat,INDEX(LH_Data,0,LH_ColPeriod),LH_OpenLabel)*UnitFactor))))</f>
        <v/>
      </c>
      <c r="U74" s="13" t="str">
        <f aca="false">IF(AE74=0,"",IF(NOT(LH_Ready),"",SUMIFS(INDEX(LH_Data,0,LH_ColAcc),INDEX(LH_Data,0,LH_ColFirst),$A74,INDEX(LH_Data,0,LH_ColSur),$B74,INDEX(LH_Data,0,LH_ColCat),BonusCat,INDEX(LH_Data,0,LH_ColStart),"&gt;="&amp;AF74)*UnitFactor))</f>
        <v/>
      </c>
      <c r="V74" s="13" t="str">
        <f aca="false">IF(AE74=0,"",IF(NOT(LH_Ready),"",SUMIFS(INDEX(LH_Data,0,LH_ColTaken),INDEX(LH_Data,0,LH_ColFirst),$A74,INDEX(LH_Data,0,LH_ColSur),$B74,INDEX(LH_Data,0,LH_ColCat),BonusCat,INDEX(LH_Data,0,LH_ColStart),"&gt;="&amp;AF74)*UnitFactor))</f>
        <v/>
      </c>
      <c r="W74" s="13" t="str">
        <f aca="false">IF(AE74=0,"",IF(NOT(LH_Ready),"",IF(BB74=0,0,INDEX(INDEX(LH_Data,0,LH_ColClose),BB74-1)*UnitFactor)))</f>
        <v/>
      </c>
      <c r="X74" s="13" t="str">
        <f aca="false">IF(AE74=0,"",(AX74-AY74)*HoursPerDay)</f>
        <v/>
      </c>
      <c r="Y74" s="13" t="str">
        <f aca="false">IF(AE74=0,"",IF(NOT(LH_Ready),"",IF(BA74=0,N74,IF(PFYDate&lt;$F74,N74-N(T74)-N(U74),X74-N(U74)))))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 hrs more than policy since commencement",IF(N(W74)&gt;O74*HoursPerDay+0.01,"CHECK - EH balance "&amp;ROUND(W74-O74*HoursPerDay,2)&amp;" hrs more than policy entitlement",IF(O74&gt;0,"OK - nothing to add",IF(AQ74="None",R74,"Not yet - first day on "&amp;TEXT(S74,"dd/mm/yyyy")))))))))</f>
        <v/>
      </c>
      <c r="AB74" s="13" t="str">
        <f aca="false">IF(OR(AE74=0,T74=""),"",AY74*HoursPerDay-T74)</f>
        <v/>
      </c>
      <c r="AC74" s="12" t="str">
        <f aca="false">IF(AE74=0,"",BA74)</f>
        <v/>
      </c>
      <c r="AD74" s="12"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IF(AE74=0,"",IF($J74&lt;&gt;"",$J74,IF(OR(CasualCounts="Yes",COUNT($G74:$I74)=0,COUNT($G74:$H74)=0),$F74,MIN($G74:$H74))))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8"/>
      <c r="B75" s="8"/>
      <c r="C75" s="8"/>
      <c r="D75" s="9"/>
      <c r="E75" s="10" t="str">
        <f aca="false">IF(OR(AE75=0,$D75=""),"",DATE(YEAR(AsOfDate)+IF(DATE(YEAR(AsOfDate),MONTH($D75),DAY($D75))&lt;=AsOfDate,1,0),MONTH($D75),DAY($D75)))</f>
        <v/>
      </c>
      <c r="F75" s="9"/>
      <c r="G75" s="9"/>
      <c r="H75" s="9"/>
      <c r="I75" s="9"/>
      <c r="J75" s="9"/>
      <c r="K75" s="10" t="str">
        <f aca="false">IF(AE75=0,"",DATE(YEAR(AsOfDate)+IF(DATE(YEAR(AsOfDate),MONTH(AF75),DAY(AF75))&lt;=AsOfDate,1,0),MONTH(AF75),DAY(AF75)))</f>
        <v/>
      </c>
      <c r="L75" s="11" t="str">
        <f aca="false">IF(AE75=0,"",ROUND((AsOfDate-AF75)/365.25,1))</f>
        <v/>
      </c>
      <c r="M75" s="12" t="str">
        <f aca="false">IF(AE75=0,"",IF(AsOfDate&lt;AF75,"-",DATEDIF(AF75,AsOfDate,"y")&amp;"y "&amp;DATEDIF(AF75,AsOfDate,"ym")&amp;"m "&amp;DATEDIF(AF75,AsOfDate,"md")&amp;"d"))</f>
        <v/>
      </c>
      <c r="N75" s="13" t="str">
        <f aca="false">IF(AE75=0,"",O75*HoursPerDay)</f>
        <v/>
      </c>
      <c r="O75" s="13" t="str">
        <f aca="false">IF(AE75=0,"",AX75)</f>
        <v/>
      </c>
      <c r="P75" s="14"/>
      <c r="Q75" s="12" t="str">
        <f aca="false">IF(AE75=0,"",IF(AG75&lt;2,"",AK75&amp;" to "&amp;AL75&amp;" on "&amp;TEXT(AI75,"dd/mm/yyyy")&amp;IF(AI75&gt;AsOfDate," (future)",IF(AN75=AO75,"",IF(AO75="None"," - STOPPED accruing",IF(AN75="None"," - commencement for Bonus Leave"," - pathway changed"))))&amp;IF(AG75&lt;3,"","; "&amp;AL75&amp;" to "&amp;AM75&amp;" on "&amp;TEXT(AJ75,"dd/mm/yyyy")&amp;IF(AJ75&gt;AsOfDate," (future)",IF(AO75=AP75,"",IF(AP75="None"," - STOPPED accruing",IF(AO75="None"," - commencement for Bonus Leave","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IF(AE75=0,"",IF(NOT(LH_Ready),"",IF(AF75&gt;PFYDate,0,IF(LH_ColPeriod=0,W75-U75+V75,SUMIFS(INDEX(LH_Data,0,LH_ColAcc),INDEX(LH_Data,0,LH_ColFirst),$A75,INDEX(LH_Data,0,LH_ColSur),$B75,INDEX(LH_Data,0,LH_ColCat),BonusCat,INDEX(LH_Data,0,LH_ColPeriod),LH_OpenLabel)*UnitFactor))))</f>
        <v/>
      </c>
      <c r="U75" s="13" t="str">
        <f aca="false">IF(AE75=0,"",IF(NOT(LH_Ready),"",SUMIFS(INDEX(LH_Data,0,LH_ColAcc),INDEX(LH_Data,0,LH_ColFirst),$A75,INDEX(LH_Data,0,LH_ColSur),$B75,INDEX(LH_Data,0,LH_ColCat),BonusCat,INDEX(LH_Data,0,LH_ColStart),"&gt;="&amp;AF75)*UnitFactor))</f>
        <v/>
      </c>
      <c r="V75" s="13" t="str">
        <f aca="false">IF(AE75=0,"",IF(NOT(LH_Ready),"",SUMIFS(INDEX(LH_Data,0,LH_ColTaken),INDEX(LH_Data,0,LH_ColFirst),$A75,INDEX(LH_Data,0,LH_ColSur),$B75,INDEX(LH_Data,0,LH_ColCat),BonusCat,INDEX(LH_Data,0,LH_ColStart),"&gt;="&amp;AF75)*UnitFactor))</f>
        <v/>
      </c>
      <c r="W75" s="13" t="str">
        <f aca="false">IF(AE75=0,"",IF(NOT(LH_Ready),"",IF(BB75=0,0,INDEX(INDEX(LH_Data,0,LH_ColClose),BB75-1)*UnitFactor)))</f>
        <v/>
      </c>
      <c r="X75" s="13" t="str">
        <f aca="false">IF(AE75=0,"",(AX75-AY75)*HoursPerDay)</f>
        <v/>
      </c>
      <c r="Y75" s="13" t="str">
        <f aca="false">IF(AE75=0,"",IF(NOT(LH_Ready),"",IF(BA75=0,N75,IF(PFYDate&lt;$F75,N75-N(T75)-N(U75),X75-N(U75)))))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 hrs more than policy since commencement",IF(N(W75)&gt;O75*HoursPerDay+0.01,"CHECK - EH balance "&amp;ROUND(W75-O75*HoursPerDay,2)&amp;" hrs more than policy entitlement",IF(O75&gt;0,"OK - nothing to add",IF(AQ75="None",R75,"Not yet - first day on "&amp;TEXT(S75,"dd/mm/yyyy")))))))))</f>
        <v/>
      </c>
      <c r="AB75" s="13" t="str">
        <f aca="false">IF(OR(AE75=0,T75=""),"",AY75*HoursPerDay-T75)</f>
        <v/>
      </c>
      <c r="AC75" s="12" t="str">
        <f aca="false">IF(AE75=0,"",BA75)</f>
        <v/>
      </c>
      <c r="AD75" s="12"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IF(AE75=0,"",IF($J75&lt;&gt;"",$J75,IF(OR(CasualCounts="Yes",COUNT($G75:$I75)=0,COUNT($G75:$H75)=0),$F75,MIN($G75:$H75))))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8"/>
      <c r="B76" s="8"/>
      <c r="C76" s="8"/>
      <c r="D76" s="9"/>
      <c r="E76" s="10" t="str">
        <f aca="false">IF(OR(AE76=0,$D76=""),"",DATE(YEAR(AsOfDate)+IF(DATE(YEAR(AsOfDate),MONTH($D76),DAY($D76))&lt;=AsOfDate,1,0),MONTH($D76),DAY($D76)))</f>
        <v/>
      </c>
      <c r="F76" s="9"/>
      <c r="G76" s="9"/>
      <c r="H76" s="9"/>
      <c r="I76" s="9"/>
      <c r="J76" s="9"/>
      <c r="K76" s="10" t="str">
        <f aca="false">IF(AE76=0,"",DATE(YEAR(AsOfDate)+IF(DATE(YEAR(AsOfDate),MONTH(AF76),DAY(AF76))&lt;=AsOfDate,1,0),MONTH(AF76),DAY(AF76)))</f>
        <v/>
      </c>
      <c r="L76" s="11" t="str">
        <f aca="false">IF(AE76=0,"",ROUND((AsOfDate-AF76)/365.25,1))</f>
        <v/>
      </c>
      <c r="M76" s="12" t="str">
        <f aca="false">IF(AE76=0,"",IF(AsOfDate&lt;AF76,"-",DATEDIF(AF76,AsOfDate,"y")&amp;"y "&amp;DATEDIF(AF76,AsOfDate,"ym")&amp;"m "&amp;DATEDIF(AF76,AsOfDate,"md")&amp;"d"))</f>
        <v/>
      </c>
      <c r="N76" s="13" t="str">
        <f aca="false">IF(AE76=0,"",O76*HoursPerDay)</f>
        <v/>
      </c>
      <c r="O76" s="13" t="str">
        <f aca="false">IF(AE76=0,"",AX76)</f>
        <v/>
      </c>
      <c r="P76" s="14"/>
      <c r="Q76" s="12" t="str">
        <f aca="false">IF(AE76=0,"",IF(AG76&lt;2,"",AK76&amp;" to "&amp;AL76&amp;" on "&amp;TEXT(AI76,"dd/mm/yyyy")&amp;IF(AI76&gt;AsOfDate," (future)",IF(AN76=AO76,"",IF(AO76="None"," - STOPPED accruing",IF(AN76="None"," - commencement for Bonus Leave"," - pathway changed"))))&amp;IF(AG76&lt;3,"","; "&amp;AL76&amp;" to "&amp;AM76&amp;" on "&amp;TEXT(AJ76,"dd/mm/yyyy")&amp;IF(AJ76&gt;AsOfDate," (future)",IF(AO76=AP76,"",IF(AP76="None"," - STOPPED accruing",IF(AO76="None"," - commencement for Bonus Leave","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IF(AE76=0,"",IF(NOT(LH_Ready),"",IF(AF76&gt;PFYDate,0,IF(LH_ColPeriod=0,W76-U76+V76,SUMIFS(INDEX(LH_Data,0,LH_ColAcc),INDEX(LH_Data,0,LH_ColFirst),$A76,INDEX(LH_Data,0,LH_ColSur),$B76,INDEX(LH_Data,0,LH_ColCat),BonusCat,INDEX(LH_Data,0,LH_ColPeriod),LH_OpenLabel)*UnitFactor))))</f>
        <v/>
      </c>
      <c r="U76" s="13" t="str">
        <f aca="false">IF(AE76=0,"",IF(NOT(LH_Ready),"",SUMIFS(INDEX(LH_Data,0,LH_ColAcc),INDEX(LH_Data,0,LH_ColFirst),$A76,INDEX(LH_Data,0,LH_ColSur),$B76,INDEX(LH_Data,0,LH_ColCat),BonusCat,INDEX(LH_Data,0,LH_ColStart),"&gt;="&amp;AF76)*UnitFactor))</f>
        <v/>
      </c>
      <c r="V76" s="13" t="str">
        <f aca="false">IF(AE76=0,"",IF(NOT(LH_Ready),"",SUMIFS(INDEX(LH_Data,0,LH_ColTaken),INDEX(LH_Data,0,LH_ColFirst),$A76,INDEX(LH_Data,0,LH_ColSur),$B76,INDEX(LH_Data,0,LH_ColCat),BonusCat,INDEX(LH_Data,0,LH_ColStart),"&gt;="&amp;AF76)*UnitFactor))</f>
        <v/>
      </c>
      <c r="W76" s="13" t="str">
        <f aca="false">IF(AE76=0,"",IF(NOT(LH_Ready),"",IF(BB76=0,0,INDEX(INDEX(LH_Data,0,LH_ColClose),BB76-1)*UnitFactor)))</f>
        <v/>
      </c>
      <c r="X76" s="13" t="str">
        <f aca="false">IF(AE76=0,"",(AX76-AY76)*HoursPerDay)</f>
        <v/>
      </c>
      <c r="Y76" s="13" t="str">
        <f aca="false">IF(AE76=0,"",IF(NOT(LH_Ready),"",IF(BA76=0,N76,IF(PFYDate&lt;$F76,N76-N(T76)-N(U76),X76-N(U76)))))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 hrs more than policy since commencement",IF(N(W76)&gt;O76*HoursPerDay+0.01,"CHECK - EH balance "&amp;ROUND(W76-O76*HoursPerDay,2)&amp;" hrs more than policy entitlement",IF(O76&gt;0,"OK - nothing to add",IF(AQ76="None",R76,"Not yet - first day on "&amp;TEXT(S76,"dd/mm/yyyy")))))))))</f>
        <v/>
      </c>
      <c r="AB76" s="13" t="str">
        <f aca="false">IF(OR(AE76=0,T76=""),"",AY76*HoursPerDay-T76)</f>
        <v/>
      </c>
      <c r="AC76" s="12" t="str">
        <f aca="false">IF(AE76=0,"",BA76)</f>
        <v/>
      </c>
      <c r="AD76" s="12"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IF(AE76=0,"",IF($J76&lt;&gt;"",$J76,IF(OR(CasualCounts="Yes",COUNT($G76:$I76)=0,COUNT($G76:$H76)=0),$F76,MIN($G76:$H76))))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8"/>
      <c r="B77" s="8"/>
      <c r="C77" s="8"/>
      <c r="D77" s="9"/>
      <c r="E77" s="10" t="str">
        <f aca="false">IF(OR(AE77=0,$D77=""),"",DATE(YEAR(AsOfDate)+IF(DATE(YEAR(AsOfDate),MONTH($D77),DAY($D77))&lt;=AsOfDate,1,0),MONTH($D77),DAY($D77)))</f>
        <v/>
      </c>
      <c r="F77" s="9"/>
      <c r="G77" s="9"/>
      <c r="H77" s="9"/>
      <c r="I77" s="9"/>
      <c r="J77" s="9"/>
      <c r="K77" s="10" t="str">
        <f aca="false">IF(AE77=0,"",DATE(YEAR(AsOfDate)+IF(DATE(YEAR(AsOfDate),MONTH(AF77),DAY(AF77))&lt;=AsOfDate,1,0),MONTH(AF77),DAY(AF77)))</f>
        <v/>
      </c>
      <c r="L77" s="11" t="str">
        <f aca="false">IF(AE77=0,"",ROUND((AsOfDate-AF77)/365.25,1))</f>
        <v/>
      </c>
      <c r="M77" s="12" t="str">
        <f aca="false">IF(AE77=0,"",IF(AsOfDate&lt;AF77,"-",DATEDIF(AF77,AsOfDate,"y")&amp;"y "&amp;DATEDIF(AF77,AsOfDate,"ym")&amp;"m "&amp;DATEDIF(AF77,AsOfDate,"md")&amp;"d"))</f>
        <v/>
      </c>
      <c r="N77" s="13" t="str">
        <f aca="false">IF(AE77=0,"",O77*HoursPerDay)</f>
        <v/>
      </c>
      <c r="O77" s="13" t="str">
        <f aca="false">IF(AE77=0,"",AX77)</f>
        <v/>
      </c>
      <c r="P77" s="14"/>
      <c r="Q77" s="12" t="str">
        <f aca="false">IF(AE77=0,"",IF(AG77&lt;2,"",AK77&amp;" to "&amp;AL77&amp;" on "&amp;TEXT(AI77,"dd/mm/yyyy")&amp;IF(AI77&gt;AsOfDate," (future)",IF(AN77=AO77,"",IF(AO77="None"," - STOPPED accruing",IF(AN77="None"," - commencement for Bonus Leave"," - pathway changed"))))&amp;IF(AG77&lt;3,"","; "&amp;AL77&amp;" to "&amp;AM77&amp;" on "&amp;TEXT(AJ77,"dd/mm/yyyy")&amp;IF(AJ77&gt;AsOfDate," (future)",IF(AO77=AP77,"",IF(AP77="None"," - STOPPED accruing",IF(AO77="None"," - commencement for Bonus Leave","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IF(AE77=0,"",IF(NOT(LH_Ready),"",IF(AF77&gt;PFYDate,0,IF(LH_ColPeriod=0,W77-U77+V77,SUMIFS(INDEX(LH_Data,0,LH_ColAcc),INDEX(LH_Data,0,LH_ColFirst),$A77,INDEX(LH_Data,0,LH_ColSur),$B77,INDEX(LH_Data,0,LH_ColCat),BonusCat,INDEX(LH_Data,0,LH_ColPeriod),LH_OpenLabel)*UnitFactor))))</f>
        <v/>
      </c>
      <c r="U77" s="13" t="str">
        <f aca="false">IF(AE77=0,"",IF(NOT(LH_Ready),"",SUMIFS(INDEX(LH_Data,0,LH_ColAcc),INDEX(LH_Data,0,LH_ColFirst),$A77,INDEX(LH_Data,0,LH_ColSur),$B77,INDEX(LH_Data,0,LH_ColCat),BonusCat,INDEX(LH_Data,0,LH_ColStart),"&gt;="&amp;AF77)*UnitFactor))</f>
        <v/>
      </c>
      <c r="V77" s="13" t="str">
        <f aca="false">IF(AE77=0,"",IF(NOT(LH_Ready),"",SUMIFS(INDEX(LH_Data,0,LH_ColTaken),INDEX(LH_Data,0,LH_ColFirst),$A77,INDEX(LH_Data,0,LH_ColSur),$B77,INDEX(LH_Data,0,LH_ColCat),BonusCat,INDEX(LH_Data,0,LH_ColStart),"&gt;="&amp;AF77)*UnitFactor))</f>
        <v/>
      </c>
      <c r="W77" s="13" t="str">
        <f aca="false">IF(AE77=0,"",IF(NOT(LH_Ready),"",IF(BB77=0,0,INDEX(INDEX(LH_Data,0,LH_ColClose),BB77-1)*UnitFactor)))</f>
        <v/>
      </c>
      <c r="X77" s="13" t="str">
        <f aca="false">IF(AE77=0,"",(AX77-AY77)*HoursPerDay)</f>
        <v/>
      </c>
      <c r="Y77" s="13" t="str">
        <f aca="false">IF(AE77=0,"",IF(NOT(LH_Ready),"",IF(BA77=0,N77,IF(PFYDate&lt;$F77,N77-N(T77)-N(U77),X77-N(U77)))))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 hrs more than policy since commencement",IF(N(W77)&gt;O77*HoursPerDay+0.01,"CHECK - EH balance "&amp;ROUND(W77-O77*HoursPerDay,2)&amp;" hrs more than policy entitlement",IF(O77&gt;0,"OK - nothing to add",IF(AQ77="None",R77,"Not yet - first day on "&amp;TEXT(S77,"dd/mm/yyyy")))))))))</f>
        <v/>
      </c>
      <c r="AB77" s="13" t="str">
        <f aca="false">IF(OR(AE77=0,T77=""),"",AY77*HoursPerDay-T77)</f>
        <v/>
      </c>
      <c r="AC77" s="12" t="str">
        <f aca="false">IF(AE77=0,"",BA77)</f>
        <v/>
      </c>
      <c r="AD77" s="12"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IF(AE77=0,"",IF($J77&lt;&gt;"",$J77,IF(OR(CasualCounts="Yes",COUNT($G77:$I77)=0,COUNT($G77:$H77)=0),$F77,MIN($G77:$H77))))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8"/>
      <c r="B78" s="8"/>
      <c r="C78" s="8"/>
      <c r="D78" s="9"/>
      <c r="E78" s="10" t="str">
        <f aca="false">IF(OR(AE78=0,$D78=""),"",DATE(YEAR(AsOfDate)+IF(DATE(YEAR(AsOfDate),MONTH($D78),DAY($D78))&lt;=AsOfDate,1,0),MONTH($D78),DAY($D78)))</f>
        <v/>
      </c>
      <c r="F78" s="9"/>
      <c r="G78" s="9"/>
      <c r="H78" s="9"/>
      <c r="I78" s="9"/>
      <c r="J78" s="9"/>
      <c r="K78" s="10" t="str">
        <f aca="false">IF(AE78=0,"",DATE(YEAR(AsOfDate)+IF(DATE(YEAR(AsOfDate),MONTH(AF78),DAY(AF78))&lt;=AsOfDate,1,0),MONTH(AF78),DAY(AF78)))</f>
        <v/>
      </c>
      <c r="L78" s="11" t="str">
        <f aca="false">IF(AE78=0,"",ROUND((AsOfDate-AF78)/365.25,1))</f>
        <v/>
      </c>
      <c r="M78" s="12" t="str">
        <f aca="false">IF(AE78=0,"",IF(AsOfDate&lt;AF78,"-",DATEDIF(AF78,AsOfDate,"y")&amp;"y "&amp;DATEDIF(AF78,AsOfDate,"ym")&amp;"m "&amp;DATEDIF(AF78,AsOfDate,"md")&amp;"d"))</f>
        <v/>
      </c>
      <c r="N78" s="13" t="str">
        <f aca="false">IF(AE78=0,"",O78*HoursPerDay)</f>
        <v/>
      </c>
      <c r="O78" s="13" t="str">
        <f aca="false">IF(AE78=0,"",AX78)</f>
        <v/>
      </c>
      <c r="P78" s="14"/>
      <c r="Q78" s="12" t="str">
        <f aca="false">IF(AE78=0,"",IF(AG78&lt;2,"",AK78&amp;" to "&amp;AL78&amp;" on "&amp;TEXT(AI78,"dd/mm/yyyy")&amp;IF(AI78&gt;AsOfDate," (future)",IF(AN78=AO78,"",IF(AO78="None"," - STOPPED accruing",IF(AN78="None"," - commencement for Bonus Leave"," - pathway changed"))))&amp;IF(AG78&lt;3,"","; "&amp;AL78&amp;" to "&amp;AM78&amp;" on "&amp;TEXT(AJ78,"dd/mm/yyyy")&amp;IF(AJ78&gt;AsOfDate," (future)",IF(AO78=AP78,"",IF(AP78="None"," - STOPPED accruing",IF(AO78="None"," - commencement for Bonus Leave","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IF(AE78=0,"",IF(NOT(LH_Ready),"",IF(AF78&gt;PFYDate,0,IF(LH_ColPeriod=0,W78-U78+V78,SUMIFS(INDEX(LH_Data,0,LH_ColAcc),INDEX(LH_Data,0,LH_ColFirst),$A78,INDEX(LH_Data,0,LH_ColSur),$B78,INDEX(LH_Data,0,LH_ColCat),BonusCat,INDEX(LH_Data,0,LH_ColPeriod),LH_OpenLabel)*UnitFactor))))</f>
        <v/>
      </c>
      <c r="U78" s="13" t="str">
        <f aca="false">IF(AE78=0,"",IF(NOT(LH_Ready),"",SUMIFS(INDEX(LH_Data,0,LH_ColAcc),INDEX(LH_Data,0,LH_ColFirst),$A78,INDEX(LH_Data,0,LH_ColSur),$B78,INDEX(LH_Data,0,LH_ColCat),BonusCat,INDEX(LH_Data,0,LH_ColStart),"&gt;="&amp;AF78)*UnitFactor))</f>
        <v/>
      </c>
      <c r="V78" s="13" t="str">
        <f aca="false">IF(AE78=0,"",IF(NOT(LH_Ready),"",SUMIFS(INDEX(LH_Data,0,LH_ColTaken),INDEX(LH_Data,0,LH_ColFirst),$A78,INDEX(LH_Data,0,LH_ColSur),$B78,INDEX(LH_Data,0,LH_ColCat),BonusCat,INDEX(LH_Data,0,LH_ColStart),"&gt;="&amp;AF78)*UnitFactor))</f>
        <v/>
      </c>
      <c r="W78" s="13" t="str">
        <f aca="false">IF(AE78=0,"",IF(NOT(LH_Ready),"",IF(BB78=0,0,INDEX(INDEX(LH_Data,0,LH_ColClose),BB78-1)*UnitFactor)))</f>
        <v/>
      </c>
      <c r="X78" s="13" t="str">
        <f aca="false">IF(AE78=0,"",(AX78-AY78)*HoursPerDay)</f>
        <v/>
      </c>
      <c r="Y78" s="13" t="str">
        <f aca="false">IF(AE78=0,"",IF(NOT(LH_Ready),"",IF(BA78=0,N78,IF(PFYDate&lt;$F78,N78-N(T78)-N(U78),X78-N(U78)))))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 hrs more than policy since commencement",IF(N(W78)&gt;O78*HoursPerDay+0.01,"CHECK - EH balance "&amp;ROUND(W78-O78*HoursPerDay,2)&amp;" hrs more than policy entitlement",IF(O78&gt;0,"OK - nothing to add",IF(AQ78="None",R78,"Not yet - first day on "&amp;TEXT(S78,"dd/mm/yyyy")))))))))</f>
        <v/>
      </c>
      <c r="AB78" s="13" t="str">
        <f aca="false">IF(OR(AE78=0,T78=""),"",AY78*HoursPerDay-T78)</f>
        <v/>
      </c>
      <c r="AC78" s="12" t="str">
        <f aca="false">IF(AE78=0,"",BA78)</f>
        <v/>
      </c>
      <c r="AD78" s="12"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IF(AE78=0,"",IF($J78&lt;&gt;"",$J78,IF(OR(CasualCounts="Yes",COUNT($G78:$I78)=0,COUNT($G78:$H78)=0),$F78,MIN($G78:$H78))))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8"/>
      <c r="B79" s="8"/>
      <c r="C79" s="8"/>
      <c r="D79" s="9"/>
      <c r="E79" s="10" t="str">
        <f aca="false">IF(OR(AE79=0,$D79=""),"",DATE(YEAR(AsOfDate)+IF(DATE(YEAR(AsOfDate),MONTH($D79),DAY($D79))&lt;=AsOfDate,1,0),MONTH($D79),DAY($D79)))</f>
        <v/>
      </c>
      <c r="F79" s="9"/>
      <c r="G79" s="9"/>
      <c r="H79" s="9"/>
      <c r="I79" s="9"/>
      <c r="J79" s="9"/>
      <c r="K79" s="10" t="str">
        <f aca="false">IF(AE79=0,"",DATE(YEAR(AsOfDate)+IF(DATE(YEAR(AsOfDate),MONTH(AF79),DAY(AF79))&lt;=AsOfDate,1,0),MONTH(AF79),DAY(AF79)))</f>
        <v/>
      </c>
      <c r="L79" s="11" t="str">
        <f aca="false">IF(AE79=0,"",ROUND((AsOfDate-AF79)/365.25,1))</f>
        <v/>
      </c>
      <c r="M79" s="12" t="str">
        <f aca="false">IF(AE79=0,"",IF(AsOfDate&lt;AF79,"-",DATEDIF(AF79,AsOfDate,"y")&amp;"y "&amp;DATEDIF(AF79,AsOfDate,"ym")&amp;"m "&amp;DATEDIF(AF79,AsOfDate,"md")&amp;"d"))</f>
        <v/>
      </c>
      <c r="N79" s="13" t="str">
        <f aca="false">IF(AE79=0,"",O79*HoursPerDay)</f>
        <v/>
      </c>
      <c r="O79" s="13" t="str">
        <f aca="false">IF(AE79=0,"",AX79)</f>
        <v/>
      </c>
      <c r="P79" s="14"/>
      <c r="Q79" s="12" t="str">
        <f aca="false">IF(AE79=0,"",IF(AG79&lt;2,"",AK79&amp;" to "&amp;AL79&amp;" on "&amp;TEXT(AI79,"dd/mm/yyyy")&amp;IF(AI79&gt;AsOfDate," (future)",IF(AN79=AO79,"",IF(AO79="None"," - STOPPED accruing",IF(AN79="None"," - commencement for Bonus Leave"," - pathway changed"))))&amp;IF(AG79&lt;3,"","; "&amp;AL79&amp;" to "&amp;AM79&amp;" on "&amp;TEXT(AJ79,"dd/mm/yyyy")&amp;IF(AJ79&gt;AsOfDate," (future)",IF(AO79=AP79,"",IF(AP79="None"," - STOPPED accruing",IF(AO79="None"," - commencement for Bonus Leave","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IF(AE79=0,"",IF(NOT(LH_Ready),"",IF(AF79&gt;PFYDate,0,IF(LH_ColPeriod=0,W79-U79+V79,SUMIFS(INDEX(LH_Data,0,LH_ColAcc),INDEX(LH_Data,0,LH_ColFirst),$A79,INDEX(LH_Data,0,LH_ColSur),$B79,INDEX(LH_Data,0,LH_ColCat),BonusCat,INDEX(LH_Data,0,LH_ColPeriod),LH_OpenLabel)*UnitFactor))))</f>
        <v/>
      </c>
      <c r="U79" s="13" t="str">
        <f aca="false">IF(AE79=0,"",IF(NOT(LH_Ready),"",SUMIFS(INDEX(LH_Data,0,LH_ColAcc),INDEX(LH_Data,0,LH_ColFirst),$A79,INDEX(LH_Data,0,LH_ColSur),$B79,INDEX(LH_Data,0,LH_ColCat),BonusCat,INDEX(LH_Data,0,LH_ColStart),"&gt;="&amp;AF79)*UnitFactor))</f>
        <v/>
      </c>
      <c r="V79" s="13" t="str">
        <f aca="false">IF(AE79=0,"",IF(NOT(LH_Ready),"",SUMIFS(INDEX(LH_Data,0,LH_ColTaken),INDEX(LH_Data,0,LH_ColFirst),$A79,INDEX(LH_Data,0,LH_ColSur),$B79,INDEX(LH_Data,0,LH_ColCat),BonusCat,INDEX(LH_Data,0,LH_ColStart),"&gt;="&amp;AF79)*UnitFactor))</f>
        <v/>
      </c>
      <c r="W79" s="13" t="str">
        <f aca="false">IF(AE79=0,"",IF(NOT(LH_Ready),"",IF(BB79=0,0,INDEX(INDEX(LH_Data,0,LH_ColClose),BB79-1)*UnitFactor)))</f>
        <v/>
      </c>
      <c r="X79" s="13" t="str">
        <f aca="false">IF(AE79=0,"",(AX79-AY79)*HoursPerDay)</f>
        <v/>
      </c>
      <c r="Y79" s="13" t="str">
        <f aca="false">IF(AE79=0,"",IF(NOT(LH_Ready),"",IF(BA79=0,N79,IF(PFYDate&lt;$F79,N79-N(T79)-N(U79),X79-N(U79)))))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 hrs more than policy since commencement",IF(N(W79)&gt;O79*HoursPerDay+0.01,"CHECK - EH balance "&amp;ROUND(W79-O79*HoursPerDay,2)&amp;" hrs more than policy entitlement",IF(O79&gt;0,"OK - nothing to add",IF(AQ79="None",R79,"Not yet - first day on "&amp;TEXT(S79,"dd/mm/yyyy")))))))))</f>
        <v/>
      </c>
      <c r="AB79" s="13" t="str">
        <f aca="false">IF(OR(AE79=0,T79=""),"",AY79*HoursPerDay-T79)</f>
        <v/>
      </c>
      <c r="AC79" s="12" t="str">
        <f aca="false">IF(AE79=0,"",BA79)</f>
        <v/>
      </c>
      <c r="AD79" s="12"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IF(AE79=0,"",IF($J79&lt;&gt;"",$J79,IF(OR(CasualCounts="Yes",COUNT($G79:$I79)=0,COUNT($G79:$H79)=0),$F79,MIN($G79:$H79))))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8"/>
      <c r="B80" s="8"/>
      <c r="C80" s="8"/>
      <c r="D80" s="9"/>
      <c r="E80" s="10" t="str">
        <f aca="false">IF(OR(AE80=0,$D80=""),"",DATE(YEAR(AsOfDate)+IF(DATE(YEAR(AsOfDate),MONTH($D80),DAY($D80))&lt;=AsOfDate,1,0),MONTH($D80),DAY($D80)))</f>
        <v/>
      </c>
      <c r="F80" s="9"/>
      <c r="G80" s="9"/>
      <c r="H80" s="9"/>
      <c r="I80" s="9"/>
      <c r="J80" s="9"/>
      <c r="K80" s="10" t="str">
        <f aca="false">IF(AE80=0,"",DATE(YEAR(AsOfDate)+IF(DATE(YEAR(AsOfDate),MONTH(AF80),DAY(AF80))&lt;=AsOfDate,1,0),MONTH(AF80),DAY(AF80)))</f>
        <v/>
      </c>
      <c r="L80" s="11" t="str">
        <f aca="false">IF(AE80=0,"",ROUND((AsOfDate-AF80)/365.25,1))</f>
        <v/>
      </c>
      <c r="M80" s="12" t="str">
        <f aca="false">IF(AE80=0,"",IF(AsOfDate&lt;AF80,"-",DATEDIF(AF80,AsOfDate,"y")&amp;"y "&amp;DATEDIF(AF80,AsOfDate,"ym")&amp;"m "&amp;DATEDIF(AF80,AsOfDate,"md")&amp;"d"))</f>
        <v/>
      </c>
      <c r="N80" s="13" t="str">
        <f aca="false">IF(AE80=0,"",O80*HoursPerDay)</f>
        <v/>
      </c>
      <c r="O80" s="13" t="str">
        <f aca="false">IF(AE80=0,"",AX80)</f>
        <v/>
      </c>
      <c r="P80" s="14"/>
      <c r="Q80" s="12" t="str">
        <f aca="false">IF(AE80=0,"",IF(AG80&lt;2,"",AK80&amp;" to "&amp;AL80&amp;" on "&amp;TEXT(AI80,"dd/mm/yyyy")&amp;IF(AI80&gt;AsOfDate," (future)",IF(AN80=AO80,"",IF(AO80="None"," - STOPPED accruing",IF(AN80="None"," - commencement for Bonus Leave"," - pathway changed"))))&amp;IF(AG80&lt;3,"","; "&amp;AL80&amp;" to "&amp;AM80&amp;" on "&amp;TEXT(AJ80,"dd/mm/yyyy")&amp;IF(AJ80&gt;AsOfDate," (future)",IF(AO80=AP80,"",IF(AP80="None"," - STOPPED accruing",IF(AO80="None"," - commencement for Bonus Leave","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IF(AE80=0,"",IF(NOT(LH_Ready),"",IF(AF80&gt;PFYDate,0,IF(LH_ColPeriod=0,W80-U80+V80,SUMIFS(INDEX(LH_Data,0,LH_ColAcc),INDEX(LH_Data,0,LH_ColFirst),$A80,INDEX(LH_Data,0,LH_ColSur),$B80,INDEX(LH_Data,0,LH_ColCat),BonusCat,INDEX(LH_Data,0,LH_ColPeriod),LH_OpenLabel)*UnitFactor))))</f>
        <v/>
      </c>
      <c r="U80" s="13" t="str">
        <f aca="false">IF(AE80=0,"",IF(NOT(LH_Ready),"",SUMIFS(INDEX(LH_Data,0,LH_ColAcc),INDEX(LH_Data,0,LH_ColFirst),$A80,INDEX(LH_Data,0,LH_ColSur),$B80,INDEX(LH_Data,0,LH_ColCat),BonusCat,INDEX(LH_Data,0,LH_ColStart),"&gt;="&amp;AF80)*UnitFactor))</f>
        <v/>
      </c>
      <c r="V80" s="13" t="str">
        <f aca="false">IF(AE80=0,"",IF(NOT(LH_Ready),"",SUMIFS(INDEX(LH_Data,0,LH_ColTaken),INDEX(LH_Data,0,LH_ColFirst),$A80,INDEX(LH_Data,0,LH_ColSur),$B80,INDEX(LH_Data,0,LH_ColCat),BonusCat,INDEX(LH_Data,0,LH_ColStart),"&gt;="&amp;AF80)*UnitFactor))</f>
        <v/>
      </c>
      <c r="W80" s="13" t="str">
        <f aca="false">IF(AE80=0,"",IF(NOT(LH_Ready),"",IF(BB80=0,0,INDEX(INDEX(LH_Data,0,LH_ColClose),BB80-1)*UnitFactor)))</f>
        <v/>
      </c>
      <c r="X80" s="13" t="str">
        <f aca="false">IF(AE80=0,"",(AX80-AY80)*HoursPerDay)</f>
        <v/>
      </c>
      <c r="Y80" s="13" t="str">
        <f aca="false">IF(AE80=0,"",IF(NOT(LH_Ready),"",IF(BA80=0,N80,IF(PFYDate&lt;$F80,N80-N(T80)-N(U80),X80-N(U80)))))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 hrs more than policy since commencement",IF(N(W80)&gt;O80*HoursPerDay+0.01,"CHECK - EH balance "&amp;ROUND(W80-O80*HoursPerDay,2)&amp;" hrs more than policy entitlement",IF(O80&gt;0,"OK - nothing to add",IF(AQ80="None",R80,"Not yet - first day on "&amp;TEXT(S80,"dd/mm/yyyy")))))))))</f>
        <v/>
      </c>
      <c r="AB80" s="13" t="str">
        <f aca="false">IF(OR(AE80=0,T80=""),"",AY80*HoursPerDay-T80)</f>
        <v/>
      </c>
      <c r="AC80" s="12" t="str">
        <f aca="false">IF(AE80=0,"",BA80)</f>
        <v/>
      </c>
      <c r="AD80" s="12"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IF(AE80=0,"",IF($J80&lt;&gt;"",$J80,IF(OR(CasualCounts="Yes",COUNT($G80:$I80)=0,COUNT($G80:$H80)=0),$F80,MIN($G80:$H80))))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8"/>
      <c r="B81" s="8"/>
      <c r="C81" s="8"/>
      <c r="D81" s="9"/>
      <c r="E81" s="10" t="str">
        <f aca="false">IF(OR(AE81=0,$D81=""),"",DATE(YEAR(AsOfDate)+IF(DATE(YEAR(AsOfDate),MONTH($D81),DAY($D81))&lt;=AsOfDate,1,0),MONTH($D81),DAY($D81)))</f>
        <v/>
      </c>
      <c r="F81" s="9"/>
      <c r="G81" s="9"/>
      <c r="H81" s="9"/>
      <c r="I81" s="9"/>
      <c r="J81" s="9"/>
      <c r="K81" s="10" t="str">
        <f aca="false">IF(AE81=0,"",DATE(YEAR(AsOfDate)+IF(DATE(YEAR(AsOfDate),MONTH(AF81),DAY(AF81))&lt;=AsOfDate,1,0),MONTH(AF81),DAY(AF81)))</f>
        <v/>
      </c>
      <c r="L81" s="11" t="str">
        <f aca="false">IF(AE81=0,"",ROUND((AsOfDate-AF81)/365.25,1))</f>
        <v/>
      </c>
      <c r="M81" s="12" t="str">
        <f aca="false">IF(AE81=0,"",IF(AsOfDate&lt;AF81,"-",DATEDIF(AF81,AsOfDate,"y")&amp;"y "&amp;DATEDIF(AF81,AsOfDate,"ym")&amp;"m "&amp;DATEDIF(AF81,AsOfDate,"md")&amp;"d"))</f>
        <v/>
      </c>
      <c r="N81" s="13" t="str">
        <f aca="false">IF(AE81=0,"",O81*HoursPerDay)</f>
        <v/>
      </c>
      <c r="O81" s="13" t="str">
        <f aca="false">IF(AE81=0,"",AX81)</f>
        <v/>
      </c>
      <c r="P81" s="14"/>
      <c r="Q81" s="12" t="str">
        <f aca="false">IF(AE81=0,"",IF(AG81&lt;2,"",AK81&amp;" to "&amp;AL81&amp;" on "&amp;TEXT(AI81,"dd/mm/yyyy")&amp;IF(AI81&gt;AsOfDate," (future)",IF(AN81=AO81,"",IF(AO81="None"," - STOPPED accruing",IF(AN81="None"," - commencement for Bonus Leave"," - pathway changed"))))&amp;IF(AG81&lt;3,"","; "&amp;AL81&amp;" to "&amp;AM81&amp;" on "&amp;TEXT(AJ81,"dd/mm/yyyy")&amp;IF(AJ81&gt;AsOfDate," (future)",IF(AO81=AP81,"",IF(AP81="None"," - STOPPED accruing",IF(AO81="None"," - commencement for Bonus Leave","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IF(AE81=0,"",IF(NOT(LH_Ready),"",IF(AF81&gt;PFYDate,0,IF(LH_ColPeriod=0,W81-U81+V81,SUMIFS(INDEX(LH_Data,0,LH_ColAcc),INDEX(LH_Data,0,LH_ColFirst),$A81,INDEX(LH_Data,0,LH_ColSur),$B81,INDEX(LH_Data,0,LH_ColCat),BonusCat,INDEX(LH_Data,0,LH_ColPeriod),LH_OpenLabel)*UnitFactor))))</f>
        <v/>
      </c>
      <c r="U81" s="13" t="str">
        <f aca="false">IF(AE81=0,"",IF(NOT(LH_Ready),"",SUMIFS(INDEX(LH_Data,0,LH_ColAcc),INDEX(LH_Data,0,LH_ColFirst),$A81,INDEX(LH_Data,0,LH_ColSur),$B81,INDEX(LH_Data,0,LH_ColCat),BonusCat,INDEX(LH_Data,0,LH_ColStart),"&gt;="&amp;AF81)*UnitFactor))</f>
        <v/>
      </c>
      <c r="V81" s="13" t="str">
        <f aca="false">IF(AE81=0,"",IF(NOT(LH_Ready),"",SUMIFS(INDEX(LH_Data,0,LH_ColTaken),INDEX(LH_Data,0,LH_ColFirst),$A81,INDEX(LH_Data,0,LH_ColSur),$B81,INDEX(LH_Data,0,LH_ColCat),BonusCat,INDEX(LH_Data,0,LH_ColStart),"&gt;="&amp;AF81)*UnitFactor))</f>
        <v/>
      </c>
      <c r="W81" s="13" t="str">
        <f aca="false">IF(AE81=0,"",IF(NOT(LH_Ready),"",IF(BB81=0,0,INDEX(INDEX(LH_Data,0,LH_ColClose),BB81-1)*UnitFactor)))</f>
        <v/>
      </c>
      <c r="X81" s="13" t="str">
        <f aca="false">IF(AE81=0,"",(AX81-AY81)*HoursPerDay)</f>
        <v/>
      </c>
      <c r="Y81" s="13" t="str">
        <f aca="false">IF(AE81=0,"",IF(NOT(LH_Ready),"",IF(BA81=0,N81,IF(PFYDate&lt;$F81,N81-N(T81)-N(U81),X81-N(U81)))))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 hrs more than policy since commencement",IF(N(W81)&gt;O81*HoursPerDay+0.01,"CHECK - EH balance "&amp;ROUND(W81-O81*HoursPerDay,2)&amp;" hrs more than policy entitlement",IF(O81&gt;0,"OK - nothing to add",IF(AQ81="None",R81,"Not yet - first day on "&amp;TEXT(S81,"dd/mm/yyyy")))))))))</f>
        <v/>
      </c>
      <c r="AB81" s="13" t="str">
        <f aca="false">IF(OR(AE81=0,T81=""),"",AY81*HoursPerDay-T81)</f>
        <v/>
      </c>
      <c r="AC81" s="12" t="str">
        <f aca="false">IF(AE81=0,"",BA81)</f>
        <v/>
      </c>
      <c r="AD81" s="12"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IF(AE81=0,"",IF($J81&lt;&gt;"",$J81,IF(OR(CasualCounts="Yes",COUNT($G81:$I81)=0,COUNT($G81:$H81)=0),$F81,MIN($G81:$H81))))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8"/>
      <c r="B82" s="8"/>
      <c r="C82" s="8"/>
      <c r="D82" s="9"/>
      <c r="E82" s="10" t="str">
        <f aca="false">IF(OR(AE82=0,$D82=""),"",DATE(YEAR(AsOfDate)+IF(DATE(YEAR(AsOfDate),MONTH($D82),DAY($D82))&lt;=AsOfDate,1,0),MONTH($D82),DAY($D82)))</f>
        <v/>
      </c>
      <c r="F82" s="9"/>
      <c r="G82" s="9"/>
      <c r="H82" s="9"/>
      <c r="I82" s="9"/>
      <c r="J82" s="9"/>
      <c r="K82" s="10" t="str">
        <f aca="false">IF(AE82=0,"",DATE(YEAR(AsOfDate)+IF(DATE(YEAR(AsOfDate),MONTH(AF82),DAY(AF82))&lt;=AsOfDate,1,0),MONTH(AF82),DAY(AF82)))</f>
        <v/>
      </c>
      <c r="L82" s="11" t="str">
        <f aca="false">IF(AE82=0,"",ROUND((AsOfDate-AF82)/365.25,1))</f>
        <v/>
      </c>
      <c r="M82" s="12" t="str">
        <f aca="false">IF(AE82=0,"",IF(AsOfDate&lt;AF82,"-",DATEDIF(AF82,AsOfDate,"y")&amp;"y "&amp;DATEDIF(AF82,AsOfDate,"ym")&amp;"m "&amp;DATEDIF(AF82,AsOfDate,"md")&amp;"d"))</f>
        <v/>
      </c>
      <c r="N82" s="13" t="str">
        <f aca="false">IF(AE82=0,"",O82*HoursPerDay)</f>
        <v/>
      </c>
      <c r="O82" s="13" t="str">
        <f aca="false">IF(AE82=0,"",AX82)</f>
        <v/>
      </c>
      <c r="P82" s="14"/>
      <c r="Q82" s="12" t="str">
        <f aca="false">IF(AE82=0,"",IF(AG82&lt;2,"",AK82&amp;" to "&amp;AL82&amp;" on "&amp;TEXT(AI82,"dd/mm/yyyy")&amp;IF(AI82&gt;AsOfDate," (future)",IF(AN82=AO82,"",IF(AO82="None"," - STOPPED accruing",IF(AN82="None"," - commencement for Bonus Leave"," - pathway changed"))))&amp;IF(AG82&lt;3,"","; "&amp;AL82&amp;" to "&amp;AM82&amp;" on "&amp;TEXT(AJ82,"dd/mm/yyyy")&amp;IF(AJ82&gt;AsOfDate," (future)",IF(AO82=AP82,"",IF(AP82="None"," - STOPPED accruing",IF(AO82="None"," - commencement for Bonus Leave","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IF(AE82=0,"",IF(NOT(LH_Ready),"",IF(AF82&gt;PFYDate,0,IF(LH_ColPeriod=0,W82-U82+V82,SUMIFS(INDEX(LH_Data,0,LH_ColAcc),INDEX(LH_Data,0,LH_ColFirst),$A82,INDEX(LH_Data,0,LH_ColSur),$B82,INDEX(LH_Data,0,LH_ColCat),BonusCat,INDEX(LH_Data,0,LH_ColPeriod),LH_OpenLabel)*UnitFactor))))</f>
        <v/>
      </c>
      <c r="U82" s="13" t="str">
        <f aca="false">IF(AE82=0,"",IF(NOT(LH_Ready),"",SUMIFS(INDEX(LH_Data,0,LH_ColAcc),INDEX(LH_Data,0,LH_ColFirst),$A82,INDEX(LH_Data,0,LH_ColSur),$B82,INDEX(LH_Data,0,LH_ColCat),BonusCat,INDEX(LH_Data,0,LH_ColStart),"&gt;="&amp;AF82)*UnitFactor))</f>
        <v/>
      </c>
      <c r="V82" s="13" t="str">
        <f aca="false">IF(AE82=0,"",IF(NOT(LH_Ready),"",SUMIFS(INDEX(LH_Data,0,LH_ColTaken),INDEX(LH_Data,0,LH_ColFirst),$A82,INDEX(LH_Data,0,LH_ColSur),$B82,INDEX(LH_Data,0,LH_ColCat),BonusCat,INDEX(LH_Data,0,LH_ColStart),"&gt;="&amp;AF82)*UnitFactor))</f>
        <v/>
      </c>
      <c r="W82" s="13" t="str">
        <f aca="false">IF(AE82=0,"",IF(NOT(LH_Ready),"",IF(BB82=0,0,INDEX(INDEX(LH_Data,0,LH_ColClose),BB82-1)*UnitFactor)))</f>
        <v/>
      </c>
      <c r="X82" s="13" t="str">
        <f aca="false">IF(AE82=0,"",(AX82-AY82)*HoursPerDay)</f>
        <v/>
      </c>
      <c r="Y82" s="13" t="str">
        <f aca="false">IF(AE82=0,"",IF(NOT(LH_Ready),"",IF(BA82=0,N82,IF(PFYDate&lt;$F82,N82-N(T82)-N(U82),X82-N(U82)))))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 hrs more than policy since commencement",IF(N(W82)&gt;O82*HoursPerDay+0.01,"CHECK - EH balance "&amp;ROUND(W82-O82*HoursPerDay,2)&amp;" hrs more than policy entitlement",IF(O82&gt;0,"OK - nothing to add",IF(AQ82="None",R82,"Not yet - first day on "&amp;TEXT(S82,"dd/mm/yyyy")))))))))</f>
        <v/>
      </c>
      <c r="AB82" s="13" t="str">
        <f aca="false">IF(OR(AE82=0,T82=""),"",AY82*HoursPerDay-T82)</f>
        <v/>
      </c>
      <c r="AC82" s="12" t="str">
        <f aca="false">IF(AE82=0,"",BA82)</f>
        <v/>
      </c>
      <c r="AD82" s="12"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IF(AE82=0,"",IF($J82&lt;&gt;"",$J82,IF(OR(CasualCounts="Yes",COUNT($G82:$I82)=0,COUNT($G82:$H82)=0),$F82,MIN($G82:$H82))))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8"/>
      <c r="B83" s="8"/>
      <c r="C83" s="8"/>
      <c r="D83" s="9"/>
      <c r="E83" s="10" t="str">
        <f aca="false">IF(OR(AE83=0,$D83=""),"",DATE(YEAR(AsOfDate)+IF(DATE(YEAR(AsOfDate),MONTH($D83),DAY($D83))&lt;=AsOfDate,1,0),MONTH($D83),DAY($D83)))</f>
        <v/>
      </c>
      <c r="F83" s="9"/>
      <c r="G83" s="9"/>
      <c r="H83" s="9"/>
      <c r="I83" s="9"/>
      <c r="J83" s="9"/>
      <c r="K83" s="10" t="str">
        <f aca="false">IF(AE83=0,"",DATE(YEAR(AsOfDate)+IF(DATE(YEAR(AsOfDate),MONTH(AF83),DAY(AF83))&lt;=AsOfDate,1,0),MONTH(AF83),DAY(AF83)))</f>
        <v/>
      </c>
      <c r="L83" s="11" t="str">
        <f aca="false">IF(AE83=0,"",ROUND((AsOfDate-AF83)/365.25,1))</f>
        <v/>
      </c>
      <c r="M83" s="12" t="str">
        <f aca="false">IF(AE83=0,"",IF(AsOfDate&lt;AF83,"-",DATEDIF(AF83,AsOfDate,"y")&amp;"y "&amp;DATEDIF(AF83,AsOfDate,"ym")&amp;"m "&amp;DATEDIF(AF83,AsOfDate,"md")&amp;"d"))</f>
        <v/>
      </c>
      <c r="N83" s="13" t="str">
        <f aca="false">IF(AE83=0,"",O83*HoursPerDay)</f>
        <v/>
      </c>
      <c r="O83" s="13" t="str">
        <f aca="false">IF(AE83=0,"",AX83)</f>
        <v/>
      </c>
      <c r="P83" s="14"/>
      <c r="Q83" s="12" t="str">
        <f aca="false">IF(AE83=0,"",IF(AG83&lt;2,"",AK83&amp;" to "&amp;AL83&amp;" on "&amp;TEXT(AI83,"dd/mm/yyyy")&amp;IF(AI83&gt;AsOfDate," (future)",IF(AN83=AO83,"",IF(AO83="None"," - STOPPED accruing",IF(AN83="None"," - commencement for Bonus Leave"," - pathway changed"))))&amp;IF(AG83&lt;3,"","; "&amp;AL83&amp;" to "&amp;AM83&amp;" on "&amp;TEXT(AJ83,"dd/mm/yyyy")&amp;IF(AJ83&gt;AsOfDate," (future)",IF(AO83=AP83,"",IF(AP83="None"," - STOPPED accruing",IF(AO83="None"," - commencement for Bonus Leave","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IF(AE83=0,"",IF(NOT(LH_Ready),"",IF(AF83&gt;PFYDate,0,IF(LH_ColPeriod=0,W83-U83+V83,SUMIFS(INDEX(LH_Data,0,LH_ColAcc),INDEX(LH_Data,0,LH_ColFirst),$A83,INDEX(LH_Data,0,LH_ColSur),$B83,INDEX(LH_Data,0,LH_ColCat),BonusCat,INDEX(LH_Data,0,LH_ColPeriod),LH_OpenLabel)*UnitFactor))))</f>
        <v/>
      </c>
      <c r="U83" s="13" t="str">
        <f aca="false">IF(AE83=0,"",IF(NOT(LH_Ready),"",SUMIFS(INDEX(LH_Data,0,LH_ColAcc),INDEX(LH_Data,0,LH_ColFirst),$A83,INDEX(LH_Data,0,LH_ColSur),$B83,INDEX(LH_Data,0,LH_ColCat),BonusCat,INDEX(LH_Data,0,LH_ColStart),"&gt;="&amp;AF83)*UnitFactor))</f>
        <v/>
      </c>
      <c r="V83" s="13" t="str">
        <f aca="false">IF(AE83=0,"",IF(NOT(LH_Ready),"",SUMIFS(INDEX(LH_Data,0,LH_ColTaken),INDEX(LH_Data,0,LH_ColFirst),$A83,INDEX(LH_Data,0,LH_ColSur),$B83,INDEX(LH_Data,0,LH_ColCat),BonusCat,INDEX(LH_Data,0,LH_ColStart),"&gt;="&amp;AF83)*UnitFactor))</f>
        <v/>
      </c>
      <c r="W83" s="13" t="str">
        <f aca="false">IF(AE83=0,"",IF(NOT(LH_Ready),"",IF(BB83=0,0,INDEX(INDEX(LH_Data,0,LH_ColClose),BB83-1)*UnitFactor)))</f>
        <v/>
      </c>
      <c r="X83" s="13" t="str">
        <f aca="false">IF(AE83=0,"",(AX83-AY83)*HoursPerDay)</f>
        <v/>
      </c>
      <c r="Y83" s="13" t="str">
        <f aca="false">IF(AE83=0,"",IF(NOT(LH_Ready),"",IF(BA83=0,N83,IF(PFYDate&lt;$F83,N83-N(T83)-N(U83),X83-N(U83)))))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 hrs more than policy since commencement",IF(N(W83)&gt;O83*HoursPerDay+0.01,"CHECK - EH balance "&amp;ROUND(W83-O83*HoursPerDay,2)&amp;" hrs more than policy entitlement",IF(O83&gt;0,"OK - nothing to add",IF(AQ83="None",R83,"Not yet - first day on "&amp;TEXT(S83,"dd/mm/yyyy")))))))))</f>
        <v/>
      </c>
      <c r="AB83" s="13" t="str">
        <f aca="false">IF(OR(AE83=0,T83=""),"",AY83*HoursPerDay-T83)</f>
        <v/>
      </c>
      <c r="AC83" s="12" t="str">
        <f aca="false">IF(AE83=0,"",BA83)</f>
        <v/>
      </c>
      <c r="AD83" s="12"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IF(AE83=0,"",IF($J83&lt;&gt;"",$J83,IF(OR(CasualCounts="Yes",COUNT($G83:$I83)=0,COUNT($G83:$H83)=0),$F83,MIN($G83:$H83))))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8"/>
      <c r="B84" s="8"/>
      <c r="C84" s="8"/>
      <c r="D84" s="9"/>
      <c r="E84" s="10" t="str">
        <f aca="false">IF(OR(AE84=0,$D84=""),"",DATE(YEAR(AsOfDate)+IF(DATE(YEAR(AsOfDate),MONTH($D84),DAY($D84))&lt;=AsOfDate,1,0),MONTH($D84),DAY($D84)))</f>
        <v/>
      </c>
      <c r="F84" s="9"/>
      <c r="G84" s="9"/>
      <c r="H84" s="9"/>
      <c r="I84" s="9"/>
      <c r="J84" s="9"/>
      <c r="K84" s="10" t="str">
        <f aca="false">IF(AE84=0,"",DATE(YEAR(AsOfDate)+IF(DATE(YEAR(AsOfDate),MONTH(AF84),DAY(AF84))&lt;=AsOfDate,1,0),MONTH(AF84),DAY(AF84)))</f>
        <v/>
      </c>
      <c r="L84" s="11" t="str">
        <f aca="false">IF(AE84=0,"",ROUND((AsOfDate-AF84)/365.25,1))</f>
        <v/>
      </c>
      <c r="M84" s="12" t="str">
        <f aca="false">IF(AE84=0,"",IF(AsOfDate&lt;AF84,"-",DATEDIF(AF84,AsOfDate,"y")&amp;"y "&amp;DATEDIF(AF84,AsOfDate,"ym")&amp;"m "&amp;DATEDIF(AF84,AsOfDate,"md")&amp;"d"))</f>
        <v/>
      </c>
      <c r="N84" s="13" t="str">
        <f aca="false">IF(AE84=0,"",O84*HoursPerDay)</f>
        <v/>
      </c>
      <c r="O84" s="13" t="str">
        <f aca="false">IF(AE84=0,"",AX84)</f>
        <v/>
      </c>
      <c r="P84" s="14"/>
      <c r="Q84" s="12" t="str">
        <f aca="false">IF(AE84=0,"",IF(AG84&lt;2,"",AK84&amp;" to "&amp;AL84&amp;" on "&amp;TEXT(AI84,"dd/mm/yyyy")&amp;IF(AI84&gt;AsOfDate," (future)",IF(AN84=AO84,"",IF(AO84="None"," - STOPPED accruing",IF(AN84="None"," - commencement for Bonus Leave"," - pathway changed"))))&amp;IF(AG84&lt;3,"","; "&amp;AL84&amp;" to "&amp;AM84&amp;" on "&amp;TEXT(AJ84,"dd/mm/yyyy")&amp;IF(AJ84&gt;AsOfDate," (future)",IF(AO84=AP84,"",IF(AP84="None"," - STOPPED accruing",IF(AO84="None"," - commencement for Bonus Leave","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IF(AE84=0,"",IF(NOT(LH_Ready),"",IF(AF84&gt;PFYDate,0,IF(LH_ColPeriod=0,W84-U84+V84,SUMIFS(INDEX(LH_Data,0,LH_ColAcc),INDEX(LH_Data,0,LH_ColFirst),$A84,INDEX(LH_Data,0,LH_ColSur),$B84,INDEX(LH_Data,0,LH_ColCat),BonusCat,INDEX(LH_Data,0,LH_ColPeriod),LH_OpenLabel)*UnitFactor))))</f>
        <v/>
      </c>
      <c r="U84" s="13" t="str">
        <f aca="false">IF(AE84=0,"",IF(NOT(LH_Ready),"",SUMIFS(INDEX(LH_Data,0,LH_ColAcc),INDEX(LH_Data,0,LH_ColFirst),$A84,INDEX(LH_Data,0,LH_ColSur),$B84,INDEX(LH_Data,0,LH_ColCat),BonusCat,INDEX(LH_Data,0,LH_ColStart),"&gt;="&amp;AF84)*UnitFactor))</f>
        <v/>
      </c>
      <c r="V84" s="13" t="str">
        <f aca="false">IF(AE84=0,"",IF(NOT(LH_Ready),"",SUMIFS(INDEX(LH_Data,0,LH_ColTaken),INDEX(LH_Data,0,LH_ColFirst),$A84,INDEX(LH_Data,0,LH_ColSur),$B84,INDEX(LH_Data,0,LH_ColCat),BonusCat,INDEX(LH_Data,0,LH_ColStart),"&gt;="&amp;AF84)*UnitFactor))</f>
        <v/>
      </c>
      <c r="W84" s="13" t="str">
        <f aca="false">IF(AE84=0,"",IF(NOT(LH_Ready),"",IF(BB84=0,0,INDEX(INDEX(LH_Data,0,LH_ColClose),BB84-1)*UnitFactor)))</f>
        <v/>
      </c>
      <c r="X84" s="13" t="str">
        <f aca="false">IF(AE84=0,"",(AX84-AY84)*HoursPerDay)</f>
        <v/>
      </c>
      <c r="Y84" s="13" t="str">
        <f aca="false">IF(AE84=0,"",IF(NOT(LH_Ready),"",IF(BA84=0,N84,IF(PFYDate&lt;$F84,N84-N(T84)-N(U84),X84-N(U84)))))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 hrs more than policy since commencement",IF(N(W84)&gt;O84*HoursPerDay+0.01,"CHECK - EH balance "&amp;ROUND(W84-O84*HoursPerDay,2)&amp;" hrs more than policy entitlement",IF(O84&gt;0,"OK - nothing to add",IF(AQ84="None",R84,"Not yet - first day on "&amp;TEXT(S84,"dd/mm/yyyy")))))))))</f>
        <v/>
      </c>
      <c r="AB84" s="13" t="str">
        <f aca="false">IF(OR(AE84=0,T84=""),"",AY84*HoursPerDay-T84)</f>
        <v/>
      </c>
      <c r="AC84" s="12" t="str">
        <f aca="false">IF(AE84=0,"",BA84)</f>
        <v/>
      </c>
      <c r="AD84" s="12"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IF(AE84=0,"",IF($J84&lt;&gt;"",$J84,IF(OR(CasualCounts="Yes",COUNT($G84:$I84)=0,COUNT($G84:$H84)=0),$F84,MIN($G84:$H84))))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8"/>
      <c r="B85" s="8"/>
      <c r="C85" s="8"/>
      <c r="D85" s="9"/>
      <c r="E85" s="10" t="str">
        <f aca="false">IF(OR(AE85=0,$D85=""),"",DATE(YEAR(AsOfDate)+IF(DATE(YEAR(AsOfDate),MONTH($D85),DAY($D85))&lt;=AsOfDate,1,0),MONTH($D85),DAY($D85)))</f>
        <v/>
      </c>
      <c r="F85" s="9"/>
      <c r="G85" s="9"/>
      <c r="H85" s="9"/>
      <c r="I85" s="9"/>
      <c r="J85" s="9"/>
      <c r="K85" s="10" t="str">
        <f aca="false">IF(AE85=0,"",DATE(YEAR(AsOfDate)+IF(DATE(YEAR(AsOfDate),MONTH(AF85),DAY(AF85))&lt;=AsOfDate,1,0),MONTH(AF85),DAY(AF85)))</f>
        <v/>
      </c>
      <c r="L85" s="11" t="str">
        <f aca="false">IF(AE85=0,"",ROUND((AsOfDate-AF85)/365.25,1))</f>
        <v/>
      </c>
      <c r="M85" s="12" t="str">
        <f aca="false">IF(AE85=0,"",IF(AsOfDate&lt;AF85,"-",DATEDIF(AF85,AsOfDate,"y")&amp;"y "&amp;DATEDIF(AF85,AsOfDate,"ym")&amp;"m "&amp;DATEDIF(AF85,AsOfDate,"md")&amp;"d"))</f>
        <v/>
      </c>
      <c r="N85" s="13" t="str">
        <f aca="false">IF(AE85=0,"",O85*HoursPerDay)</f>
        <v/>
      </c>
      <c r="O85" s="13" t="str">
        <f aca="false">IF(AE85=0,"",AX85)</f>
        <v/>
      </c>
      <c r="P85" s="14"/>
      <c r="Q85" s="12" t="str">
        <f aca="false">IF(AE85=0,"",IF(AG85&lt;2,"",AK85&amp;" to "&amp;AL85&amp;" on "&amp;TEXT(AI85,"dd/mm/yyyy")&amp;IF(AI85&gt;AsOfDate," (future)",IF(AN85=AO85,"",IF(AO85="None"," - STOPPED accruing",IF(AN85="None"," - commencement for Bonus Leave"," - pathway changed"))))&amp;IF(AG85&lt;3,"","; "&amp;AL85&amp;" to "&amp;AM85&amp;" on "&amp;TEXT(AJ85,"dd/mm/yyyy")&amp;IF(AJ85&gt;AsOfDate," (future)",IF(AO85=AP85,"",IF(AP85="None"," - STOPPED accruing",IF(AO85="None"," - commencement for Bonus Leave","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IF(AE85=0,"",IF(NOT(LH_Ready),"",IF(AF85&gt;PFYDate,0,IF(LH_ColPeriod=0,W85-U85+V85,SUMIFS(INDEX(LH_Data,0,LH_ColAcc),INDEX(LH_Data,0,LH_ColFirst),$A85,INDEX(LH_Data,0,LH_ColSur),$B85,INDEX(LH_Data,0,LH_ColCat),BonusCat,INDEX(LH_Data,0,LH_ColPeriod),LH_OpenLabel)*UnitFactor))))</f>
        <v/>
      </c>
      <c r="U85" s="13" t="str">
        <f aca="false">IF(AE85=0,"",IF(NOT(LH_Ready),"",SUMIFS(INDEX(LH_Data,0,LH_ColAcc),INDEX(LH_Data,0,LH_ColFirst),$A85,INDEX(LH_Data,0,LH_ColSur),$B85,INDEX(LH_Data,0,LH_ColCat),BonusCat,INDEX(LH_Data,0,LH_ColStart),"&gt;="&amp;AF85)*UnitFactor))</f>
        <v/>
      </c>
      <c r="V85" s="13" t="str">
        <f aca="false">IF(AE85=0,"",IF(NOT(LH_Ready),"",SUMIFS(INDEX(LH_Data,0,LH_ColTaken),INDEX(LH_Data,0,LH_ColFirst),$A85,INDEX(LH_Data,0,LH_ColSur),$B85,INDEX(LH_Data,0,LH_ColCat),BonusCat,INDEX(LH_Data,0,LH_ColStart),"&gt;="&amp;AF85)*UnitFactor))</f>
        <v/>
      </c>
      <c r="W85" s="13" t="str">
        <f aca="false">IF(AE85=0,"",IF(NOT(LH_Ready),"",IF(BB85=0,0,INDEX(INDEX(LH_Data,0,LH_ColClose),BB85-1)*UnitFactor)))</f>
        <v/>
      </c>
      <c r="X85" s="13" t="str">
        <f aca="false">IF(AE85=0,"",(AX85-AY85)*HoursPerDay)</f>
        <v/>
      </c>
      <c r="Y85" s="13" t="str">
        <f aca="false">IF(AE85=0,"",IF(NOT(LH_Ready),"",IF(BA85=0,N85,IF(PFYDate&lt;$F85,N85-N(T85)-N(U85),X85-N(U85)))))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 hrs more than policy since commencement",IF(N(W85)&gt;O85*HoursPerDay+0.01,"CHECK - EH balance "&amp;ROUND(W85-O85*HoursPerDay,2)&amp;" hrs more than policy entitlement",IF(O85&gt;0,"OK - nothing to add",IF(AQ85="None",R85,"Not yet - first day on "&amp;TEXT(S85,"dd/mm/yyyy")))))))))</f>
        <v/>
      </c>
      <c r="AB85" s="13" t="str">
        <f aca="false">IF(OR(AE85=0,T85=""),"",AY85*HoursPerDay-T85)</f>
        <v/>
      </c>
      <c r="AC85" s="12" t="str">
        <f aca="false">IF(AE85=0,"",BA85)</f>
        <v/>
      </c>
      <c r="AD85" s="12"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IF(AE85=0,"",IF($J85&lt;&gt;"",$J85,IF(OR(CasualCounts="Yes",COUNT($G85:$I85)=0,COUNT($G85:$H85)=0),$F85,MIN($G85:$H85))))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8"/>
      <c r="B86" s="8"/>
      <c r="C86" s="8"/>
      <c r="D86" s="9"/>
      <c r="E86" s="10" t="str">
        <f aca="false">IF(OR(AE86=0,$D86=""),"",DATE(YEAR(AsOfDate)+IF(DATE(YEAR(AsOfDate),MONTH($D86),DAY($D86))&lt;=AsOfDate,1,0),MONTH($D86),DAY($D86)))</f>
        <v/>
      </c>
      <c r="F86" s="9"/>
      <c r="G86" s="9"/>
      <c r="H86" s="9"/>
      <c r="I86" s="9"/>
      <c r="J86" s="9"/>
      <c r="K86" s="10" t="str">
        <f aca="false">IF(AE86=0,"",DATE(YEAR(AsOfDate)+IF(DATE(YEAR(AsOfDate),MONTH(AF86),DAY(AF86))&lt;=AsOfDate,1,0),MONTH(AF86),DAY(AF86)))</f>
        <v/>
      </c>
      <c r="L86" s="11" t="str">
        <f aca="false">IF(AE86=0,"",ROUND((AsOfDate-AF86)/365.25,1))</f>
        <v/>
      </c>
      <c r="M86" s="12" t="str">
        <f aca="false">IF(AE86=0,"",IF(AsOfDate&lt;AF86,"-",DATEDIF(AF86,AsOfDate,"y")&amp;"y "&amp;DATEDIF(AF86,AsOfDate,"ym")&amp;"m "&amp;DATEDIF(AF86,AsOfDate,"md")&amp;"d"))</f>
        <v/>
      </c>
      <c r="N86" s="13" t="str">
        <f aca="false">IF(AE86=0,"",O86*HoursPerDay)</f>
        <v/>
      </c>
      <c r="O86" s="13" t="str">
        <f aca="false">IF(AE86=0,"",AX86)</f>
        <v/>
      </c>
      <c r="P86" s="14"/>
      <c r="Q86" s="12" t="str">
        <f aca="false">IF(AE86=0,"",IF(AG86&lt;2,"",AK86&amp;" to "&amp;AL86&amp;" on "&amp;TEXT(AI86,"dd/mm/yyyy")&amp;IF(AI86&gt;AsOfDate," (future)",IF(AN86=AO86,"",IF(AO86="None"," - STOPPED accruing",IF(AN86="None"," - commencement for Bonus Leave"," - pathway changed"))))&amp;IF(AG86&lt;3,"","; "&amp;AL86&amp;" to "&amp;AM86&amp;" on "&amp;TEXT(AJ86,"dd/mm/yyyy")&amp;IF(AJ86&gt;AsOfDate," (future)",IF(AO86=AP86,"",IF(AP86="None"," - STOPPED accruing",IF(AO86="None"," - commencement for Bonus Leave","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IF(AE86=0,"",IF(NOT(LH_Ready),"",IF(AF86&gt;PFYDate,0,IF(LH_ColPeriod=0,W86-U86+V86,SUMIFS(INDEX(LH_Data,0,LH_ColAcc),INDEX(LH_Data,0,LH_ColFirst),$A86,INDEX(LH_Data,0,LH_ColSur),$B86,INDEX(LH_Data,0,LH_ColCat),BonusCat,INDEX(LH_Data,0,LH_ColPeriod),LH_OpenLabel)*UnitFactor))))</f>
        <v/>
      </c>
      <c r="U86" s="13" t="str">
        <f aca="false">IF(AE86=0,"",IF(NOT(LH_Ready),"",SUMIFS(INDEX(LH_Data,0,LH_ColAcc),INDEX(LH_Data,0,LH_ColFirst),$A86,INDEX(LH_Data,0,LH_ColSur),$B86,INDEX(LH_Data,0,LH_ColCat),BonusCat,INDEX(LH_Data,0,LH_ColStart),"&gt;="&amp;AF86)*UnitFactor))</f>
        <v/>
      </c>
      <c r="V86" s="13" t="str">
        <f aca="false">IF(AE86=0,"",IF(NOT(LH_Ready),"",SUMIFS(INDEX(LH_Data,0,LH_ColTaken),INDEX(LH_Data,0,LH_ColFirst),$A86,INDEX(LH_Data,0,LH_ColSur),$B86,INDEX(LH_Data,0,LH_ColCat),BonusCat,INDEX(LH_Data,0,LH_ColStart),"&gt;="&amp;AF86)*UnitFactor))</f>
        <v/>
      </c>
      <c r="W86" s="13" t="str">
        <f aca="false">IF(AE86=0,"",IF(NOT(LH_Ready),"",IF(BB86=0,0,INDEX(INDEX(LH_Data,0,LH_ColClose),BB86-1)*UnitFactor)))</f>
        <v/>
      </c>
      <c r="X86" s="13" t="str">
        <f aca="false">IF(AE86=0,"",(AX86-AY86)*HoursPerDay)</f>
        <v/>
      </c>
      <c r="Y86" s="13" t="str">
        <f aca="false">IF(AE86=0,"",IF(NOT(LH_Ready),"",IF(BA86=0,N86,IF(PFYDate&lt;$F86,N86-N(T86)-N(U86),X86-N(U86)))))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 hrs more than policy since commencement",IF(N(W86)&gt;O86*HoursPerDay+0.01,"CHECK - EH balance "&amp;ROUND(W86-O86*HoursPerDay,2)&amp;" hrs more than policy entitlement",IF(O86&gt;0,"OK - nothing to add",IF(AQ86="None",R86,"Not yet - first day on "&amp;TEXT(S86,"dd/mm/yyyy")))))))))</f>
        <v/>
      </c>
      <c r="AB86" s="13" t="str">
        <f aca="false">IF(OR(AE86=0,T86=""),"",AY86*HoursPerDay-T86)</f>
        <v/>
      </c>
      <c r="AC86" s="12" t="str">
        <f aca="false">IF(AE86=0,"",BA86)</f>
        <v/>
      </c>
      <c r="AD86" s="12"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IF(AE86=0,"",IF($J86&lt;&gt;"",$J86,IF(OR(CasualCounts="Yes",COUNT($G86:$I86)=0,COUNT($G86:$H86)=0),$F86,MIN($G86:$H86))))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8"/>
      <c r="B87" s="8"/>
      <c r="C87" s="8"/>
      <c r="D87" s="9"/>
      <c r="E87" s="10" t="str">
        <f aca="false">IF(OR(AE87=0,$D87=""),"",DATE(YEAR(AsOfDate)+IF(DATE(YEAR(AsOfDate),MONTH($D87),DAY($D87))&lt;=AsOfDate,1,0),MONTH($D87),DAY($D87)))</f>
        <v/>
      </c>
      <c r="F87" s="9"/>
      <c r="G87" s="9"/>
      <c r="H87" s="9"/>
      <c r="I87" s="9"/>
      <c r="J87" s="9"/>
      <c r="K87" s="10" t="str">
        <f aca="false">IF(AE87=0,"",DATE(YEAR(AsOfDate)+IF(DATE(YEAR(AsOfDate),MONTH(AF87),DAY(AF87))&lt;=AsOfDate,1,0),MONTH(AF87),DAY(AF87)))</f>
        <v/>
      </c>
      <c r="L87" s="11" t="str">
        <f aca="false">IF(AE87=0,"",ROUND((AsOfDate-AF87)/365.25,1))</f>
        <v/>
      </c>
      <c r="M87" s="12" t="str">
        <f aca="false">IF(AE87=0,"",IF(AsOfDate&lt;AF87,"-",DATEDIF(AF87,AsOfDate,"y")&amp;"y "&amp;DATEDIF(AF87,AsOfDate,"ym")&amp;"m "&amp;DATEDIF(AF87,AsOfDate,"md")&amp;"d"))</f>
        <v/>
      </c>
      <c r="N87" s="13" t="str">
        <f aca="false">IF(AE87=0,"",O87*HoursPerDay)</f>
        <v/>
      </c>
      <c r="O87" s="13" t="str">
        <f aca="false">IF(AE87=0,"",AX87)</f>
        <v/>
      </c>
      <c r="P87" s="14"/>
      <c r="Q87" s="12" t="str">
        <f aca="false">IF(AE87=0,"",IF(AG87&lt;2,"",AK87&amp;" to "&amp;AL87&amp;" on "&amp;TEXT(AI87,"dd/mm/yyyy")&amp;IF(AI87&gt;AsOfDate," (future)",IF(AN87=AO87,"",IF(AO87="None"," - STOPPED accruing",IF(AN87="None"," - commencement for Bonus Leave"," - pathway changed"))))&amp;IF(AG87&lt;3,"","; "&amp;AL87&amp;" to "&amp;AM87&amp;" on "&amp;TEXT(AJ87,"dd/mm/yyyy")&amp;IF(AJ87&gt;AsOfDate," (future)",IF(AO87=AP87,"",IF(AP87="None"," - STOPPED accruing",IF(AO87="None"," - commencement for Bonus Leave","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IF(AE87=0,"",IF(NOT(LH_Ready),"",IF(AF87&gt;PFYDate,0,IF(LH_ColPeriod=0,W87-U87+V87,SUMIFS(INDEX(LH_Data,0,LH_ColAcc),INDEX(LH_Data,0,LH_ColFirst),$A87,INDEX(LH_Data,0,LH_ColSur),$B87,INDEX(LH_Data,0,LH_ColCat),BonusCat,INDEX(LH_Data,0,LH_ColPeriod),LH_OpenLabel)*UnitFactor))))</f>
        <v/>
      </c>
      <c r="U87" s="13" t="str">
        <f aca="false">IF(AE87=0,"",IF(NOT(LH_Ready),"",SUMIFS(INDEX(LH_Data,0,LH_ColAcc),INDEX(LH_Data,0,LH_ColFirst),$A87,INDEX(LH_Data,0,LH_ColSur),$B87,INDEX(LH_Data,0,LH_ColCat),BonusCat,INDEX(LH_Data,0,LH_ColStart),"&gt;="&amp;AF87)*UnitFactor))</f>
        <v/>
      </c>
      <c r="V87" s="13" t="str">
        <f aca="false">IF(AE87=0,"",IF(NOT(LH_Ready),"",SUMIFS(INDEX(LH_Data,0,LH_ColTaken),INDEX(LH_Data,0,LH_ColFirst),$A87,INDEX(LH_Data,0,LH_ColSur),$B87,INDEX(LH_Data,0,LH_ColCat),BonusCat,INDEX(LH_Data,0,LH_ColStart),"&gt;="&amp;AF87)*UnitFactor))</f>
        <v/>
      </c>
      <c r="W87" s="13" t="str">
        <f aca="false">IF(AE87=0,"",IF(NOT(LH_Ready),"",IF(BB87=0,0,INDEX(INDEX(LH_Data,0,LH_ColClose),BB87-1)*UnitFactor)))</f>
        <v/>
      </c>
      <c r="X87" s="13" t="str">
        <f aca="false">IF(AE87=0,"",(AX87-AY87)*HoursPerDay)</f>
        <v/>
      </c>
      <c r="Y87" s="13" t="str">
        <f aca="false">IF(AE87=0,"",IF(NOT(LH_Ready),"",IF(BA87=0,N87,IF(PFYDate&lt;$F87,N87-N(T87)-N(U87),X87-N(U87)))))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 hrs more than policy since commencement",IF(N(W87)&gt;O87*HoursPerDay+0.01,"CHECK - EH balance "&amp;ROUND(W87-O87*HoursPerDay,2)&amp;" hrs more than policy entitlement",IF(O87&gt;0,"OK - nothing to add",IF(AQ87="None",R87,"Not yet - first day on "&amp;TEXT(S87,"dd/mm/yyyy")))))))))</f>
        <v/>
      </c>
      <c r="AB87" s="13" t="str">
        <f aca="false">IF(OR(AE87=0,T87=""),"",AY87*HoursPerDay-T87)</f>
        <v/>
      </c>
      <c r="AC87" s="12" t="str">
        <f aca="false">IF(AE87=0,"",BA87)</f>
        <v/>
      </c>
      <c r="AD87" s="12"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IF(AE87=0,"",IF($J87&lt;&gt;"",$J87,IF(OR(CasualCounts="Yes",COUNT($G87:$I87)=0,COUNT($G87:$H87)=0),$F87,MIN($G87:$H87))))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8"/>
      <c r="B88" s="8"/>
      <c r="C88" s="8"/>
      <c r="D88" s="9"/>
      <c r="E88" s="10" t="str">
        <f aca="false">IF(OR(AE88=0,$D88=""),"",DATE(YEAR(AsOfDate)+IF(DATE(YEAR(AsOfDate),MONTH($D88),DAY($D88))&lt;=AsOfDate,1,0),MONTH($D88),DAY($D88)))</f>
        <v/>
      </c>
      <c r="F88" s="9"/>
      <c r="G88" s="9"/>
      <c r="H88" s="9"/>
      <c r="I88" s="9"/>
      <c r="J88" s="9"/>
      <c r="K88" s="10" t="str">
        <f aca="false">IF(AE88=0,"",DATE(YEAR(AsOfDate)+IF(DATE(YEAR(AsOfDate),MONTH(AF88),DAY(AF88))&lt;=AsOfDate,1,0),MONTH(AF88),DAY(AF88)))</f>
        <v/>
      </c>
      <c r="L88" s="11" t="str">
        <f aca="false">IF(AE88=0,"",ROUND((AsOfDate-AF88)/365.25,1))</f>
        <v/>
      </c>
      <c r="M88" s="12" t="str">
        <f aca="false">IF(AE88=0,"",IF(AsOfDate&lt;AF88,"-",DATEDIF(AF88,AsOfDate,"y")&amp;"y "&amp;DATEDIF(AF88,AsOfDate,"ym")&amp;"m "&amp;DATEDIF(AF88,AsOfDate,"md")&amp;"d"))</f>
        <v/>
      </c>
      <c r="N88" s="13" t="str">
        <f aca="false">IF(AE88=0,"",O88*HoursPerDay)</f>
        <v/>
      </c>
      <c r="O88" s="13" t="str">
        <f aca="false">IF(AE88=0,"",AX88)</f>
        <v/>
      </c>
      <c r="P88" s="14"/>
      <c r="Q88" s="12" t="str">
        <f aca="false">IF(AE88=0,"",IF(AG88&lt;2,"",AK88&amp;" to "&amp;AL88&amp;" on "&amp;TEXT(AI88,"dd/mm/yyyy")&amp;IF(AI88&gt;AsOfDate," (future)",IF(AN88=AO88,"",IF(AO88="None"," - STOPPED accruing",IF(AN88="None"," - commencement for Bonus Leave"," - pathway changed"))))&amp;IF(AG88&lt;3,"","; "&amp;AL88&amp;" to "&amp;AM88&amp;" on "&amp;TEXT(AJ88,"dd/mm/yyyy")&amp;IF(AJ88&gt;AsOfDate," (future)",IF(AO88=AP88,"",IF(AP88="None"," - STOPPED accruing",IF(AO88="None"," - commencement for Bonus Leave","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IF(AE88=0,"",IF(NOT(LH_Ready),"",IF(AF88&gt;PFYDate,0,IF(LH_ColPeriod=0,W88-U88+V88,SUMIFS(INDEX(LH_Data,0,LH_ColAcc),INDEX(LH_Data,0,LH_ColFirst),$A88,INDEX(LH_Data,0,LH_ColSur),$B88,INDEX(LH_Data,0,LH_ColCat),BonusCat,INDEX(LH_Data,0,LH_ColPeriod),LH_OpenLabel)*UnitFactor))))</f>
        <v/>
      </c>
      <c r="U88" s="13" t="str">
        <f aca="false">IF(AE88=0,"",IF(NOT(LH_Ready),"",SUMIFS(INDEX(LH_Data,0,LH_ColAcc),INDEX(LH_Data,0,LH_ColFirst),$A88,INDEX(LH_Data,0,LH_ColSur),$B88,INDEX(LH_Data,0,LH_ColCat),BonusCat,INDEX(LH_Data,0,LH_ColStart),"&gt;="&amp;AF88)*UnitFactor))</f>
        <v/>
      </c>
      <c r="V88" s="13" t="str">
        <f aca="false">IF(AE88=0,"",IF(NOT(LH_Ready),"",SUMIFS(INDEX(LH_Data,0,LH_ColTaken),INDEX(LH_Data,0,LH_ColFirst),$A88,INDEX(LH_Data,0,LH_ColSur),$B88,INDEX(LH_Data,0,LH_ColCat),BonusCat,INDEX(LH_Data,0,LH_ColStart),"&gt;="&amp;AF88)*UnitFactor))</f>
        <v/>
      </c>
      <c r="W88" s="13" t="str">
        <f aca="false">IF(AE88=0,"",IF(NOT(LH_Ready),"",IF(BB88=0,0,INDEX(INDEX(LH_Data,0,LH_ColClose),BB88-1)*UnitFactor)))</f>
        <v/>
      </c>
      <c r="X88" s="13" t="str">
        <f aca="false">IF(AE88=0,"",(AX88-AY88)*HoursPerDay)</f>
        <v/>
      </c>
      <c r="Y88" s="13" t="str">
        <f aca="false">IF(AE88=0,"",IF(NOT(LH_Ready),"",IF(BA88=0,N88,IF(PFYDate&lt;$F88,N88-N(T88)-N(U88),X88-N(U88)))))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 hrs more than policy since commencement",IF(N(W88)&gt;O88*HoursPerDay+0.01,"CHECK - EH balance "&amp;ROUND(W88-O88*HoursPerDay,2)&amp;" hrs more than policy entitlement",IF(O88&gt;0,"OK - nothing to add",IF(AQ88="None",R88,"Not yet - first day on "&amp;TEXT(S88,"dd/mm/yyyy")))))))))</f>
        <v/>
      </c>
      <c r="AB88" s="13" t="str">
        <f aca="false">IF(OR(AE88=0,T88=""),"",AY88*HoursPerDay-T88)</f>
        <v/>
      </c>
      <c r="AC88" s="12" t="str">
        <f aca="false">IF(AE88=0,"",BA88)</f>
        <v/>
      </c>
      <c r="AD88" s="12"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IF(AE88=0,"",IF($J88&lt;&gt;"",$J88,IF(OR(CasualCounts="Yes",COUNT($G88:$I88)=0,COUNT($G88:$H88)=0),$F88,MIN($G88:$H88))))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8"/>
      <c r="B89" s="8"/>
      <c r="C89" s="8"/>
      <c r="D89" s="9"/>
      <c r="E89" s="10" t="str">
        <f aca="false">IF(OR(AE89=0,$D89=""),"",DATE(YEAR(AsOfDate)+IF(DATE(YEAR(AsOfDate),MONTH($D89),DAY($D89))&lt;=AsOfDate,1,0),MONTH($D89),DAY($D89)))</f>
        <v/>
      </c>
      <c r="F89" s="9"/>
      <c r="G89" s="9"/>
      <c r="H89" s="9"/>
      <c r="I89" s="9"/>
      <c r="J89" s="9"/>
      <c r="K89" s="10" t="str">
        <f aca="false">IF(AE89=0,"",DATE(YEAR(AsOfDate)+IF(DATE(YEAR(AsOfDate),MONTH(AF89),DAY(AF89))&lt;=AsOfDate,1,0),MONTH(AF89),DAY(AF89)))</f>
        <v/>
      </c>
      <c r="L89" s="11" t="str">
        <f aca="false">IF(AE89=0,"",ROUND((AsOfDate-AF89)/365.25,1))</f>
        <v/>
      </c>
      <c r="M89" s="12" t="str">
        <f aca="false">IF(AE89=0,"",IF(AsOfDate&lt;AF89,"-",DATEDIF(AF89,AsOfDate,"y")&amp;"y "&amp;DATEDIF(AF89,AsOfDate,"ym")&amp;"m "&amp;DATEDIF(AF89,AsOfDate,"md")&amp;"d"))</f>
        <v/>
      </c>
      <c r="N89" s="13" t="str">
        <f aca="false">IF(AE89=0,"",O89*HoursPerDay)</f>
        <v/>
      </c>
      <c r="O89" s="13" t="str">
        <f aca="false">IF(AE89=0,"",AX89)</f>
        <v/>
      </c>
      <c r="P89" s="14"/>
      <c r="Q89" s="12" t="str">
        <f aca="false">IF(AE89=0,"",IF(AG89&lt;2,"",AK89&amp;" to "&amp;AL89&amp;" on "&amp;TEXT(AI89,"dd/mm/yyyy")&amp;IF(AI89&gt;AsOfDate," (future)",IF(AN89=AO89,"",IF(AO89="None"," - STOPPED accruing",IF(AN89="None"," - commencement for Bonus Leave"," - pathway changed"))))&amp;IF(AG89&lt;3,"","; "&amp;AL89&amp;" to "&amp;AM89&amp;" on "&amp;TEXT(AJ89,"dd/mm/yyyy")&amp;IF(AJ89&gt;AsOfDate," (future)",IF(AO89=AP89,"",IF(AP89="None"," - STOPPED accruing",IF(AO89="None"," - commencement for Bonus Leave","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IF(AE89=0,"",IF(NOT(LH_Ready),"",IF(AF89&gt;PFYDate,0,IF(LH_ColPeriod=0,W89-U89+V89,SUMIFS(INDEX(LH_Data,0,LH_ColAcc),INDEX(LH_Data,0,LH_ColFirst),$A89,INDEX(LH_Data,0,LH_ColSur),$B89,INDEX(LH_Data,0,LH_ColCat),BonusCat,INDEX(LH_Data,0,LH_ColPeriod),LH_OpenLabel)*UnitFactor))))</f>
        <v/>
      </c>
      <c r="U89" s="13" t="str">
        <f aca="false">IF(AE89=0,"",IF(NOT(LH_Ready),"",SUMIFS(INDEX(LH_Data,0,LH_ColAcc),INDEX(LH_Data,0,LH_ColFirst),$A89,INDEX(LH_Data,0,LH_ColSur),$B89,INDEX(LH_Data,0,LH_ColCat),BonusCat,INDEX(LH_Data,0,LH_ColStart),"&gt;="&amp;AF89)*UnitFactor))</f>
        <v/>
      </c>
      <c r="V89" s="13" t="str">
        <f aca="false">IF(AE89=0,"",IF(NOT(LH_Ready),"",SUMIFS(INDEX(LH_Data,0,LH_ColTaken),INDEX(LH_Data,0,LH_ColFirst),$A89,INDEX(LH_Data,0,LH_ColSur),$B89,INDEX(LH_Data,0,LH_ColCat),BonusCat,INDEX(LH_Data,0,LH_ColStart),"&gt;="&amp;AF89)*UnitFactor))</f>
        <v/>
      </c>
      <c r="W89" s="13" t="str">
        <f aca="false">IF(AE89=0,"",IF(NOT(LH_Ready),"",IF(BB89=0,0,INDEX(INDEX(LH_Data,0,LH_ColClose),BB89-1)*UnitFactor)))</f>
        <v/>
      </c>
      <c r="X89" s="13" t="str">
        <f aca="false">IF(AE89=0,"",(AX89-AY89)*HoursPerDay)</f>
        <v/>
      </c>
      <c r="Y89" s="13" t="str">
        <f aca="false">IF(AE89=0,"",IF(NOT(LH_Ready),"",IF(BA89=0,N89,IF(PFYDate&lt;$F89,N89-N(T89)-N(U89),X89-N(U89)))))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 hrs more than policy since commencement",IF(N(W89)&gt;O89*HoursPerDay+0.01,"CHECK - EH balance "&amp;ROUND(W89-O89*HoursPerDay,2)&amp;" hrs more than policy entitlement",IF(O89&gt;0,"OK - nothing to add",IF(AQ89="None",R89,"Not yet - first day on "&amp;TEXT(S89,"dd/mm/yyyy")))))))))</f>
        <v/>
      </c>
      <c r="AB89" s="13" t="str">
        <f aca="false">IF(OR(AE89=0,T89=""),"",AY89*HoursPerDay-T89)</f>
        <v/>
      </c>
      <c r="AC89" s="12" t="str">
        <f aca="false">IF(AE89=0,"",BA89)</f>
        <v/>
      </c>
      <c r="AD89" s="12"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IF(AE89=0,"",IF($J89&lt;&gt;"",$J89,IF(OR(CasualCounts="Yes",COUNT($G89:$I89)=0,COUNT($G89:$H89)=0),$F89,MIN($G89:$H89))))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8"/>
      <c r="B90" s="8"/>
      <c r="C90" s="8"/>
      <c r="D90" s="9"/>
      <c r="E90" s="10" t="str">
        <f aca="false">IF(OR(AE90=0,$D90=""),"",DATE(YEAR(AsOfDate)+IF(DATE(YEAR(AsOfDate),MONTH($D90),DAY($D90))&lt;=AsOfDate,1,0),MONTH($D90),DAY($D90)))</f>
        <v/>
      </c>
      <c r="F90" s="9"/>
      <c r="G90" s="9"/>
      <c r="H90" s="9"/>
      <c r="I90" s="9"/>
      <c r="J90" s="9"/>
      <c r="K90" s="10" t="str">
        <f aca="false">IF(AE90=0,"",DATE(YEAR(AsOfDate)+IF(DATE(YEAR(AsOfDate),MONTH(AF90),DAY(AF90))&lt;=AsOfDate,1,0),MONTH(AF90),DAY(AF90)))</f>
        <v/>
      </c>
      <c r="L90" s="11" t="str">
        <f aca="false">IF(AE90=0,"",ROUND((AsOfDate-AF90)/365.25,1))</f>
        <v/>
      </c>
      <c r="M90" s="12" t="str">
        <f aca="false">IF(AE90=0,"",IF(AsOfDate&lt;AF90,"-",DATEDIF(AF90,AsOfDate,"y")&amp;"y "&amp;DATEDIF(AF90,AsOfDate,"ym")&amp;"m "&amp;DATEDIF(AF90,AsOfDate,"md")&amp;"d"))</f>
        <v/>
      </c>
      <c r="N90" s="13" t="str">
        <f aca="false">IF(AE90=0,"",O90*HoursPerDay)</f>
        <v/>
      </c>
      <c r="O90" s="13" t="str">
        <f aca="false">IF(AE90=0,"",AX90)</f>
        <v/>
      </c>
      <c r="P90" s="14"/>
      <c r="Q90" s="12" t="str">
        <f aca="false">IF(AE90=0,"",IF(AG90&lt;2,"",AK90&amp;" to "&amp;AL90&amp;" on "&amp;TEXT(AI90,"dd/mm/yyyy")&amp;IF(AI90&gt;AsOfDate," (future)",IF(AN90=AO90,"",IF(AO90="None"," - STOPPED accruing",IF(AN90="None"," - commencement for Bonus Leave"," - pathway changed"))))&amp;IF(AG90&lt;3,"","; "&amp;AL90&amp;" to "&amp;AM90&amp;" on "&amp;TEXT(AJ90,"dd/mm/yyyy")&amp;IF(AJ90&gt;AsOfDate," (future)",IF(AO90=AP90,"",IF(AP90="None"," - STOPPED accruing",IF(AO90="None"," - commencement for Bonus Leave","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IF(AE90=0,"",IF(NOT(LH_Ready),"",IF(AF90&gt;PFYDate,0,IF(LH_ColPeriod=0,W90-U90+V90,SUMIFS(INDEX(LH_Data,0,LH_ColAcc),INDEX(LH_Data,0,LH_ColFirst),$A90,INDEX(LH_Data,0,LH_ColSur),$B90,INDEX(LH_Data,0,LH_ColCat),BonusCat,INDEX(LH_Data,0,LH_ColPeriod),LH_OpenLabel)*UnitFactor))))</f>
        <v/>
      </c>
      <c r="U90" s="13" t="str">
        <f aca="false">IF(AE90=0,"",IF(NOT(LH_Ready),"",SUMIFS(INDEX(LH_Data,0,LH_ColAcc),INDEX(LH_Data,0,LH_ColFirst),$A90,INDEX(LH_Data,0,LH_ColSur),$B90,INDEX(LH_Data,0,LH_ColCat),BonusCat,INDEX(LH_Data,0,LH_ColStart),"&gt;="&amp;AF90)*UnitFactor))</f>
        <v/>
      </c>
      <c r="V90" s="13" t="str">
        <f aca="false">IF(AE90=0,"",IF(NOT(LH_Ready),"",SUMIFS(INDEX(LH_Data,0,LH_ColTaken),INDEX(LH_Data,0,LH_ColFirst),$A90,INDEX(LH_Data,0,LH_ColSur),$B90,INDEX(LH_Data,0,LH_ColCat),BonusCat,INDEX(LH_Data,0,LH_ColStart),"&gt;="&amp;AF90)*UnitFactor))</f>
        <v/>
      </c>
      <c r="W90" s="13" t="str">
        <f aca="false">IF(AE90=0,"",IF(NOT(LH_Ready),"",IF(BB90=0,0,INDEX(INDEX(LH_Data,0,LH_ColClose),BB90-1)*UnitFactor)))</f>
        <v/>
      </c>
      <c r="X90" s="13" t="str">
        <f aca="false">IF(AE90=0,"",(AX90-AY90)*HoursPerDay)</f>
        <v/>
      </c>
      <c r="Y90" s="13" t="str">
        <f aca="false">IF(AE90=0,"",IF(NOT(LH_Ready),"",IF(BA90=0,N90,IF(PFYDate&lt;$F90,N90-N(T90)-N(U90),X90-N(U90)))))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 hrs more than policy since commencement",IF(N(W90)&gt;O90*HoursPerDay+0.01,"CHECK - EH balance "&amp;ROUND(W90-O90*HoursPerDay,2)&amp;" hrs more than policy entitlement",IF(O90&gt;0,"OK - nothing to add",IF(AQ90="None",R90,"Not yet - first day on "&amp;TEXT(S90,"dd/mm/yyyy")))))))))</f>
        <v/>
      </c>
      <c r="AB90" s="13" t="str">
        <f aca="false">IF(OR(AE90=0,T90=""),"",AY90*HoursPerDay-T90)</f>
        <v/>
      </c>
      <c r="AC90" s="12" t="str">
        <f aca="false">IF(AE90=0,"",BA90)</f>
        <v/>
      </c>
      <c r="AD90" s="12"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IF(AE90=0,"",IF($J90&lt;&gt;"",$J90,IF(OR(CasualCounts="Yes",COUNT($G90:$I90)=0,COUNT($G90:$H90)=0),$F90,MIN($G90:$H90))))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8"/>
      <c r="B91" s="8"/>
      <c r="C91" s="8"/>
      <c r="D91" s="9"/>
      <c r="E91" s="10" t="str">
        <f aca="false">IF(OR(AE91=0,$D91=""),"",DATE(YEAR(AsOfDate)+IF(DATE(YEAR(AsOfDate),MONTH($D91),DAY($D91))&lt;=AsOfDate,1,0),MONTH($D91),DAY($D91)))</f>
        <v/>
      </c>
      <c r="F91" s="9"/>
      <c r="G91" s="9"/>
      <c r="H91" s="9"/>
      <c r="I91" s="9"/>
      <c r="J91" s="9"/>
      <c r="K91" s="10" t="str">
        <f aca="false">IF(AE91=0,"",DATE(YEAR(AsOfDate)+IF(DATE(YEAR(AsOfDate),MONTH(AF91),DAY(AF91))&lt;=AsOfDate,1,0),MONTH(AF91),DAY(AF91)))</f>
        <v/>
      </c>
      <c r="L91" s="11" t="str">
        <f aca="false">IF(AE91=0,"",ROUND((AsOfDate-AF91)/365.25,1))</f>
        <v/>
      </c>
      <c r="M91" s="12" t="str">
        <f aca="false">IF(AE91=0,"",IF(AsOfDate&lt;AF91,"-",DATEDIF(AF91,AsOfDate,"y")&amp;"y "&amp;DATEDIF(AF91,AsOfDate,"ym")&amp;"m "&amp;DATEDIF(AF91,AsOfDate,"md")&amp;"d"))</f>
        <v/>
      </c>
      <c r="N91" s="13" t="str">
        <f aca="false">IF(AE91=0,"",O91*HoursPerDay)</f>
        <v/>
      </c>
      <c r="O91" s="13" t="str">
        <f aca="false">IF(AE91=0,"",AX91)</f>
        <v/>
      </c>
      <c r="P91" s="14"/>
      <c r="Q91" s="12" t="str">
        <f aca="false">IF(AE91=0,"",IF(AG91&lt;2,"",AK91&amp;" to "&amp;AL91&amp;" on "&amp;TEXT(AI91,"dd/mm/yyyy")&amp;IF(AI91&gt;AsOfDate," (future)",IF(AN91=AO91,"",IF(AO91="None"," - STOPPED accruing",IF(AN91="None"," - commencement for Bonus Leave"," - pathway changed"))))&amp;IF(AG91&lt;3,"","; "&amp;AL91&amp;" to "&amp;AM91&amp;" on "&amp;TEXT(AJ91,"dd/mm/yyyy")&amp;IF(AJ91&gt;AsOfDate," (future)",IF(AO91=AP91,"",IF(AP91="None"," - STOPPED accruing",IF(AO91="None"," - commencement for Bonus Leave","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IF(AE91=0,"",IF(NOT(LH_Ready),"",IF(AF91&gt;PFYDate,0,IF(LH_ColPeriod=0,W91-U91+V91,SUMIFS(INDEX(LH_Data,0,LH_ColAcc),INDEX(LH_Data,0,LH_ColFirst),$A91,INDEX(LH_Data,0,LH_ColSur),$B91,INDEX(LH_Data,0,LH_ColCat),BonusCat,INDEX(LH_Data,0,LH_ColPeriod),LH_OpenLabel)*UnitFactor))))</f>
        <v/>
      </c>
      <c r="U91" s="13" t="str">
        <f aca="false">IF(AE91=0,"",IF(NOT(LH_Ready),"",SUMIFS(INDEX(LH_Data,0,LH_ColAcc),INDEX(LH_Data,0,LH_ColFirst),$A91,INDEX(LH_Data,0,LH_ColSur),$B91,INDEX(LH_Data,0,LH_ColCat),BonusCat,INDEX(LH_Data,0,LH_ColStart),"&gt;="&amp;AF91)*UnitFactor))</f>
        <v/>
      </c>
      <c r="V91" s="13" t="str">
        <f aca="false">IF(AE91=0,"",IF(NOT(LH_Ready),"",SUMIFS(INDEX(LH_Data,0,LH_ColTaken),INDEX(LH_Data,0,LH_ColFirst),$A91,INDEX(LH_Data,0,LH_ColSur),$B91,INDEX(LH_Data,0,LH_ColCat),BonusCat,INDEX(LH_Data,0,LH_ColStart),"&gt;="&amp;AF91)*UnitFactor))</f>
        <v/>
      </c>
      <c r="W91" s="13" t="str">
        <f aca="false">IF(AE91=0,"",IF(NOT(LH_Ready),"",IF(BB91=0,0,INDEX(INDEX(LH_Data,0,LH_ColClose),BB91-1)*UnitFactor)))</f>
        <v/>
      </c>
      <c r="X91" s="13" t="str">
        <f aca="false">IF(AE91=0,"",(AX91-AY91)*HoursPerDay)</f>
        <v/>
      </c>
      <c r="Y91" s="13" t="str">
        <f aca="false">IF(AE91=0,"",IF(NOT(LH_Ready),"",IF(BA91=0,N91,IF(PFYDate&lt;$F91,N91-N(T91)-N(U91),X91-N(U91)))))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 hrs more than policy since commencement",IF(N(W91)&gt;O91*HoursPerDay+0.01,"CHECK - EH balance "&amp;ROUND(W91-O91*HoursPerDay,2)&amp;" hrs more than policy entitlement",IF(O91&gt;0,"OK - nothing to add",IF(AQ91="None",R91,"Not yet - first day on "&amp;TEXT(S91,"dd/mm/yyyy")))))))))</f>
        <v/>
      </c>
      <c r="AB91" s="13" t="str">
        <f aca="false">IF(OR(AE91=0,T91=""),"",AY91*HoursPerDay-T91)</f>
        <v/>
      </c>
      <c r="AC91" s="12" t="str">
        <f aca="false">IF(AE91=0,"",BA91)</f>
        <v/>
      </c>
      <c r="AD91" s="12"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IF(AE91=0,"",IF($J91&lt;&gt;"",$J91,IF(OR(CasualCounts="Yes",COUNT($G91:$I91)=0,COUNT($G91:$H91)=0),$F91,MIN($G91:$H91))))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8"/>
      <c r="B92" s="8"/>
      <c r="C92" s="8"/>
      <c r="D92" s="9"/>
      <c r="E92" s="10" t="str">
        <f aca="false">IF(OR(AE92=0,$D92=""),"",DATE(YEAR(AsOfDate)+IF(DATE(YEAR(AsOfDate),MONTH($D92),DAY($D92))&lt;=AsOfDate,1,0),MONTH($D92),DAY($D92)))</f>
        <v/>
      </c>
      <c r="F92" s="9"/>
      <c r="G92" s="9"/>
      <c r="H92" s="9"/>
      <c r="I92" s="9"/>
      <c r="J92" s="9"/>
      <c r="K92" s="10" t="str">
        <f aca="false">IF(AE92=0,"",DATE(YEAR(AsOfDate)+IF(DATE(YEAR(AsOfDate),MONTH(AF92),DAY(AF92))&lt;=AsOfDate,1,0),MONTH(AF92),DAY(AF92)))</f>
        <v/>
      </c>
      <c r="L92" s="11" t="str">
        <f aca="false">IF(AE92=0,"",ROUND((AsOfDate-AF92)/365.25,1))</f>
        <v/>
      </c>
      <c r="M92" s="12" t="str">
        <f aca="false">IF(AE92=0,"",IF(AsOfDate&lt;AF92,"-",DATEDIF(AF92,AsOfDate,"y")&amp;"y "&amp;DATEDIF(AF92,AsOfDate,"ym")&amp;"m "&amp;DATEDIF(AF92,AsOfDate,"md")&amp;"d"))</f>
        <v/>
      </c>
      <c r="N92" s="13" t="str">
        <f aca="false">IF(AE92=0,"",O92*HoursPerDay)</f>
        <v/>
      </c>
      <c r="O92" s="13" t="str">
        <f aca="false">IF(AE92=0,"",AX92)</f>
        <v/>
      </c>
      <c r="P92" s="14"/>
      <c r="Q92" s="12" t="str">
        <f aca="false">IF(AE92=0,"",IF(AG92&lt;2,"",AK92&amp;" to "&amp;AL92&amp;" on "&amp;TEXT(AI92,"dd/mm/yyyy")&amp;IF(AI92&gt;AsOfDate," (future)",IF(AN92=AO92,"",IF(AO92="None"," - STOPPED accruing",IF(AN92="None"," - commencement for Bonus Leave"," - pathway changed"))))&amp;IF(AG92&lt;3,"","; "&amp;AL92&amp;" to "&amp;AM92&amp;" on "&amp;TEXT(AJ92,"dd/mm/yyyy")&amp;IF(AJ92&gt;AsOfDate," (future)",IF(AO92=AP92,"",IF(AP92="None"," - STOPPED accruing",IF(AO92="None"," - commencement for Bonus Leave","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IF(AE92=0,"",IF(NOT(LH_Ready),"",IF(AF92&gt;PFYDate,0,IF(LH_ColPeriod=0,W92-U92+V92,SUMIFS(INDEX(LH_Data,0,LH_ColAcc),INDEX(LH_Data,0,LH_ColFirst),$A92,INDEX(LH_Data,0,LH_ColSur),$B92,INDEX(LH_Data,0,LH_ColCat),BonusCat,INDEX(LH_Data,0,LH_ColPeriod),LH_OpenLabel)*UnitFactor))))</f>
        <v/>
      </c>
      <c r="U92" s="13" t="str">
        <f aca="false">IF(AE92=0,"",IF(NOT(LH_Ready),"",SUMIFS(INDEX(LH_Data,0,LH_ColAcc),INDEX(LH_Data,0,LH_ColFirst),$A92,INDEX(LH_Data,0,LH_ColSur),$B92,INDEX(LH_Data,0,LH_ColCat),BonusCat,INDEX(LH_Data,0,LH_ColStart),"&gt;="&amp;AF92)*UnitFactor))</f>
        <v/>
      </c>
      <c r="V92" s="13" t="str">
        <f aca="false">IF(AE92=0,"",IF(NOT(LH_Ready),"",SUMIFS(INDEX(LH_Data,0,LH_ColTaken),INDEX(LH_Data,0,LH_ColFirst),$A92,INDEX(LH_Data,0,LH_ColSur),$B92,INDEX(LH_Data,0,LH_ColCat),BonusCat,INDEX(LH_Data,0,LH_ColStart),"&gt;="&amp;AF92)*UnitFactor))</f>
        <v/>
      </c>
      <c r="W92" s="13" t="str">
        <f aca="false">IF(AE92=0,"",IF(NOT(LH_Ready),"",IF(BB92=0,0,INDEX(INDEX(LH_Data,0,LH_ColClose),BB92-1)*UnitFactor)))</f>
        <v/>
      </c>
      <c r="X92" s="13" t="str">
        <f aca="false">IF(AE92=0,"",(AX92-AY92)*HoursPerDay)</f>
        <v/>
      </c>
      <c r="Y92" s="13" t="str">
        <f aca="false">IF(AE92=0,"",IF(NOT(LH_Ready),"",IF(BA92=0,N92,IF(PFYDate&lt;$F92,N92-N(T92)-N(U92),X92-N(U92)))))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 hrs more than policy since commencement",IF(N(W92)&gt;O92*HoursPerDay+0.01,"CHECK - EH balance "&amp;ROUND(W92-O92*HoursPerDay,2)&amp;" hrs more than policy entitlement",IF(O92&gt;0,"OK - nothing to add",IF(AQ92="None",R92,"Not yet - first day on "&amp;TEXT(S92,"dd/mm/yyyy")))))))))</f>
        <v/>
      </c>
      <c r="AB92" s="13" t="str">
        <f aca="false">IF(OR(AE92=0,T92=""),"",AY92*HoursPerDay-T92)</f>
        <v/>
      </c>
      <c r="AC92" s="12" t="str">
        <f aca="false">IF(AE92=0,"",BA92)</f>
        <v/>
      </c>
      <c r="AD92" s="12"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IF(AE92=0,"",IF($J92&lt;&gt;"",$J92,IF(OR(CasualCounts="Yes",COUNT($G92:$I92)=0,COUNT($G92:$H92)=0),$F92,MIN($G92:$H92))))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8"/>
      <c r="B93" s="8"/>
      <c r="C93" s="8"/>
      <c r="D93" s="9"/>
      <c r="E93" s="10" t="str">
        <f aca="false">IF(OR(AE93=0,$D93=""),"",DATE(YEAR(AsOfDate)+IF(DATE(YEAR(AsOfDate),MONTH($D93),DAY($D93))&lt;=AsOfDate,1,0),MONTH($D93),DAY($D93)))</f>
        <v/>
      </c>
      <c r="F93" s="9"/>
      <c r="G93" s="9"/>
      <c r="H93" s="9"/>
      <c r="I93" s="9"/>
      <c r="J93" s="9"/>
      <c r="K93" s="10" t="str">
        <f aca="false">IF(AE93=0,"",DATE(YEAR(AsOfDate)+IF(DATE(YEAR(AsOfDate),MONTH(AF93),DAY(AF93))&lt;=AsOfDate,1,0),MONTH(AF93),DAY(AF93)))</f>
        <v/>
      </c>
      <c r="L93" s="11" t="str">
        <f aca="false">IF(AE93=0,"",ROUND((AsOfDate-AF93)/365.25,1))</f>
        <v/>
      </c>
      <c r="M93" s="12" t="str">
        <f aca="false">IF(AE93=0,"",IF(AsOfDate&lt;AF93,"-",DATEDIF(AF93,AsOfDate,"y")&amp;"y "&amp;DATEDIF(AF93,AsOfDate,"ym")&amp;"m "&amp;DATEDIF(AF93,AsOfDate,"md")&amp;"d"))</f>
        <v/>
      </c>
      <c r="N93" s="13" t="str">
        <f aca="false">IF(AE93=0,"",O93*HoursPerDay)</f>
        <v/>
      </c>
      <c r="O93" s="13" t="str">
        <f aca="false">IF(AE93=0,"",AX93)</f>
        <v/>
      </c>
      <c r="P93" s="14"/>
      <c r="Q93" s="12" t="str">
        <f aca="false">IF(AE93=0,"",IF(AG93&lt;2,"",AK93&amp;" to "&amp;AL93&amp;" on "&amp;TEXT(AI93,"dd/mm/yyyy")&amp;IF(AI93&gt;AsOfDate," (future)",IF(AN93=AO93,"",IF(AO93="None"," - STOPPED accruing",IF(AN93="None"," - commencement for Bonus Leave"," - pathway changed"))))&amp;IF(AG93&lt;3,"","; "&amp;AL93&amp;" to "&amp;AM93&amp;" on "&amp;TEXT(AJ93,"dd/mm/yyyy")&amp;IF(AJ93&gt;AsOfDate," (future)",IF(AO93=AP93,"",IF(AP93="None"," - STOPPED accruing",IF(AO93="None"," - commencement for Bonus Leave","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IF(AE93=0,"",IF(NOT(LH_Ready),"",IF(AF93&gt;PFYDate,0,IF(LH_ColPeriod=0,W93-U93+V93,SUMIFS(INDEX(LH_Data,0,LH_ColAcc),INDEX(LH_Data,0,LH_ColFirst),$A93,INDEX(LH_Data,0,LH_ColSur),$B93,INDEX(LH_Data,0,LH_ColCat),BonusCat,INDEX(LH_Data,0,LH_ColPeriod),LH_OpenLabel)*UnitFactor))))</f>
        <v/>
      </c>
      <c r="U93" s="13" t="str">
        <f aca="false">IF(AE93=0,"",IF(NOT(LH_Ready),"",SUMIFS(INDEX(LH_Data,0,LH_ColAcc),INDEX(LH_Data,0,LH_ColFirst),$A93,INDEX(LH_Data,0,LH_ColSur),$B93,INDEX(LH_Data,0,LH_ColCat),BonusCat,INDEX(LH_Data,0,LH_ColStart),"&gt;="&amp;AF93)*UnitFactor))</f>
        <v/>
      </c>
      <c r="V93" s="13" t="str">
        <f aca="false">IF(AE93=0,"",IF(NOT(LH_Ready),"",SUMIFS(INDEX(LH_Data,0,LH_ColTaken),INDEX(LH_Data,0,LH_ColFirst),$A93,INDEX(LH_Data,0,LH_ColSur),$B93,INDEX(LH_Data,0,LH_ColCat),BonusCat,INDEX(LH_Data,0,LH_ColStart),"&gt;="&amp;AF93)*UnitFactor))</f>
        <v/>
      </c>
      <c r="W93" s="13" t="str">
        <f aca="false">IF(AE93=0,"",IF(NOT(LH_Ready),"",IF(BB93=0,0,INDEX(INDEX(LH_Data,0,LH_ColClose),BB93-1)*UnitFactor)))</f>
        <v/>
      </c>
      <c r="X93" s="13" t="str">
        <f aca="false">IF(AE93=0,"",(AX93-AY93)*HoursPerDay)</f>
        <v/>
      </c>
      <c r="Y93" s="13" t="str">
        <f aca="false">IF(AE93=0,"",IF(NOT(LH_Ready),"",IF(BA93=0,N93,IF(PFYDate&lt;$F93,N93-N(T93)-N(U93),X93-N(U93)))))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 hrs more than policy since commencement",IF(N(W93)&gt;O93*HoursPerDay+0.01,"CHECK - EH balance "&amp;ROUND(W93-O93*HoursPerDay,2)&amp;" hrs more than policy entitlement",IF(O93&gt;0,"OK - nothing to add",IF(AQ93="None",R93,"Not yet - first day on "&amp;TEXT(S93,"dd/mm/yyyy")))))))))</f>
        <v/>
      </c>
      <c r="AB93" s="13" t="str">
        <f aca="false">IF(OR(AE93=0,T93=""),"",AY93*HoursPerDay-T93)</f>
        <v/>
      </c>
      <c r="AC93" s="12" t="str">
        <f aca="false">IF(AE93=0,"",BA93)</f>
        <v/>
      </c>
      <c r="AD93" s="12"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IF(AE93=0,"",IF($J93&lt;&gt;"",$J93,IF(OR(CasualCounts="Yes",COUNT($G93:$I93)=0,COUNT($G93:$H93)=0),$F93,MIN($G93:$H93))))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8"/>
      <c r="B94" s="8"/>
      <c r="C94" s="8"/>
      <c r="D94" s="9"/>
      <c r="E94" s="10" t="str">
        <f aca="false">IF(OR(AE94=0,$D94=""),"",DATE(YEAR(AsOfDate)+IF(DATE(YEAR(AsOfDate),MONTH($D94),DAY($D94))&lt;=AsOfDate,1,0),MONTH($D94),DAY($D94)))</f>
        <v/>
      </c>
      <c r="F94" s="9"/>
      <c r="G94" s="9"/>
      <c r="H94" s="9"/>
      <c r="I94" s="9"/>
      <c r="J94" s="9"/>
      <c r="K94" s="10" t="str">
        <f aca="false">IF(AE94=0,"",DATE(YEAR(AsOfDate)+IF(DATE(YEAR(AsOfDate),MONTH(AF94),DAY(AF94))&lt;=AsOfDate,1,0),MONTH(AF94),DAY(AF94)))</f>
        <v/>
      </c>
      <c r="L94" s="11" t="str">
        <f aca="false">IF(AE94=0,"",ROUND((AsOfDate-AF94)/365.25,1))</f>
        <v/>
      </c>
      <c r="M94" s="12" t="str">
        <f aca="false">IF(AE94=0,"",IF(AsOfDate&lt;AF94,"-",DATEDIF(AF94,AsOfDate,"y")&amp;"y "&amp;DATEDIF(AF94,AsOfDate,"ym")&amp;"m "&amp;DATEDIF(AF94,AsOfDate,"md")&amp;"d"))</f>
        <v/>
      </c>
      <c r="N94" s="13" t="str">
        <f aca="false">IF(AE94=0,"",O94*HoursPerDay)</f>
        <v/>
      </c>
      <c r="O94" s="13" t="str">
        <f aca="false">IF(AE94=0,"",AX94)</f>
        <v/>
      </c>
      <c r="P94" s="14"/>
      <c r="Q94" s="12" t="str">
        <f aca="false">IF(AE94=0,"",IF(AG94&lt;2,"",AK94&amp;" to "&amp;AL94&amp;" on "&amp;TEXT(AI94,"dd/mm/yyyy")&amp;IF(AI94&gt;AsOfDate," (future)",IF(AN94=AO94,"",IF(AO94="None"," - STOPPED accruing",IF(AN94="None"," - commencement for Bonus Leave"," - pathway changed"))))&amp;IF(AG94&lt;3,"","; "&amp;AL94&amp;" to "&amp;AM94&amp;" on "&amp;TEXT(AJ94,"dd/mm/yyyy")&amp;IF(AJ94&gt;AsOfDate," (future)",IF(AO94=AP94,"",IF(AP94="None"," - STOPPED accruing",IF(AO94="None"," - commencement for Bonus Leave","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IF(AE94=0,"",IF(NOT(LH_Ready),"",IF(AF94&gt;PFYDate,0,IF(LH_ColPeriod=0,W94-U94+V94,SUMIFS(INDEX(LH_Data,0,LH_ColAcc),INDEX(LH_Data,0,LH_ColFirst),$A94,INDEX(LH_Data,0,LH_ColSur),$B94,INDEX(LH_Data,0,LH_ColCat),BonusCat,INDEX(LH_Data,0,LH_ColPeriod),LH_OpenLabel)*UnitFactor))))</f>
        <v/>
      </c>
      <c r="U94" s="13" t="str">
        <f aca="false">IF(AE94=0,"",IF(NOT(LH_Ready),"",SUMIFS(INDEX(LH_Data,0,LH_ColAcc),INDEX(LH_Data,0,LH_ColFirst),$A94,INDEX(LH_Data,0,LH_ColSur),$B94,INDEX(LH_Data,0,LH_ColCat),BonusCat,INDEX(LH_Data,0,LH_ColStart),"&gt;="&amp;AF94)*UnitFactor))</f>
        <v/>
      </c>
      <c r="V94" s="13" t="str">
        <f aca="false">IF(AE94=0,"",IF(NOT(LH_Ready),"",SUMIFS(INDEX(LH_Data,0,LH_ColTaken),INDEX(LH_Data,0,LH_ColFirst),$A94,INDEX(LH_Data,0,LH_ColSur),$B94,INDEX(LH_Data,0,LH_ColCat),BonusCat,INDEX(LH_Data,0,LH_ColStart),"&gt;="&amp;AF94)*UnitFactor))</f>
        <v/>
      </c>
      <c r="W94" s="13" t="str">
        <f aca="false">IF(AE94=0,"",IF(NOT(LH_Ready),"",IF(BB94=0,0,INDEX(INDEX(LH_Data,0,LH_ColClose),BB94-1)*UnitFactor)))</f>
        <v/>
      </c>
      <c r="X94" s="13" t="str">
        <f aca="false">IF(AE94=0,"",(AX94-AY94)*HoursPerDay)</f>
        <v/>
      </c>
      <c r="Y94" s="13" t="str">
        <f aca="false">IF(AE94=0,"",IF(NOT(LH_Ready),"",IF(BA94=0,N94,IF(PFYDate&lt;$F94,N94-N(T94)-N(U94),X94-N(U94)))))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 hrs more than policy since commencement",IF(N(W94)&gt;O94*HoursPerDay+0.01,"CHECK - EH balance "&amp;ROUND(W94-O94*HoursPerDay,2)&amp;" hrs more than policy entitlement",IF(O94&gt;0,"OK - nothing to add",IF(AQ94="None",R94,"Not yet - first day on "&amp;TEXT(S94,"dd/mm/yyyy")))))))))</f>
        <v/>
      </c>
      <c r="AB94" s="13" t="str">
        <f aca="false">IF(OR(AE94=0,T94=""),"",AY94*HoursPerDay-T94)</f>
        <v/>
      </c>
      <c r="AC94" s="12" t="str">
        <f aca="false">IF(AE94=0,"",BA94)</f>
        <v/>
      </c>
      <c r="AD94" s="12"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IF(AE94=0,"",IF($J94&lt;&gt;"",$J94,IF(OR(CasualCounts="Yes",COUNT($G94:$I94)=0,COUNT($G94:$H94)=0),$F94,MIN($G94:$H94))))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8"/>
      <c r="B95" s="8"/>
      <c r="C95" s="8"/>
      <c r="D95" s="9"/>
      <c r="E95" s="10" t="str">
        <f aca="false">IF(OR(AE95=0,$D95=""),"",DATE(YEAR(AsOfDate)+IF(DATE(YEAR(AsOfDate),MONTH($D95),DAY($D95))&lt;=AsOfDate,1,0),MONTH($D95),DAY($D95)))</f>
        <v/>
      </c>
      <c r="F95" s="9"/>
      <c r="G95" s="9"/>
      <c r="H95" s="9"/>
      <c r="I95" s="9"/>
      <c r="J95" s="9"/>
      <c r="K95" s="10" t="str">
        <f aca="false">IF(AE95=0,"",DATE(YEAR(AsOfDate)+IF(DATE(YEAR(AsOfDate),MONTH(AF95),DAY(AF95))&lt;=AsOfDate,1,0),MONTH(AF95),DAY(AF95)))</f>
        <v/>
      </c>
      <c r="L95" s="11" t="str">
        <f aca="false">IF(AE95=0,"",ROUND((AsOfDate-AF95)/365.25,1))</f>
        <v/>
      </c>
      <c r="M95" s="12" t="str">
        <f aca="false">IF(AE95=0,"",IF(AsOfDate&lt;AF95,"-",DATEDIF(AF95,AsOfDate,"y")&amp;"y "&amp;DATEDIF(AF95,AsOfDate,"ym")&amp;"m "&amp;DATEDIF(AF95,AsOfDate,"md")&amp;"d"))</f>
        <v/>
      </c>
      <c r="N95" s="13" t="str">
        <f aca="false">IF(AE95=0,"",O95*HoursPerDay)</f>
        <v/>
      </c>
      <c r="O95" s="13" t="str">
        <f aca="false">IF(AE95=0,"",AX95)</f>
        <v/>
      </c>
      <c r="P95" s="14"/>
      <c r="Q95" s="12" t="str">
        <f aca="false">IF(AE95=0,"",IF(AG95&lt;2,"",AK95&amp;" to "&amp;AL95&amp;" on "&amp;TEXT(AI95,"dd/mm/yyyy")&amp;IF(AI95&gt;AsOfDate," (future)",IF(AN95=AO95,"",IF(AO95="None"," - STOPPED accruing",IF(AN95="None"," - commencement for Bonus Leave"," - pathway changed"))))&amp;IF(AG95&lt;3,"","; "&amp;AL95&amp;" to "&amp;AM95&amp;" on "&amp;TEXT(AJ95,"dd/mm/yyyy")&amp;IF(AJ95&gt;AsOfDate," (future)",IF(AO95=AP95,"",IF(AP95="None"," - STOPPED accruing",IF(AO95="None"," - commencement for Bonus Leave","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IF(AE95=0,"",IF(NOT(LH_Ready),"",IF(AF95&gt;PFYDate,0,IF(LH_ColPeriod=0,W95-U95+V95,SUMIFS(INDEX(LH_Data,0,LH_ColAcc),INDEX(LH_Data,0,LH_ColFirst),$A95,INDEX(LH_Data,0,LH_ColSur),$B95,INDEX(LH_Data,0,LH_ColCat),BonusCat,INDEX(LH_Data,0,LH_ColPeriod),LH_OpenLabel)*UnitFactor))))</f>
        <v/>
      </c>
      <c r="U95" s="13" t="str">
        <f aca="false">IF(AE95=0,"",IF(NOT(LH_Ready),"",SUMIFS(INDEX(LH_Data,0,LH_ColAcc),INDEX(LH_Data,0,LH_ColFirst),$A95,INDEX(LH_Data,0,LH_ColSur),$B95,INDEX(LH_Data,0,LH_ColCat),BonusCat,INDEX(LH_Data,0,LH_ColStart),"&gt;="&amp;AF95)*UnitFactor))</f>
        <v/>
      </c>
      <c r="V95" s="13" t="str">
        <f aca="false">IF(AE95=0,"",IF(NOT(LH_Ready),"",SUMIFS(INDEX(LH_Data,0,LH_ColTaken),INDEX(LH_Data,0,LH_ColFirst),$A95,INDEX(LH_Data,0,LH_ColSur),$B95,INDEX(LH_Data,0,LH_ColCat),BonusCat,INDEX(LH_Data,0,LH_ColStart),"&gt;="&amp;AF95)*UnitFactor))</f>
        <v/>
      </c>
      <c r="W95" s="13" t="str">
        <f aca="false">IF(AE95=0,"",IF(NOT(LH_Ready),"",IF(BB95=0,0,INDEX(INDEX(LH_Data,0,LH_ColClose),BB95-1)*UnitFactor)))</f>
        <v/>
      </c>
      <c r="X95" s="13" t="str">
        <f aca="false">IF(AE95=0,"",(AX95-AY95)*HoursPerDay)</f>
        <v/>
      </c>
      <c r="Y95" s="13" t="str">
        <f aca="false">IF(AE95=0,"",IF(NOT(LH_Ready),"",IF(BA95=0,N95,IF(PFYDate&lt;$F95,N95-N(T95)-N(U95),X95-N(U95)))))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 hrs more than policy since commencement",IF(N(W95)&gt;O95*HoursPerDay+0.01,"CHECK - EH balance "&amp;ROUND(W95-O95*HoursPerDay,2)&amp;" hrs more than policy entitlement",IF(O95&gt;0,"OK - nothing to add",IF(AQ95="None",R95,"Not yet - first day on "&amp;TEXT(S95,"dd/mm/yyyy")))))))))</f>
        <v/>
      </c>
      <c r="AB95" s="13" t="str">
        <f aca="false">IF(OR(AE95=0,T95=""),"",AY95*HoursPerDay-T95)</f>
        <v/>
      </c>
      <c r="AC95" s="12" t="str">
        <f aca="false">IF(AE95=0,"",BA95)</f>
        <v/>
      </c>
      <c r="AD95" s="12"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IF(AE95=0,"",IF($J95&lt;&gt;"",$J95,IF(OR(CasualCounts="Yes",COUNT($G95:$I95)=0,COUNT($G95:$H95)=0),$F95,MIN($G95:$H95))))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8"/>
      <c r="B96" s="8"/>
      <c r="C96" s="8"/>
      <c r="D96" s="9"/>
      <c r="E96" s="10" t="str">
        <f aca="false">IF(OR(AE96=0,$D96=""),"",DATE(YEAR(AsOfDate)+IF(DATE(YEAR(AsOfDate),MONTH($D96),DAY($D96))&lt;=AsOfDate,1,0),MONTH($D96),DAY($D96)))</f>
        <v/>
      </c>
      <c r="F96" s="9"/>
      <c r="G96" s="9"/>
      <c r="H96" s="9"/>
      <c r="I96" s="9"/>
      <c r="J96" s="9"/>
      <c r="K96" s="10" t="str">
        <f aca="false">IF(AE96=0,"",DATE(YEAR(AsOfDate)+IF(DATE(YEAR(AsOfDate),MONTH(AF96),DAY(AF96))&lt;=AsOfDate,1,0),MONTH(AF96),DAY(AF96)))</f>
        <v/>
      </c>
      <c r="L96" s="11" t="str">
        <f aca="false">IF(AE96=0,"",ROUND((AsOfDate-AF96)/365.25,1))</f>
        <v/>
      </c>
      <c r="M96" s="12" t="str">
        <f aca="false">IF(AE96=0,"",IF(AsOfDate&lt;AF96,"-",DATEDIF(AF96,AsOfDate,"y")&amp;"y "&amp;DATEDIF(AF96,AsOfDate,"ym")&amp;"m "&amp;DATEDIF(AF96,AsOfDate,"md")&amp;"d"))</f>
        <v/>
      </c>
      <c r="N96" s="13" t="str">
        <f aca="false">IF(AE96=0,"",O96*HoursPerDay)</f>
        <v/>
      </c>
      <c r="O96" s="13" t="str">
        <f aca="false">IF(AE96=0,"",AX96)</f>
        <v/>
      </c>
      <c r="P96" s="14"/>
      <c r="Q96" s="12" t="str">
        <f aca="false">IF(AE96=0,"",IF(AG96&lt;2,"",AK96&amp;" to "&amp;AL96&amp;" on "&amp;TEXT(AI96,"dd/mm/yyyy")&amp;IF(AI96&gt;AsOfDate," (future)",IF(AN96=AO96,"",IF(AO96="None"," - STOPPED accruing",IF(AN96="None"," - commencement for Bonus Leave"," - pathway changed"))))&amp;IF(AG96&lt;3,"","; "&amp;AL96&amp;" to "&amp;AM96&amp;" on "&amp;TEXT(AJ96,"dd/mm/yyyy")&amp;IF(AJ96&gt;AsOfDate," (future)",IF(AO96=AP96,"",IF(AP96="None"," - STOPPED accruing",IF(AO96="None"," - commencement for Bonus Leave","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IF(AE96=0,"",IF(NOT(LH_Ready),"",IF(AF96&gt;PFYDate,0,IF(LH_ColPeriod=0,W96-U96+V96,SUMIFS(INDEX(LH_Data,0,LH_ColAcc),INDEX(LH_Data,0,LH_ColFirst),$A96,INDEX(LH_Data,0,LH_ColSur),$B96,INDEX(LH_Data,0,LH_ColCat),BonusCat,INDEX(LH_Data,0,LH_ColPeriod),LH_OpenLabel)*UnitFactor))))</f>
        <v/>
      </c>
      <c r="U96" s="13" t="str">
        <f aca="false">IF(AE96=0,"",IF(NOT(LH_Ready),"",SUMIFS(INDEX(LH_Data,0,LH_ColAcc),INDEX(LH_Data,0,LH_ColFirst),$A96,INDEX(LH_Data,0,LH_ColSur),$B96,INDEX(LH_Data,0,LH_ColCat),BonusCat,INDEX(LH_Data,0,LH_ColStart),"&gt;="&amp;AF96)*UnitFactor))</f>
        <v/>
      </c>
      <c r="V96" s="13" t="str">
        <f aca="false">IF(AE96=0,"",IF(NOT(LH_Ready),"",SUMIFS(INDEX(LH_Data,0,LH_ColTaken),INDEX(LH_Data,0,LH_ColFirst),$A96,INDEX(LH_Data,0,LH_ColSur),$B96,INDEX(LH_Data,0,LH_ColCat),BonusCat,INDEX(LH_Data,0,LH_ColStart),"&gt;="&amp;AF96)*UnitFactor))</f>
        <v/>
      </c>
      <c r="W96" s="13" t="str">
        <f aca="false">IF(AE96=0,"",IF(NOT(LH_Ready),"",IF(BB96=0,0,INDEX(INDEX(LH_Data,0,LH_ColClose),BB96-1)*UnitFactor)))</f>
        <v/>
      </c>
      <c r="X96" s="13" t="str">
        <f aca="false">IF(AE96=0,"",(AX96-AY96)*HoursPerDay)</f>
        <v/>
      </c>
      <c r="Y96" s="13" t="str">
        <f aca="false">IF(AE96=0,"",IF(NOT(LH_Ready),"",IF(BA96=0,N96,IF(PFYDate&lt;$F96,N96-N(T96)-N(U96),X96-N(U96)))))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 hrs more than policy since commencement",IF(N(W96)&gt;O96*HoursPerDay+0.01,"CHECK - EH balance "&amp;ROUND(W96-O96*HoursPerDay,2)&amp;" hrs more than policy entitlement",IF(O96&gt;0,"OK - nothing to add",IF(AQ96="None",R96,"Not yet - first day on "&amp;TEXT(S96,"dd/mm/yyyy")))))))))</f>
        <v/>
      </c>
      <c r="AB96" s="13" t="str">
        <f aca="false">IF(OR(AE96=0,T96=""),"",AY96*HoursPerDay-T96)</f>
        <v/>
      </c>
      <c r="AC96" s="12" t="str">
        <f aca="false">IF(AE96=0,"",BA96)</f>
        <v/>
      </c>
      <c r="AD96" s="12"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IF(AE96=0,"",IF($J96&lt;&gt;"",$J96,IF(OR(CasualCounts="Yes",COUNT($G96:$I96)=0,COUNT($G96:$H96)=0),$F96,MIN($G96:$H96))))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8"/>
      <c r="B97" s="8"/>
      <c r="C97" s="8"/>
      <c r="D97" s="9"/>
      <c r="E97" s="10" t="str">
        <f aca="false">IF(OR(AE97=0,$D97=""),"",DATE(YEAR(AsOfDate)+IF(DATE(YEAR(AsOfDate),MONTH($D97),DAY($D97))&lt;=AsOfDate,1,0),MONTH($D97),DAY($D97)))</f>
        <v/>
      </c>
      <c r="F97" s="9"/>
      <c r="G97" s="9"/>
      <c r="H97" s="9"/>
      <c r="I97" s="9"/>
      <c r="J97" s="9"/>
      <c r="K97" s="10" t="str">
        <f aca="false">IF(AE97=0,"",DATE(YEAR(AsOfDate)+IF(DATE(YEAR(AsOfDate),MONTH(AF97),DAY(AF97))&lt;=AsOfDate,1,0),MONTH(AF97),DAY(AF97)))</f>
        <v/>
      </c>
      <c r="L97" s="11" t="str">
        <f aca="false">IF(AE97=0,"",ROUND((AsOfDate-AF97)/365.25,1))</f>
        <v/>
      </c>
      <c r="M97" s="12" t="str">
        <f aca="false">IF(AE97=0,"",IF(AsOfDate&lt;AF97,"-",DATEDIF(AF97,AsOfDate,"y")&amp;"y "&amp;DATEDIF(AF97,AsOfDate,"ym")&amp;"m "&amp;DATEDIF(AF97,AsOfDate,"md")&amp;"d"))</f>
        <v/>
      </c>
      <c r="N97" s="13" t="str">
        <f aca="false">IF(AE97=0,"",O97*HoursPerDay)</f>
        <v/>
      </c>
      <c r="O97" s="13" t="str">
        <f aca="false">IF(AE97=0,"",AX97)</f>
        <v/>
      </c>
      <c r="P97" s="14"/>
      <c r="Q97" s="12" t="str">
        <f aca="false">IF(AE97=0,"",IF(AG97&lt;2,"",AK97&amp;" to "&amp;AL97&amp;" on "&amp;TEXT(AI97,"dd/mm/yyyy")&amp;IF(AI97&gt;AsOfDate," (future)",IF(AN97=AO97,"",IF(AO97="None"," - STOPPED accruing",IF(AN97="None"," - commencement for Bonus Leave"," - pathway changed"))))&amp;IF(AG97&lt;3,"","; "&amp;AL97&amp;" to "&amp;AM97&amp;" on "&amp;TEXT(AJ97,"dd/mm/yyyy")&amp;IF(AJ97&gt;AsOfDate," (future)",IF(AO97=AP97,"",IF(AP97="None"," - STOPPED accruing",IF(AO97="None"," - commencement for Bonus Leave","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IF(AE97=0,"",IF(NOT(LH_Ready),"",IF(AF97&gt;PFYDate,0,IF(LH_ColPeriod=0,W97-U97+V97,SUMIFS(INDEX(LH_Data,0,LH_ColAcc),INDEX(LH_Data,0,LH_ColFirst),$A97,INDEX(LH_Data,0,LH_ColSur),$B97,INDEX(LH_Data,0,LH_ColCat),BonusCat,INDEX(LH_Data,0,LH_ColPeriod),LH_OpenLabel)*UnitFactor))))</f>
        <v/>
      </c>
      <c r="U97" s="13" t="str">
        <f aca="false">IF(AE97=0,"",IF(NOT(LH_Ready),"",SUMIFS(INDEX(LH_Data,0,LH_ColAcc),INDEX(LH_Data,0,LH_ColFirst),$A97,INDEX(LH_Data,0,LH_ColSur),$B97,INDEX(LH_Data,0,LH_ColCat),BonusCat,INDEX(LH_Data,0,LH_ColStart),"&gt;="&amp;AF97)*UnitFactor))</f>
        <v/>
      </c>
      <c r="V97" s="13" t="str">
        <f aca="false">IF(AE97=0,"",IF(NOT(LH_Ready),"",SUMIFS(INDEX(LH_Data,0,LH_ColTaken),INDEX(LH_Data,0,LH_ColFirst),$A97,INDEX(LH_Data,0,LH_ColSur),$B97,INDEX(LH_Data,0,LH_ColCat),BonusCat,INDEX(LH_Data,0,LH_ColStart),"&gt;="&amp;AF97)*UnitFactor))</f>
        <v/>
      </c>
      <c r="W97" s="13" t="str">
        <f aca="false">IF(AE97=0,"",IF(NOT(LH_Ready),"",IF(BB97=0,0,INDEX(INDEX(LH_Data,0,LH_ColClose),BB97-1)*UnitFactor)))</f>
        <v/>
      </c>
      <c r="X97" s="13" t="str">
        <f aca="false">IF(AE97=0,"",(AX97-AY97)*HoursPerDay)</f>
        <v/>
      </c>
      <c r="Y97" s="13" t="str">
        <f aca="false">IF(AE97=0,"",IF(NOT(LH_Ready),"",IF(BA97=0,N97,IF(PFYDate&lt;$F97,N97-N(T97)-N(U97),X97-N(U97)))))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 hrs more than policy since commencement",IF(N(W97)&gt;O97*HoursPerDay+0.01,"CHECK - EH balance "&amp;ROUND(W97-O97*HoursPerDay,2)&amp;" hrs more than policy entitlement",IF(O97&gt;0,"OK - nothing to add",IF(AQ97="None",R97,"Not yet - first day on "&amp;TEXT(S97,"dd/mm/yyyy")))))))))</f>
        <v/>
      </c>
      <c r="AB97" s="13" t="str">
        <f aca="false">IF(OR(AE97=0,T97=""),"",AY97*HoursPerDay-T97)</f>
        <v/>
      </c>
      <c r="AC97" s="12" t="str">
        <f aca="false">IF(AE97=0,"",BA97)</f>
        <v/>
      </c>
      <c r="AD97" s="12"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IF(AE97=0,"",IF($J97&lt;&gt;"",$J97,IF(OR(CasualCounts="Yes",COUNT($G97:$I97)=0,COUNT($G97:$H97)=0),$F97,MIN($G97:$H97))))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8"/>
      <c r="B98" s="8"/>
      <c r="C98" s="8"/>
      <c r="D98" s="9"/>
      <c r="E98" s="10" t="str">
        <f aca="false">IF(OR(AE98=0,$D98=""),"",DATE(YEAR(AsOfDate)+IF(DATE(YEAR(AsOfDate),MONTH($D98),DAY($D98))&lt;=AsOfDate,1,0),MONTH($D98),DAY($D98)))</f>
        <v/>
      </c>
      <c r="F98" s="9"/>
      <c r="G98" s="9"/>
      <c r="H98" s="9"/>
      <c r="I98" s="9"/>
      <c r="J98" s="9"/>
      <c r="K98" s="10" t="str">
        <f aca="false">IF(AE98=0,"",DATE(YEAR(AsOfDate)+IF(DATE(YEAR(AsOfDate),MONTH(AF98),DAY(AF98))&lt;=AsOfDate,1,0),MONTH(AF98),DAY(AF98)))</f>
        <v/>
      </c>
      <c r="L98" s="11" t="str">
        <f aca="false">IF(AE98=0,"",ROUND((AsOfDate-AF98)/365.25,1))</f>
        <v/>
      </c>
      <c r="M98" s="12" t="str">
        <f aca="false">IF(AE98=0,"",IF(AsOfDate&lt;AF98,"-",DATEDIF(AF98,AsOfDate,"y")&amp;"y "&amp;DATEDIF(AF98,AsOfDate,"ym")&amp;"m "&amp;DATEDIF(AF98,AsOfDate,"md")&amp;"d"))</f>
        <v/>
      </c>
      <c r="N98" s="13" t="str">
        <f aca="false">IF(AE98=0,"",O98*HoursPerDay)</f>
        <v/>
      </c>
      <c r="O98" s="13" t="str">
        <f aca="false">IF(AE98=0,"",AX98)</f>
        <v/>
      </c>
      <c r="P98" s="14"/>
      <c r="Q98" s="12" t="str">
        <f aca="false">IF(AE98=0,"",IF(AG98&lt;2,"",AK98&amp;" to "&amp;AL98&amp;" on "&amp;TEXT(AI98,"dd/mm/yyyy")&amp;IF(AI98&gt;AsOfDate," (future)",IF(AN98=AO98,"",IF(AO98="None"," - STOPPED accruing",IF(AN98="None"," - commencement for Bonus Leave"," - pathway changed"))))&amp;IF(AG98&lt;3,"","; "&amp;AL98&amp;" to "&amp;AM98&amp;" on "&amp;TEXT(AJ98,"dd/mm/yyyy")&amp;IF(AJ98&gt;AsOfDate," (future)",IF(AO98=AP98,"",IF(AP98="None"," - STOPPED accruing",IF(AO98="None"," - commencement for Bonus Leave","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IF(AE98=0,"",IF(NOT(LH_Ready),"",IF(AF98&gt;PFYDate,0,IF(LH_ColPeriod=0,W98-U98+V98,SUMIFS(INDEX(LH_Data,0,LH_ColAcc),INDEX(LH_Data,0,LH_ColFirst),$A98,INDEX(LH_Data,0,LH_ColSur),$B98,INDEX(LH_Data,0,LH_ColCat),BonusCat,INDEX(LH_Data,0,LH_ColPeriod),LH_OpenLabel)*UnitFactor))))</f>
        <v/>
      </c>
      <c r="U98" s="13" t="str">
        <f aca="false">IF(AE98=0,"",IF(NOT(LH_Ready),"",SUMIFS(INDEX(LH_Data,0,LH_ColAcc),INDEX(LH_Data,0,LH_ColFirst),$A98,INDEX(LH_Data,0,LH_ColSur),$B98,INDEX(LH_Data,0,LH_ColCat),BonusCat,INDEX(LH_Data,0,LH_ColStart),"&gt;="&amp;AF98)*UnitFactor))</f>
        <v/>
      </c>
      <c r="V98" s="13" t="str">
        <f aca="false">IF(AE98=0,"",IF(NOT(LH_Ready),"",SUMIFS(INDEX(LH_Data,0,LH_ColTaken),INDEX(LH_Data,0,LH_ColFirst),$A98,INDEX(LH_Data,0,LH_ColSur),$B98,INDEX(LH_Data,0,LH_ColCat),BonusCat,INDEX(LH_Data,0,LH_ColStart),"&gt;="&amp;AF98)*UnitFactor))</f>
        <v/>
      </c>
      <c r="W98" s="13" t="str">
        <f aca="false">IF(AE98=0,"",IF(NOT(LH_Ready),"",IF(BB98=0,0,INDEX(INDEX(LH_Data,0,LH_ColClose),BB98-1)*UnitFactor)))</f>
        <v/>
      </c>
      <c r="X98" s="13" t="str">
        <f aca="false">IF(AE98=0,"",(AX98-AY98)*HoursPerDay)</f>
        <v/>
      </c>
      <c r="Y98" s="13" t="str">
        <f aca="false">IF(AE98=0,"",IF(NOT(LH_Ready),"",IF(BA98=0,N98,IF(PFYDate&lt;$F98,N98-N(T98)-N(U98),X98-N(U98)))))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 hrs more than policy since commencement",IF(N(W98)&gt;O98*HoursPerDay+0.01,"CHECK - EH balance "&amp;ROUND(W98-O98*HoursPerDay,2)&amp;" hrs more than policy entitlement",IF(O98&gt;0,"OK - nothing to add",IF(AQ98="None",R98,"Not yet - first day on "&amp;TEXT(S98,"dd/mm/yyyy")))))))))</f>
        <v/>
      </c>
      <c r="AB98" s="13" t="str">
        <f aca="false">IF(OR(AE98=0,T98=""),"",AY98*HoursPerDay-T98)</f>
        <v/>
      </c>
      <c r="AC98" s="12" t="str">
        <f aca="false">IF(AE98=0,"",BA98)</f>
        <v/>
      </c>
      <c r="AD98" s="12"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IF(AE98=0,"",IF($J98&lt;&gt;"",$J98,IF(OR(CasualCounts="Yes",COUNT($G98:$I98)=0,COUNT($G98:$H98)=0),$F98,MIN($G98:$H98))))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8"/>
      <c r="B99" s="8"/>
      <c r="C99" s="8"/>
      <c r="D99" s="9"/>
      <c r="E99" s="10" t="str">
        <f aca="false">IF(OR(AE99=0,$D99=""),"",DATE(YEAR(AsOfDate)+IF(DATE(YEAR(AsOfDate),MONTH($D99),DAY($D99))&lt;=AsOfDate,1,0),MONTH($D99),DAY($D99)))</f>
        <v/>
      </c>
      <c r="F99" s="9"/>
      <c r="G99" s="9"/>
      <c r="H99" s="9"/>
      <c r="I99" s="9"/>
      <c r="J99" s="9"/>
      <c r="K99" s="10" t="str">
        <f aca="false">IF(AE99=0,"",DATE(YEAR(AsOfDate)+IF(DATE(YEAR(AsOfDate),MONTH(AF99),DAY(AF99))&lt;=AsOfDate,1,0),MONTH(AF99),DAY(AF99)))</f>
        <v/>
      </c>
      <c r="L99" s="11" t="str">
        <f aca="false">IF(AE99=0,"",ROUND((AsOfDate-AF99)/365.25,1))</f>
        <v/>
      </c>
      <c r="M99" s="12" t="str">
        <f aca="false">IF(AE99=0,"",IF(AsOfDate&lt;AF99,"-",DATEDIF(AF99,AsOfDate,"y")&amp;"y "&amp;DATEDIF(AF99,AsOfDate,"ym")&amp;"m "&amp;DATEDIF(AF99,AsOfDate,"md")&amp;"d"))</f>
        <v/>
      </c>
      <c r="N99" s="13" t="str">
        <f aca="false">IF(AE99=0,"",O99*HoursPerDay)</f>
        <v/>
      </c>
      <c r="O99" s="13" t="str">
        <f aca="false">IF(AE99=0,"",AX99)</f>
        <v/>
      </c>
      <c r="P99" s="14"/>
      <c r="Q99" s="12" t="str">
        <f aca="false">IF(AE99=0,"",IF(AG99&lt;2,"",AK99&amp;" to "&amp;AL99&amp;" on "&amp;TEXT(AI99,"dd/mm/yyyy")&amp;IF(AI99&gt;AsOfDate," (future)",IF(AN99=AO99,"",IF(AO99="None"," - STOPPED accruing",IF(AN99="None"," - commencement for Bonus Leave"," - pathway changed"))))&amp;IF(AG99&lt;3,"","; "&amp;AL99&amp;" to "&amp;AM99&amp;" on "&amp;TEXT(AJ99,"dd/mm/yyyy")&amp;IF(AJ99&gt;AsOfDate," (future)",IF(AO99=AP99,"",IF(AP99="None"," - STOPPED accruing",IF(AO99="None"," - commencement for Bonus Leave","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IF(AE99=0,"",IF(NOT(LH_Ready),"",IF(AF99&gt;PFYDate,0,IF(LH_ColPeriod=0,W99-U99+V99,SUMIFS(INDEX(LH_Data,0,LH_ColAcc),INDEX(LH_Data,0,LH_ColFirst),$A99,INDEX(LH_Data,0,LH_ColSur),$B99,INDEX(LH_Data,0,LH_ColCat),BonusCat,INDEX(LH_Data,0,LH_ColPeriod),LH_OpenLabel)*UnitFactor))))</f>
        <v/>
      </c>
      <c r="U99" s="13" t="str">
        <f aca="false">IF(AE99=0,"",IF(NOT(LH_Ready),"",SUMIFS(INDEX(LH_Data,0,LH_ColAcc),INDEX(LH_Data,0,LH_ColFirst),$A99,INDEX(LH_Data,0,LH_ColSur),$B99,INDEX(LH_Data,0,LH_ColCat),BonusCat,INDEX(LH_Data,0,LH_ColStart),"&gt;="&amp;AF99)*UnitFactor))</f>
        <v/>
      </c>
      <c r="V99" s="13" t="str">
        <f aca="false">IF(AE99=0,"",IF(NOT(LH_Ready),"",SUMIFS(INDEX(LH_Data,0,LH_ColTaken),INDEX(LH_Data,0,LH_ColFirst),$A99,INDEX(LH_Data,0,LH_ColSur),$B99,INDEX(LH_Data,0,LH_ColCat),BonusCat,INDEX(LH_Data,0,LH_ColStart),"&gt;="&amp;AF99)*UnitFactor))</f>
        <v/>
      </c>
      <c r="W99" s="13" t="str">
        <f aca="false">IF(AE99=0,"",IF(NOT(LH_Ready),"",IF(BB99=0,0,INDEX(INDEX(LH_Data,0,LH_ColClose),BB99-1)*UnitFactor)))</f>
        <v/>
      </c>
      <c r="X99" s="13" t="str">
        <f aca="false">IF(AE99=0,"",(AX99-AY99)*HoursPerDay)</f>
        <v/>
      </c>
      <c r="Y99" s="13" t="str">
        <f aca="false">IF(AE99=0,"",IF(NOT(LH_Ready),"",IF(BA99=0,N99,IF(PFYDate&lt;$F99,N99-N(T99)-N(U99),X99-N(U99)))))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 hrs more than policy since commencement",IF(N(W99)&gt;O99*HoursPerDay+0.01,"CHECK - EH balance "&amp;ROUND(W99-O99*HoursPerDay,2)&amp;" hrs more than policy entitlement",IF(O99&gt;0,"OK - nothing to add",IF(AQ99="None",R99,"Not yet - first day on "&amp;TEXT(S99,"dd/mm/yyyy")))))))))</f>
        <v/>
      </c>
      <c r="AB99" s="13" t="str">
        <f aca="false">IF(OR(AE99=0,T99=""),"",AY99*HoursPerDay-T99)</f>
        <v/>
      </c>
      <c r="AC99" s="12" t="str">
        <f aca="false">IF(AE99=0,"",BA99)</f>
        <v/>
      </c>
      <c r="AD99" s="12"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IF(AE99=0,"",IF($J99&lt;&gt;"",$J99,IF(OR(CasualCounts="Yes",COUNT($G99:$I99)=0,COUNT($G99:$H99)=0),$F99,MIN($G99:$H99))))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8"/>
      <c r="B100" s="8"/>
      <c r="C100" s="8"/>
      <c r="D100" s="9"/>
      <c r="E100" s="10" t="str">
        <f aca="false">IF(OR(AE100=0,$D100=""),"",DATE(YEAR(AsOfDate)+IF(DATE(YEAR(AsOfDate),MONTH($D100),DAY($D100))&lt;=AsOfDate,1,0),MONTH($D100),DAY($D100)))</f>
        <v/>
      </c>
      <c r="F100" s="9"/>
      <c r="G100" s="9"/>
      <c r="H100" s="9"/>
      <c r="I100" s="9"/>
      <c r="J100" s="9"/>
      <c r="K100" s="10" t="str">
        <f aca="false">IF(AE100=0,"",DATE(YEAR(AsOfDate)+IF(DATE(YEAR(AsOfDate),MONTH(AF100),DAY(AF100))&lt;=AsOfDate,1,0),MONTH(AF100),DAY(AF100)))</f>
        <v/>
      </c>
      <c r="L100" s="11" t="str">
        <f aca="false">IF(AE100=0,"",ROUND((AsOfDate-AF100)/365.25,1))</f>
        <v/>
      </c>
      <c r="M100" s="12" t="str">
        <f aca="false">IF(AE100=0,"",IF(AsOfDate&lt;AF100,"-",DATEDIF(AF100,AsOfDate,"y")&amp;"y "&amp;DATEDIF(AF100,AsOfDate,"ym")&amp;"m "&amp;DATEDIF(AF100,AsOfDate,"md")&amp;"d"))</f>
        <v/>
      </c>
      <c r="N100" s="13" t="str">
        <f aca="false">IF(AE100=0,"",O100*HoursPerDay)</f>
        <v/>
      </c>
      <c r="O100" s="13" t="str">
        <f aca="false">IF(AE100=0,"",AX100)</f>
        <v/>
      </c>
      <c r="P100" s="14"/>
      <c r="Q100" s="12" t="str">
        <f aca="false">IF(AE100=0,"",IF(AG100&lt;2,"",AK100&amp;" to "&amp;AL100&amp;" on "&amp;TEXT(AI100,"dd/mm/yyyy")&amp;IF(AI100&gt;AsOfDate," (future)",IF(AN100=AO100,"",IF(AO100="None"," - STOPPED accruing",IF(AN100="None"," - commencement for Bonus Leave"," - pathway changed"))))&amp;IF(AG100&lt;3,"","; "&amp;AL100&amp;" to "&amp;AM100&amp;" on "&amp;TEXT(AJ100,"dd/mm/yyyy")&amp;IF(AJ100&gt;AsOfDate," (future)",IF(AO100=AP100,"",IF(AP100="None"," - STOPPED accruing",IF(AO100="None"," - commencement for Bonus Leave","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AE100=0,"",IF(NOT(LH_Ready),"",IF(AF100&gt;PFYDate,0,IF(LH_ColPeriod=0,W100-U100+V100,SUMIFS(INDEX(LH_Data,0,LH_ColAcc),INDEX(LH_Data,0,LH_ColFirst),$A100,INDEX(LH_Data,0,LH_ColSur),$B100,INDEX(LH_Data,0,LH_ColCat),BonusCat,INDEX(LH_Data,0,LH_ColPeriod),LH_OpenLabel)*UnitFactor))))</f>
        <v/>
      </c>
      <c r="U100" s="13" t="str">
        <f aca="false">IF(AE100=0,"",IF(NOT(LH_Ready),"",SUMIFS(INDEX(LH_Data,0,LH_ColAcc),INDEX(LH_Data,0,LH_ColFirst),$A100,INDEX(LH_Data,0,LH_ColSur),$B100,INDEX(LH_Data,0,LH_ColCat),BonusCat,INDEX(LH_Data,0,LH_ColStart),"&gt;="&amp;AF100)*UnitFactor))</f>
        <v/>
      </c>
      <c r="V100" s="13" t="str">
        <f aca="false">IF(AE100=0,"",IF(NOT(LH_Ready),"",SUMIFS(INDEX(LH_Data,0,LH_ColTaken),INDEX(LH_Data,0,LH_ColFirst),$A100,INDEX(LH_Data,0,LH_ColSur),$B100,INDEX(LH_Data,0,LH_ColCat),BonusCat,INDEX(LH_Data,0,LH_ColStart),"&gt;="&amp;AF100)*UnitFactor))</f>
        <v/>
      </c>
      <c r="W100" s="13" t="str">
        <f aca="false">IF(AE100=0,"",IF(NOT(LH_Ready),"",IF(BB100=0,0,INDEX(INDEX(LH_Data,0,LH_ColClose),BB100-1)*UnitFactor)))</f>
        <v/>
      </c>
      <c r="X100" s="13" t="str">
        <f aca="false">IF(AE100=0,"",(AX100-AY100)*HoursPerDay)</f>
        <v/>
      </c>
      <c r="Y100" s="13" t="str">
        <f aca="false">IF(AE100=0,"",IF(NOT(LH_Ready),"",IF(BA100=0,N100,IF(PFYDate&lt;$F100,N100-N(T100)-N(U100),X100-N(U100)))))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 hrs more than policy since commencement",IF(N(W100)&gt;O100*HoursPerDay+0.01,"CHECK - EH balance "&amp;ROUND(W100-O100*HoursPerDay,2)&amp;" hrs more than policy entitlement",IF(O100&gt;0,"OK - nothing to add",IF(AQ100="None",R100,"Not yet - first day on "&amp;TEXT(S100,"dd/mm/yyyy")))))))))</f>
        <v/>
      </c>
      <c r="AB100" s="13" t="str">
        <f aca="false">IF(OR(AE100=0,T100=""),"",AY100*HoursPerDay-T100)</f>
        <v/>
      </c>
      <c r="AC100" s="12" t="str">
        <f aca="false">IF(AE100=0,"",BA100)</f>
        <v/>
      </c>
      <c r="AD100" s="12"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IF(AE100=0,"",IF($J100&lt;&gt;"",$J100,IF(OR(CasualCounts="Yes",COUNT($G100:$I100)=0,COUNT($G100:$H100)=0),$F100,MIN($G100:$H100))))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8"/>
      <c r="B101" s="8"/>
      <c r="C101" s="8"/>
      <c r="D101" s="9"/>
      <c r="E101" s="10" t="str">
        <f aca="false">IF(OR(AE101=0,$D101=""),"",DATE(YEAR(AsOfDate)+IF(DATE(YEAR(AsOfDate),MONTH($D101),DAY($D101))&lt;=AsOfDate,1,0),MONTH($D101),DAY($D101)))</f>
        <v/>
      </c>
      <c r="F101" s="9"/>
      <c r="G101" s="9"/>
      <c r="H101" s="9"/>
      <c r="I101" s="9"/>
      <c r="J101" s="9"/>
      <c r="K101" s="10" t="str">
        <f aca="false">IF(AE101=0,"",DATE(YEAR(AsOfDate)+IF(DATE(YEAR(AsOfDate),MONTH(AF101),DAY(AF101))&lt;=AsOfDate,1,0),MONTH(AF101),DAY(AF101)))</f>
        <v/>
      </c>
      <c r="L101" s="11" t="str">
        <f aca="false">IF(AE101=0,"",ROUND((AsOfDate-AF101)/365.25,1))</f>
        <v/>
      </c>
      <c r="M101" s="12" t="str">
        <f aca="false">IF(AE101=0,"",IF(AsOfDate&lt;AF101,"-",DATEDIF(AF101,AsOfDate,"y")&amp;"y "&amp;DATEDIF(AF101,AsOfDate,"ym")&amp;"m "&amp;DATEDIF(AF101,AsOfDate,"md")&amp;"d"))</f>
        <v/>
      </c>
      <c r="N101" s="13" t="str">
        <f aca="false">IF(AE101=0,"",O101*HoursPerDay)</f>
        <v/>
      </c>
      <c r="O101" s="13" t="str">
        <f aca="false">IF(AE101=0,"",AX101)</f>
        <v/>
      </c>
      <c r="P101" s="14"/>
      <c r="Q101" s="12" t="str">
        <f aca="false">IF(AE101=0,"",IF(AG101&lt;2,"",AK101&amp;" to "&amp;AL101&amp;" on "&amp;TEXT(AI101,"dd/mm/yyyy")&amp;IF(AI101&gt;AsOfDate," (future)",IF(AN101=AO101,"",IF(AO101="None"," - STOPPED accruing",IF(AN101="None"," - commencement for Bonus Leave"," - pathway changed"))))&amp;IF(AG101&lt;3,"","; "&amp;AL101&amp;" to "&amp;AM101&amp;" on "&amp;TEXT(AJ101,"dd/mm/yyyy")&amp;IF(AJ101&gt;AsOfDate," (future)",IF(AO101=AP101,"",IF(AP101="None"," - STOPPED accruing",IF(AO101="None"," - commencement for Bonus Leave","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AE101=0,"",IF(NOT(LH_Ready),"",IF(AF101&gt;PFYDate,0,IF(LH_ColPeriod=0,W101-U101+V101,SUMIFS(INDEX(LH_Data,0,LH_ColAcc),INDEX(LH_Data,0,LH_ColFirst),$A101,INDEX(LH_Data,0,LH_ColSur),$B101,INDEX(LH_Data,0,LH_ColCat),BonusCat,INDEX(LH_Data,0,LH_ColPeriod),LH_OpenLabel)*UnitFactor))))</f>
        <v/>
      </c>
      <c r="U101" s="13" t="str">
        <f aca="false">IF(AE101=0,"",IF(NOT(LH_Ready),"",SUMIFS(INDEX(LH_Data,0,LH_ColAcc),INDEX(LH_Data,0,LH_ColFirst),$A101,INDEX(LH_Data,0,LH_ColSur),$B101,INDEX(LH_Data,0,LH_ColCat),BonusCat,INDEX(LH_Data,0,LH_ColStart),"&gt;="&amp;AF101)*UnitFactor))</f>
        <v/>
      </c>
      <c r="V101" s="13" t="str">
        <f aca="false">IF(AE101=0,"",IF(NOT(LH_Ready),"",SUMIFS(INDEX(LH_Data,0,LH_ColTaken),INDEX(LH_Data,0,LH_ColFirst),$A101,INDEX(LH_Data,0,LH_ColSur),$B101,INDEX(LH_Data,0,LH_ColCat),BonusCat,INDEX(LH_Data,0,LH_ColStart),"&gt;="&amp;AF101)*UnitFactor))</f>
        <v/>
      </c>
      <c r="W101" s="13" t="str">
        <f aca="false">IF(AE101=0,"",IF(NOT(LH_Ready),"",IF(BB101=0,0,INDEX(INDEX(LH_Data,0,LH_ColClose),BB101-1)*UnitFactor)))</f>
        <v/>
      </c>
      <c r="X101" s="13" t="str">
        <f aca="false">IF(AE101=0,"",(AX101-AY101)*HoursPerDay)</f>
        <v/>
      </c>
      <c r="Y101" s="13" t="str">
        <f aca="false">IF(AE101=0,"",IF(NOT(LH_Ready),"",IF(BA101=0,N101,IF(PFYDate&lt;$F101,N101-N(T101)-N(U101),X101-N(U101)))))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 hrs more than policy since commencement",IF(N(W101)&gt;O101*HoursPerDay+0.01,"CHECK - EH balance "&amp;ROUND(W101-O101*HoursPerDay,2)&amp;" hrs more than policy entitlement",IF(O101&gt;0,"OK - nothing to add",IF(AQ101="None",R101,"Not yet - first day on "&amp;TEXT(S101,"dd/mm/yyyy")))))))))</f>
        <v/>
      </c>
      <c r="AB101" s="13" t="str">
        <f aca="false">IF(OR(AE101=0,T101=""),"",AY101*HoursPerDay-T101)</f>
        <v/>
      </c>
      <c r="AC101" s="12" t="str">
        <f aca="false">IF(AE101=0,"",BA101)</f>
        <v/>
      </c>
      <c r="AD101" s="12"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IF(AE101=0,"",IF($J101&lt;&gt;"",$J101,IF(OR(CasualCounts="Yes",COUNT($G101:$I101)=0,COUNT($G101:$H101)=0),$F101,MIN($G101:$H101))))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8"/>
      <c r="B102" s="8"/>
      <c r="C102" s="8"/>
      <c r="D102" s="9"/>
      <c r="E102" s="10" t="str">
        <f aca="false">IF(OR(AE102=0,$D102=""),"",DATE(YEAR(AsOfDate)+IF(DATE(YEAR(AsOfDate),MONTH($D102),DAY($D102))&lt;=AsOfDate,1,0),MONTH($D102),DAY($D102)))</f>
        <v/>
      </c>
      <c r="F102" s="9"/>
      <c r="G102" s="9"/>
      <c r="H102" s="9"/>
      <c r="I102" s="9"/>
      <c r="J102" s="9"/>
      <c r="K102" s="10" t="str">
        <f aca="false">IF(AE102=0,"",DATE(YEAR(AsOfDate)+IF(DATE(YEAR(AsOfDate),MONTH(AF102),DAY(AF102))&lt;=AsOfDate,1,0),MONTH(AF102),DAY(AF102)))</f>
        <v/>
      </c>
      <c r="L102" s="11" t="str">
        <f aca="false">IF(AE102=0,"",ROUND((AsOfDate-AF102)/365.25,1))</f>
        <v/>
      </c>
      <c r="M102" s="12" t="str">
        <f aca="false">IF(AE102=0,"",IF(AsOfDate&lt;AF102,"-",DATEDIF(AF102,AsOfDate,"y")&amp;"y "&amp;DATEDIF(AF102,AsOfDate,"ym")&amp;"m "&amp;DATEDIF(AF102,AsOfDate,"md")&amp;"d"))</f>
        <v/>
      </c>
      <c r="N102" s="13" t="str">
        <f aca="false">IF(AE102=0,"",O102*HoursPerDay)</f>
        <v/>
      </c>
      <c r="O102" s="13" t="str">
        <f aca="false">IF(AE102=0,"",AX102)</f>
        <v/>
      </c>
      <c r="P102" s="14"/>
      <c r="Q102" s="12" t="str">
        <f aca="false">IF(AE102=0,"",IF(AG102&lt;2,"",AK102&amp;" to "&amp;AL102&amp;" on "&amp;TEXT(AI102,"dd/mm/yyyy")&amp;IF(AI102&gt;AsOfDate," (future)",IF(AN102=AO102,"",IF(AO102="None"," - STOPPED accruing",IF(AN102="None"," - commencement for Bonus Leave"," - pathway changed"))))&amp;IF(AG102&lt;3,"","; "&amp;AL102&amp;" to "&amp;AM102&amp;" on "&amp;TEXT(AJ102,"dd/mm/yyyy")&amp;IF(AJ102&gt;AsOfDate," (future)",IF(AO102=AP102,"",IF(AP102="None"," - STOPPED accruing",IF(AO102="None"," - commencement for Bonus Leave","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AE102=0,"",IF(NOT(LH_Ready),"",IF(AF102&gt;PFYDate,0,IF(LH_ColPeriod=0,W102-U102+V102,SUMIFS(INDEX(LH_Data,0,LH_ColAcc),INDEX(LH_Data,0,LH_ColFirst),$A102,INDEX(LH_Data,0,LH_ColSur),$B102,INDEX(LH_Data,0,LH_ColCat),BonusCat,INDEX(LH_Data,0,LH_ColPeriod),LH_OpenLabel)*UnitFactor))))</f>
        <v/>
      </c>
      <c r="U102" s="13" t="str">
        <f aca="false">IF(AE102=0,"",IF(NOT(LH_Ready),"",SUMIFS(INDEX(LH_Data,0,LH_ColAcc),INDEX(LH_Data,0,LH_ColFirst),$A102,INDEX(LH_Data,0,LH_ColSur),$B102,INDEX(LH_Data,0,LH_ColCat),BonusCat,INDEX(LH_Data,0,LH_ColStart),"&gt;="&amp;AF102)*UnitFactor))</f>
        <v/>
      </c>
      <c r="V102" s="13" t="str">
        <f aca="false">IF(AE102=0,"",IF(NOT(LH_Ready),"",SUMIFS(INDEX(LH_Data,0,LH_ColTaken),INDEX(LH_Data,0,LH_ColFirst),$A102,INDEX(LH_Data,0,LH_ColSur),$B102,INDEX(LH_Data,0,LH_ColCat),BonusCat,INDEX(LH_Data,0,LH_ColStart),"&gt;="&amp;AF102)*UnitFactor))</f>
        <v/>
      </c>
      <c r="W102" s="13" t="str">
        <f aca="false">IF(AE102=0,"",IF(NOT(LH_Ready),"",IF(BB102=0,0,INDEX(INDEX(LH_Data,0,LH_ColClose),BB102-1)*UnitFactor)))</f>
        <v/>
      </c>
      <c r="X102" s="13" t="str">
        <f aca="false">IF(AE102=0,"",(AX102-AY102)*HoursPerDay)</f>
        <v/>
      </c>
      <c r="Y102" s="13" t="str">
        <f aca="false">IF(AE102=0,"",IF(NOT(LH_Ready),"",IF(BA102=0,N102,IF(PFYDate&lt;$F102,N102-N(T102)-N(U102),X102-N(U102)))))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 hrs more than policy since commencement",IF(N(W102)&gt;O102*HoursPerDay+0.01,"CHECK - EH balance "&amp;ROUND(W102-O102*HoursPerDay,2)&amp;" hrs more than policy entitlement",IF(O102&gt;0,"OK - nothing to add",IF(AQ102="None",R102,"Not yet - first day on "&amp;TEXT(S102,"dd/mm/yyyy")))))))))</f>
        <v/>
      </c>
      <c r="AB102" s="13" t="str">
        <f aca="false">IF(OR(AE102=0,T102=""),"",AY102*HoursPerDay-T102)</f>
        <v/>
      </c>
      <c r="AC102" s="12" t="str">
        <f aca="false">IF(AE102=0,"",BA102)</f>
        <v/>
      </c>
      <c r="AD102" s="12"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IF(AE102=0,"",IF($J102&lt;&gt;"",$J102,IF(OR(CasualCounts="Yes",COUNT($G102:$I102)=0,COUNT($G102:$H102)=0),$F102,MIN($G102:$H102))))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8"/>
      <c r="B103" s="8"/>
      <c r="C103" s="8"/>
      <c r="D103" s="9"/>
      <c r="E103" s="10" t="str">
        <f aca="false">IF(OR(AE103=0,$D103=""),"",DATE(YEAR(AsOfDate)+IF(DATE(YEAR(AsOfDate),MONTH($D103),DAY($D103))&lt;=AsOfDate,1,0),MONTH($D103),DAY($D103)))</f>
        <v/>
      </c>
      <c r="F103" s="9"/>
      <c r="G103" s="9"/>
      <c r="H103" s="9"/>
      <c r="I103" s="9"/>
      <c r="J103" s="9"/>
      <c r="K103" s="10" t="str">
        <f aca="false">IF(AE103=0,"",DATE(YEAR(AsOfDate)+IF(DATE(YEAR(AsOfDate),MONTH(AF103),DAY(AF103))&lt;=AsOfDate,1,0),MONTH(AF103),DAY(AF103)))</f>
        <v/>
      </c>
      <c r="L103" s="11" t="str">
        <f aca="false">IF(AE103=0,"",ROUND((AsOfDate-AF103)/365.25,1))</f>
        <v/>
      </c>
      <c r="M103" s="12" t="str">
        <f aca="false">IF(AE103=0,"",IF(AsOfDate&lt;AF103,"-",DATEDIF(AF103,AsOfDate,"y")&amp;"y "&amp;DATEDIF(AF103,AsOfDate,"ym")&amp;"m "&amp;DATEDIF(AF103,AsOfDate,"md")&amp;"d"))</f>
        <v/>
      </c>
      <c r="N103" s="13" t="str">
        <f aca="false">IF(AE103=0,"",O103*HoursPerDay)</f>
        <v/>
      </c>
      <c r="O103" s="13" t="str">
        <f aca="false">IF(AE103=0,"",AX103)</f>
        <v/>
      </c>
      <c r="P103" s="14"/>
      <c r="Q103" s="12" t="str">
        <f aca="false">IF(AE103=0,"",IF(AG103&lt;2,"",AK103&amp;" to "&amp;AL103&amp;" on "&amp;TEXT(AI103,"dd/mm/yyyy")&amp;IF(AI103&gt;AsOfDate," (future)",IF(AN103=AO103,"",IF(AO103="None"," - STOPPED accruing",IF(AN103="None"," - commencement for Bonus Leave"," - pathway changed"))))&amp;IF(AG103&lt;3,"","; "&amp;AL103&amp;" to "&amp;AM103&amp;" on "&amp;TEXT(AJ103,"dd/mm/yyyy")&amp;IF(AJ103&gt;AsOfDate," (future)",IF(AO103=AP103,"",IF(AP103="None"," - STOPPED accruing",IF(AO103="None"," - commencement for Bonus Leave","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AE103=0,"",IF(NOT(LH_Ready),"",IF(AF103&gt;PFYDate,0,IF(LH_ColPeriod=0,W103-U103+V103,SUMIFS(INDEX(LH_Data,0,LH_ColAcc),INDEX(LH_Data,0,LH_ColFirst),$A103,INDEX(LH_Data,0,LH_ColSur),$B103,INDEX(LH_Data,0,LH_ColCat),BonusCat,INDEX(LH_Data,0,LH_ColPeriod),LH_OpenLabel)*UnitFactor))))</f>
        <v/>
      </c>
      <c r="U103" s="13" t="str">
        <f aca="false">IF(AE103=0,"",IF(NOT(LH_Ready),"",SUMIFS(INDEX(LH_Data,0,LH_ColAcc),INDEX(LH_Data,0,LH_ColFirst),$A103,INDEX(LH_Data,0,LH_ColSur),$B103,INDEX(LH_Data,0,LH_ColCat),BonusCat,INDEX(LH_Data,0,LH_ColStart),"&gt;="&amp;AF103)*UnitFactor))</f>
        <v/>
      </c>
      <c r="V103" s="13" t="str">
        <f aca="false">IF(AE103=0,"",IF(NOT(LH_Ready),"",SUMIFS(INDEX(LH_Data,0,LH_ColTaken),INDEX(LH_Data,0,LH_ColFirst),$A103,INDEX(LH_Data,0,LH_ColSur),$B103,INDEX(LH_Data,0,LH_ColCat),BonusCat,INDEX(LH_Data,0,LH_ColStart),"&gt;="&amp;AF103)*UnitFactor))</f>
        <v/>
      </c>
      <c r="W103" s="13" t="str">
        <f aca="false">IF(AE103=0,"",IF(NOT(LH_Ready),"",IF(BB103=0,0,INDEX(INDEX(LH_Data,0,LH_ColClose),BB103-1)*UnitFactor)))</f>
        <v/>
      </c>
      <c r="X103" s="13" t="str">
        <f aca="false">IF(AE103=0,"",(AX103-AY103)*HoursPerDay)</f>
        <v/>
      </c>
      <c r="Y103" s="13" t="str">
        <f aca="false">IF(AE103=0,"",IF(NOT(LH_Ready),"",IF(BA103=0,N103,IF(PFYDate&lt;$F103,N103-N(T103)-N(U103),X103-N(U103)))))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 hrs more than policy since commencement",IF(N(W103)&gt;O103*HoursPerDay+0.01,"CHECK - EH balance "&amp;ROUND(W103-O103*HoursPerDay,2)&amp;" hrs more than policy entitlement",IF(O103&gt;0,"OK - nothing to add",IF(AQ103="None",R103,"Not yet - first day on "&amp;TEXT(S103,"dd/mm/yyyy")))))))))</f>
        <v/>
      </c>
      <c r="AB103" s="13" t="str">
        <f aca="false">IF(OR(AE103=0,T103=""),"",AY103*HoursPerDay-T103)</f>
        <v/>
      </c>
      <c r="AC103" s="12" t="str">
        <f aca="false">IF(AE103=0,"",BA103)</f>
        <v/>
      </c>
      <c r="AD103" s="12"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IF(AE103=0,"",IF($J103&lt;&gt;"",$J103,IF(OR(CasualCounts="Yes",COUNT($G103:$I103)=0,COUNT($G103:$H103)=0),$F103,MIN($G103:$H103))))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8"/>
      <c r="B104" s="8"/>
      <c r="C104" s="8"/>
      <c r="D104" s="9"/>
      <c r="E104" s="10" t="str">
        <f aca="false">IF(OR(AE104=0,$D104=""),"",DATE(YEAR(AsOfDate)+IF(DATE(YEAR(AsOfDate),MONTH($D104),DAY($D104))&lt;=AsOfDate,1,0),MONTH($D104),DAY($D104)))</f>
        <v/>
      </c>
      <c r="F104" s="9"/>
      <c r="G104" s="9"/>
      <c r="H104" s="9"/>
      <c r="I104" s="9"/>
      <c r="J104" s="9"/>
      <c r="K104" s="10" t="str">
        <f aca="false">IF(AE104=0,"",DATE(YEAR(AsOfDate)+IF(DATE(YEAR(AsOfDate),MONTH(AF104),DAY(AF104))&lt;=AsOfDate,1,0),MONTH(AF104),DAY(AF104)))</f>
        <v/>
      </c>
      <c r="L104" s="11" t="str">
        <f aca="false">IF(AE104=0,"",ROUND((AsOfDate-AF104)/365.25,1))</f>
        <v/>
      </c>
      <c r="M104" s="12" t="str">
        <f aca="false">IF(AE104=0,"",IF(AsOfDate&lt;AF104,"-",DATEDIF(AF104,AsOfDate,"y")&amp;"y "&amp;DATEDIF(AF104,AsOfDate,"ym")&amp;"m "&amp;DATEDIF(AF104,AsOfDate,"md")&amp;"d"))</f>
        <v/>
      </c>
      <c r="N104" s="13" t="str">
        <f aca="false">IF(AE104=0,"",O104*HoursPerDay)</f>
        <v/>
      </c>
      <c r="O104" s="13" t="str">
        <f aca="false">IF(AE104=0,"",AX104)</f>
        <v/>
      </c>
      <c r="P104" s="14"/>
      <c r="Q104" s="12" t="str">
        <f aca="false">IF(AE104=0,"",IF(AG104&lt;2,"",AK104&amp;" to "&amp;AL104&amp;" on "&amp;TEXT(AI104,"dd/mm/yyyy")&amp;IF(AI104&gt;AsOfDate," (future)",IF(AN104=AO104,"",IF(AO104="None"," - STOPPED accruing",IF(AN104="None"," - commencement for Bonus Leave"," - pathway changed"))))&amp;IF(AG104&lt;3,"","; "&amp;AL104&amp;" to "&amp;AM104&amp;" on "&amp;TEXT(AJ104,"dd/mm/yyyy")&amp;IF(AJ104&gt;AsOfDate," (future)",IF(AO104=AP104,"",IF(AP104="None"," - STOPPED accruing",IF(AO104="None"," - commencement for Bonus Leave","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AE104=0,"",IF(NOT(LH_Ready),"",IF(AF104&gt;PFYDate,0,IF(LH_ColPeriod=0,W104-U104+V104,SUMIFS(INDEX(LH_Data,0,LH_ColAcc),INDEX(LH_Data,0,LH_ColFirst),$A104,INDEX(LH_Data,0,LH_ColSur),$B104,INDEX(LH_Data,0,LH_ColCat),BonusCat,INDEX(LH_Data,0,LH_ColPeriod),LH_OpenLabel)*UnitFactor))))</f>
        <v/>
      </c>
      <c r="U104" s="13" t="str">
        <f aca="false">IF(AE104=0,"",IF(NOT(LH_Ready),"",SUMIFS(INDEX(LH_Data,0,LH_ColAcc),INDEX(LH_Data,0,LH_ColFirst),$A104,INDEX(LH_Data,0,LH_ColSur),$B104,INDEX(LH_Data,0,LH_ColCat),BonusCat,INDEX(LH_Data,0,LH_ColStart),"&gt;="&amp;AF104)*UnitFactor))</f>
        <v/>
      </c>
      <c r="V104" s="13" t="str">
        <f aca="false">IF(AE104=0,"",IF(NOT(LH_Ready),"",SUMIFS(INDEX(LH_Data,0,LH_ColTaken),INDEX(LH_Data,0,LH_ColFirst),$A104,INDEX(LH_Data,0,LH_ColSur),$B104,INDEX(LH_Data,0,LH_ColCat),BonusCat,INDEX(LH_Data,0,LH_ColStart),"&gt;="&amp;AF104)*UnitFactor))</f>
        <v/>
      </c>
      <c r="W104" s="13" t="str">
        <f aca="false">IF(AE104=0,"",IF(NOT(LH_Ready),"",IF(BB104=0,0,INDEX(INDEX(LH_Data,0,LH_ColClose),BB104-1)*UnitFactor)))</f>
        <v/>
      </c>
      <c r="X104" s="13" t="str">
        <f aca="false">IF(AE104=0,"",(AX104-AY104)*HoursPerDay)</f>
        <v/>
      </c>
      <c r="Y104" s="13" t="str">
        <f aca="false">IF(AE104=0,"",IF(NOT(LH_Ready),"",IF(BA104=0,N104,IF(PFYDate&lt;$F104,N104-N(T104)-N(U104),X104-N(U104)))))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 hrs more than policy since commencement",IF(N(W104)&gt;O104*HoursPerDay+0.01,"CHECK - EH balance "&amp;ROUND(W104-O104*HoursPerDay,2)&amp;" hrs more than policy entitlement",IF(O104&gt;0,"OK - nothing to add",IF(AQ104="None",R104,"Not yet - first day on "&amp;TEXT(S104,"dd/mm/yyyy")))))))))</f>
        <v/>
      </c>
      <c r="AB104" s="13" t="str">
        <f aca="false">IF(OR(AE104=0,T104=""),"",AY104*HoursPerDay-T104)</f>
        <v/>
      </c>
      <c r="AC104" s="12" t="str">
        <f aca="false">IF(AE104=0,"",BA104)</f>
        <v/>
      </c>
      <c r="AD104" s="12"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IF(AE104=0,"",IF($J104&lt;&gt;"",$J104,IF(OR(CasualCounts="Yes",COUNT($G104:$I104)=0,COUNT($G104:$H104)=0),$F104,MIN($G104:$H104))))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8"/>
      <c r="B105" s="8"/>
      <c r="C105" s="8"/>
      <c r="D105" s="9"/>
      <c r="E105" s="10" t="str">
        <f aca="false">IF(OR(AE105=0,$D105=""),"",DATE(YEAR(AsOfDate)+IF(DATE(YEAR(AsOfDate),MONTH($D105),DAY($D105))&lt;=AsOfDate,1,0),MONTH($D105),DAY($D105)))</f>
        <v/>
      </c>
      <c r="F105" s="9"/>
      <c r="G105" s="9"/>
      <c r="H105" s="9"/>
      <c r="I105" s="9"/>
      <c r="J105" s="9"/>
      <c r="K105" s="10" t="str">
        <f aca="false">IF(AE105=0,"",DATE(YEAR(AsOfDate)+IF(DATE(YEAR(AsOfDate),MONTH(AF105),DAY(AF105))&lt;=AsOfDate,1,0),MONTH(AF105),DAY(AF105)))</f>
        <v/>
      </c>
      <c r="L105" s="11" t="str">
        <f aca="false">IF(AE105=0,"",ROUND((AsOfDate-AF105)/365.25,1))</f>
        <v/>
      </c>
      <c r="M105" s="12" t="str">
        <f aca="false">IF(AE105=0,"",IF(AsOfDate&lt;AF105,"-",DATEDIF(AF105,AsOfDate,"y")&amp;"y "&amp;DATEDIF(AF105,AsOfDate,"ym")&amp;"m "&amp;DATEDIF(AF105,AsOfDate,"md")&amp;"d"))</f>
        <v/>
      </c>
      <c r="N105" s="13" t="str">
        <f aca="false">IF(AE105=0,"",O105*HoursPerDay)</f>
        <v/>
      </c>
      <c r="O105" s="13" t="str">
        <f aca="false">IF(AE105=0,"",AX105)</f>
        <v/>
      </c>
      <c r="P105" s="14"/>
      <c r="Q105" s="12" t="str">
        <f aca="false">IF(AE105=0,"",IF(AG105&lt;2,"",AK105&amp;" to "&amp;AL105&amp;" on "&amp;TEXT(AI105,"dd/mm/yyyy")&amp;IF(AI105&gt;AsOfDate," (future)",IF(AN105=AO105,"",IF(AO105="None"," - STOPPED accruing",IF(AN105="None"," - commencement for Bonus Leave"," - pathway changed"))))&amp;IF(AG105&lt;3,"","; "&amp;AL105&amp;" to "&amp;AM105&amp;" on "&amp;TEXT(AJ105,"dd/mm/yyyy")&amp;IF(AJ105&gt;AsOfDate," (future)",IF(AO105=AP105,"",IF(AP105="None"," - STOPPED accruing",IF(AO105="None"," - commencement for Bonus Leave","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AE105=0,"",IF(NOT(LH_Ready),"",IF(AF105&gt;PFYDate,0,IF(LH_ColPeriod=0,W105-U105+V105,SUMIFS(INDEX(LH_Data,0,LH_ColAcc),INDEX(LH_Data,0,LH_ColFirst),$A105,INDEX(LH_Data,0,LH_ColSur),$B105,INDEX(LH_Data,0,LH_ColCat),BonusCat,INDEX(LH_Data,0,LH_ColPeriod),LH_OpenLabel)*UnitFactor))))</f>
        <v/>
      </c>
      <c r="U105" s="13" t="str">
        <f aca="false">IF(AE105=0,"",IF(NOT(LH_Ready),"",SUMIFS(INDEX(LH_Data,0,LH_ColAcc),INDEX(LH_Data,0,LH_ColFirst),$A105,INDEX(LH_Data,0,LH_ColSur),$B105,INDEX(LH_Data,0,LH_ColCat),BonusCat,INDEX(LH_Data,0,LH_ColStart),"&gt;="&amp;AF105)*UnitFactor))</f>
        <v/>
      </c>
      <c r="V105" s="13" t="str">
        <f aca="false">IF(AE105=0,"",IF(NOT(LH_Ready),"",SUMIFS(INDEX(LH_Data,0,LH_ColTaken),INDEX(LH_Data,0,LH_ColFirst),$A105,INDEX(LH_Data,0,LH_ColSur),$B105,INDEX(LH_Data,0,LH_ColCat),BonusCat,INDEX(LH_Data,0,LH_ColStart),"&gt;="&amp;AF105)*UnitFactor))</f>
        <v/>
      </c>
      <c r="W105" s="13" t="str">
        <f aca="false">IF(AE105=0,"",IF(NOT(LH_Ready),"",IF(BB105=0,0,INDEX(INDEX(LH_Data,0,LH_ColClose),BB105-1)*UnitFactor)))</f>
        <v/>
      </c>
      <c r="X105" s="13" t="str">
        <f aca="false">IF(AE105=0,"",(AX105-AY105)*HoursPerDay)</f>
        <v/>
      </c>
      <c r="Y105" s="13" t="str">
        <f aca="false">IF(AE105=0,"",IF(NOT(LH_Ready),"",IF(BA105=0,N105,IF(PFYDate&lt;$F105,N105-N(T105)-N(U105),X105-N(U105)))))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 hrs more than policy since commencement",IF(N(W105)&gt;O105*HoursPerDay+0.01,"CHECK - EH balance "&amp;ROUND(W105-O105*HoursPerDay,2)&amp;" hrs more than policy entitlement",IF(O105&gt;0,"OK - nothing to add",IF(AQ105="None",R105,"Not yet - first day on "&amp;TEXT(S105,"dd/mm/yyyy")))))))))</f>
        <v/>
      </c>
      <c r="AB105" s="13" t="str">
        <f aca="false">IF(OR(AE105=0,T105=""),"",AY105*HoursPerDay-T105)</f>
        <v/>
      </c>
      <c r="AC105" s="12" t="str">
        <f aca="false">IF(AE105=0,"",BA105)</f>
        <v/>
      </c>
      <c r="AD105" s="12"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IF(AE105=0,"",IF($J105&lt;&gt;"",$J105,IF(OR(CasualCounts="Yes",COUNT($G105:$I105)=0,COUNT($G105:$H105)=0),$F105,MIN($G105:$H105))))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8"/>
      <c r="B106" s="8"/>
      <c r="C106" s="8"/>
      <c r="D106" s="9"/>
      <c r="E106" s="10" t="str">
        <f aca="false">IF(OR(AE106=0,$D106=""),"",DATE(YEAR(AsOfDate)+IF(DATE(YEAR(AsOfDate),MONTH($D106),DAY($D106))&lt;=AsOfDate,1,0),MONTH($D106),DAY($D106)))</f>
        <v/>
      </c>
      <c r="F106" s="9"/>
      <c r="G106" s="9"/>
      <c r="H106" s="9"/>
      <c r="I106" s="9"/>
      <c r="J106" s="9"/>
      <c r="K106" s="10" t="str">
        <f aca="false">IF(AE106=0,"",DATE(YEAR(AsOfDate)+IF(DATE(YEAR(AsOfDate),MONTH(AF106),DAY(AF106))&lt;=AsOfDate,1,0),MONTH(AF106),DAY(AF106)))</f>
        <v/>
      </c>
      <c r="L106" s="11" t="str">
        <f aca="false">IF(AE106=0,"",ROUND((AsOfDate-AF106)/365.25,1))</f>
        <v/>
      </c>
      <c r="M106" s="12" t="str">
        <f aca="false">IF(AE106=0,"",IF(AsOfDate&lt;AF106,"-",DATEDIF(AF106,AsOfDate,"y")&amp;"y "&amp;DATEDIF(AF106,AsOfDate,"ym")&amp;"m "&amp;DATEDIF(AF106,AsOfDate,"md")&amp;"d"))</f>
        <v/>
      </c>
      <c r="N106" s="13" t="str">
        <f aca="false">IF(AE106=0,"",O106*HoursPerDay)</f>
        <v/>
      </c>
      <c r="O106" s="13" t="str">
        <f aca="false">IF(AE106=0,"",AX106)</f>
        <v/>
      </c>
      <c r="P106" s="14"/>
      <c r="Q106" s="12" t="str">
        <f aca="false">IF(AE106=0,"",IF(AG106&lt;2,"",AK106&amp;" to "&amp;AL106&amp;" on "&amp;TEXT(AI106,"dd/mm/yyyy")&amp;IF(AI106&gt;AsOfDate," (future)",IF(AN106=AO106,"",IF(AO106="None"," - STOPPED accruing",IF(AN106="None"," - commencement for Bonus Leave"," - pathway changed"))))&amp;IF(AG106&lt;3,"","; "&amp;AL106&amp;" to "&amp;AM106&amp;" on "&amp;TEXT(AJ106,"dd/mm/yyyy")&amp;IF(AJ106&gt;AsOfDate," (future)",IF(AO106=AP106,"",IF(AP106="None"," - STOPPED accruing",IF(AO106="None"," - commencement for Bonus Leave","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AE106=0,"",IF(NOT(LH_Ready),"",IF(AF106&gt;PFYDate,0,IF(LH_ColPeriod=0,W106-U106+V106,SUMIFS(INDEX(LH_Data,0,LH_ColAcc),INDEX(LH_Data,0,LH_ColFirst),$A106,INDEX(LH_Data,0,LH_ColSur),$B106,INDEX(LH_Data,0,LH_ColCat),BonusCat,INDEX(LH_Data,0,LH_ColPeriod),LH_OpenLabel)*UnitFactor))))</f>
        <v/>
      </c>
      <c r="U106" s="13" t="str">
        <f aca="false">IF(AE106=0,"",IF(NOT(LH_Ready),"",SUMIFS(INDEX(LH_Data,0,LH_ColAcc),INDEX(LH_Data,0,LH_ColFirst),$A106,INDEX(LH_Data,0,LH_ColSur),$B106,INDEX(LH_Data,0,LH_ColCat),BonusCat,INDEX(LH_Data,0,LH_ColStart),"&gt;="&amp;AF106)*UnitFactor))</f>
        <v/>
      </c>
      <c r="V106" s="13" t="str">
        <f aca="false">IF(AE106=0,"",IF(NOT(LH_Ready),"",SUMIFS(INDEX(LH_Data,0,LH_ColTaken),INDEX(LH_Data,0,LH_ColFirst),$A106,INDEX(LH_Data,0,LH_ColSur),$B106,INDEX(LH_Data,0,LH_ColCat),BonusCat,INDEX(LH_Data,0,LH_ColStart),"&gt;="&amp;AF106)*UnitFactor))</f>
        <v/>
      </c>
      <c r="W106" s="13" t="str">
        <f aca="false">IF(AE106=0,"",IF(NOT(LH_Ready),"",IF(BB106=0,0,INDEX(INDEX(LH_Data,0,LH_ColClose),BB106-1)*UnitFactor)))</f>
        <v/>
      </c>
      <c r="X106" s="13" t="str">
        <f aca="false">IF(AE106=0,"",(AX106-AY106)*HoursPerDay)</f>
        <v/>
      </c>
      <c r="Y106" s="13" t="str">
        <f aca="false">IF(AE106=0,"",IF(NOT(LH_Ready),"",IF(BA106=0,N106,IF(PFYDate&lt;$F106,N106-N(T106)-N(U106),X106-N(U106)))))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 hrs more than policy since commencement",IF(N(W106)&gt;O106*HoursPerDay+0.01,"CHECK - EH balance "&amp;ROUND(W106-O106*HoursPerDay,2)&amp;" hrs more than policy entitlement",IF(O106&gt;0,"OK - nothing to add",IF(AQ106="None",R106,"Not yet - first day on "&amp;TEXT(S106,"dd/mm/yyyy")))))))))</f>
        <v/>
      </c>
      <c r="AB106" s="13" t="str">
        <f aca="false">IF(OR(AE106=0,T106=""),"",AY106*HoursPerDay-T106)</f>
        <v/>
      </c>
      <c r="AC106" s="12" t="str">
        <f aca="false">IF(AE106=0,"",BA106)</f>
        <v/>
      </c>
      <c r="AD106" s="12"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IF(AE106=0,"",IF($J106&lt;&gt;"",$J106,IF(OR(CasualCounts="Yes",COUNT($G106:$I106)=0,COUNT($G106:$H106)=0),$F106,MIN($G106:$H106))))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8"/>
      <c r="B107" s="8"/>
      <c r="C107" s="8"/>
      <c r="D107" s="9"/>
      <c r="E107" s="10" t="str">
        <f aca="false">IF(OR(AE107=0,$D107=""),"",DATE(YEAR(AsOfDate)+IF(DATE(YEAR(AsOfDate),MONTH($D107),DAY($D107))&lt;=AsOfDate,1,0),MONTH($D107),DAY($D107)))</f>
        <v/>
      </c>
      <c r="F107" s="9"/>
      <c r="G107" s="9"/>
      <c r="H107" s="9"/>
      <c r="I107" s="9"/>
      <c r="J107" s="9"/>
      <c r="K107" s="10" t="str">
        <f aca="false">IF(AE107=0,"",DATE(YEAR(AsOfDate)+IF(DATE(YEAR(AsOfDate),MONTH(AF107),DAY(AF107))&lt;=AsOfDate,1,0),MONTH(AF107),DAY(AF107)))</f>
        <v/>
      </c>
      <c r="L107" s="11" t="str">
        <f aca="false">IF(AE107=0,"",ROUND((AsOfDate-AF107)/365.25,1))</f>
        <v/>
      </c>
      <c r="M107" s="12" t="str">
        <f aca="false">IF(AE107=0,"",IF(AsOfDate&lt;AF107,"-",DATEDIF(AF107,AsOfDate,"y")&amp;"y "&amp;DATEDIF(AF107,AsOfDate,"ym")&amp;"m "&amp;DATEDIF(AF107,AsOfDate,"md")&amp;"d"))</f>
        <v/>
      </c>
      <c r="N107" s="13" t="str">
        <f aca="false">IF(AE107=0,"",O107*HoursPerDay)</f>
        <v/>
      </c>
      <c r="O107" s="13" t="str">
        <f aca="false">IF(AE107=0,"",AX107)</f>
        <v/>
      </c>
      <c r="P107" s="14"/>
      <c r="Q107" s="12" t="str">
        <f aca="false">IF(AE107=0,"",IF(AG107&lt;2,"",AK107&amp;" to "&amp;AL107&amp;" on "&amp;TEXT(AI107,"dd/mm/yyyy")&amp;IF(AI107&gt;AsOfDate," (future)",IF(AN107=AO107,"",IF(AO107="None"," - STOPPED accruing",IF(AN107="None"," - commencement for Bonus Leave"," - pathway changed"))))&amp;IF(AG107&lt;3,"","; "&amp;AL107&amp;" to "&amp;AM107&amp;" on "&amp;TEXT(AJ107,"dd/mm/yyyy")&amp;IF(AJ107&gt;AsOfDate," (future)",IF(AO107=AP107,"",IF(AP107="None"," - STOPPED accruing",IF(AO107="None"," - commencement for Bonus Leave","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AE107=0,"",IF(NOT(LH_Ready),"",IF(AF107&gt;PFYDate,0,IF(LH_ColPeriod=0,W107-U107+V107,SUMIFS(INDEX(LH_Data,0,LH_ColAcc),INDEX(LH_Data,0,LH_ColFirst),$A107,INDEX(LH_Data,0,LH_ColSur),$B107,INDEX(LH_Data,0,LH_ColCat),BonusCat,INDEX(LH_Data,0,LH_ColPeriod),LH_OpenLabel)*UnitFactor))))</f>
        <v/>
      </c>
      <c r="U107" s="13" t="str">
        <f aca="false">IF(AE107=0,"",IF(NOT(LH_Ready),"",SUMIFS(INDEX(LH_Data,0,LH_ColAcc),INDEX(LH_Data,0,LH_ColFirst),$A107,INDEX(LH_Data,0,LH_ColSur),$B107,INDEX(LH_Data,0,LH_ColCat),BonusCat,INDEX(LH_Data,0,LH_ColStart),"&gt;="&amp;AF107)*UnitFactor))</f>
        <v/>
      </c>
      <c r="V107" s="13" t="str">
        <f aca="false">IF(AE107=0,"",IF(NOT(LH_Ready),"",SUMIFS(INDEX(LH_Data,0,LH_ColTaken),INDEX(LH_Data,0,LH_ColFirst),$A107,INDEX(LH_Data,0,LH_ColSur),$B107,INDEX(LH_Data,0,LH_ColCat),BonusCat,INDEX(LH_Data,0,LH_ColStart),"&gt;="&amp;AF107)*UnitFactor))</f>
        <v/>
      </c>
      <c r="W107" s="13" t="str">
        <f aca="false">IF(AE107=0,"",IF(NOT(LH_Ready),"",IF(BB107=0,0,INDEX(INDEX(LH_Data,0,LH_ColClose),BB107-1)*UnitFactor)))</f>
        <v/>
      </c>
      <c r="X107" s="13" t="str">
        <f aca="false">IF(AE107=0,"",(AX107-AY107)*HoursPerDay)</f>
        <v/>
      </c>
      <c r="Y107" s="13" t="str">
        <f aca="false">IF(AE107=0,"",IF(NOT(LH_Ready),"",IF(BA107=0,N107,IF(PFYDate&lt;$F107,N107-N(T107)-N(U107),X107-N(U107)))))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 hrs more than policy since commencement",IF(N(W107)&gt;O107*HoursPerDay+0.01,"CHECK - EH balance "&amp;ROUND(W107-O107*HoursPerDay,2)&amp;" hrs more than policy entitlement",IF(O107&gt;0,"OK - nothing to add",IF(AQ107="None",R107,"Not yet - first day on "&amp;TEXT(S107,"dd/mm/yyyy")))))))))</f>
        <v/>
      </c>
      <c r="AB107" s="13" t="str">
        <f aca="false">IF(OR(AE107=0,T107=""),"",AY107*HoursPerDay-T107)</f>
        <v/>
      </c>
      <c r="AC107" s="12" t="str">
        <f aca="false">IF(AE107=0,"",BA107)</f>
        <v/>
      </c>
      <c r="AD107" s="12"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IF(AE107=0,"",IF($J107&lt;&gt;"",$J107,IF(OR(CasualCounts="Yes",COUNT($G107:$I107)=0,COUNT($G107:$H107)=0),$F107,MIN($G107:$H107))))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8"/>
      <c r="B108" s="8"/>
      <c r="C108" s="8"/>
      <c r="D108" s="9"/>
      <c r="E108" s="10" t="str">
        <f aca="false">IF(OR(AE108=0,$D108=""),"",DATE(YEAR(AsOfDate)+IF(DATE(YEAR(AsOfDate),MONTH($D108),DAY($D108))&lt;=AsOfDate,1,0),MONTH($D108),DAY($D108)))</f>
        <v/>
      </c>
      <c r="F108" s="9"/>
      <c r="G108" s="9"/>
      <c r="H108" s="9"/>
      <c r="I108" s="9"/>
      <c r="J108" s="9"/>
      <c r="K108" s="10" t="str">
        <f aca="false">IF(AE108=0,"",DATE(YEAR(AsOfDate)+IF(DATE(YEAR(AsOfDate),MONTH(AF108),DAY(AF108))&lt;=AsOfDate,1,0),MONTH(AF108),DAY(AF108)))</f>
        <v/>
      </c>
      <c r="L108" s="11" t="str">
        <f aca="false">IF(AE108=0,"",ROUND((AsOfDate-AF108)/365.25,1))</f>
        <v/>
      </c>
      <c r="M108" s="12" t="str">
        <f aca="false">IF(AE108=0,"",IF(AsOfDate&lt;AF108,"-",DATEDIF(AF108,AsOfDate,"y")&amp;"y "&amp;DATEDIF(AF108,AsOfDate,"ym")&amp;"m "&amp;DATEDIF(AF108,AsOfDate,"md")&amp;"d"))</f>
        <v/>
      </c>
      <c r="N108" s="13" t="str">
        <f aca="false">IF(AE108=0,"",O108*HoursPerDay)</f>
        <v/>
      </c>
      <c r="O108" s="13" t="str">
        <f aca="false">IF(AE108=0,"",AX108)</f>
        <v/>
      </c>
      <c r="P108" s="14"/>
      <c r="Q108" s="12" t="str">
        <f aca="false">IF(AE108=0,"",IF(AG108&lt;2,"",AK108&amp;" to "&amp;AL108&amp;" on "&amp;TEXT(AI108,"dd/mm/yyyy")&amp;IF(AI108&gt;AsOfDate," (future)",IF(AN108=AO108,"",IF(AO108="None"," - STOPPED accruing",IF(AN108="None"," - commencement for Bonus Leave"," - pathway changed"))))&amp;IF(AG108&lt;3,"","; "&amp;AL108&amp;" to "&amp;AM108&amp;" on "&amp;TEXT(AJ108,"dd/mm/yyyy")&amp;IF(AJ108&gt;AsOfDate," (future)",IF(AO108=AP108,"",IF(AP108="None"," - STOPPED accruing",IF(AO108="None"," - commencement for Bonus Leave","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AE108=0,"",IF(NOT(LH_Ready),"",IF(AF108&gt;PFYDate,0,IF(LH_ColPeriod=0,W108-U108+V108,SUMIFS(INDEX(LH_Data,0,LH_ColAcc),INDEX(LH_Data,0,LH_ColFirst),$A108,INDEX(LH_Data,0,LH_ColSur),$B108,INDEX(LH_Data,0,LH_ColCat),BonusCat,INDEX(LH_Data,0,LH_ColPeriod),LH_OpenLabel)*UnitFactor))))</f>
        <v/>
      </c>
      <c r="U108" s="13" t="str">
        <f aca="false">IF(AE108=0,"",IF(NOT(LH_Ready),"",SUMIFS(INDEX(LH_Data,0,LH_ColAcc),INDEX(LH_Data,0,LH_ColFirst),$A108,INDEX(LH_Data,0,LH_ColSur),$B108,INDEX(LH_Data,0,LH_ColCat),BonusCat,INDEX(LH_Data,0,LH_ColStart),"&gt;="&amp;AF108)*UnitFactor))</f>
        <v/>
      </c>
      <c r="V108" s="13" t="str">
        <f aca="false">IF(AE108=0,"",IF(NOT(LH_Ready),"",SUMIFS(INDEX(LH_Data,0,LH_ColTaken),INDEX(LH_Data,0,LH_ColFirst),$A108,INDEX(LH_Data,0,LH_ColSur),$B108,INDEX(LH_Data,0,LH_ColCat),BonusCat,INDEX(LH_Data,0,LH_ColStart),"&gt;="&amp;AF108)*UnitFactor))</f>
        <v/>
      </c>
      <c r="W108" s="13" t="str">
        <f aca="false">IF(AE108=0,"",IF(NOT(LH_Ready),"",IF(BB108=0,0,INDEX(INDEX(LH_Data,0,LH_ColClose),BB108-1)*UnitFactor)))</f>
        <v/>
      </c>
      <c r="X108" s="13" t="str">
        <f aca="false">IF(AE108=0,"",(AX108-AY108)*HoursPerDay)</f>
        <v/>
      </c>
      <c r="Y108" s="13" t="str">
        <f aca="false">IF(AE108=0,"",IF(NOT(LH_Ready),"",IF(BA108=0,N108,IF(PFYDate&lt;$F108,N108-N(T108)-N(U108),X108-N(U108)))))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 hrs more than policy since commencement",IF(N(W108)&gt;O108*HoursPerDay+0.01,"CHECK - EH balance "&amp;ROUND(W108-O108*HoursPerDay,2)&amp;" hrs more than policy entitlement",IF(O108&gt;0,"OK - nothing to add",IF(AQ108="None",R108,"Not yet - first day on "&amp;TEXT(S108,"dd/mm/yyyy")))))))))</f>
        <v/>
      </c>
      <c r="AB108" s="13" t="str">
        <f aca="false">IF(OR(AE108=0,T108=""),"",AY108*HoursPerDay-T108)</f>
        <v/>
      </c>
      <c r="AC108" s="12" t="str">
        <f aca="false">IF(AE108=0,"",BA108)</f>
        <v/>
      </c>
      <c r="AD108" s="12"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IF(AE108=0,"",IF($J108&lt;&gt;"",$J108,IF(OR(CasualCounts="Yes",COUNT($G108:$I108)=0,COUNT($G108:$H108)=0),$F108,MIN($G108:$H108))))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8"/>
      <c r="B109" s="8"/>
      <c r="C109" s="8"/>
      <c r="D109" s="9"/>
      <c r="E109" s="10" t="str">
        <f aca="false">IF(OR(AE109=0,$D109=""),"",DATE(YEAR(AsOfDate)+IF(DATE(YEAR(AsOfDate),MONTH($D109),DAY($D109))&lt;=AsOfDate,1,0),MONTH($D109),DAY($D109)))</f>
        <v/>
      </c>
      <c r="F109" s="9"/>
      <c r="G109" s="9"/>
      <c r="H109" s="9"/>
      <c r="I109" s="9"/>
      <c r="J109" s="9"/>
      <c r="K109" s="10" t="str">
        <f aca="false">IF(AE109=0,"",DATE(YEAR(AsOfDate)+IF(DATE(YEAR(AsOfDate),MONTH(AF109),DAY(AF109))&lt;=AsOfDate,1,0),MONTH(AF109),DAY(AF109)))</f>
        <v/>
      </c>
      <c r="L109" s="11" t="str">
        <f aca="false">IF(AE109=0,"",ROUND((AsOfDate-AF109)/365.25,1))</f>
        <v/>
      </c>
      <c r="M109" s="12" t="str">
        <f aca="false">IF(AE109=0,"",IF(AsOfDate&lt;AF109,"-",DATEDIF(AF109,AsOfDate,"y")&amp;"y "&amp;DATEDIF(AF109,AsOfDate,"ym")&amp;"m "&amp;DATEDIF(AF109,AsOfDate,"md")&amp;"d"))</f>
        <v/>
      </c>
      <c r="N109" s="13" t="str">
        <f aca="false">IF(AE109=0,"",O109*HoursPerDay)</f>
        <v/>
      </c>
      <c r="O109" s="13" t="str">
        <f aca="false">IF(AE109=0,"",AX109)</f>
        <v/>
      </c>
      <c r="P109" s="14"/>
      <c r="Q109" s="12" t="str">
        <f aca="false">IF(AE109=0,"",IF(AG109&lt;2,"",AK109&amp;" to "&amp;AL109&amp;" on "&amp;TEXT(AI109,"dd/mm/yyyy")&amp;IF(AI109&gt;AsOfDate," (future)",IF(AN109=AO109,"",IF(AO109="None"," - STOPPED accruing",IF(AN109="None"," - commencement for Bonus Leave"," - pathway changed"))))&amp;IF(AG109&lt;3,"","; "&amp;AL109&amp;" to "&amp;AM109&amp;" on "&amp;TEXT(AJ109,"dd/mm/yyyy")&amp;IF(AJ109&gt;AsOfDate," (future)",IF(AO109=AP109,"",IF(AP109="None"," - STOPPED accruing",IF(AO109="None"," - commencement for Bonus Leave","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AE109=0,"",IF(NOT(LH_Ready),"",IF(AF109&gt;PFYDate,0,IF(LH_ColPeriod=0,W109-U109+V109,SUMIFS(INDEX(LH_Data,0,LH_ColAcc),INDEX(LH_Data,0,LH_ColFirst),$A109,INDEX(LH_Data,0,LH_ColSur),$B109,INDEX(LH_Data,0,LH_ColCat),BonusCat,INDEX(LH_Data,0,LH_ColPeriod),LH_OpenLabel)*UnitFactor))))</f>
        <v/>
      </c>
      <c r="U109" s="13" t="str">
        <f aca="false">IF(AE109=0,"",IF(NOT(LH_Ready),"",SUMIFS(INDEX(LH_Data,0,LH_ColAcc),INDEX(LH_Data,0,LH_ColFirst),$A109,INDEX(LH_Data,0,LH_ColSur),$B109,INDEX(LH_Data,0,LH_ColCat),BonusCat,INDEX(LH_Data,0,LH_ColStart),"&gt;="&amp;AF109)*UnitFactor))</f>
        <v/>
      </c>
      <c r="V109" s="13" t="str">
        <f aca="false">IF(AE109=0,"",IF(NOT(LH_Ready),"",SUMIFS(INDEX(LH_Data,0,LH_ColTaken),INDEX(LH_Data,0,LH_ColFirst),$A109,INDEX(LH_Data,0,LH_ColSur),$B109,INDEX(LH_Data,0,LH_ColCat),BonusCat,INDEX(LH_Data,0,LH_ColStart),"&gt;="&amp;AF109)*UnitFactor))</f>
        <v/>
      </c>
      <c r="W109" s="13" t="str">
        <f aca="false">IF(AE109=0,"",IF(NOT(LH_Ready),"",IF(BB109=0,0,INDEX(INDEX(LH_Data,0,LH_ColClose),BB109-1)*UnitFactor)))</f>
        <v/>
      </c>
      <c r="X109" s="13" t="str">
        <f aca="false">IF(AE109=0,"",(AX109-AY109)*HoursPerDay)</f>
        <v/>
      </c>
      <c r="Y109" s="13" t="str">
        <f aca="false">IF(AE109=0,"",IF(NOT(LH_Ready),"",IF(BA109=0,N109,IF(PFYDate&lt;$F109,N109-N(T109)-N(U109),X109-N(U109)))))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 hrs more than policy since commencement",IF(N(W109)&gt;O109*HoursPerDay+0.01,"CHECK - EH balance "&amp;ROUND(W109-O109*HoursPerDay,2)&amp;" hrs more than policy entitlement",IF(O109&gt;0,"OK - nothing to add",IF(AQ109="None",R109,"Not yet - first day on "&amp;TEXT(S109,"dd/mm/yyyy")))))))))</f>
        <v/>
      </c>
      <c r="AB109" s="13" t="str">
        <f aca="false">IF(OR(AE109=0,T109=""),"",AY109*HoursPerDay-T109)</f>
        <v/>
      </c>
      <c r="AC109" s="12" t="str">
        <f aca="false">IF(AE109=0,"",BA109)</f>
        <v/>
      </c>
      <c r="AD109" s="12"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IF(AE109=0,"",IF($J109&lt;&gt;"",$J109,IF(OR(CasualCounts="Yes",COUNT($G109:$I109)=0,COUNT($G109:$H109)=0),$F109,MIN($G109:$H109))))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8"/>
      <c r="B110" s="8"/>
      <c r="C110" s="8"/>
      <c r="D110" s="9"/>
      <c r="E110" s="10" t="str">
        <f aca="false">IF(OR(AE110=0,$D110=""),"",DATE(YEAR(AsOfDate)+IF(DATE(YEAR(AsOfDate),MONTH($D110),DAY($D110))&lt;=AsOfDate,1,0),MONTH($D110),DAY($D110)))</f>
        <v/>
      </c>
      <c r="F110" s="9"/>
      <c r="G110" s="9"/>
      <c r="H110" s="9"/>
      <c r="I110" s="9"/>
      <c r="J110" s="9"/>
      <c r="K110" s="10" t="str">
        <f aca="false">IF(AE110=0,"",DATE(YEAR(AsOfDate)+IF(DATE(YEAR(AsOfDate),MONTH(AF110),DAY(AF110))&lt;=AsOfDate,1,0),MONTH(AF110),DAY(AF110)))</f>
        <v/>
      </c>
      <c r="L110" s="11" t="str">
        <f aca="false">IF(AE110=0,"",ROUND((AsOfDate-AF110)/365.25,1))</f>
        <v/>
      </c>
      <c r="M110" s="12" t="str">
        <f aca="false">IF(AE110=0,"",IF(AsOfDate&lt;AF110,"-",DATEDIF(AF110,AsOfDate,"y")&amp;"y "&amp;DATEDIF(AF110,AsOfDate,"ym")&amp;"m "&amp;DATEDIF(AF110,AsOfDate,"md")&amp;"d"))</f>
        <v/>
      </c>
      <c r="N110" s="13" t="str">
        <f aca="false">IF(AE110=0,"",O110*HoursPerDay)</f>
        <v/>
      </c>
      <c r="O110" s="13" t="str">
        <f aca="false">IF(AE110=0,"",AX110)</f>
        <v/>
      </c>
      <c r="P110" s="14"/>
      <c r="Q110" s="12" t="str">
        <f aca="false">IF(AE110=0,"",IF(AG110&lt;2,"",AK110&amp;" to "&amp;AL110&amp;" on "&amp;TEXT(AI110,"dd/mm/yyyy")&amp;IF(AI110&gt;AsOfDate," (future)",IF(AN110=AO110,"",IF(AO110="None"," - STOPPED accruing",IF(AN110="None"," - commencement for Bonus Leave"," - pathway changed"))))&amp;IF(AG110&lt;3,"","; "&amp;AL110&amp;" to "&amp;AM110&amp;" on "&amp;TEXT(AJ110,"dd/mm/yyyy")&amp;IF(AJ110&gt;AsOfDate," (future)",IF(AO110=AP110,"",IF(AP110="None"," - STOPPED accruing",IF(AO110="None"," - commencement for Bonus Leave","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AE110=0,"",IF(NOT(LH_Ready),"",IF(AF110&gt;PFYDate,0,IF(LH_ColPeriod=0,W110-U110+V110,SUMIFS(INDEX(LH_Data,0,LH_ColAcc),INDEX(LH_Data,0,LH_ColFirst),$A110,INDEX(LH_Data,0,LH_ColSur),$B110,INDEX(LH_Data,0,LH_ColCat),BonusCat,INDEX(LH_Data,0,LH_ColPeriod),LH_OpenLabel)*UnitFactor))))</f>
        <v/>
      </c>
      <c r="U110" s="13" t="str">
        <f aca="false">IF(AE110=0,"",IF(NOT(LH_Ready),"",SUMIFS(INDEX(LH_Data,0,LH_ColAcc),INDEX(LH_Data,0,LH_ColFirst),$A110,INDEX(LH_Data,0,LH_ColSur),$B110,INDEX(LH_Data,0,LH_ColCat),BonusCat,INDEX(LH_Data,0,LH_ColStart),"&gt;="&amp;AF110)*UnitFactor))</f>
        <v/>
      </c>
      <c r="V110" s="13" t="str">
        <f aca="false">IF(AE110=0,"",IF(NOT(LH_Ready),"",SUMIFS(INDEX(LH_Data,0,LH_ColTaken),INDEX(LH_Data,0,LH_ColFirst),$A110,INDEX(LH_Data,0,LH_ColSur),$B110,INDEX(LH_Data,0,LH_ColCat),BonusCat,INDEX(LH_Data,0,LH_ColStart),"&gt;="&amp;AF110)*UnitFactor))</f>
        <v/>
      </c>
      <c r="W110" s="13" t="str">
        <f aca="false">IF(AE110=0,"",IF(NOT(LH_Ready),"",IF(BB110=0,0,INDEX(INDEX(LH_Data,0,LH_ColClose),BB110-1)*UnitFactor)))</f>
        <v/>
      </c>
      <c r="X110" s="13" t="str">
        <f aca="false">IF(AE110=0,"",(AX110-AY110)*HoursPerDay)</f>
        <v/>
      </c>
      <c r="Y110" s="13" t="str">
        <f aca="false">IF(AE110=0,"",IF(NOT(LH_Ready),"",IF(BA110=0,N110,IF(PFYDate&lt;$F110,N110-N(T110)-N(U110),X110-N(U110)))))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 hrs more than policy since commencement",IF(N(W110)&gt;O110*HoursPerDay+0.01,"CHECK - EH balance "&amp;ROUND(W110-O110*HoursPerDay,2)&amp;" hrs more than policy entitlement",IF(O110&gt;0,"OK - nothing to add",IF(AQ110="None",R110,"Not yet - first day on "&amp;TEXT(S110,"dd/mm/yyyy")))))))))</f>
        <v/>
      </c>
      <c r="AB110" s="13" t="str">
        <f aca="false">IF(OR(AE110=0,T110=""),"",AY110*HoursPerDay-T110)</f>
        <v/>
      </c>
      <c r="AC110" s="12" t="str">
        <f aca="false">IF(AE110=0,"",BA110)</f>
        <v/>
      </c>
      <c r="AD110" s="12"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IF(AE110=0,"",IF($J110&lt;&gt;"",$J110,IF(OR(CasualCounts="Yes",COUNT($G110:$I110)=0,COUNT($G110:$H110)=0),$F110,MIN($G110:$H110))))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8"/>
      <c r="B111" s="8"/>
      <c r="C111" s="8"/>
      <c r="D111" s="9"/>
      <c r="E111" s="10" t="str">
        <f aca="false">IF(OR(AE111=0,$D111=""),"",DATE(YEAR(AsOfDate)+IF(DATE(YEAR(AsOfDate),MONTH($D111),DAY($D111))&lt;=AsOfDate,1,0),MONTH($D111),DAY($D111)))</f>
        <v/>
      </c>
      <c r="F111" s="9"/>
      <c r="G111" s="9"/>
      <c r="H111" s="9"/>
      <c r="I111" s="9"/>
      <c r="J111" s="9"/>
      <c r="K111" s="10" t="str">
        <f aca="false">IF(AE111=0,"",DATE(YEAR(AsOfDate)+IF(DATE(YEAR(AsOfDate),MONTH(AF111),DAY(AF111))&lt;=AsOfDate,1,0),MONTH(AF111),DAY(AF111)))</f>
        <v/>
      </c>
      <c r="L111" s="11" t="str">
        <f aca="false">IF(AE111=0,"",ROUND((AsOfDate-AF111)/365.25,1))</f>
        <v/>
      </c>
      <c r="M111" s="12" t="str">
        <f aca="false">IF(AE111=0,"",IF(AsOfDate&lt;AF111,"-",DATEDIF(AF111,AsOfDate,"y")&amp;"y "&amp;DATEDIF(AF111,AsOfDate,"ym")&amp;"m "&amp;DATEDIF(AF111,AsOfDate,"md")&amp;"d"))</f>
        <v/>
      </c>
      <c r="N111" s="13" t="str">
        <f aca="false">IF(AE111=0,"",O111*HoursPerDay)</f>
        <v/>
      </c>
      <c r="O111" s="13" t="str">
        <f aca="false">IF(AE111=0,"",AX111)</f>
        <v/>
      </c>
      <c r="P111" s="14"/>
      <c r="Q111" s="12" t="str">
        <f aca="false">IF(AE111=0,"",IF(AG111&lt;2,"",AK111&amp;" to "&amp;AL111&amp;" on "&amp;TEXT(AI111,"dd/mm/yyyy")&amp;IF(AI111&gt;AsOfDate," (future)",IF(AN111=AO111,"",IF(AO111="None"," - STOPPED accruing",IF(AN111="None"," - commencement for Bonus Leave"," - pathway changed"))))&amp;IF(AG111&lt;3,"","; "&amp;AL111&amp;" to "&amp;AM111&amp;" on "&amp;TEXT(AJ111,"dd/mm/yyyy")&amp;IF(AJ111&gt;AsOfDate," (future)",IF(AO111=AP111,"",IF(AP111="None"," - STOPPED accruing",IF(AO111="None"," - commencement for Bonus Leave","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AE111=0,"",IF(NOT(LH_Ready),"",IF(AF111&gt;PFYDate,0,IF(LH_ColPeriod=0,W111-U111+V111,SUMIFS(INDEX(LH_Data,0,LH_ColAcc),INDEX(LH_Data,0,LH_ColFirst),$A111,INDEX(LH_Data,0,LH_ColSur),$B111,INDEX(LH_Data,0,LH_ColCat),BonusCat,INDEX(LH_Data,0,LH_ColPeriod),LH_OpenLabel)*UnitFactor))))</f>
        <v/>
      </c>
      <c r="U111" s="13" t="str">
        <f aca="false">IF(AE111=0,"",IF(NOT(LH_Ready),"",SUMIFS(INDEX(LH_Data,0,LH_ColAcc),INDEX(LH_Data,0,LH_ColFirst),$A111,INDEX(LH_Data,0,LH_ColSur),$B111,INDEX(LH_Data,0,LH_ColCat),BonusCat,INDEX(LH_Data,0,LH_ColStart),"&gt;="&amp;AF111)*UnitFactor))</f>
        <v/>
      </c>
      <c r="V111" s="13" t="str">
        <f aca="false">IF(AE111=0,"",IF(NOT(LH_Ready),"",SUMIFS(INDEX(LH_Data,0,LH_ColTaken),INDEX(LH_Data,0,LH_ColFirst),$A111,INDEX(LH_Data,0,LH_ColSur),$B111,INDEX(LH_Data,0,LH_ColCat),BonusCat,INDEX(LH_Data,0,LH_ColStart),"&gt;="&amp;AF111)*UnitFactor))</f>
        <v/>
      </c>
      <c r="W111" s="13" t="str">
        <f aca="false">IF(AE111=0,"",IF(NOT(LH_Ready),"",IF(BB111=0,0,INDEX(INDEX(LH_Data,0,LH_ColClose),BB111-1)*UnitFactor)))</f>
        <v/>
      </c>
      <c r="X111" s="13" t="str">
        <f aca="false">IF(AE111=0,"",(AX111-AY111)*HoursPerDay)</f>
        <v/>
      </c>
      <c r="Y111" s="13" t="str">
        <f aca="false">IF(AE111=0,"",IF(NOT(LH_Ready),"",IF(BA111=0,N111,IF(PFYDate&lt;$F111,N111-N(T111)-N(U111),X111-N(U111)))))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 hrs more than policy since commencement",IF(N(W111)&gt;O111*HoursPerDay+0.01,"CHECK - EH balance "&amp;ROUND(W111-O111*HoursPerDay,2)&amp;" hrs more than policy entitlement",IF(O111&gt;0,"OK - nothing to add",IF(AQ111="None",R111,"Not yet - first day on "&amp;TEXT(S111,"dd/mm/yyyy")))))))))</f>
        <v/>
      </c>
      <c r="AB111" s="13" t="str">
        <f aca="false">IF(OR(AE111=0,T111=""),"",AY111*HoursPerDay-T111)</f>
        <v/>
      </c>
      <c r="AC111" s="12" t="str">
        <f aca="false">IF(AE111=0,"",BA111)</f>
        <v/>
      </c>
      <c r="AD111" s="12"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IF(AE111=0,"",IF($J111&lt;&gt;"",$J111,IF(OR(CasualCounts="Yes",COUNT($G111:$I111)=0,COUNT($G111:$H111)=0),$F111,MIN($G111:$H111))))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8"/>
      <c r="B112" s="8"/>
      <c r="C112" s="8"/>
      <c r="D112" s="9"/>
      <c r="E112" s="10" t="str">
        <f aca="false">IF(OR(AE112=0,$D112=""),"",DATE(YEAR(AsOfDate)+IF(DATE(YEAR(AsOfDate),MONTH($D112),DAY($D112))&lt;=AsOfDate,1,0),MONTH($D112),DAY($D112)))</f>
        <v/>
      </c>
      <c r="F112" s="9"/>
      <c r="G112" s="9"/>
      <c r="H112" s="9"/>
      <c r="I112" s="9"/>
      <c r="J112" s="9"/>
      <c r="K112" s="10" t="str">
        <f aca="false">IF(AE112=0,"",DATE(YEAR(AsOfDate)+IF(DATE(YEAR(AsOfDate),MONTH(AF112),DAY(AF112))&lt;=AsOfDate,1,0),MONTH(AF112),DAY(AF112)))</f>
        <v/>
      </c>
      <c r="L112" s="11" t="str">
        <f aca="false">IF(AE112=0,"",ROUND((AsOfDate-AF112)/365.25,1))</f>
        <v/>
      </c>
      <c r="M112" s="12" t="str">
        <f aca="false">IF(AE112=0,"",IF(AsOfDate&lt;AF112,"-",DATEDIF(AF112,AsOfDate,"y")&amp;"y "&amp;DATEDIF(AF112,AsOfDate,"ym")&amp;"m "&amp;DATEDIF(AF112,AsOfDate,"md")&amp;"d"))</f>
        <v/>
      </c>
      <c r="N112" s="13" t="str">
        <f aca="false">IF(AE112=0,"",O112*HoursPerDay)</f>
        <v/>
      </c>
      <c r="O112" s="13" t="str">
        <f aca="false">IF(AE112=0,"",AX112)</f>
        <v/>
      </c>
      <c r="P112" s="14"/>
      <c r="Q112" s="12" t="str">
        <f aca="false">IF(AE112=0,"",IF(AG112&lt;2,"",AK112&amp;" to "&amp;AL112&amp;" on "&amp;TEXT(AI112,"dd/mm/yyyy")&amp;IF(AI112&gt;AsOfDate," (future)",IF(AN112=AO112,"",IF(AO112="None"," - STOPPED accruing",IF(AN112="None"," - commencement for Bonus Leave"," - pathway changed"))))&amp;IF(AG112&lt;3,"","; "&amp;AL112&amp;" to "&amp;AM112&amp;" on "&amp;TEXT(AJ112,"dd/mm/yyyy")&amp;IF(AJ112&gt;AsOfDate," (future)",IF(AO112=AP112,"",IF(AP112="None"," - STOPPED accruing",IF(AO112="None"," - commencement for Bonus Leave","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AE112=0,"",IF(NOT(LH_Ready),"",IF(AF112&gt;PFYDate,0,IF(LH_ColPeriod=0,W112-U112+V112,SUMIFS(INDEX(LH_Data,0,LH_ColAcc),INDEX(LH_Data,0,LH_ColFirst),$A112,INDEX(LH_Data,0,LH_ColSur),$B112,INDEX(LH_Data,0,LH_ColCat),BonusCat,INDEX(LH_Data,0,LH_ColPeriod),LH_OpenLabel)*UnitFactor))))</f>
        <v/>
      </c>
      <c r="U112" s="13" t="str">
        <f aca="false">IF(AE112=0,"",IF(NOT(LH_Ready),"",SUMIFS(INDEX(LH_Data,0,LH_ColAcc),INDEX(LH_Data,0,LH_ColFirst),$A112,INDEX(LH_Data,0,LH_ColSur),$B112,INDEX(LH_Data,0,LH_ColCat),BonusCat,INDEX(LH_Data,0,LH_ColStart),"&gt;="&amp;AF112)*UnitFactor))</f>
        <v/>
      </c>
      <c r="V112" s="13" t="str">
        <f aca="false">IF(AE112=0,"",IF(NOT(LH_Ready),"",SUMIFS(INDEX(LH_Data,0,LH_ColTaken),INDEX(LH_Data,0,LH_ColFirst),$A112,INDEX(LH_Data,0,LH_ColSur),$B112,INDEX(LH_Data,0,LH_ColCat),BonusCat,INDEX(LH_Data,0,LH_ColStart),"&gt;="&amp;AF112)*UnitFactor))</f>
        <v/>
      </c>
      <c r="W112" s="13" t="str">
        <f aca="false">IF(AE112=0,"",IF(NOT(LH_Ready),"",IF(BB112=0,0,INDEX(INDEX(LH_Data,0,LH_ColClose),BB112-1)*UnitFactor)))</f>
        <v/>
      </c>
      <c r="X112" s="13" t="str">
        <f aca="false">IF(AE112=0,"",(AX112-AY112)*HoursPerDay)</f>
        <v/>
      </c>
      <c r="Y112" s="13" t="str">
        <f aca="false">IF(AE112=0,"",IF(NOT(LH_Ready),"",IF(BA112=0,N112,IF(PFYDate&lt;$F112,N112-N(T112)-N(U112),X112-N(U112)))))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 hrs more than policy since commencement",IF(N(W112)&gt;O112*HoursPerDay+0.01,"CHECK - EH balance "&amp;ROUND(W112-O112*HoursPerDay,2)&amp;" hrs more than policy entitlement",IF(O112&gt;0,"OK - nothing to add",IF(AQ112="None",R112,"Not yet - first day on "&amp;TEXT(S112,"dd/mm/yyyy")))))))))</f>
        <v/>
      </c>
      <c r="AB112" s="13" t="str">
        <f aca="false">IF(OR(AE112=0,T112=""),"",AY112*HoursPerDay-T112)</f>
        <v/>
      </c>
      <c r="AC112" s="12" t="str">
        <f aca="false">IF(AE112=0,"",BA112)</f>
        <v/>
      </c>
      <c r="AD112" s="12"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IF(AE112=0,"",IF($J112&lt;&gt;"",$J112,IF(OR(CasualCounts="Yes",COUNT($G112:$I112)=0,COUNT($G112:$H112)=0),$F112,MIN($G112:$H112))))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8"/>
      <c r="B113" s="8"/>
      <c r="C113" s="8"/>
      <c r="D113" s="9"/>
      <c r="E113" s="10" t="str">
        <f aca="false">IF(OR(AE113=0,$D113=""),"",DATE(YEAR(AsOfDate)+IF(DATE(YEAR(AsOfDate),MONTH($D113),DAY($D113))&lt;=AsOfDate,1,0),MONTH($D113),DAY($D113)))</f>
        <v/>
      </c>
      <c r="F113" s="9"/>
      <c r="G113" s="9"/>
      <c r="H113" s="9"/>
      <c r="I113" s="9"/>
      <c r="J113" s="9"/>
      <c r="K113" s="10" t="str">
        <f aca="false">IF(AE113=0,"",DATE(YEAR(AsOfDate)+IF(DATE(YEAR(AsOfDate),MONTH(AF113),DAY(AF113))&lt;=AsOfDate,1,0),MONTH(AF113),DAY(AF113)))</f>
        <v/>
      </c>
      <c r="L113" s="11" t="str">
        <f aca="false">IF(AE113=0,"",ROUND((AsOfDate-AF113)/365.25,1))</f>
        <v/>
      </c>
      <c r="M113" s="12" t="str">
        <f aca="false">IF(AE113=0,"",IF(AsOfDate&lt;AF113,"-",DATEDIF(AF113,AsOfDate,"y")&amp;"y "&amp;DATEDIF(AF113,AsOfDate,"ym")&amp;"m "&amp;DATEDIF(AF113,AsOfDate,"md")&amp;"d"))</f>
        <v/>
      </c>
      <c r="N113" s="13" t="str">
        <f aca="false">IF(AE113=0,"",O113*HoursPerDay)</f>
        <v/>
      </c>
      <c r="O113" s="13" t="str">
        <f aca="false">IF(AE113=0,"",AX113)</f>
        <v/>
      </c>
      <c r="P113" s="14"/>
      <c r="Q113" s="12" t="str">
        <f aca="false">IF(AE113=0,"",IF(AG113&lt;2,"",AK113&amp;" to "&amp;AL113&amp;" on "&amp;TEXT(AI113,"dd/mm/yyyy")&amp;IF(AI113&gt;AsOfDate," (future)",IF(AN113=AO113,"",IF(AO113="None"," - STOPPED accruing",IF(AN113="None"," - commencement for Bonus Leave"," - pathway changed"))))&amp;IF(AG113&lt;3,"","; "&amp;AL113&amp;" to "&amp;AM113&amp;" on "&amp;TEXT(AJ113,"dd/mm/yyyy")&amp;IF(AJ113&gt;AsOfDate," (future)",IF(AO113=AP113,"",IF(AP113="None"," - STOPPED accruing",IF(AO113="None"," - commencement for Bonus Leave","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AE113=0,"",IF(NOT(LH_Ready),"",IF(AF113&gt;PFYDate,0,IF(LH_ColPeriod=0,W113-U113+V113,SUMIFS(INDEX(LH_Data,0,LH_ColAcc),INDEX(LH_Data,0,LH_ColFirst),$A113,INDEX(LH_Data,0,LH_ColSur),$B113,INDEX(LH_Data,0,LH_ColCat),BonusCat,INDEX(LH_Data,0,LH_ColPeriod),LH_OpenLabel)*UnitFactor))))</f>
        <v/>
      </c>
      <c r="U113" s="13" t="str">
        <f aca="false">IF(AE113=0,"",IF(NOT(LH_Ready),"",SUMIFS(INDEX(LH_Data,0,LH_ColAcc),INDEX(LH_Data,0,LH_ColFirst),$A113,INDEX(LH_Data,0,LH_ColSur),$B113,INDEX(LH_Data,0,LH_ColCat),BonusCat,INDEX(LH_Data,0,LH_ColStart),"&gt;="&amp;AF113)*UnitFactor))</f>
        <v/>
      </c>
      <c r="V113" s="13" t="str">
        <f aca="false">IF(AE113=0,"",IF(NOT(LH_Ready),"",SUMIFS(INDEX(LH_Data,0,LH_ColTaken),INDEX(LH_Data,0,LH_ColFirst),$A113,INDEX(LH_Data,0,LH_ColSur),$B113,INDEX(LH_Data,0,LH_ColCat),BonusCat,INDEX(LH_Data,0,LH_ColStart),"&gt;="&amp;AF113)*UnitFactor))</f>
        <v/>
      </c>
      <c r="W113" s="13" t="str">
        <f aca="false">IF(AE113=0,"",IF(NOT(LH_Ready),"",IF(BB113=0,0,INDEX(INDEX(LH_Data,0,LH_ColClose),BB113-1)*UnitFactor)))</f>
        <v/>
      </c>
      <c r="X113" s="13" t="str">
        <f aca="false">IF(AE113=0,"",(AX113-AY113)*HoursPerDay)</f>
        <v/>
      </c>
      <c r="Y113" s="13" t="str">
        <f aca="false">IF(AE113=0,"",IF(NOT(LH_Ready),"",IF(BA113=0,N113,IF(PFYDate&lt;$F113,N113-N(T113)-N(U113),X113-N(U113)))))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 hrs more than policy since commencement",IF(N(W113)&gt;O113*HoursPerDay+0.01,"CHECK - EH balance "&amp;ROUND(W113-O113*HoursPerDay,2)&amp;" hrs more than policy entitlement",IF(O113&gt;0,"OK - nothing to add",IF(AQ113="None",R113,"Not yet - first day on "&amp;TEXT(S113,"dd/mm/yyyy")))))))))</f>
        <v/>
      </c>
      <c r="AB113" s="13" t="str">
        <f aca="false">IF(OR(AE113=0,T113=""),"",AY113*HoursPerDay-T113)</f>
        <v/>
      </c>
      <c r="AC113" s="12" t="str">
        <f aca="false">IF(AE113=0,"",BA113)</f>
        <v/>
      </c>
      <c r="AD113" s="12"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IF(AE113=0,"",IF($J113&lt;&gt;"",$J113,IF(OR(CasualCounts="Yes",COUNT($G113:$I113)=0,COUNT($G113:$H113)=0),$F113,MIN($G113:$H113))))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8"/>
      <c r="B114" s="8"/>
      <c r="C114" s="8"/>
      <c r="D114" s="9"/>
      <c r="E114" s="10" t="str">
        <f aca="false">IF(OR(AE114=0,$D114=""),"",DATE(YEAR(AsOfDate)+IF(DATE(YEAR(AsOfDate),MONTH($D114),DAY($D114))&lt;=AsOfDate,1,0),MONTH($D114),DAY($D114)))</f>
        <v/>
      </c>
      <c r="F114" s="9"/>
      <c r="G114" s="9"/>
      <c r="H114" s="9"/>
      <c r="I114" s="9"/>
      <c r="J114" s="9"/>
      <c r="K114" s="10" t="str">
        <f aca="false">IF(AE114=0,"",DATE(YEAR(AsOfDate)+IF(DATE(YEAR(AsOfDate),MONTH(AF114),DAY(AF114))&lt;=AsOfDate,1,0),MONTH(AF114),DAY(AF114)))</f>
        <v/>
      </c>
      <c r="L114" s="11" t="str">
        <f aca="false">IF(AE114=0,"",ROUND((AsOfDate-AF114)/365.25,1))</f>
        <v/>
      </c>
      <c r="M114" s="12" t="str">
        <f aca="false">IF(AE114=0,"",IF(AsOfDate&lt;AF114,"-",DATEDIF(AF114,AsOfDate,"y")&amp;"y "&amp;DATEDIF(AF114,AsOfDate,"ym")&amp;"m "&amp;DATEDIF(AF114,AsOfDate,"md")&amp;"d"))</f>
        <v/>
      </c>
      <c r="N114" s="13" t="str">
        <f aca="false">IF(AE114=0,"",O114*HoursPerDay)</f>
        <v/>
      </c>
      <c r="O114" s="13" t="str">
        <f aca="false">IF(AE114=0,"",AX114)</f>
        <v/>
      </c>
      <c r="P114" s="14"/>
      <c r="Q114" s="12" t="str">
        <f aca="false">IF(AE114=0,"",IF(AG114&lt;2,"",AK114&amp;" to "&amp;AL114&amp;" on "&amp;TEXT(AI114,"dd/mm/yyyy")&amp;IF(AI114&gt;AsOfDate," (future)",IF(AN114=AO114,"",IF(AO114="None"," - STOPPED accruing",IF(AN114="None"," - commencement for Bonus Leave"," - pathway changed"))))&amp;IF(AG114&lt;3,"","; "&amp;AL114&amp;" to "&amp;AM114&amp;" on "&amp;TEXT(AJ114,"dd/mm/yyyy")&amp;IF(AJ114&gt;AsOfDate," (future)",IF(AO114=AP114,"",IF(AP114="None"," - STOPPED accruing",IF(AO114="None"," - commencement for Bonus Leave","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AE114=0,"",IF(NOT(LH_Ready),"",IF(AF114&gt;PFYDate,0,IF(LH_ColPeriod=0,W114-U114+V114,SUMIFS(INDEX(LH_Data,0,LH_ColAcc),INDEX(LH_Data,0,LH_ColFirst),$A114,INDEX(LH_Data,0,LH_ColSur),$B114,INDEX(LH_Data,0,LH_ColCat),BonusCat,INDEX(LH_Data,0,LH_ColPeriod),LH_OpenLabel)*UnitFactor))))</f>
        <v/>
      </c>
      <c r="U114" s="13" t="str">
        <f aca="false">IF(AE114=0,"",IF(NOT(LH_Ready),"",SUMIFS(INDEX(LH_Data,0,LH_ColAcc),INDEX(LH_Data,0,LH_ColFirst),$A114,INDEX(LH_Data,0,LH_ColSur),$B114,INDEX(LH_Data,0,LH_ColCat),BonusCat,INDEX(LH_Data,0,LH_ColStart),"&gt;="&amp;AF114)*UnitFactor))</f>
        <v/>
      </c>
      <c r="V114" s="13" t="str">
        <f aca="false">IF(AE114=0,"",IF(NOT(LH_Ready),"",SUMIFS(INDEX(LH_Data,0,LH_ColTaken),INDEX(LH_Data,0,LH_ColFirst),$A114,INDEX(LH_Data,0,LH_ColSur),$B114,INDEX(LH_Data,0,LH_ColCat),BonusCat,INDEX(LH_Data,0,LH_ColStart),"&gt;="&amp;AF114)*UnitFactor))</f>
        <v/>
      </c>
      <c r="W114" s="13" t="str">
        <f aca="false">IF(AE114=0,"",IF(NOT(LH_Ready),"",IF(BB114=0,0,INDEX(INDEX(LH_Data,0,LH_ColClose),BB114-1)*UnitFactor)))</f>
        <v/>
      </c>
      <c r="X114" s="13" t="str">
        <f aca="false">IF(AE114=0,"",(AX114-AY114)*HoursPerDay)</f>
        <v/>
      </c>
      <c r="Y114" s="13" t="str">
        <f aca="false">IF(AE114=0,"",IF(NOT(LH_Ready),"",IF(BA114=0,N114,IF(PFYDate&lt;$F114,N114-N(T114)-N(U114),X114-N(U114)))))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 hrs more than policy since commencement",IF(N(W114)&gt;O114*HoursPerDay+0.01,"CHECK - EH balance "&amp;ROUND(W114-O114*HoursPerDay,2)&amp;" hrs more than policy entitlement",IF(O114&gt;0,"OK - nothing to add",IF(AQ114="None",R114,"Not yet - first day on "&amp;TEXT(S114,"dd/mm/yyyy")))))))))</f>
        <v/>
      </c>
      <c r="AB114" s="13" t="str">
        <f aca="false">IF(OR(AE114=0,T114=""),"",AY114*HoursPerDay-T114)</f>
        <v/>
      </c>
      <c r="AC114" s="12" t="str">
        <f aca="false">IF(AE114=0,"",BA114)</f>
        <v/>
      </c>
      <c r="AD114" s="12"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IF(AE114=0,"",IF($J114&lt;&gt;"",$J114,IF(OR(CasualCounts="Yes",COUNT($G114:$I114)=0,COUNT($G114:$H114)=0),$F114,MIN($G114:$H114))))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8"/>
      <c r="B115" s="8"/>
      <c r="C115" s="8"/>
      <c r="D115" s="9"/>
      <c r="E115" s="10" t="str">
        <f aca="false">IF(OR(AE115=0,$D115=""),"",DATE(YEAR(AsOfDate)+IF(DATE(YEAR(AsOfDate),MONTH($D115),DAY($D115))&lt;=AsOfDate,1,0),MONTH($D115),DAY($D115)))</f>
        <v/>
      </c>
      <c r="F115" s="9"/>
      <c r="G115" s="9"/>
      <c r="H115" s="9"/>
      <c r="I115" s="9"/>
      <c r="J115" s="9"/>
      <c r="K115" s="10" t="str">
        <f aca="false">IF(AE115=0,"",DATE(YEAR(AsOfDate)+IF(DATE(YEAR(AsOfDate),MONTH(AF115),DAY(AF115))&lt;=AsOfDate,1,0),MONTH(AF115),DAY(AF115)))</f>
        <v/>
      </c>
      <c r="L115" s="11" t="str">
        <f aca="false">IF(AE115=0,"",ROUND((AsOfDate-AF115)/365.25,1))</f>
        <v/>
      </c>
      <c r="M115" s="12" t="str">
        <f aca="false">IF(AE115=0,"",IF(AsOfDate&lt;AF115,"-",DATEDIF(AF115,AsOfDate,"y")&amp;"y "&amp;DATEDIF(AF115,AsOfDate,"ym")&amp;"m "&amp;DATEDIF(AF115,AsOfDate,"md")&amp;"d"))</f>
        <v/>
      </c>
      <c r="N115" s="13" t="str">
        <f aca="false">IF(AE115=0,"",O115*HoursPerDay)</f>
        <v/>
      </c>
      <c r="O115" s="13" t="str">
        <f aca="false">IF(AE115=0,"",AX115)</f>
        <v/>
      </c>
      <c r="P115" s="14"/>
      <c r="Q115" s="12" t="str">
        <f aca="false">IF(AE115=0,"",IF(AG115&lt;2,"",AK115&amp;" to "&amp;AL115&amp;" on "&amp;TEXT(AI115,"dd/mm/yyyy")&amp;IF(AI115&gt;AsOfDate," (future)",IF(AN115=AO115,"",IF(AO115="None"," - STOPPED accruing",IF(AN115="None"," - commencement for Bonus Leave"," - pathway changed"))))&amp;IF(AG115&lt;3,"","; "&amp;AL115&amp;" to "&amp;AM115&amp;" on "&amp;TEXT(AJ115,"dd/mm/yyyy")&amp;IF(AJ115&gt;AsOfDate," (future)",IF(AO115=AP115,"",IF(AP115="None"," - STOPPED accruing",IF(AO115="None"," - commencement for Bonus Leave","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AE115=0,"",IF(NOT(LH_Ready),"",IF(AF115&gt;PFYDate,0,IF(LH_ColPeriod=0,W115-U115+V115,SUMIFS(INDEX(LH_Data,0,LH_ColAcc),INDEX(LH_Data,0,LH_ColFirst),$A115,INDEX(LH_Data,0,LH_ColSur),$B115,INDEX(LH_Data,0,LH_ColCat),BonusCat,INDEX(LH_Data,0,LH_ColPeriod),LH_OpenLabel)*UnitFactor))))</f>
        <v/>
      </c>
      <c r="U115" s="13" t="str">
        <f aca="false">IF(AE115=0,"",IF(NOT(LH_Ready),"",SUMIFS(INDEX(LH_Data,0,LH_ColAcc),INDEX(LH_Data,0,LH_ColFirst),$A115,INDEX(LH_Data,0,LH_ColSur),$B115,INDEX(LH_Data,0,LH_ColCat),BonusCat,INDEX(LH_Data,0,LH_ColStart),"&gt;="&amp;AF115)*UnitFactor))</f>
        <v/>
      </c>
      <c r="V115" s="13" t="str">
        <f aca="false">IF(AE115=0,"",IF(NOT(LH_Ready),"",SUMIFS(INDEX(LH_Data,0,LH_ColTaken),INDEX(LH_Data,0,LH_ColFirst),$A115,INDEX(LH_Data,0,LH_ColSur),$B115,INDEX(LH_Data,0,LH_ColCat),BonusCat,INDEX(LH_Data,0,LH_ColStart),"&gt;="&amp;AF115)*UnitFactor))</f>
        <v/>
      </c>
      <c r="W115" s="13" t="str">
        <f aca="false">IF(AE115=0,"",IF(NOT(LH_Ready),"",IF(BB115=0,0,INDEX(INDEX(LH_Data,0,LH_ColClose),BB115-1)*UnitFactor)))</f>
        <v/>
      </c>
      <c r="X115" s="13" t="str">
        <f aca="false">IF(AE115=0,"",(AX115-AY115)*HoursPerDay)</f>
        <v/>
      </c>
      <c r="Y115" s="13" t="str">
        <f aca="false">IF(AE115=0,"",IF(NOT(LH_Ready),"",IF(BA115=0,N115,IF(PFYDate&lt;$F115,N115-N(T115)-N(U115),X115-N(U115)))))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 hrs more than policy since commencement",IF(N(W115)&gt;O115*HoursPerDay+0.01,"CHECK - EH balance "&amp;ROUND(W115-O115*HoursPerDay,2)&amp;" hrs more than policy entitlement",IF(O115&gt;0,"OK - nothing to add",IF(AQ115="None",R115,"Not yet - first day on "&amp;TEXT(S115,"dd/mm/yyyy")))))))))</f>
        <v/>
      </c>
      <c r="AB115" s="13" t="str">
        <f aca="false">IF(OR(AE115=0,T115=""),"",AY115*HoursPerDay-T115)</f>
        <v/>
      </c>
      <c r="AC115" s="12" t="str">
        <f aca="false">IF(AE115=0,"",BA115)</f>
        <v/>
      </c>
      <c r="AD115" s="12"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IF(AE115=0,"",IF($J115&lt;&gt;"",$J115,IF(OR(CasualCounts="Yes",COUNT($G115:$I115)=0,COUNT($G115:$H115)=0),$F115,MIN($G115:$H115))))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8"/>
      <c r="B116" s="8"/>
      <c r="C116" s="8"/>
      <c r="D116" s="9"/>
      <c r="E116" s="10" t="str">
        <f aca="false">IF(OR(AE116=0,$D116=""),"",DATE(YEAR(AsOfDate)+IF(DATE(YEAR(AsOfDate),MONTH($D116),DAY($D116))&lt;=AsOfDate,1,0),MONTH($D116),DAY($D116)))</f>
        <v/>
      </c>
      <c r="F116" s="9"/>
      <c r="G116" s="9"/>
      <c r="H116" s="9"/>
      <c r="I116" s="9"/>
      <c r="J116" s="9"/>
      <c r="K116" s="10" t="str">
        <f aca="false">IF(AE116=0,"",DATE(YEAR(AsOfDate)+IF(DATE(YEAR(AsOfDate),MONTH(AF116),DAY(AF116))&lt;=AsOfDate,1,0),MONTH(AF116),DAY(AF116)))</f>
        <v/>
      </c>
      <c r="L116" s="11" t="str">
        <f aca="false">IF(AE116=0,"",ROUND((AsOfDate-AF116)/365.25,1))</f>
        <v/>
      </c>
      <c r="M116" s="12" t="str">
        <f aca="false">IF(AE116=0,"",IF(AsOfDate&lt;AF116,"-",DATEDIF(AF116,AsOfDate,"y")&amp;"y "&amp;DATEDIF(AF116,AsOfDate,"ym")&amp;"m "&amp;DATEDIF(AF116,AsOfDate,"md")&amp;"d"))</f>
        <v/>
      </c>
      <c r="N116" s="13" t="str">
        <f aca="false">IF(AE116=0,"",O116*HoursPerDay)</f>
        <v/>
      </c>
      <c r="O116" s="13" t="str">
        <f aca="false">IF(AE116=0,"",AX116)</f>
        <v/>
      </c>
      <c r="P116" s="14"/>
      <c r="Q116" s="12" t="str">
        <f aca="false">IF(AE116=0,"",IF(AG116&lt;2,"",AK116&amp;" to "&amp;AL116&amp;" on "&amp;TEXT(AI116,"dd/mm/yyyy")&amp;IF(AI116&gt;AsOfDate," (future)",IF(AN116=AO116,"",IF(AO116="None"," - STOPPED accruing",IF(AN116="None"," - commencement for Bonus Leave"," - pathway changed"))))&amp;IF(AG116&lt;3,"","; "&amp;AL116&amp;" to "&amp;AM116&amp;" on "&amp;TEXT(AJ116,"dd/mm/yyyy")&amp;IF(AJ116&gt;AsOfDate," (future)",IF(AO116=AP116,"",IF(AP116="None"," - STOPPED accruing",IF(AO116="None"," - commencement for Bonus Leave","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AE116=0,"",IF(NOT(LH_Ready),"",IF(AF116&gt;PFYDate,0,IF(LH_ColPeriod=0,W116-U116+V116,SUMIFS(INDEX(LH_Data,0,LH_ColAcc),INDEX(LH_Data,0,LH_ColFirst),$A116,INDEX(LH_Data,0,LH_ColSur),$B116,INDEX(LH_Data,0,LH_ColCat),BonusCat,INDEX(LH_Data,0,LH_ColPeriod),LH_OpenLabel)*UnitFactor))))</f>
        <v/>
      </c>
      <c r="U116" s="13" t="str">
        <f aca="false">IF(AE116=0,"",IF(NOT(LH_Ready),"",SUMIFS(INDEX(LH_Data,0,LH_ColAcc),INDEX(LH_Data,0,LH_ColFirst),$A116,INDEX(LH_Data,0,LH_ColSur),$B116,INDEX(LH_Data,0,LH_ColCat),BonusCat,INDEX(LH_Data,0,LH_ColStart),"&gt;="&amp;AF116)*UnitFactor))</f>
        <v/>
      </c>
      <c r="V116" s="13" t="str">
        <f aca="false">IF(AE116=0,"",IF(NOT(LH_Ready),"",SUMIFS(INDEX(LH_Data,0,LH_ColTaken),INDEX(LH_Data,0,LH_ColFirst),$A116,INDEX(LH_Data,0,LH_ColSur),$B116,INDEX(LH_Data,0,LH_ColCat),BonusCat,INDEX(LH_Data,0,LH_ColStart),"&gt;="&amp;AF116)*UnitFactor))</f>
        <v/>
      </c>
      <c r="W116" s="13" t="str">
        <f aca="false">IF(AE116=0,"",IF(NOT(LH_Ready),"",IF(BB116=0,0,INDEX(INDEX(LH_Data,0,LH_ColClose),BB116-1)*UnitFactor)))</f>
        <v/>
      </c>
      <c r="X116" s="13" t="str">
        <f aca="false">IF(AE116=0,"",(AX116-AY116)*HoursPerDay)</f>
        <v/>
      </c>
      <c r="Y116" s="13" t="str">
        <f aca="false">IF(AE116=0,"",IF(NOT(LH_Ready),"",IF(BA116=0,N116,IF(PFYDate&lt;$F116,N116-N(T116)-N(U116),X116-N(U116)))))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 hrs more than policy since commencement",IF(N(W116)&gt;O116*HoursPerDay+0.01,"CHECK - EH balance "&amp;ROUND(W116-O116*HoursPerDay,2)&amp;" hrs more than policy entitlement",IF(O116&gt;0,"OK - nothing to add",IF(AQ116="None",R116,"Not yet - first day on "&amp;TEXT(S116,"dd/mm/yyyy")))))))))</f>
        <v/>
      </c>
      <c r="AB116" s="13" t="str">
        <f aca="false">IF(OR(AE116=0,T116=""),"",AY116*HoursPerDay-T116)</f>
        <v/>
      </c>
      <c r="AC116" s="12" t="str">
        <f aca="false">IF(AE116=0,"",BA116)</f>
        <v/>
      </c>
      <c r="AD116" s="12"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IF(AE116=0,"",IF($J116&lt;&gt;"",$J116,IF(OR(CasualCounts="Yes",COUNT($G116:$I116)=0,COUNT($G116:$H116)=0),$F116,MIN($G116:$H116))))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8"/>
      <c r="B117" s="8"/>
      <c r="C117" s="8"/>
      <c r="D117" s="9"/>
      <c r="E117" s="10" t="str">
        <f aca="false">IF(OR(AE117=0,$D117=""),"",DATE(YEAR(AsOfDate)+IF(DATE(YEAR(AsOfDate),MONTH($D117),DAY($D117))&lt;=AsOfDate,1,0),MONTH($D117),DAY($D117)))</f>
        <v/>
      </c>
      <c r="F117" s="9"/>
      <c r="G117" s="9"/>
      <c r="H117" s="9"/>
      <c r="I117" s="9"/>
      <c r="J117" s="9"/>
      <c r="K117" s="10" t="str">
        <f aca="false">IF(AE117=0,"",DATE(YEAR(AsOfDate)+IF(DATE(YEAR(AsOfDate),MONTH(AF117),DAY(AF117))&lt;=AsOfDate,1,0),MONTH(AF117),DAY(AF117)))</f>
        <v/>
      </c>
      <c r="L117" s="11" t="str">
        <f aca="false">IF(AE117=0,"",ROUND((AsOfDate-AF117)/365.25,1))</f>
        <v/>
      </c>
      <c r="M117" s="12" t="str">
        <f aca="false">IF(AE117=0,"",IF(AsOfDate&lt;AF117,"-",DATEDIF(AF117,AsOfDate,"y")&amp;"y "&amp;DATEDIF(AF117,AsOfDate,"ym")&amp;"m "&amp;DATEDIF(AF117,AsOfDate,"md")&amp;"d"))</f>
        <v/>
      </c>
      <c r="N117" s="13" t="str">
        <f aca="false">IF(AE117=0,"",O117*HoursPerDay)</f>
        <v/>
      </c>
      <c r="O117" s="13" t="str">
        <f aca="false">IF(AE117=0,"",AX117)</f>
        <v/>
      </c>
      <c r="P117" s="14"/>
      <c r="Q117" s="12" t="str">
        <f aca="false">IF(AE117=0,"",IF(AG117&lt;2,"",AK117&amp;" to "&amp;AL117&amp;" on "&amp;TEXT(AI117,"dd/mm/yyyy")&amp;IF(AI117&gt;AsOfDate," (future)",IF(AN117=AO117,"",IF(AO117="None"," - STOPPED accruing",IF(AN117="None"," - commencement for Bonus Leave"," - pathway changed"))))&amp;IF(AG117&lt;3,"","; "&amp;AL117&amp;" to "&amp;AM117&amp;" on "&amp;TEXT(AJ117,"dd/mm/yyyy")&amp;IF(AJ117&gt;AsOfDate," (future)",IF(AO117=AP117,"",IF(AP117="None"," - STOPPED accruing",IF(AO117="None"," - commencement for Bonus Leave","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AE117=0,"",IF(NOT(LH_Ready),"",IF(AF117&gt;PFYDate,0,IF(LH_ColPeriod=0,W117-U117+V117,SUMIFS(INDEX(LH_Data,0,LH_ColAcc),INDEX(LH_Data,0,LH_ColFirst),$A117,INDEX(LH_Data,0,LH_ColSur),$B117,INDEX(LH_Data,0,LH_ColCat),BonusCat,INDEX(LH_Data,0,LH_ColPeriod),LH_OpenLabel)*UnitFactor))))</f>
        <v/>
      </c>
      <c r="U117" s="13" t="str">
        <f aca="false">IF(AE117=0,"",IF(NOT(LH_Ready),"",SUMIFS(INDEX(LH_Data,0,LH_ColAcc),INDEX(LH_Data,0,LH_ColFirst),$A117,INDEX(LH_Data,0,LH_ColSur),$B117,INDEX(LH_Data,0,LH_ColCat),BonusCat,INDEX(LH_Data,0,LH_ColStart),"&gt;="&amp;AF117)*UnitFactor))</f>
        <v/>
      </c>
      <c r="V117" s="13" t="str">
        <f aca="false">IF(AE117=0,"",IF(NOT(LH_Ready),"",SUMIFS(INDEX(LH_Data,0,LH_ColTaken),INDEX(LH_Data,0,LH_ColFirst),$A117,INDEX(LH_Data,0,LH_ColSur),$B117,INDEX(LH_Data,0,LH_ColCat),BonusCat,INDEX(LH_Data,0,LH_ColStart),"&gt;="&amp;AF117)*UnitFactor))</f>
        <v/>
      </c>
      <c r="W117" s="13" t="str">
        <f aca="false">IF(AE117=0,"",IF(NOT(LH_Ready),"",IF(BB117=0,0,INDEX(INDEX(LH_Data,0,LH_ColClose),BB117-1)*UnitFactor)))</f>
        <v/>
      </c>
      <c r="X117" s="13" t="str">
        <f aca="false">IF(AE117=0,"",(AX117-AY117)*HoursPerDay)</f>
        <v/>
      </c>
      <c r="Y117" s="13" t="str">
        <f aca="false">IF(AE117=0,"",IF(NOT(LH_Ready),"",IF(BA117=0,N117,IF(PFYDate&lt;$F117,N117-N(T117)-N(U117),X117-N(U117)))))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 hrs more than policy since commencement",IF(N(W117)&gt;O117*HoursPerDay+0.01,"CHECK - EH balance "&amp;ROUND(W117-O117*HoursPerDay,2)&amp;" hrs more than policy entitlement",IF(O117&gt;0,"OK - nothing to add",IF(AQ117="None",R117,"Not yet - first day on "&amp;TEXT(S117,"dd/mm/yyyy")))))))))</f>
        <v/>
      </c>
      <c r="AB117" s="13" t="str">
        <f aca="false">IF(OR(AE117=0,T117=""),"",AY117*HoursPerDay-T117)</f>
        <v/>
      </c>
      <c r="AC117" s="12" t="str">
        <f aca="false">IF(AE117=0,"",BA117)</f>
        <v/>
      </c>
      <c r="AD117" s="12"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IF(AE117=0,"",IF($J117&lt;&gt;"",$J117,IF(OR(CasualCounts="Yes",COUNT($G117:$I117)=0,COUNT($G117:$H117)=0),$F117,MIN($G117:$H117))))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8"/>
      <c r="B118" s="8"/>
      <c r="C118" s="8"/>
      <c r="D118" s="9"/>
      <c r="E118" s="10" t="str">
        <f aca="false">IF(OR(AE118=0,$D118=""),"",DATE(YEAR(AsOfDate)+IF(DATE(YEAR(AsOfDate),MONTH($D118),DAY($D118))&lt;=AsOfDate,1,0),MONTH($D118),DAY($D118)))</f>
        <v/>
      </c>
      <c r="F118" s="9"/>
      <c r="G118" s="9"/>
      <c r="H118" s="9"/>
      <c r="I118" s="9"/>
      <c r="J118" s="9"/>
      <c r="K118" s="10" t="str">
        <f aca="false">IF(AE118=0,"",DATE(YEAR(AsOfDate)+IF(DATE(YEAR(AsOfDate),MONTH(AF118),DAY(AF118))&lt;=AsOfDate,1,0),MONTH(AF118),DAY(AF118)))</f>
        <v/>
      </c>
      <c r="L118" s="11" t="str">
        <f aca="false">IF(AE118=0,"",ROUND((AsOfDate-AF118)/365.25,1))</f>
        <v/>
      </c>
      <c r="M118" s="12" t="str">
        <f aca="false">IF(AE118=0,"",IF(AsOfDate&lt;AF118,"-",DATEDIF(AF118,AsOfDate,"y")&amp;"y "&amp;DATEDIF(AF118,AsOfDate,"ym")&amp;"m "&amp;DATEDIF(AF118,AsOfDate,"md")&amp;"d"))</f>
        <v/>
      </c>
      <c r="N118" s="13" t="str">
        <f aca="false">IF(AE118=0,"",O118*HoursPerDay)</f>
        <v/>
      </c>
      <c r="O118" s="13" t="str">
        <f aca="false">IF(AE118=0,"",AX118)</f>
        <v/>
      </c>
      <c r="P118" s="14"/>
      <c r="Q118" s="12" t="str">
        <f aca="false">IF(AE118=0,"",IF(AG118&lt;2,"",AK118&amp;" to "&amp;AL118&amp;" on "&amp;TEXT(AI118,"dd/mm/yyyy")&amp;IF(AI118&gt;AsOfDate," (future)",IF(AN118=AO118,"",IF(AO118="None"," - STOPPED accruing",IF(AN118="None"," - commencement for Bonus Leave"," - pathway changed"))))&amp;IF(AG118&lt;3,"","; "&amp;AL118&amp;" to "&amp;AM118&amp;" on "&amp;TEXT(AJ118,"dd/mm/yyyy")&amp;IF(AJ118&gt;AsOfDate," (future)",IF(AO118=AP118,"",IF(AP118="None"," - STOPPED accruing",IF(AO118="None"," - commencement for Bonus Leave","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AE118=0,"",IF(NOT(LH_Ready),"",IF(AF118&gt;PFYDate,0,IF(LH_ColPeriod=0,W118-U118+V118,SUMIFS(INDEX(LH_Data,0,LH_ColAcc),INDEX(LH_Data,0,LH_ColFirst),$A118,INDEX(LH_Data,0,LH_ColSur),$B118,INDEX(LH_Data,0,LH_ColCat),BonusCat,INDEX(LH_Data,0,LH_ColPeriod),LH_OpenLabel)*UnitFactor))))</f>
        <v/>
      </c>
      <c r="U118" s="13" t="str">
        <f aca="false">IF(AE118=0,"",IF(NOT(LH_Ready),"",SUMIFS(INDEX(LH_Data,0,LH_ColAcc),INDEX(LH_Data,0,LH_ColFirst),$A118,INDEX(LH_Data,0,LH_ColSur),$B118,INDEX(LH_Data,0,LH_ColCat),BonusCat,INDEX(LH_Data,0,LH_ColStart),"&gt;="&amp;AF118)*UnitFactor))</f>
        <v/>
      </c>
      <c r="V118" s="13" t="str">
        <f aca="false">IF(AE118=0,"",IF(NOT(LH_Ready),"",SUMIFS(INDEX(LH_Data,0,LH_ColTaken),INDEX(LH_Data,0,LH_ColFirst),$A118,INDEX(LH_Data,0,LH_ColSur),$B118,INDEX(LH_Data,0,LH_ColCat),BonusCat,INDEX(LH_Data,0,LH_ColStart),"&gt;="&amp;AF118)*UnitFactor))</f>
        <v/>
      </c>
      <c r="W118" s="13" t="str">
        <f aca="false">IF(AE118=0,"",IF(NOT(LH_Ready),"",IF(BB118=0,0,INDEX(INDEX(LH_Data,0,LH_ColClose),BB118-1)*UnitFactor)))</f>
        <v/>
      </c>
      <c r="X118" s="13" t="str">
        <f aca="false">IF(AE118=0,"",(AX118-AY118)*HoursPerDay)</f>
        <v/>
      </c>
      <c r="Y118" s="13" t="str">
        <f aca="false">IF(AE118=0,"",IF(NOT(LH_Ready),"",IF(BA118=0,N118,IF(PFYDate&lt;$F118,N118-N(T118)-N(U118),X118-N(U118)))))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 hrs more than policy since commencement",IF(N(W118)&gt;O118*HoursPerDay+0.01,"CHECK - EH balance "&amp;ROUND(W118-O118*HoursPerDay,2)&amp;" hrs more than policy entitlement",IF(O118&gt;0,"OK - nothing to add",IF(AQ118="None",R118,"Not yet - first day on "&amp;TEXT(S118,"dd/mm/yyyy")))))))))</f>
        <v/>
      </c>
      <c r="AB118" s="13" t="str">
        <f aca="false">IF(OR(AE118=0,T118=""),"",AY118*HoursPerDay-T118)</f>
        <v/>
      </c>
      <c r="AC118" s="12" t="str">
        <f aca="false">IF(AE118=0,"",BA118)</f>
        <v/>
      </c>
      <c r="AD118" s="12"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IF(AE118=0,"",IF($J118&lt;&gt;"",$J118,IF(OR(CasualCounts="Yes",COUNT($G118:$I118)=0,COUNT($G118:$H118)=0),$F118,MIN($G118:$H118))))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8"/>
      <c r="B119" s="8"/>
      <c r="C119" s="8"/>
      <c r="D119" s="9"/>
      <c r="E119" s="10" t="str">
        <f aca="false">IF(OR(AE119=0,$D119=""),"",DATE(YEAR(AsOfDate)+IF(DATE(YEAR(AsOfDate),MONTH($D119),DAY($D119))&lt;=AsOfDate,1,0),MONTH($D119),DAY($D119)))</f>
        <v/>
      </c>
      <c r="F119" s="9"/>
      <c r="G119" s="9"/>
      <c r="H119" s="9"/>
      <c r="I119" s="9"/>
      <c r="J119" s="9"/>
      <c r="K119" s="10" t="str">
        <f aca="false">IF(AE119=0,"",DATE(YEAR(AsOfDate)+IF(DATE(YEAR(AsOfDate),MONTH(AF119),DAY(AF119))&lt;=AsOfDate,1,0),MONTH(AF119),DAY(AF119)))</f>
        <v/>
      </c>
      <c r="L119" s="11" t="str">
        <f aca="false">IF(AE119=0,"",ROUND((AsOfDate-AF119)/365.25,1))</f>
        <v/>
      </c>
      <c r="M119" s="12" t="str">
        <f aca="false">IF(AE119=0,"",IF(AsOfDate&lt;AF119,"-",DATEDIF(AF119,AsOfDate,"y")&amp;"y "&amp;DATEDIF(AF119,AsOfDate,"ym")&amp;"m "&amp;DATEDIF(AF119,AsOfDate,"md")&amp;"d"))</f>
        <v/>
      </c>
      <c r="N119" s="13" t="str">
        <f aca="false">IF(AE119=0,"",O119*HoursPerDay)</f>
        <v/>
      </c>
      <c r="O119" s="13" t="str">
        <f aca="false">IF(AE119=0,"",AX119)</f>
        <v/>
      </c>
      <c r="P119" s="14"/>
      <c r="Q119" s="12" t="str">
        <f aca="false">IF(AE119=0,"",IF(AG119&lt;2,"",AK119&amp;" to "&amp;AL119&amp;" on "&amp;TEXT(AI119,"dd/mm/yyyy")&amp;IF(AI119&gt;AsOfDate," (future)",IF(AN119=AO119,"",IF(AO119="None"," - STOPPED accruing",IF(AN119="None"," - commencement for Bonus Leave"," - pathway changed"))))&amp;IF(AG119&lt;3,"","; "&amp;AL119&amp;" to "&amp;AM119&amp;" on "&amp;TEXT(AJ119,"dd/mm/yyyy")&amp;IF(AJ119&gt;AsOfDate," (future)",IF(AO119=AP119,"",IF(AP119="None"," - STOPPED accruing",IF(AO119="None"," - commencement for Bonus Leave","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AE119=0,"",IF(NOT(LH_Ready),"",IF(AF119&gt;PFYDate,0,IF(LH_ColPeriod=0,W119-U119+V119,SUMIFS(INDEX(LH_Data,0,LH_ColAcc),INDEX(LH_Data,0,LH_ColFirst),$A119,INDEX(LH_Data,0,LH_ColSur),$B119,INDEX(LH_Data,0,LH_ColCat),BonusCat,INDEX(LH_Data,0,LH_ColPeriod),LH_OpenLabel)*UnitFactor))))</f>
        <v/>
      </c>
      <c r="U119" s="13" t="str">
        <f aca="false">IF(AE119=0,"",IF(NOT(LH_Ready),"",SUMIFS(INDEX(LH_Data,0,LH_ColAcc),INDEX(LH_Data,0,LH_ColFirst),$A119,INDEX(LH_Data,0,LH_ColSur),$B119,INDEX(LH_Data,0,LH_ColCat),BonusCat,INDEX(LH_Data,0,LH_ColStart),"&gt;="&amp;AF119)*UnitFactor))</f>
        <v/>
      </c>
      <c r="V119" s="13" t="str">
        <f aca="false">IF(AE119=0,"",IF(NOT(LH_Ready),"",SUMIFS(INDEX(LH_Data,0,LH_ColTaken),INDEX(LH_Data,0,LH_ColFirst),$A119,INDEX(LH_Data,0,LH_ColSur),$B119,INDEX(LH_Data,0,LH_ColCat),BonusCat,INDEX(LH_Data,0,LH_ColStart),"&gt;="&amp;AF119)*UnitFactor))</f>
        <v/>
      </c>
      <c r="W119" s="13" t="str">
        <f aca="false">IF(AE119=0,"",IF(NOT(LH_Ready),"",IF(BB119=0,0,INDEX(INDEX(LH_Data,0,LH_ColClose),BB119-1)*UnitFactor)))</f>
        <v/>
      </c>
      <c r="X119" s="13" t="str">
        <f aca="false">IF(AE119=0,"",(AX119-AY119)*HoursPerDay)</f>
        <v/>
      </c>
      <c r="Y119" s="13" t="str">
        <f aca="false">IF(AE119=0,"",IF(NOT(LH_Ready),"",IF(BA119=0,N119,IF(PFYDate&lt;$F119,N119-N(T119)-N(U119),X119-N(U119)))))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 hrs more than policy since commencement",IF(N(W119)&gt;O119*HoursPerDay+0.01,"CHECK - EH balance "&amp;ROUND(W119-O119*HoursPerDay,2)&amp;" hrs more than policy entitlement",IF(O119&gt;0,"OK - nothing to add",IF(AQ119="None",R119,"Not yet - first day on "&amp;TEXT(S119,"dd/mm/yyyy")))))))))</f>
        <v/>
      </c>
      <c r="AB119" s="13" t="str">
        <f aca="false">IF(OR(AE119=0,T119=""),"",AY119*HoursPerDay-T119)</f>
        <v/>
      </c>
      <c r="AC119" s="12" t="str">
        <f aca="false">IF(AE119=0,"",BA119)</f>
        <v/>
      </c>
      <c r="AD119" s="12"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IF(AE119=0,"",IF($J119&lt;&gt;"",$J119,IF(OR(CasualCounts="Yes",COUNT($G119:$I119)=0,COUNT($G119:$H119)=0),$F119,MIN($G119:$H119))))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8"/>
      <c r="B120" s="8"/>
      <c r="C120" s="8"/>
      <c r="D120" s="9"/>
      <c r="E120" s="10" t="str">
        <f aca="false">IF(OR(AE120=0,$D120=""),"",DATE(YEAR(AsOfDate)+IF(DATE(YEAR(AsOfDate),MONTH($D120),DAY($D120))&lt;=AsOfDate,1,0),MONTH($D120),DAY($D120)))</f>
        <v/>
      </c>
      <c r="F120" s="9"/>
      <c r="G120" s="9"/>
      <c r="H120" s="9"/>
      <c r="I120" s="9"/>
      <c r="J120" s="9"/>
      <c r="K120" s="10" t="str">
        <f aca="false">IF(AE120=0,"",DATE(YEAR(AsOfDate)+IF(DATE(YEAR(AsOfDate),MONTH(AF120),DAY(AF120))&lt;=AsOfDate,1,0),MONTH(AF120),DAY(AF120)))</f>
        <v/>
      </c>
      <c r="L120" s="11" t="str">
        <f aca="false">IF(AE120=0,"",ROUND((AsOfDate-AF120)/365.25,1))</f>
        <v/>
      </c>
      <c r="M120" s="12" t="str">
        <f aca="false">IF(AE120=0,"",IF(AsOfDate&lt;AF120,"-",DATEDIF(AF120,AsOfDate,"y")&amp;"y "&amp;DATEDIF(AF120,AsOfDate,"ym")&amp;"m "&amp;DATEDIF(AF120,AsOfDate,"md")&amp;"d"))</f>
        <v/>
      </c>
      <c r="N120" s="13" t="str">
        <f aca="false">IF(AE120=0,"",O120*HoursPerDay)</f>
        <v/>
      </c>
      <c r="O120" s="13" t="str">
        <f aca="false">IF(AE120=0,"",AX120)</f>
        <v/>
      </c>
      <c r="P120" s="14"/>
      <c r="Q120" s="12" t="str">
        <f aca="false">IF(AE120=0,"",IF(AG120&lt;2,"",AK120&amp;" to "&amp;AL120&amp;" on "&amp;TEXT(AI120,"dd/mm/yyyy")&amp;IF(AI120&gt;AsOfDate," (future)",IF(AN120=AO120,"",IF(AO120="None"," - STOPPED accruing",IF(AN120="None"," - commencement for Bonus Leave"," - pathway changed"))))&amp;IF(AG120&lt;3,"","; "&amp;AL120&amp;" to "&amp;AM120&amp;" on "&amp;TEXT(AJ120,"dd/mm/yyyy")&amp;IF(AJ120&gt;AsOfDate," (future)",IF(AO120=AP120,"",IF(AP120="None"," - STOPPED accruing",IF(AO120="None"," - commencement for Bonus Leave","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AE120=0,"",IF(NOT(LH_Ready),"",IF(AF120&gt;PFYDate,0,IF(LH_ColPeriod=0,W120-U120+V120,SUMIFS(INDEX(LH_Data,0,LH_ColAcc),INDEX(LH_Data,0,LH_ColFirst),$A120,INDEX(LH_Data,0,LH_ColSur),$B120,INDEX(LH_Data,0,LH_ColCat),BonusCat,INDEX(LH_Data,0,LH_ColPeriod),LH_OpenLabel)*UnitFactor))))</f>
        <v/>
      </c>
      <c r="U120" s="13" t="str">
        <f aca="false">IF(AE120=0,"",IF(NOT(LH_Ready),"",SUMIFS(INDEX(LH_Data,0,LH_ColAcc),INDEX(LH_Data,0,LH_ColFirst),$A120,INDEX(LH_Data,0,LH_ColSur),$B120,INDEX(LH_Data,0,LH_ColCat),BonusCat,INDEX(LH_Data,0,LH_ColStart),"&gt;="&amp;AF120)*UnitFactor))</f>
        <v/>
      </c>
      <c r="V120" s="13" t="str">
        <f aca="false">IF(AE120=0,"",IF(NOT(LH_Ready),"",SUMIFS(INDEX(LH_Data,0,LH_ColTaken),INDEX(LH_Data,0,LH_ColFirst),$A120,INDEX(LH_Data,0,LH_ColSur),$B120,INDEX(LH_Data,0,LH_ColCat),BonusCat,INDEX(LH_Data,0,LH_ColStart),"&gt;="&amp;AF120)*UnitFactor))</f>
        <v/>
      </c>
      <c r="W120" s="13" t="str">
        <f aca="false">IF(AE120=0,"",IF(NOT(LH_Ready),"",IF(BB120=0,0,INDEX(INDEX(LH_Data,0,LH_ColClose),BB120-1)*UnitFactor)))</f>
        <v/>
      </c>
      <c r="X120" s="13" t="str">
        <f aca="false">IF(AE120=0,"",(AX120-AY120)*HoursPerDay)</f>
        <v/>
      </c>
      <c r="Y120" s="13" t="str">
        <f aca="false">IF(AE120=0,"",IF(NOT(LH_Ready),"",IF(BA120=0,N120,IF(PFYDate&lt;$F120,N120-N(T120)-N(U120),X120-N(U120)))))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 hrs more than policy since commencement",IF(N(W120)&gt;O120*HoursPerDay+0.01,"CHECK - EH balance "&amp;ROUND(W120-O120*HoursPerDay,2)&amp;" hrs more than policy entitlement",IF(O120&gt;0,"OK - nothing to add",IF(AQ120="None",R120,"Not yet - first day on "&amp;TEXT(S120,"dd/mm/yyyy")))))))))</f>
        <v/>
      </c>
      <c r="AB120" s="13" t="str">
        <f aca="false">IF(OR(AE120=0,T120=""),"",AY120*HoursPerDay-T120)</f>
        <v/>
      </c>
      <c r="AC120" s="12" t="str">
        <f aca="false">IF(AE120=0,"",BA120)</f>
        <v/>
      </c>
      <c r="AD120" s="12"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IF(AE120=0,"",IF($J120&lt;&gt;"",$J120,IF(OR(CasualCounts="Yes",COUNT($G120:$I120)=0,COUNT($G120:$H120)=0),$F120,MIN($G120:$H120))))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8"/>
      <c r="B121" s="8"/>
      <c r="C121" s="8"/>
      <c r="D121" s="9"/>
      <c r="E121" s="10" t="str">
        <f aca="false">IF(OR(AE121=0,$D121=""),"",DATE(YEAR(AsOfDate)+IF(DATE(YEAR(AsOfDate),MONTH($D121),DAY($D121))&lt;=AsOfDate,1,0),MONTH($D121),DAY($D121)))</f>
        <v/>
      </c>
      <c r="F121" s="9"/>
      <c r="G121" s="9"/>
      <c r="H121" s="9"/>
      <c r="I121" s="9"/>
      <c r="J121" s="9"/>
      <c r="K121" s="10" t="str">
        <f aca="false">IF(AE121=0,"",DATE(YEAR(AsOfDate)+IF(DATE(YEAR(AsOfDate),MONTH(AF121),DAY(AF121))&lt;=AsOfDate,1,0),MONTH(AF121),DAY(AF121)))</f>
        <v/>
      </c>
      <c r="L121" s="11" t="str">
        <f aca="false">IF(AE121=0,"",ROUND((AsOfDate-AF121)/365.25,1))</f>
        <v/>
      </c>
      <c r="M121" s="12" t="str">
        <f aca="false">IF(AE121=0,"",IF(AsOfDate&lt;AF121,"-",DATEDIF(AF121,AsOfDate,"y")&amp;"y "&amp;DATEDIF(AF121,AsOfDate,"ym")&amp;"m "&amp;DATEDIF(AF121,AsOfDate,"md")&amp;"d"))</f>
        <v/>
      </c>
      <c r="N121" s="13" t="str">
        <f aca="false">IF(AE121=0,"",O121*HoursPerDay)</f>
        <v/>
      </c>
      <c r="O121" s="13" t="str">
        <f aca="false">IF(AE121=0,"",AX121)</f>
        <v/>
      </c>
      <c r="P121" s="14"/>
      <c r="Q121" s="12" t="str">
        <f aca="false">IF(AE121=0,"",IF(AG121&lt;2,"",AK121&amp;" to "&amp;AL121&amp;" on "&amp;TEXT(AI121,"dd/mm/yyyy")&amp;IF(AI121&gt;AsOfDate," (future)",IF(AN121=AO121,"",IF(AO121="None"," - STOPPED accruing",IF(AN121="None"," - commencement for Bonus Leave"," - pathway changed"))))&amp;IF(AG121&lt;3,"","; "&amp;AL121&amp;" to "&amp;AM121&amp;" on "&amp;TEXT(AJ121,"dd/mm/yyyy")&amp;IF(AJ121&gt;AsOfDate," (future)",IF(AO121=AP121,"",IF(AP121="None"," - STOPPED accruing",IF(AO121="None"," - commencement for Bonus Leave","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AE121=0,"",IF(NOT(LH_Ready),"",IF(AF121&gt;PFYDate,0,IF(LH_ColPeriod=0,W121-U121+V121,SUMIFS(INDEX(LH_Data,0,LH_ColAcc),INDEX(LH_Data,0,LH_ColFirst),$A121,INDEX(LH_Data,0,LH_ColSur),$B121,INDEX(LH_Data,0,LH_ColCat),BonusCat,INDEX(LH_Data,0,LH_ColPeriod),LH_OpenLabel)*UnitFactor))))</f>
        <v/>
      </c>
      <c r="U121" s="13" t="str">
        <f aca="false">IF(AE121=0,"",IF(NOT(LH_Ready),"",SUMIFS(INDEX(LH_Data,0,LH_ColAcc),INDEX(LH_Data,0,LH_ColFirst),$A121,INDEX(LH_Data,0,LH_ColSur),$B121,INDEX(LH_Data,0,LH_ColCat),BonusCat,INDEX(LH_Data,0,LH_ColStart),"&gt;="&amp;AF121)*UnitFactor))</f>
        <v/>
      </c>
      <c r="V121" s="13" t="str">
        <f aca="false">IF(AE121=0,"",IF(NOT(LH_Ready),"",SUMIFS(INDEX(LH_Data,0,LH_ColTaken),INDEX(LH_Data,0,LH_ColFirst),$A121,INDEX(LH_Data,0,LH_ColSur),$B121,INDEX(LH_Data,0,LH_ColCat),BonusCat,INDEX(LH_Data,0,LH_ColStart),"&gt;="&amp;AF121)*UnitFactor))</f>
        <v/>
      </c>
      <c r="W121" s="13" t="str">
        <f aca="false">IF(AE121=0,"",IF(NOT(LH_Ready),"",IF(BB121=0,0,INDEX(INDEX(LH_Data,0,LH_ColClose),BB121-1)*UnitFactor)))</f>
        <v/>
      </c>
      <c r="X121" s="13" t="str">
        <f aca="false">IF(AE121=0,"",(AX121-AY121)*HoursPerDay)</f>
        <v/>
      </c>
      <c r="Y121" s="13" t="str">
        <f aca="false">IF(AE121=0,"",IF(NOT(LH_Ready),"",IF(BA121=0,N121,IF(PFYDate&lt;$F121,N121-N(T121)-N(U121),X121-N(U121)))))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 hrs more than policy since commencement",IF(N(W121)&gt;O121*HoursPerDay+0.01,"CHECK - EH balance "&amp;ROUND(W121-O121*HoursPerDay,2)&amp;" hrs more than policy entitlement",IF(O121&gt;0,"OK - nothing to add",IF(AQ121="None",R121,"Not yet - first day on "&amp;TEXT(S121,"dd/mm/yyyy")))))))))</f>
        <v/>
      </c>
      <c r="AB121" s="13" t="str">
        <f aca="false">IF(OR(AE121=0,T121=""),"",AY121*HoursPerDay-T121)</f>
        <v/>
      </c>
      <c r="AC121" s="12" t="str">
        <f aca="false">IF(AE121=0,"",BA121)</f>
        <v/>
      </c>
      <c r="AD121" s="12"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IF(AE121=0,"",IF($J121&lt;&gt;"",$J121,IF(OR(CasualCounts="Yes",COUNT($G121:$I121)=0,COUNT($G121:$H121)=0),$F121,MIN($G121:$H121))))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8"/>
      <c r="B122" s="8"/>
      <c r="C122" s="8"/>
      <c r="D122" s="9"/>
      <c r="E122" s="10" t="str">
        <f aca="false">IF(OR(AE122=0,$D122=""),"",DATE(YEAR(AsOfDate)+IF(DATE(YEAR(AsOfDate),MONTH($D122),DAY($D122))&lt;=AsOfDate,1,0),MONTH($D122),DAY($D122)))</f>
        <v/>
      </c>
      <c r="F122" s="9"/>
      <c r="G122" s="9"/>
      <c r="H122" s="9"/>
      <c r="I122" s="9"/>
      <c r="J122" s="9"/>
      <c r="K122" s="10" t="str">
        <f aca="false">IF(AE122=0,"",DATE(YEAR(AsOfDate)+IF(DATE(YEAR(AsOfDate),MONTH(AF122),DAY(AF122))&lt;=AsOfDate,1,0),MONTH(AF122),DAY(AF122)))</f>
        <v/>
      </c>
      <c r="L122" s="11" t="str">
        <f aca="false">IF(AE122=0,"",ROUND((AsOfDate-AF122)/365.25,1))</f>
        <v/>
      </c>
      <c r="M122" s="12" t="str">
        <f aca="false">IF(AE122=0,"",IF(AsOfDate&lt;AF122,"-",DATEDIF(AF122,AsOfDate,"y")&amp;"y "&amp;DATEDIF(AF122,AsOfDate,"ym")&amp;"m "&amp;DATEDIF(AF122,AsOfDate,"md")&amp;"d"))</f>
        <v/>
      </c>
      <c r="N122" s="13" t="str">
        <f aca="false">IF(AE122=0,"",O122*HoursPerDay)</f>
        <v/>
      </c>
      <c r="O122" s="13" t="str">
        <f aca="false">IF(AE122=0,"",AX122)</f>
        <v/>
      </c>
      <c r="P122" s="14"/>
      <c r="Q122" s="12" t="str">
        <f aca="false">IF(AE122=0,"",IF(AG122&lt;2,"",AK122&amp;" to "&amp;AL122&amp;" on "&amp;TEXT(AI122,"dd/mm/yyyy")&amp;IF(AI122&gt;AsOfDate," (future)",IF(AN122=AO122,"",IF(AO122="None"," - STOPPED accruing",IF(AN122="None"," - commencement for Bonus Leave"," - pathway changed"))))&amp;IF(AG122&lt;3,"","; "&amp;AL122&amp;" to "&amp;AM122&amp;" on "&amp;TEXT(AJ122,"dd/mm/yyyy")&amp;IF(AJ122&gt;AsOfDate," (future)",IF(AO122=AP122,"",IF(AP122="None"," - STOPPED accruing",IF(AO122="None"," - commencement for Bonus Leave","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AE122=0,"",IF(NOT(LH_Ready),"",IF(AF122&gt;PFYDate,0,IF(LH_ColPeriod=0,W122-U122+V122,SUMIFS(INDEX(LH_Data,0,LH_ColAcc),INDEX(LH_Data,0,LH_ColFirst),$A122,INDEX(LH_Data,0,LH_ColSur),$B122,INDEX(LH_Data,0,LH_ColCat),BonusCat,INDEX(LH_Data,0,LH_ColPeriod),LH_OpenLabel)*UnitFactor))))</f>
        <v/>
      </c>
      <c r="U122" s="13" t="str">
        <f aca="false">IF(AE122=0,"",IF(NOT(LH_Ready),"",SUMIFS(INDEX(LH_Data,0,LH_ColAcc),INDEX(LH_Data,0,LH_ColFirst),$A122,INDEX(LH_Data,0,LH_ColSur),$B122,INDEX(LH_Data,0,LH_ColCat),BonusCat,INDEX(LH_Data,0,LH_ColStart),"&gt;="&amp;AF122)*UnitFactor))</f>
        <v/>
      </c>
      <c r="V122" s="13" t="str">
        <f aca="false">IF(AE122=0,"",IF(NOT(LH_Ready),"",SUMIFS(INDEX(LH_Data,0,LH_ColTaken),INDEX(LH_Data,0,LH_ColFirst),$A122,INDEX(LH_Data,0,LH_ColSur),$B122,INDEX(LH_Data,0,LH_ColCat),BonusCat,INDEX(LH_Data,0,LH_ColStart),"&gt;="&amp;AF122)*UnitFactor))</f>
        <v/>
      </c>
      <c r="W122" s="13" t="str">
        <f aca="false">IF(AE122=0,"",IF(NOT(LH_Ready),"",IF(BB122=0,0,INDEX(INDEX(LH_Data,0,LH_ColClose),BB122-1)*UnitFactor)))</f>
        <v/>
      </c>
      <c r="X122" s="13" t="str">
        <f aca="false">IF(AE122=0,"",(AX122-AY122)*HoursPerDay)</f>
        <v/>
      </c>
      <c r="Y122" s="13" t="str">
        <f aca="false">IF(AE122=0,"",IF(NOT(LH_Ready),"",IF(BA122=0,N122,IF(PFYDate&lt;$F122,N122-N(T122)-N(U122),X122-N(U122)))))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 hrs more than policy since commencement",IF(N(W122)&gt;O122*HoursPerDay+0.01,"CHECK - EH balance "&amp;ROUND(W122-O122*HoursPerDay,2)&amp;" hrs more than policy entitlement",IF(O122&gt;0,"OK - nothing to add",IF(AQ122="None",R122,"Not yet - first day on "&amp;TEXT(S122,"dd/mm/yyyy")))))))))</f>
        <v/>
      </c>
      <c r="AB122" s="13" t="str">
        <f aca="false">IF(OR(AE122=0,T122=""),"",AY122*HoursPerDay-T122)</f>
        <v/>
      </c>
      <c r="AC122" s="12" t="str">
        <f aca="false">IF(AE122=0,"",BA122)</f>
        <v/>
      </c>
      <c r="AD122" s="12"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IF(AE122=0,"",IF($J122&lt;&gt;"",$J122,IF(OR(CasualCounts="Yes",COUNT($G122:$I122)=0,COUNT($G122:$H122)=0),$F122,MIN($G122:$H122))))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8"/>
      <c r="B123" s="8"/>
      <c r="C123" s="8"/>
      <c r="D123" s="9"/>
      <c r="E123" s="10" t="str">
        <f aca="false">IF(OR(AE123=0,$D123=""),"",DATE(YEAR(AsOfDate)+IF(DATE(YEAR(AsOfDate),MONTH($D123),DAY($D123))&lt;=AsOfDate,1,0),MONTH($D123),DAY($D123)))</f>
        <v/>
      </c>
      <c r="F123" s="9"/>
      <c r="G123" s="9"/>
      <c r="H123" s="9"/>
      <c r="I123" s="9"/>
      <c r="J123" s="9"/>
      <c r="K123" s="10" t="str">
        <f aca="false">IF(AE123=0,"",DATE(YEAR(AsOfDate)+IF(DATE(YEAR(AsOfDate),MONTH(AF123),DAY(AF123))&lt;=AsOfDate,1,0),MONTH(AF123),DAY(AF123)))</f>
        <v/>
      </c>
      <c r="L123" s="11" t="str">
        <f aca="false">IF(AE123=0,"",ROUND((AsOfDate-AF123)/365.25,1))</f>
        <v/>
      </c>
      <c r="M123" s="12" t="str">
        <f aca="false">IF(AE123=0,"",IF(AsOfDate&lt;AF123,"-",DATEDIF(AF123,AsOfDate,"y")&amp;"y "&amp;DATEDIF(AF123,AsOfDate,"ym")&amp;"m "&amp;DATEDIF(AF123,AsOfDate,"md")&amp;"d"))</f>
        <v/>
      </c>
      <c r="N123" s="13" t="str">
        <f aca="false">IF(AE123=0,"",O123*HoursPerDay)</f>
        <v/>
      </c>
      <c r="O123" s="13" t="str">
        <f aca="false">IF(AE123=0,"",AX123)</f>
        <v/>
      </c>
      <c r="P123" s="14"/>
      <c r="Q123" s="12" t="str">
        <f aca="false">IF(AE123=0,"",IF(AG123&lt;2,"",AK123&amp;" to "&amp;AL123&amp;" on "&amp;TEXT(AI123,"dd/mm/yyyy")&amp;IF(AI123&gt;AsOfDate," (future)",IF(AN123=AO123,"",IF(AO123="None"," - STOPPED accruing",IF(AN123="None"," - commencement for Bonus Leave"," - pathway changed"))))&amp;IF(AG123&lt;3,"","; "&amp;AL123&amp;" to "&amp;AM123&amp;" on "&amp;TEXT(AJ123,"dd/mm/yyyy")&amp;IF(AJ123&gt;AsOfDate," (future)",IF(AO123=AP123,"",IF(AP123="None"," - STOPPED accruing",IF(AO123="None"," - commencement for Bonus Leave","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AE123=0,"",IF(NOT(LH_Ready),"",IF(AF123&gt;PFYDate,0,IF(LH_ColPeriod=0,W123-U123+V123,SUMIFS(INDEX(LH_Data,0,LH_ColAcc),INDEX(LH_Data,0,LH_ColFirst),$A123,INDEX(LH_Data,0,LH_ColSur),$B123,INDEX(LH_Data,0,LH_ColCat),BonusCat,INDEX(LH_Data,0,LH_ColPeriod),LH_OpenLabel)*UnitFactor))))</f>
        <v/>
      </c>
      <c r="U123" s="13" t="str">
        <f aca="false">IF(AE123=0,"",IF(NOT(LH_Ready),"",SUMIFS(INDEX(LH_Data,0,LH_ColAcc),INDEX(LH_Data,0,LH_ColFirst),$A123,INDEX(LH_Data,0,LH_ColSur),$B123,INDEX(LH_Data,0,LH_ColCat),BonusCat,INDEX(LH_Data,0,LH_ColStart),"&gt;="&amp;AF123)*UnitFactor))</f>
        <v/>
      </c>
      <c r="V123" s="13" t="str">
        <f aca="false">IF(AE123=0,"",IF(NOT(LH_Ready),"",SUMIFS(INDEX(LH_Data,0,LH_ColTaken),INDEX(LH_Data,0,LH_ColFirst),$A123,INDEX(LH_Data,0,LH_ColSur),$B123,INDEX(LH_Data,0,LH_ColCat),BonusCat,INDEX(LH_Data,0,LH_ColStart),"&gt;="&amp;AF123)*UnitFactor))</f>
        <v/>
      </c>
      <c r="W123" s="13" t="str">
        <f aca="false">IF(AE123=0,"",IF(NOT(LH_Ready),"",IF(BB123=0,0,INDEX(INDEX(LH_Data,0,LH_ColClose),BB123-1)*UnitFactor)))</f>
        <v/>
      </c>
      <c r="X123" s="13" t="str">
        <f aca="false">IF(AE123=0,"",(AX123-AY123)*HoursPerDay)</f>
        <v/>
      </c>
      <c r="Y123" s="13" t="str">
        <f aca="false">IF(AE123=0,"",IF(NOT(LH_Ready),"",IF(BA123=0,N123,IF(PFYDate&lt;$F123,N123-N(T123)-N(U123),X123-N(U123)))))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 hrs more than policy since commencement",IF(N(W123)&gt;O123*HoursPerDay+0.01,"CHECK - EH balance "&amp;ROUND(W123-O123*HoursPerDay,2)&amp;" hrs more than policy entitlement",IF(O123&gt;0,"OK - nothing to add",IF(AQ123="None",R123,"Not yet - first day on "&amp;TEXT(S123,"dd/mm/yyyy")))))))))</f>
        <v/>
      </c>
      <c r="AB123" s="13" t="str">
        <f aca="false">IF(OR(AE123=0,T123=""),"",AY123*HoursPerDay-T123)</f>
        <v/>
      </c>
      <c r="AC123" s="12" t="str">
        <f aca="false">IF(AE123=0,"",BA123)</f>
        <v/>
      </c>
      <c r="AD123" s="12"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IF(AE123=0,"",IF($J123&lt;&gt;"",$J123,IF(OR(CasualCounts="Yes",COUNT($G123:$I123)=0,COUNT($G123:$H123)=0),$F123,MIN($G123:$H123))))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8"/>
      <c r="B124" s="8"/>
      <c r="C124" s="8"/>
      <c r="D124" s="9"/>
      <c r="E124" s="10" t="str">
        <f aca="false">IF(OR(AE124=0,$D124=""),"",DATE(YEAR(AsOfDate)+IF(DATE(YEAR(AsOfDate),MONTH($D124),DAY($D124))&lt;=AsOfDate,1,0),MONTH($D124),DAY($D124)))</f>
        <v/>
      </c>
      <c r="F124" s="9"/>
      <c r="G124" s="9"/>
      <c r="H124" s="9"/>
      <c r="I124" s="9"/>
      <c r="J124" s="9"/>
      <c r="K124" s="10" t="str">
        <f aca="false">IF(AE124=0,"",DATE(YEAR(AsOfDate)+IF(DATE(YEAR(AsOfDate),MONTH(AF124),DAY(AF124))&lt;=AsOfDate,1,0),MONTH(AF124),DAY(AF124)))</f>
        <v/>
      </c>
      <c r="L124" s="11" t="str">
        <f aca="false">IF(AE124=0,"",ROUND((AsOfDate-AF124)/365.25,1))</f>
        <v/>
      </c>
      <c r="M124" s="12" t="str">
        <f aca="false">IF(AE124=0,"",IF(AsOfDate&lt;AF124,"-",DATEDIF(AF124,AsOfDate,"y")&amp;"y "&amp;DATEDIF(AF124,AsOfDate,"ym")&amp;"m "&amp;DATEDIF(AF124,AsOfDate,"md")&amp;"d"))</f>
        <v/>
      </c>
      <c r="N124" s="13" t="str">
        <f aca="false">IF(AE124=0,"",O124*HoursPerDay)</f>
        <v/>
      </c>
      <c r="O124" s="13" t="str">
        <f aca="false">IF(AE124=0,"",AX124)</f>
        <v/>
      </c>
      <c r="P124" s="14"/>
      <c r="Q124" s="12" t="str">
        <f aca="false">IF(AE124=0,"",IF(AG124&lt;2,"",AK124&amp;" to "&amp;AL124&amp;" on "&amp;TEXT(AI124,"dd/mm/yyyy")&amp;IF(AI124&gt;AsOfDate," (future)",IF(AN124=AO124,"",IF(AO124="None"," - STOPPED accruing",IF(AN124="None"," - commencement for Bonus Leave"," - pathway changed"))))&amp;IF(AG124&lt;3,"","; "&amp;AL124&amp;" to "&amp;AM124&amp;" on "&amp;TEXT(AJ124,"dd/mm/yyyy")&amp;IF(AJ124&gt;AsOfDate," (future)",IF(AO124=AP124,"",IF(AP124="None"," - STOPPED accruing",IF(AO124="None"," - commencement for Bonus Leave","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AE124=0,"",IF(NOT(LH_Ready),"",IF(AF124&gt;PFYDate,0,IF(LH_ColPeriod=0,W124-U124+V124,SUMIFS(INDEX(LH_Data,0,LH_ColAcc),INDEX(LH_Data,0,LH_ColFirst),$A124,INDEX(LH_Data,0,LH_ColSur),$B124,INDEX(LH_Data,0,LH_ColCat),BonusCat,INDEX(LH_Data,0,LH_ColPeriod),LH_OpenLabel)*UnitFactor))))</f>
        <v/>
      </c>
      <c r="U124" s="13" t="str">
        <f aca="false">IF(AE124=0,"",IF(NOT(LH_Ready),"",SUMIFS(INDEX(LH_Data,0,LH_ColAcc),INDEX(LH_Data,0,LH_ColFirst),$A124,INDEX(LH_Data,0,LH_ColSur),$B124,INDEX(LH_Data,0,LH_ColCat),BonusCat,INDEX(LH_Data,0,LH_ColStart),"&gt;="&amp;AF124)*UnitFactor))</f>
        <v/>
      </c>
      <c r="V124" s="13" t="str">
        <f aca="false">IF(AE124=0,"",IF(NOT(LH_Ready),"",SUMIFS(INDEX(LH_Data,0,LH_ColTaken),INDEX(LH_Data,0,LH_ColFirst),$A124,INDEX(LH_Data,0,LH_ColSur),$B124,INDEX(LH_Data,0,LH_ColCat),BonusCat,INDEX(LH_Data,0,LH_ColStart),"&gt;="&amp;AF124)*UnitFactor))</f>
        <v/>
      </c>
      <c r="W124" s="13" t="str">
        <f aca="false">IF(AE124=0,"",IF(NOT(LH_Ready),"",IF(BB124=0,0,INDEX(INDEX(LH_Data,0,LH_ColClose),BB124-1)*UnitFactor)))</f>
        <v/>
      </c>
      <c r="X124" s="13" t="str">
        <f aca="false">IF(AE124=0,"",(AX124-AY124)*HoursPerDay)</f>
        <v/>
      </c>
      <c r="Y124" s="13" t="str">
        <f aca="false">IF(AE124=0,"",IF(NOT(LH_Ready),"",IF(BA124=0,N124,IF(PFYDate&lt;$F124,N124-N(T124)-N(U124),X124-N(U124)))))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 hrs more than policy since commencement",IF(N(W124)&gt;O124*HoursPerDay+0.01,"CHECK - EH balance "&amp;ROUND(W124-O124*HoursPerDay,2)&amp;" hrs more than policy entitlement",IF(O124&gt;0,"OK - nothing to add",IF(AQ124="None",R124,"Not yet - first day on "&amp;TEXT(S124,"dd/mm/yyyy")))))))))</f>
        <v/>
      </c>
      <c r="AB124" s="13" t="str">
        <f aca="false">IF(OR(AE124=0,T124=""),"",AY124*HoursPerDay-T124)</f>
        <v/>
      </c>
      <c r="AC124" s="12" t="str">
        <f aca="false">IF(AE124=0,"",BA124)</f>
        <v/>
      </c>
      <c r="AD124" s="12"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IF(AE124=0,"",IF($J124&lt;&gt;"",$J124,IF(OR(CasualCounts="Yes",COUNT($G124:$I124)=0,COUNT($G124:$H124)=0),$F124,MIN($G124:$H124))))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8"/>
      <c r="B125" s="8"/>
      <c r="C125" s="8"/>
      <c r="D125" s="9"/>
      <c r="E125" s="10" t="str">
        <f aca="false">IF(OR(AE125=0,$D125=""),"",DATE(YEAR(AsOfDate)+IF(DATE(YEAR(AsOfDate),MONTH($D125),DAY($D125))&lt;=AsOfDate,1,0),MONTH($D125),DAY($D125)))</f>
        <v/>
      </c>
      <c r="F125" s="9"/>
      <c r="G125" s="9"/>
      <c r="H125" s="9"/>
      <c r="I125" s="9"/>
      <c r="J125" s="9"/>
      <c r="K125" s="10" t="str">
        <f aca="false">IF(AE125=0,"",DATE(YEAR(AsOfDate)+IF(DATE(YEAR(AsOfDate),MONTH(AF125),DAY(AF125))&lt;=AsOfDate,1,0),MONTH(AF125),DAY(AF125)))</f>
        <v/>
      </c>
      <c r="L125" s="11" t="str">
        <f aca="false">IF(AE125=0,"",ROUND((AsOfDate-AF125)/365.25,1))</f>
        <v/>
      </c>
      <c r="M125" s="12" t="str">
        <f aca="false">IF(AE125=0,"",IF(AsOfDate&lt;AF125,"-",DATEDIF(AF125,AsOfDate,"y")&amp;"y "&amp;DATEDIF(AF125,AsOfDate,"ym")&amp;"m "&amp;DATEDIF(AF125,AsOfDate,"md")&amp;"d"))</f>
        <v/>
      </c>
      <c r="N125" s="13" t="str">
        <f aca="false">IF(AE125=0,"",O125*HoursPerDay)</f>
        <v/>
      </c>
      <c r="O125" s="13" t="str">
        <f aca="false">IF(AE125=0,"",AX125)</f>
        <v/>
      </c>
      <c r="P125" s="14"/>
      <c r="Q125" s="12" t="str">
        <f aca="false">IF(AE125=0,"",IF(AG125&lt;2,"",AK125&amp;" to "&amp;AL125&amp;" on "&amp;TEXT(AI125,"dd/mm/yyyy")&amp;IF(AI125&gt;AsOfDate," (future)",IF(AN125=AO125,"",IF(AO125="None"," - STOPPED accruing",IF(AN125="None"," - commencement for Bonus Leave"," - pathway changed"))))&amp;IF(AG125&lt;3,"","; "&amp;AL125&amp;" to "&amp;AM125&amp;" on "&amp;TEXT(AJ125,"dd/mm/yyyy")&amp;IF(AJ125&gt;AsOfDate," (future)",IF(AO125=AP125,"",IF(AP125="None"," - STOPPED accruing",IF(AO125="None"," - commencement for Bonus Leave","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AE125=0,"",IF(NOT(LH_Ready),"",IF(AF125&gt;PFYDate,0,IF(LH_ColPeriod=0,W125-U125+V125,SUMIFS(INDEX(LH_Data,0,LH_ColAcc),INDEX(LH_Data,0,LH_ColFirst),$A125,INDEX(LH_Data,0,LH_ColSur),$B125,INDEX(LH_Data,0,LH_ColCat),BonusCat,INDEX(LH_Data,0,LH_ColPeriod),LH_OpenLabel)*UnitFactor))))</f>
        <v/>
      </c>
      <c r="U125" s="13" t="str">
        <f aca="false">IF(AE125=0,"",IF(NOT(LH_Ready),"",SUMIFS(INDEX(LH_Data,0,LH_ColAcc),INDEX(LH_Data,0,LH_ColFirst),$A125,INDEX(LH_Data,0,LH_ColSur),$B125,INDEX(LH_Data,0,LH_ColCat),BonusCat,INDEX(LH_Data,0,LH_ColStart),"&gt;="&amp;AF125)*UnitFactor))</f>
        <v/>
      </c>
      <c r="V125" s="13" t="str">
        <f aca="false">IF(AE125=0,"",IF(NOT(LH_Ready),"",SUMIFS(INDEX(LH_Data,0,LH_ColTaken),INDEX(LH_Data,0,LH_ColFirst),$A125,INDEX(LH_Data,0,LH_ColSur),$B125,INDEX(LH_Data,0,LH_ColCat),BonusCat,INDEX(LH_Data,0,LH_ColStart),"&gt;="&amp;AF125)*UnitFactor))</f>
        <v/>
      </c>
      <c r="W125" s="13" t="str">
        <f aca="false">IF(AE125=0,"",IF(NOT(LH_Ready),"",IF(BB125=0,0,INDEX(INDEX(LH_Data,0,LH_ColClose),BB125-1)*UnitFactor)))</f>
        <v/>
      </c>
      <c r="X125" s="13" t="str">
        <f aca="false">IF(AE125=0,"",(AX125-AY125)*HoursPerDay)</f>
        <v/>
      </c>
      <c r="Y125" s="13" t="str">
        <f aca="false">IF(AE125=0,"",IF(NOT(LH_Ready),"",IF(BA125=0,N125,IF(PFYDate&lt;$F125,N125-N(T125)-N(U125),X125-N(U125)))))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 hrs more than policy since commencement",IF(N(W125)&gt;O125*HoursPerDay+0.01,"CHECK - EH balance "&amp;ROUND(W125-O125*HoursPerDay,2)&amp;" hrs more than policy entitlement",IF(O125&gt;0,"OK - nothing to add",IF(AQ125="None",R125,"Not yet - first day on "&amp;TEXT(S125,"dd/mm/yyyy")))))))))</f>
        <v/>
      </c>
      <c r="AB125" s="13" t="str">
        <f aca="false">IF(OR(AE125=0,T125=""),"",AY125*HoursPerDay-T125)</f>
        <v/>
      </c>
      <c r="AC125" s="12" t="str">
        <f aca="false">IF(AE125=0,"",BA125)</f>
        <v/>
      </c>
      <c r="AD125" s="12"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IF(AE125=0,"",IF($J125&lt;&gt;"",$J125,IF(OR(CasualCounts="Yes",COUNT($G125:$I125)=0,COUNT($G125:$H125)=0),$F125,MIN($G125:$H125))))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8"/>
      <c r="B126" s="8"/>
      <c r="C126" s="8"/>
      <c r="D126" s="9"/>
      <c r="E126" s="10" t="str">
        <f aca="false">IF(OR(AE126=0,$D126=""),"",DATE(YEAR(AsOfDate)+IF(DATE(YEAR(AsOfDate),MONTH($D126),DAY($D126))&lt;=AsOfDate,1,0),MONTH($D126),DAY($D126)))</f>
        <v/>
      </c>
      <c r="F126" s="9"/>
      <c r="G126" s="9"/>
      <c r="H126" s="9"/>
      <c r="I126" s="9"/>
      <c r="J126" s="9"/>
      <c r="K126" s="10" t="str">
        <f aca="false">IF(AE126=0,"",DATE(YEAR(AsOfDate)+IF(DATE(YEAR(AsOfDate),MONTH(AF126),DAY(AF126))&lt;=AsOfDate,1,0),MONTH(AF126),DAY(AF126)))</f>
        <v/>
      </c>
      <c r="L126" s="11" t="str">
        <f aca="false">IF(AE126=0,"",ROUND((AsOfDate-AF126)/365.25,1))</f>
        <v/>
      </c>
      <c r="M126" s="12" t="str">
        <f aca="false">IF(AE126=0,"",IF(AsOfDate&lt;AF126,"-",DATEDIF(AF126,AsOfDate,"y")&amp;"y "&amp;DATEDIF(AF126,AsOfDate,"ym")&amp;"m "&amp;DATEDIF(AF126,AsOfDate,"md")&amp;"d"))</f>
        <v/>
      </c>
      <c r="N126" s="13" t="str">
        <f aca="false">IF(AE126=0,"",O126*HoursPerDay)</f>
        <v/>
      </c>
      <c r="O126" s="13" t="str">
        <f aca="false">IF(AE126=0,"",AX126)</f>
        <v/>
      </c>
      <c r="P126" s="14"/>
      <c r="Q126" s="12" t="str">
        <f aca="false">IF(AE126=0,"",IF(AG126&lt;2,"",AK126&amp;" to "&amp;AL126&amp;" on "&amp;TEXT(AI126,"dd/mm/yyyy")&amp;IF(AI126&gt;AsOfDate," (future)",IF(AN126=AO126,"",IF(AO126="None"," - STOPPED accruing",IF(AN126="None"," - commencement for Bonus Leave"," - pathway changed"))))&amp;IF(AG126&lt;3,"","; "&amp;AL126&amp;" to "&amp;AM126&amp;" on "&amp;TEXT(AJ126,"dd/mm/yyyy")&amp;IF(AJ126&gt;AsOfDate," (future)",IF(AO126=AP126,"",IF(AP126="None"," - STOPPED accruing",IF(AO126="None"," - commencement for Bonus Leave","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AE126=0,"",IF(NOT(LH_Ready),"",IF(AF126&gt;PFYDate,0,IF(LH_ColPeriod=0,W126-U126+V126,SUMIFS(INDEX(LH_Data,0,LH_ColAcc),INDEX(LH_Data,0,LH_ColFirst),$A126,INDEX(LH_Data,0,LH_ColSur),$B126,INDEX(LH_Data,0,LH_ColCat),BonusCat,INDEX(LH_Data,0,LH_ColPeriod),LH_OpenLabel)*UnitFactor))))</f>
        <v/>
      </c>
      <c r="U126" s="13" t="str">
        <f aca="false">IF(AE126=0,"",IF(NOT(LH_Ready),"",SUMIFS(INDEX(LH_Data,0,LH_ColAcc),INDEX(LH_Data,0,LH_ColFirst),$A126,INDEX(LH_Data,0,LH_ColSur),$B126,INDEX(LH_Data,0,LH_ColCat),BonusCat,INDEX(LH_Data,0,LH_ColStart),"&gt;="&amp;AF126)*UnitFactor))</f>
        <v/>
      </c>
      <c r="V126" s="13" t="str">
        <f aca="false">IF(AE126=0,"",IF(NOT(LH_Ready),"",SUMIFS(INDEX(LH_Data,0,LH_ColTaken),INDEX(LH_Data,0,LH_ColFirst),$A126,INDEX(LH_Data,0,LH_ColSur),$B126,INDEX(LH_Data,0,LH_ColCat),BonusCat,INDEX(LH_Data,0,LH_ColStart),"&gt;="&amp;AF126)*UnitFactor))</f>
        <v/>
      </c>
      <c r="W126" s="13" t="str">
        <f aca="false">IF(AE126=0,"",IF(NOT(LH_Ready),"",IF(BB126=0,0,INDEX(INDEX(LH_Data,0,LH_ColClose),BB126-1)*UnitFactor)))</f>
        <v/>
      </c>
      <c r="X126" s="13" t="str">
        <f aca="false">IF(AE126=0,"",(AX126-AY126)*HoursPerDay)</f>
        <v/>
      </c>
      <c r="Y126" s="13" t="str">
        <f aca="false">IF(AE126=0,"",IF(NOT(LH_Ready),"",IF(BA126=0,N126,IF(PFYDate&lt;$F126,N126-N(T126)-N(U126),X126-N(U126)))))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 hrs more than policy since commencement",IF(N(W126)&gt;O126*HoursPerDay+0.01,"CHECK - EH balance "&amp;ROUND(W126-O126*HoursPerDay,2)&amp;" hrs more than policy entitlement",IF(O126&gt;0,"OK - nothing to add",IF(AQ126="None",R126,"Not yet - first day on "&amp;TEXT(S126,"dd/mm/yyyy")))))))))</f>
        <v/>
      </c>
      <c r="AB126" s="13" t="str">
        <f aca="false">IF(OR(AE126=0,T126=""),"",AY126*HoursPerDay-T126)</f>
        <v/>
      </c>
      <c r="AC126" s="12" t="str">
        <f aca="false">IF(AE126=0,"",BA126)</f>
        <v/>
      </c>
      <c r="AD126" s="12"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IF(AE126=0,"",IF($J126&lt;&gt;"",$J126,IF(OR(CasualCounts="Yes",COUNT($G126:$I126)=0,COUNT($G126:$H126)=0),$F126,MIN($G126:$H126))))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8"/>
      <c r="B127" s="8"/>
      <c r="C127" s="8"/>
      <c r="D127" s="9"/>
      <c r="E127" s="10" t="str">
        <f aca="false">IF(OR(AE127=0,$D127=""),"",DATE(YEAR(AsOfDate)+IF(DATE(YEAR(AsOfDate),MONTH($D127),DAY($D127))&lt;=AsOfDate,1,0),MONTH($D127),DAY($D127)))</f>
        <v/>
      </c>
      <c r="F127" s="9"/>
      <c r="G127" s="9"/>
      <c r="H127" s="9"/>
      <c r="I127" s="9"/>
      <c r="J127" s="9"/>
      <c r="K127" s="10" t="str">
        <f aca="false">IF(AE127=0,"",DATE(YEAR(AsOfDate)+IF(DATE(YEAR(AsOfDate),MONTH(AF127),DAY(AF127))&lt;=AsOfDate,1,0),MONTH(AF127),DAY(AF127)))</f>
        <v/>
      </c>
      <c r="L127" s="11" t="str">
        <f aca="false">IF(AE127=0,"",ROUND((AsOfDate-AF127)/365.25,1))</f>
        <v/>
      </c>
      <c r="M127" s="12" t="str">
        <f aca="false">IF(AE127=0,"",IF(AsOfDate&lt;AF127,"-",DATEDIF(AF127,AsOfDate,"y")&amp;"y "&amp;DATEDIF(AF127,AsOfDate,"ym")&amp;"m "&amp;DATEDIF(AF127,AsOfDate,"md")&amp;"d"))</f>
        <v/>
      </c>
      <c r="N127" s="13" t="str">
        <f aca="false">IF(AE127=0,"",O127*HoursPerDay)</f>
        <v/>
      </c>
      <c r="O127" s="13" t="str">
        <f aca="false">IF(AE127=0,"",AX127)</f>
        <v/>
      </c>
      <c r="P127" s="14"/>
      <c r="Q127" s="12" t="str">
        <f aca="false">IF(AE127=0,"",IF(AG127&lt;2,"",AK127&amp;" to "&amp;AL127&amp;" on "&amp;TEXT(AI127,"dd/mm/yyyy")&amp;IF(AI127&gt;AsOfDate," (future)",IF(AN127=AO127,"",IF(AO127="None"," - STOPPED accruing",IF(AN127="None"," - commencement for Bonus Leave"," - pathway changed"))))&amp;IF(AG127&lt;3,"","; "&amp;AL127&amp;" to "&amp;AM127&amp;" on "&amp;TEXT(AJ127,"dd/mm/yyyy")&amp;IF(AJ127&gt;AsOfDate," (future)",IF(AO127=AP127,"",IF(AP127="None"," - STOPPED accruing",IF(AO127="None"," - commencement for Bonus Leave","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AE127=0,"",IF(NOT(LH_Ready),"",IF(AF127&gt;PFYDate,0,IF(LH_ColPeriod=0,W127-U127+V127,SUMIFS(INDEX(LH_Data,0,LH_ColAcc),INDEX(LH_Data,0,LH_ColFirst),$A127,INDEX(LH_Data,0,LH_ColSur),$B127,INDEX(LH_Data,0,LH_ColCat),BonusCat,INDEX(LH_Data,0,LH_ColPeriod),LH_OpenLabel)*UnitFactor))))</f>
        <v/>
      </c>
      <c r="U127" s="13" t="str">
        <f aca="false">IF(AE127=0,"",IF(NOT(LH_Ready),"",SUMIFS(INDEX(LH_Data,0,LH_ColAcc),INDEX(LH_Data,0,LH_ColFirst),$A127,INDEX(LH_Data,0,LH_ColSur),$B127,INDEX(LH_Data,0,LH_ColCat),BonusCat,INDEX(LH_Data,0,LH_ColStart),"&gt;="&amp;AF127)*UnitFactor))</f>
        <v/>
      </c>
      <c r="V127" s="13" t="str">
        <f aca="false">IF(AE127=0,"",IF(NOT(LH_Ready),"",SUMIFS(INDEX(LH_Data,0,LH_ColTaken),INDEX(LH_Data,0,LH_ColFirst),$A127,INDEX(LH_Data,0,LH_ColSur),$B127,INDEX(LH_Data,0,LH_ColCat),BonusCat,INDEX(LH_Data,0,LH_ColStart),"&gt;="&amp;AF127)*UnitFactor))</f>
        <v/>
      </c>
      <c r="W127" s="13" t="str">
        <f aca="false">IF(AE127=0,"",IF(NOT(LH_Ready),"",IF(BB127=0,0,INDEX(INDEX(LH_Data,0,LH_ColClose),BB127-1)*UnitFactor)))</f>
        <v/>
      </c>
      <c r="X127" s="13" t="str">
        <f aca="false">IF(AE127=0,"",(AX127-AY127)*HoursPerDay)</f>
        <v/>
      </c>
      <c r="Y127" s="13" t="str">
        <f aca="false">IF(AE127=0,"",IF(NOT(LH_Ready),"",IF(BA127=0,N127,IF(PFYDate&lt;$F127,N127-N(T127)-N(U127),X127-N(U127)))))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 hrs more than policy since commencement",IF(N(W127)&gt;O127*HoursPerDay+0.01,"CHECK - EH balance "&amp;ROUND(W127-O127*HoursPerDay,2)&amp;" hrs more than policy entitlement",IF(O127&gt;0,"OK - nothing to add",IF(AQ127="None",R127,"Not yet - first day on "&amp;TEXT(S127,"dd/mm/yyyy")))))))))</f>
        <v/>
      </c>
      <c r="AB127" s="13" t="str">
        <f aca="false">IF(OR(AE127=0,T127=""),"",AY127*HoursPerDay-T127)</f>
        <v/>
      </c>
      <c r="AC127" s="12" t="str">
        <f aca="false">IF(AE127=0,"",BA127)</f>
        <v/>
      </c>
      <c r="AD127" s="12"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IF(AE127=0,"",IF($J127&lt;&gt;"",$J127,IF(OR(CasualCounts="Yes",COUNT($G127:$I127)=0,COUNT($G127:$H127)=0),$F127,MIN($G127:$H127))))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8"/>
      <c r="B128" s="8"/>
      <c r="C128" s="8"/>
      <c r="D128" s="9"/>
      <c r="E128" s="10" t="str">
        <f aca="false">IF(OR(AE128=0,$D128=""),"",DATE(YEAR(AsOfDate)+IF(DATE(YEAR(AsOfDate),MONTH($D128),DAY($D128))&lt;=AsOfDate,1,0),MONTH($D128),DAY($D128)))</f>
        <v/>
      </c>
      <c r="F128" s="9"/>
      <c r="G128" s="9"/>
      <c r="H128" s="9"/>
      <c r="I128" s="9"/>
      <c r="J128" s="9"/>
      <c r="K128" s="10" t="str">
        <f aca="false">IF(AE128=0,"",DATE(YEAR(AsOfDate)+IF(DATE(YEAR(AsOfDate),MONTH(AF128),DAY(AF128))&lt;=AsOfDate,1,0),MONTH(AF128),DAY(AF128)))</f>
        <v/>
      </c>
      <c r="L128" s="11" t="str">
        <f aca="false">IF(AE128=0,"",ROUND((AsOfDate-AF128)/365.25,1))</f>
        <v/>
      </c>
      <c r="M128" s="12" t="str">
        <f aca="false">IF(AE128=0,"",IF(AsOfDate&lt;AF128,"-",DATEDIF(AF128,AsOfDate,"y")&amp;"y "&amp;DATEDIF(AF128,AsOfDate,"ym")&amp;"m "&amp;DATEDIF(AF128,AsOfDate,"md")&amp;"d"))</f>
        <v/>
      </c>
      <c r="N128" s="13" t="str">
        <f aca="false">IF(AE128=0,"",O128*HoursPerDay)</f>
        <v/>
      </c>
      <c r="O128" s="13" t="str">
        <f aca="false">IF(AE128=0,"",AX128)</f>
        <v/>
      </c>
      <c r="P128" s="14"/>
      <c r="Q128" s="12" t="str">
        <f aca="false">IF(AE128=0,"",IF(AG128&lt;2,"",AK128&amp;" to "&amp;AL128&amp;" on "&amp;TEXT(AI128,"dd/mm/yyyy")&amp;IF(AI128&gt;AsOfDate," (future)",IF(AN128=AO128,"",IF(AO128="None"," - STOPPED accruing",IF(AN128="None"," - commencement for Bonus Leave"," - pathway changed"))))&amp;IF(AG128&lt;3,"","; "&amp;AL128&amp;" to "&amp;AM128&amp;" on "&amp;TEXT(AJ128,"dd/mm/yyyy")&amp;IF(AJ128&gt;AsOfDate," (future)",IF(AO128=AP128,"",IF(AP128="None"," - STOPPED accruing",IF(AO128="None"," - commencement for Bonus Leave","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AE128=0,"",IF(NOT(LH_Ready),"",IF(AF128&gt;PFYDate,0,IF(LH_ColPeriod=0,W128-U128+V128,SUMIFS(INDEX(LH_Data,0,LH_ColAcc),INDEX(LH_Data,0,LH_ColFirst),$A128,INDEX(LH_Data,0,LH_ColSur),$B128,INDEX(LH_Data,0,LH_ColCat),BonusCat,INDEX(LH_Data,0,LH_ColPeriod),LH_OpenLabel)*UnitFactor))))</f>
        <v/>
      </c>
      <c r="U128" s="13" t="str">
        <f aca="false">IF(AE128=0,"",IF(NOT(LH_Ready),"",SUMIFS(INDEX(LH_Data,0,LH_ColAcc),INDEX(LH_Data,0,LH_ColFirst),$A128,INDEX(LH_Data,0,LH_ColSur),$B128,INDEX(LH_Data,0,LH_ColCat),BonusCat,INDEX(LH_Data,0,LH_ColStart),"&gt;="&amp;AF128)*UnitFactor))</f>
        <v/>
      </c>
      <c r="V128" s="13" t="str">
        <f aca="false">IF(AE128=0,"",IF(NOT(LH_Ready),"",SUMIFS(INDEX(LH_Data,0,LH_ColTaken),INDEX(LH_Data,0,LH_ColFirst),$A128,INDEX(LH_Data,0,LH_ColSur),$B128,INDEX(LH_Data,0,LH_ColCat),BonusCat,INDEX(LH_Data,0,LH_ColStart),"&gt;="&amp;AF128)*UnitFactor))</f>
        <v/>
      </c>
      <c r="W128" s="13" t="str">
        <f aca="false">IF(AE128=0,"",IF(NOT(LH_Ready),"",IF(BB128=0,0,INDEX(INDEX(LH_Data,0,LH_ColClose),BB128-1)*UnitFactor)))</f>
        <v/>
      </c>
      <c r="X128" s="13" t="str">
        <f aca="false">IF(AE128=0,"",(AX128-AY128)*HoursPerDay)</f>
        <v/>
      </c>
      <c r="Y128" s="13" t="str">
        <f aca="false">IF(AE128=0,"",IF(NOT(LH_Ready),"",IF(BA128=0,N128,IF(PFYDate&lt;$F128,N128-N(T128)-N(U128),X128-N(U128)))))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 hrs more than policy since commencement",IF(N(W128)&gt;O128*HoursPerDay+0.01,"CHECK - EH balance "&amp;ROUND(W128-O128*HoursPerDay,2)&amp;" hrs more than policy entitlement",IF(O128&gt;0,"OK - nothing to add",IF(AQ128="None",R128,"Not yet - first day on "&amp;TEXT(S128,"dd/mm/yyyy")))))))))</f>
        <v/>
      </c>
      <c r="AB128" s="13" t="str">
        <f aca="false">IF(OR(AE128=0,T128=""),"",AY128*HoursPerDay-T128)</f>
        <v/>
      </c>
      <c r="AC128" s="12" t="str">
        <f aca="false">IF(AE128=0,"",BA128)</f>
        <v/>
      </c>
      <c r="AD128" s="12"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IF(AE128=0,"",IF($J128&lt;&gt;"",$J128,IF(OR(CasualCounts="Yes",COUNT($G128:$I128)=0,COUNT($G128:$H128)=0),$F128,MIN($G128:$H128))))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8"/>
      <c r="B129" s="8"/>
      <c r="C129" s="8"/>
      <c r="D129" s="9"/>
      <c r="E129" s="10" t="str">
        <f aca="false">IF(OR(AE129=0,$D129=""),"",DATE(YEAR(AsOfDate)+IF(DATE(YEAR(AsOfDate),MONTH($D129),DAY($D129))&lt;=AsOfDate,1,0),MONTH($D129),DAY($D129)))</f>
        <v/>
      </c>
      <c r="F129" s="9"/>
      <c r="G129" s="9"/>
      <c r="H129" s="9"/>
      <c r="I129" s="9"/>
      <c r="J129" s="9"/>
      <c r="K129" s="10" t="str">
        <f aca="false">IF(AE129=0,"",DATE(YEAR(AsOfDate)+IF(DATE(YEAR(AsOfDate),MONTH(AF129),DAY(AF129))&lt;=AsOfDate,1,0),MONTH(AF129),DAY(AF129)))</f>
        <v/>
      </c>
      <c r="L129" s="11" t="str">
        <f aca="false">IF(AE129=0,"",ROUND((AsOfDate-AF129)/365.25,1))</f>
        <v/>
      </c>
      <c r="M129" s="12" t="str">
        <f aca="false">IF(AE129=0,"",IF(AsOfDate&lt;AF129,"-",DATEDIF(AF129,AsOfDate,"y")&amp;"y "&amp;DATEDIF(AF129,AsOfDate,"ym")&amp;"m "&amp;DATEDIF(AF129,AsOfDate,"md")&amp;"d"))</f>
        <v/>
      </c>
      <c r="N129" s="13" t="str">
        <f aca="false">IF(AE129=0,"",O129*HoursPerDay)</f>
        <v/>
      </c>
      <c r="O129" s="13" t="str">
        <f aca="false">IF(AE129=0,"",AX129)</f>
        <v/>
      </c>
      <c r="P129" s="14"/>
      <c r="Q129" s="12" t="str">
        <f aca="false">IF(AE129=0,"",IF(AG129&lt;2,"",AK129&amp;" to "&amp;AL129&amp;" on "&amp;TEXT(AI129,"dd/mm/yyyy")&amp;IF(AI129&gt;AsOfDate," (future)",IF(AN129=AO129,"",IF(AO129="None"," - STOPPED accruing",IF(AN129="None"," - commencement for Bonus Leave"," - pathway changed"))))&amp;IF(AG129&lt;3,"","; "&amp;AL129&amp;" to "&amp;AM129&amp;" on "&amp;TEXT(AJ129,"dd/mm/yyyy")&amp;IF(AJ129&gt;AsOfDate," (future)",IF(AO129=AP129,"",IF(AP129="None"," - STOPPED accruing",IF(AO129="None"," - commencement for Bonus Leave","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AE129=0,"",IF(NOT(LH_Ready),"",IF(AF129&gt;PFYDate,0,IF(LH_ColPeriod=0,W129-U129+V129,SUMIFS(INDEX(LH_Data,0,LH_ColAcc),INDEX(LH_Data,0,LH_ColFirst),$A129,INDEX(LH_Data,0,LH_ColSur),$B129,INDEX(LH_Data,0,LH_ColCat),BonusCat,INDEX(LH_Data,0,LH_ColPeriod),LH_OpenLabel)*UnitFactor))))</f>
        <v/>
      </c>
      <c r="U129" s="13" t="str">
        <f aca="false">IF(AE129=0,"",IF(NOT(LH_Ready),"",SUMIFS(INDEX(LH_Data,0,LH_ColAcc),INDEX(LH_Data,0,LH_ColFirst),$A129,INDEX(LH_Data,0,LH_ColSur),$B129,INDEX(LH_Data,0,LH_ColCat),BonusCat,INDEX(LH_Data,0,LH_ColStart),"&gt;="&amp;AF129)*UnitFactor))</f>
        <v/>
      </c>
      <c r="V129" s="13" t="str">
        <f aca="false">IF(AE129=0,"",IF(NOT(LH_Ready),"",SUMIFS(INDEX(LH_Data,0,LH_ColTaken),INDEX(LH_Data,0,LH_ColFirst),$A129,INDEX(LH_Data,0,LH_ColSur),$B129,INDEX(LH_Data,0,LH_ColCat),BonusCat,INDEX(LH_Data,0,LH_ColStart),"&gt;="&amp;AF129)*UnitFactor))</f>
        <v/>
      </c>
      <c r="W129" s="13" t="str">
        <f aca="false">IF(AE129=0,"",IF(NOT(LH_Ready),"",IF(BB129=0,0,INDEX(INDEX(LH_Data,0,LH_ColClose),BB129-1)*UnitFactor)))</f>
        <v/>
      </c>
      <c r="X129" s="13" t="str">
        <f aca="false">IF(AE129=0,"",(AX129-AY129)*HoursPerDay)</f>
        <v/>
      </c>
      <c r="Y129" s="13" t="str">
        <f aca="false">IF(AE129=0,"",IF(NOT(LH_Ready),"",IF(BA129=0,N129,IF(PFYDate&lt;$F129,N129-N(T129)-N(U129),X129-N(U129)))))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 hrs more than policy since commencement",IF(N(W129)&gt;O129*HoursPerDay+0.01,"CHECK - EH balance "&amp;ROUND(W129-O129*HoursPerDay,2)&amp;" hrs more than policy entitlement",IF(O129&gt;0,"OK - nothing to add",IF(AQ129="None",R129,"Not yet - first day on "&amp;TEXT(S129,"dd/mm/yyyy")))))))))</f>
        <v/>
      </c>
      <c r="AB129" s="13" t="str">
        <f aca="false">IF(OR(AE129=0,T129=""),"",AY129*HoursPerDay-T129)</f>
        <v/>
      </c>
      <c r="AC129" s="12" t="str">
        <f aca="false">IF(AE129=0,"",BA129)</f>
        <v/>
      </c>
      <c r="AD129" s="12"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IF(AE129=0,"",IF($J129&lt;&gt;"",$J129,IF(OR(CasualCounts="Yes",COUNT($G129:$I129)=0,COUNT($G129:$H129)=0),$F129,MIN($G129:$H129))))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8"/>
      <c r="B130" s="8"/>
      <c r="C130" s="8"/>
      <c r="D130" s="9"/>
      <c r="E130" s="10" t="str">
        <f aca="false">IF(OR(AE130=0,$D130=""),"",DATE(YEAR(AsOfDate)+IF(DATE(YEAR(AsOfDate),MONTH($D130),DAY($D130))&lt;=AsOfDate,1,0),MONTH($D130),DAY($D130)))</f>
        <v/>
      </c>
      <c r="F130" s="9"/>
      <c r="G130" s="9"/>
      <c r="H130" s="9"/>
      <c r="I130" s="9"/>
      <c r="J130" s="9"/>
      <c r="K130" s="10" t="str">
        <f aca="false">IF(AE130=0,"",DATE(YEAR(AsOfDate)+IF(DATE(YEAR(AsOfDate),MONTH(AF130),DAY(AF130))&lt;=AsOfDate,1,0),MONTH(AF130),DAY(AF130)))</f>
        <v/>
      </c>
      <c r="L130" s="11" t="str">
        <f aca="false">IF(AE130=0,"",ROUND((AsOfDate-AF130)/365.25,1))</f>
        <v/>
      </c>
      <c r="M130" s="12" t="str">
        <f aca="false">IF(AE130=0,"",IF(AsOfDate&lt;AF130,"-",DATEDIF(AF130,AsOfDate,"y")&amp;"y "&amp;DATEDIF(AF130,AsOfDate,"ym")&amp;"m "&amp;DATEDIF(AF130,AsOfDate,"md")&amp;"d"))</f>
        <v/>
      </c>
      <c r="N130" s="13" t="str">
        <f aca="false">IF(AE130=0,"",O130*HoursPerDay)</f>
        <v/>
      </c>
      <c r="O130" s="13" t="str">
        <f aca="false">IF(AE130=0,"",AX130)</f>
        <v/>
      </c>
      <c r="P130" s="14"/>
      <c r="Q130" s="12" t="str">
        <f aca="false">IF(AE130=0,"",IF(AG130&lt;2,"",AK130&amp;" to "&amp;AL130&amp;" on "&amp;TEXT(AI130,"dd/mm/yyyy")&amp;IF(AI130&gt;AsOfDate," (future)",IF(AN130=AO130,"",IF(AO130="None"," - STOPPED accruing",IF(AN130="None"," - commencement for Bonus Leave"," - pathway changed"))))&amp;IF(AG130&lt;3,"","; "&amp;AL130&amp;" to "&amp;AM130&amp;" on "&amp;TEXT(AJ130,"dd/mm/yyyy")&amp;IF(AJ130&gt;AsOfDate," (future)",IF(AO130=AP130,"",IF(AP130="None"," - STOPPED accruing",IF(AO130="None"," - commencement for Bonus Leave","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AE130=0,"",IF(NOT(LH_Ready),"",IF(AF130&gt;PFYDate,0,IF(LH_ColPeriod=0,W130-U130+V130,SUMIFS(INDEX(LH_Data,0,LH_ColAcc),INDEX(LH_Data,0,LH_ColFirst),$A130,INDEX(LH_Data,0,LH_ColSur),$B130,INDEX(LH_Data,0,LH_ColCat),BonusCat,INDEX(LH_Data,0,LH_ColPeriod),LH_OpenLabel)*UnitFactor))))</f>
        <v/>
      </c>
      <c r="U130" s="13" t="str">
        <f aca="false">IF(AE130=0,"",IF(NOT(LH_Ready),"",SUMIFS(INDEX(LH_Data,0,LH_ColAcc),INDEX(LH_Data,0,LH_ColFirst),$A130,INDEX(LH_Data,0,LH_ColSur),$B130,INDEX(LH_Data,0,LH_ColCat),BonusCat,INDEX(LH_Data,0,LH_ColStart),"&gt;="&amp;AF130)*UnitFactor))</f>
        <v/>
      </c>
      <c r="V130" s="13" t="str">
        <f aca="false">IF(AE130=0,"",IF(NOT(LH_Ready),"",SUMIFS(INDEX(LH_Data,0,LH_ColTaken),INDEX(LH_Data,0,LH_ColFirst),$A130,INDEX(LH_Data,0,LH_ColSur),$B130,INDEX(LH_Data,0,LH_ColCat),BonusCat,INDEX(LH_Data,0,LH_ColStart),"&gt;="&amp;AF130)*UnitFactor))</f>
        <v/>
      </c>
      <c r="W130" s="13" t="str">
        <f aca="false">IF(AE130=0,"",IF(NOT(LH_Ready),"",IF(BB130=0,0,INDEX(INDEX(LH_Data,0,LH_ColClose),BB130-1)*UnitFactor)))</f>
        <v/>
      </c>
      <c r="X130" s="13" t="str">
        <f aca="false">IF(AE130=0,"",(AX130-AY130)*HoursPerDay)</f>
        <v/>
      </c>
      <c r="Y130" s="13" t="str">
        <f aca="false">IF(AE130=0,"",IF(NOT(LH_Ready),"",IF(BA130=0,N130,IF(PFYDate&lt;$F130,N130-N(T130)-N(U130),X130-N(U130)))))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 hrs more than policy since commencement",IF(N(W130)&gt;O130*HoursPerDay+0.01,"CHECK - EH balance "&amp;ROUND(W130-O130*HoursPerDay,2)&amp;" hrs more than policy entitlement",IF(O130&gt;0,"OK - nothing to add",IF(AQ130="None",R130,"Not yet - first day on "&amp;TEXT(S130,"dd/mm/yyyy")))))))))</f>
        <v/>
      </c>
      <c r="AB130" s="13" t="str">
        <f aca="false">IF(OR(AE130=0,T130=""),"",AY130*HoursPerDay-T130)</f>
        <v/>
      </c>
      <c r="AC130" s="12" t="str">
        <f aca="false">IF(AE130=0,"",BA130)</f>
        <v/>
      </c>
      <c r="AD130" s="12"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IF(AE130=0,"",IF($J130&lt;&gt;"",$J130,IF(OR(CasualCounts="Yes",COUNT($G130:$I130)=0,COUNT($G130:$H130)=0),$F130,MIN($G130:$H130))))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8"/>
      <c r="B131" s="8"/>
      <c r="C131" s="8"/>
      <c r="D131" s="9"/>
      <c r="E131" s="10" t="str">
        <f aca="false">IF(OR(AE131=0,$D131=""),"",DATE(YEAR(AsOfDate)+IF(DATE(YEAR(AsOfDate),MONTH($D131),DAY($D131))&lt;=AsOfDate,1,0),MONTH($D131),DAY($D131)))</f>
        <v/>
      </c>
      <c r="F131" s="9"/>
      <c r="G131" s="9"/>
      <c r="H131" s="9"/>
      <c r="I131" s="9"/>
      <c r="J131" s="9"/>
      <c r="K131" s="10" t="str">
        <f aca="false">IF(AE131=0,"",DATE(YEAR(AsOfDate)+IF(DATE(YEAR(AsOfDate),MONTH(AF131),DAY(AF131))&lt;=AsOfDate,1,0),MONTH(AF131),DAY(AF131)))</f>
        <v/>
      </c>
      <c r="L131" s="11" t="str">
        <f aca="false">IF(AE131=0,"",ROUND((AsOfDate-AF131)/365.25,1))</f>
        <v/>
      </c>
      <c r="M131" s="12" t="str">
        <f aca="false">IF(AE131=0,"",IF(AsOfDate&lt;AF131,"-",DATEDIF(AF131,AsOfDate,"y")&amp;"y "&amp;DATEDIF(AF131,AsOfDate,"ym")&amp;"m "&amp;DATEDIF(AF131,AsOfDate,"md")&amp;"d"))</f>
        <v/>
      </c>
      <c r="N131" s="13" t="str">
        <f aca="false">IF(AE131=0,"",O131*HoursPerDay)</f>
        <v/>
      </c>
      <c r="O131" s="13" t="str">
        <f aca="false">IF(AE131=0,"",AX131)</f>
        <v/>
      </c>
      <c r="P131" s="14"/>
      <c r="Q131" s="12" t="str">
        <f aca="false">IF(AE131=0,"",IF(AG131&lt;2,"",AK131&amp;" to "&amp;AL131&amp;" on "&amp;TEXT(AI131,"dd/mm/yyyy")&amp;IF(AI131&gt;AsOfDate," (future)",IF(AN131=AO131,"",IF(AO131="None"," - STOPPED accruing",IF(AN131="None"," - commencement for Bonus Leave"," - pathway changed"))))&amp;IF(AG131&lt;3,"","; "&amp;AL131&amp;" to "&amp;AM131&amp;" on "&amp;TEXT(AJ131,"dd/mm/yyyy")&amp;IF(AJ131&gt;AsOfDate," (future)",IF(AO131=AP131,"",IF(AP131="None"," - STOPPED accruing",IF(AO131="None"," - commencement for Bonus Leave","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AE131=0,"",IF(NOT(LH_Ready),"",IF(AF131&gt;PFYDate,0,IF(LH_ColPeriod=0,W131-U131+V131,SUMIFS(INDEX(LH_Data,0,LH_ColAcc),INDEX(LH_Data,0,LH_ColFirst),$A131,INDEX(LH_Data,0,LH_ColSur),$B131,INDEX(LH_Data,0,LH_ColCat),BonusCat,INDEX(LH_Data,0,LH_ColPeriod),LH_OpenLabel)*UnitFactor))))</f>
        <v/>
      </c>
      <c r="U131" s="13" t="str">
        <f aca="false">IF(AE131=0,"",IF(NOT(LH_Ready),"",SUMIFS(INDEX(LH_Data,0,LH_ColAcc),INDEX(LH_Data,0,LH_ColFirst),$A131,INDEX(LH_Data,0,LH_ColSur),$B131,INDEX(LH_Data,0,LH_ColCat),BonusCat,INDEX(LH_Data,0,LH_ColStart),"&gt;="&amp;AF131)*UnitFactor))</f>
        <v/>
      </c>
      <c r="V131" s="13" t="str">
        <f aca="false">IF(AE131=0,"",IF(NOT(LH_Ready),"",SUMIFS(INDEX(LH_Data,0,LH_ColTaken),INDEX(LH_Data,0,LH_ColFirst),$A131,INDEX(LH_Data,0,LH_ColSur),$B131,INDEX(LH_Data,0,LH_ColCat),BonusCat,INDEX(LH_Data,0,LH_ColStart),"&gt;="&amp;AF131)*UnitFactor))</f>
        <v/>
      </c>
      <c r="W131" s="13" t="str">
        <f aca="false">IF(AE131=0,"",IF(NOT(LH_Ready),"",IF(BB131=0,0,INDEX(INDEX(LH_Data,0,LH_ColClose),BB131-1)*UnitFactor)))</f>
        <v/>
      </c>
      <c r="X131" s="13" t="str">
        <f aca="false">IF(AE131=0,"",(AX131-AY131)*HoursPerDay)</f>
        <v/>
      </c>
      <c r="Y131" s="13" t="str">
        <f aca="false">IF(AE131=0,"",IF(NOT(LH_Ready),"",IF(BA131=0,N131,IF(PFYDate&lt;$F131,N131-N(T131)-N(U131),X131-N(U131)))))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 hrs more than policy since commencement",IF(N(W131)&gt;O131*HoursPerDay+0.01,"CHECK - EH balance "&amp;ROUND(W131-O131*HoursPerDay,2)&amp;" hrs more than policy entitlement",IF(O131&gt;0,"OK - nothing to add",IF(AQ131="None",R131,"Not yet - first day on "&amp;TEXT(S131,"dd/mm/yyyy")))))))))</f>
        <v/>
      </c>
      <c r="AB131" s="13" t="str">
        <f aca="false">IF(OR(AE131=0,T131=""),"",AY131*HoursPerDay-T131)</f>
        <v/>
      </c>
      <c r="AC131" s="12" t="str">
        <f aca="false">IF(AE131=0,"",BA131)</f>
        <v/>
      </c>
      <c r="AD131" s="12"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IF(AE131=0,"",IF($J131&lt;&gt;"",$J131,IF(OR(CasualCounts="Yes",COUNT($G131:$I131)=0,COUNT($G131:$H131)=0),$F131,MIN($G131:$H131))))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8"/>
      <c r="B132" s="8"/>
      <c r="C132" s="8"/>
      <c r="D132" s="9"/>
      <c r="E132" s="10" t="str">
        <f aca="false">IF(OR(AE132=0,$D132=""),"",DATE(YEAR(AsOfDate)+IF(DATE(YEAR(AsOfDate),MONTH($D132),DAY($D132))&lt;=AsOfDate,1,0),MONTH($D132),DAY($D132)))</f>
        <v/>
      </c>
      <c r="F132" s="9"/>
      <c r="G132" s="9"/>
      <c r="H132" s="9"/>
      <c r="I132" s="9"/>
      <c r="J132" s="9"/>
      <c r="K132" s="10" t="str">
        <f aca="false">IF(AE132=0,"",DATE(YEAR(AsOfDate)+IF(DATE(YEAR(AsOfDate),MONTH(AF132),DAY(AF132))&lt;=AsOfDate,1,0),MONTH(AF132),DAY(AF132)))</f>
        <v/>
      </c>
      <c r="L132" s="11" t="str">
        <f aca="false">IF(AE132=0,"",ROUND((AsOfDate-AF132)/365.25,1))</f>
        <v/>
      </c>
      <c r="M132" s="12" t="str">
        <f aca="false">IF(AE132=0,"",IF(AsOfDate&lt;AF132,"-",DATEDIF(AF132,AsOfDate,"y")&amp;"y "&amp;DATEDIF(AF132,AsOfDate,"ym")&amp;"m "&amp;DATEDIF(AF132,AsOfDate,"md")&amp;"d"))</f>
        <v/>
      </c>
      <c r="N132" s="13" t="str">
        <f aca="false">IF(AE132=0,"",O132*HoursPerDay)</f>
        <v/>
      </c>
      <c r="O132" s="13" t="str">
        <f aca="false">IF(AE132=0,"",AX132)</f>
        <v/>
      </c>
      <c r="P132" s="14"/>
      <c r="Q132" s="12" t="str">
        <f aca="false">IF(AE132=0,"",IF(AG132&lt;2,"",AK132&amp;" to "&amp;AL132&amp;" on "&amp;TEXT(AI132,"dd/mm/yyyy")&amp;IF(AI132&gt;AsOfDate," (future)",IF(AN132=AO132,"",IF(AO132="None"," - STOPPED accruing",IF(AN132="None"," - commencement for Bonus Leave"," - pathway changed"))))&amp;IF(AG132&lt;3,"","; "&amp;AL132&amp;" to "&amp;AM132&amp;" on "&amp;TEXT(AJ132,"dd/mm/yyyy")&amp;IF(AJ132&gt;AsOfDate," (future)",IF(AO132=AP132,"",IF(AP132="None"," - STOPPED accruing",IF(AO132="None"," - commencement for Bonus Leave","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AE132=0,"",IF(NOT(LH_Ready),"",IF(AF132&gt;PFYDate,0,IF(LH_ColPeriod=0,W132-U132+V132,SUMIFS(INDEX(LH_Data,0,LH_ColAcc),INDEX(LH_Data,0,LH_ColFirst),$A132,INDEX(LH_Data,0,LH_ColSur),$B132,INDEX(LH_Data,0,LH_ColCat),BonusCat,INDEX(LH_Data,0,LH_ColPeriod),LH_OpenLabel)*UnitFactor))))</f>
        <v/>
      </c>
      <c r="U132" s="13" t="str">
        <f aca="false">IF(AE132=0,"",IF(NOT(LH_Ready),"",SUMIFS(INDEX(LH_Data,0,LH_ColAcc),INDEX(LH_Data,0,LH_ColFirst),$A132,INDEX(LH_Data,0,LH_ColSur),$B132,INDEX(LH_Data,0,LH_ColCat),BonusCat,INDEX(LH_Data,0,LH_ColStart),"&gt;="&amp;AF132)*UnitFactor))</f>
        <v/>
      </c>
      <c r="V132" s="13" t="str">
        <f aca="false">IF(AE132=0,"",IF(NOT(LH_Ready),"",SUMIFS(INDEX(LH_Data,0,LH_ColTaken),INDEX(LH_Data,0,LH_ColFirst),$A132,INDEX(LH_Data,0,LH_ColSur),$B132,INDEX(LH_Data,0,LH_ColCat),BonusCat,INDEX(LH_Data,0,LH_ColStart),"&gt;="&amp;AF132)*UnitFactor))</f>
        <v/>
      </c>
      <c r="W132" s="13" t="str">
        <f aca="false">IF(AE132=0,"",IF(NOT(LH_Ready),"",IF(BB132=0,0,INDEX(INDEX(LH_Data,0,LH_ColClose),BB132-1)*UnitFactor)))</f>
        <v/>
      </c>
      <c r="X132" s="13" t="str">
        <f aca="false">IF(AE132=0,"",(AX132-AY132)*HoursPerDay)</f>
        <v/>
      </c>
      <c r="Y132" s="13" t="str">
        <f aca="false">IF(AE132=0,"",IF(NOT(LH_Ready),"",IF(BA132=0,N132,IF(PFYDate&lt;$F132,N132-N(T132)-N(U132),X132-N(U132)))))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 hrs more than policy since commencement",IF(N(W132)&gt;O132*HoursPerDay+0.01,"CHECK - EH balance "&amp;ROUND(W132-O132*HoursPerDay,2)&amp;" hrs more than policy entitlement",IF(O132&gt;0,"OK - nothing to add",IF(AQ132="None",R132,"Not yet - first day on "&amp;TEXT(S132,"dd/mm/yyyy")))))))))</f>
        <v/>
      </c>
      <c r="AB132" s="13" t="str">
        <f aca="false">IF(OR(AE132=0,T132=""),"",AY132*HoursPerDay-T132)</f>
        <v/>
      </c>
      <c r="AC132" s="12" t="str">
        <f aca="false">IF(AE132=0,"",BA132)</f>
        <v/>
      </c>
      <c r="AD132" s="12"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IF(AE132=0,"",IF($J132&lt;&gt;"",$J132,IF(OR(CasualCounts="Yes",COUNT($G132:$I132)=0,COUNT($G132:$H132)=0),$F132,MIN($G132:$H132))))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8"/>
      <c r="B133" s="8"/>
      <c r="C133" s="8"/>
      <c r="D133" s="9"/>
      <c r="E133" s="10" t="str">
        <f aca="false">IF(OR(AE133=0,$D133=""),"",DATE(YEAR(AsOfDate)+IF(DATE(YEAR(AsOfDate),MONTH($D133),DAY($D133))&lt;=AsOfDate,1,0),MONTH($D133),DAY($D133)))</f>
        <v/>
      </c>
      <c r="F133" s="9"/>
      <c r="G133" s="9"/>
      <c r="H133" s="9"/>
      <c r="I133" s="9"/>
      <c r="J133" s="9"/>
      <c r="K133" s="10" t="str">
        <f aca="false">IF(AE133=0,"",DATE(YEAR(AsOfDate)+IF(DATE(YEAR(AsOfDate),MONTH(AF133),DAY(AF133))&lt;=AsOfDate,1,0),MONTH(AF133),DAY(AF133)))</f>
        <v/>
      </c>
      <c r="L133" s="11" t="str">
        <f aca="false">IF(AE133=0,"",ROUND((AsOfDate-AF133)/365.25,1))</f>
        <v/>
      </c>
      <c r="M133" s="12" t="str">
        <f aca="false">IF(AE133=0,"",IF(AsOfDate&lt;AF133,"-",DATEDIF(AF133,AsOfDate,"y")&amp;"y "&amp;DATEDIF(AF133,AsOfDate,"ym")&amp;"m "&amp;DATEDIF(AF133,AsOfDate,"md")&amp;"d"))</f>
        <v/>
      </c>
      <c r="N133" s="13" t="str">
        <f aca="false">IF(AE133=0,"",O133*HoursPerDay)</f>
        <v/>
      </c>
      <c r="O133" s="13" t="str">
        <f aca="false">IF(AE133=0,"",AX133)</f>
        <v/>
      </c>
      <c r="P133" s="14"/>
      <c r="Q133" s="12" t="str">
        <f aca="false">IF(AE133=0,"",IF(AG133&lt;2,"",AK133&amp;" to "&amp;AL133&amp;" on "&amp;TEXT(AI133,"dd/mm/yyyy")&amp;IF(AI133&gt;AsOfDate," (future)",IF(AN133=AO133,"",IF(AO133="None"," - STOPPED accruing",IF(AN133="None"," - commencement for Bonus Leave"," - pathway changed"))))&amp;IF(AG133&lt;3,"","; "&amp;AL133&amp;" to "&amp;AM133&amp;" on "&amp;TEXT(AJ133,"dd/mm/yyyy")&amp;IF(AJ133&gt;AsOfDate," (future)",IF(AO133=AP133,"",IF(AP133="None"," - STOPPED accruing",IF(AO133="None"," - commencement for Bonus Leave","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AE133=0,"",IF(NOT(LH_Ready),"",IF(AF133&gt;PFYDate,0,IF(LH_ColPeriod=0,W133-U133+V133,SUMIFS(INDEX(LH_Data,0,LH_ColAcc),INDEX(LH_Data,0,LH_ColFirst),$A133,INDEX(LH_Data,0,LH_ColSur),$B133,INDEX(LH_Data,0,LH_ColCat),BonusCat,INDEX(LH_Data,0,LH_ColPeriod),LH_OpenLabel)*UnitFactor))))</f>
        <v/>
      </c>
      <c r="U133" s="13" t="str">
        <f aca="false">IF(AE133=0,"",IF(NOT(LH_Ready),"",SUMIFS(INDEX(LH_Data,0,LH_ColAcc),INDEX(LH_Data,0,LH_ColFirst),$A133,INDEX(LH_Data,0,LH_ColSur),$B133,INDEX(LH_Data,0,LH_ColCat),BonusCat,INDEX(LH_Data,0,LH_ColStart),"&gt;="&amp;AF133)*UnitFactor))</f>
        <v/>
      </c>
      <c r="V133" s="13" t="str">
        <f aca="false">IF(AE133=0,"",IF(NOT(LH_Ready),"",SUMIFS(INDEX(LH_Data,0,LH_ColTaken),INDEX(LH_Data,0,LH_ColFirst),$A133,INDEX(LH_Data,0,LH_ColSur),$B133,INDEX(LH_Data,0,LH_ColCat),BonusCat,INDEX(LH_Data,0,LH_ColStart),"&gt;="&amp;AF133)*UnitFactor))</f>
        <v/>
      </c>
      <c r="W133" s="13" t="str">
        <f aca="false">IF(AE133=0,"",IF(NOT(LH_Ready),"",IF(BB133=0,0,INDEX(INDEX(LH_Data,0,LH_ColClose),BB133-1)*UnitFactor)))</f>
        <v/>
      </c>
      <c r="X133" s="13" t="str">
        <f aca="false">IF(AE133=0,"",(AX133-AY133)*HoursPerDay)</f>
        <v/>
      </c>
      <c r="Y133" s="13" t="str">
        <f aca="false">IF(AE133=0,"",IF(NOT(LH_Ready),"",IF(BA133=0,N133,IF(PFYDate&lt;$F133,N133-N(T133)-N(U133),X133-N(U133)))))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 hrs more than policy since commencement",IF(N(W133)&gt;O133*HoursPerDay+0.01,"CHECK - EH balance "&amp;ROUND(W133-O133*HoursPerDay,2)&amp;" hrs more than policy entitlement",IF(O133&gt;0,"OK - nothing to add",IF(AQ133="None",R133,"Not yet - first day on "&amp;TEXT(S133,"dd/mm/yyyy")))))))))</f>
        <v/>
      </c>
      <c r="AB133" s="13" t="str">
        <f aca="false">IF(OR(AE133=0,T133=""),"",AY133*HoursPerDay-T133)</f>
        <v/>
      </c>
      <c r="AC133" s="12" t="str">
        <f aca="false">IF(AE133=0,"",BA133)</f>
        <v/>
      </c>
      <c r="AD133" s="12"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IF(AE133=0,"",IF($J133&lt;&gt;"",$J133,IF(OR(CasualCounts="Yes",COUNT($G133:$I133)=0,COUNT($G133:$H133)=0),$F133,MIN($G133:$H133))))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8"/>
      <c r="B134" s="8"/>
      <c r="C134" s="8"/>
      <c r="D134" s="9"/>
      <c r="E134" s="10" t="str">
        <f aca="false">IF(OR(AE134=0,$D134=""),"",DATE(YEAR(AsOfDate)+IF(DATE(YEAR(AsOfDate),MONTH($D134),DAY($D134))&lt;=AsOfDate,1,0),MONTH($D134),DAY($D134)))</f>
        <v/>
      </c>
      <c r="F134" s="9"/>
      <c r="G134" s="9"/>
      <c r="H134" s="9"/>
      <c r="I134" s="9"/>
      <c r="J134" s="9"/>
      <c r="K134" s="10" t="str">
        <f aca="false">IF(AE134=0,"",DATE(YEAR(AsOfDate)+IF(DATE(YEAR(AsOfDate),MONTH(AF134),DAY(AF134))&lt;=AsOfDate,1,0),MONTH(AF134),DAY(AF134)))</f>
        <v/>
      </c>
      <c r="L134" s="11" t="str">
        <f aca="false">IF(AE134=0,"",ROUND((AsOfDate-AF134)/365.25,1))</f>
        <v/>
      </c>
      <c r="M134" s="12" t="str">
        <f aca="false">IF(AE134=0,"",IF(AsOfDate&lt;AF134,"-",DATEDIF(AF134,AsOfDate,"y")&amp;"y "&amp;DATEDIF(AF134,AsOfDate,"ym")&amp;"m "&amp;DATEDIF(AF134,AsOfDate,"md")&amp;"d"))</f>
        <v/>
      </c>
      <c r="N134" s="13" t="str">
        <f aca="false">IF(AE134=0,"",O134*HoursPerDay)</f>
        <v/>
      </c>
      <c r="O134" s="13" t="str">
        <f aca="false">IF(AE134=0,"",AX134)</f>
        <v/>
      </c>
      <c r="P134" s="14"/>
      <c r="Q134" s="12" t="str">
        <f aca="false">IF(AE134=0,"",IF(AG134&lt;2,"",AK134&amp;" to "&amp;AL134&amp;" on "&amp;TEXT(AI134,"dd/mm/yyyy")&amp;IF(AI134&gt;AsOfDate," (future)",IF(AN134=AO134,"",IF(AO134="None"," - STOPPED accruing",IF(AN134="None"," - commencement for Bonus Leave"," - pathway changed"))))&amp;IF(AG134&lt;3,"","; "&amp;AL134&amp;" to "&amp;AM134&amp;" on "&amp;TEXT(AJ134,"dd/mm/yyyy")&amp;IF(AJ134&gt;AsOfDate," (future)",IF(AO134=AP134,"",IF(AP134="None"," - STOPPED accruing",IF(AO134="None"," - commencement for Bonus Leave","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AE134=0,"",IF(NOT(LH_Ready),"",IF(AF134&gt;PFYDate,0,IF(LH_ColPeriod=0,W134-U134+V134,SUMIFS(INDEX(LH_Data,0,LH_ColAcc),INDEX(LH_Data,0,LH_ColFirst),$A134,INDEX(LH_Data,0,LH_ColSur),$B134,INDEX(LH_Data,0,LH_ColCat),BonusCat,INDEX(LH_Data,0,LH_ColPeriod),LH_OpenLabel)*UnitFactor))))</f>
        <v/>
      </c>
      <c r="U134" s="13" t="str">
        <f aca="false">IF(AE134=0,"",IF(NOT(LH_Ready),"",SUMIFS(INDEX(LH_Data,0,LH_ColAcc),INDEX(LH_Data,0,LH_ColFirst),$A134,INDEX(LH_Data,0,LH_ColSur),$B134,INDEX(LH_Data,0,LH_ColCat),BonusCat,INDEX(LH_Data,0,LH_ColStart),"&gt;="&amp;AF134)*UnitFactor))</f>
        <v/>
      </c>
      <c r="V134" s="13" t="str">
        <f aca="false">IF(AE134=0,"",IF(NOT(LH_Ready),"",SUMIFS(INDEX(LH_Data,0,LH_ColTaken),INDEX(LH_Data,0,LH_ColFirst),$A134,INDEX(LH_Data,0,LH_ColSur),$B134,INDEX(LH_Data,0,LH_ColCat),BonusCat,INDEX(LH_Data,0,LH_ColStart),"&gt;="&amp;AF134)*UnitFactor))</f>
        <v/>
      </c>
      <c r="W134" s="13" t="str">
        <f aca="false">IF(AE134=0,"",IF(NOT(LH_Ready),"",IF(BB134=0,0,INDEX(INDEX(LH_Data,0,LH_ColClose),BB134-1)*UnitFactor)))</f>
        <v/>
      </c>
      <c r="X134" s="13" t="str">
        <f aca="false">IF(AE134=0,"",(AX134-AY134)*HoursPerDay)</f>
        <v/>
      </c>
      <c r="Y134" s="13" t="str">
        <f aca="false">IF(AE134=0,"",IF(NOT(LH_Ready),"",IF(BA134=0,N134,IF(PFYDate&lt;$F134,N134-N(T134)-N(U134),X134-N(U134)))))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 hrs more than policy since commencement",IF(N(W134)&gt;O134*HoursPerDay+0.01,"CHECK - EH balance "&amp;ROUND(W134-O134*HoursPerDay,2)&amp;" hrs more than policy entitlement",IF(O134&gt;0,"OK - nothing to add",IF(AQ134="None",R134,"Not yet - first day on "&amp;TEXT(S134,"dd/mm/yyyy")))))))))</f>
        <v/>
      </c>
      <c r="AB134" s="13" t="str">
        <f aca="false">IF(OR(AE134=0,T134=""),"",AY134*HoursPerDay-T134)</f>
        <v/>
      </c>
      <c r="AC134" s="12" t="str">
        <f aca="false">IF(AE134=0,"",BA134)</f>
        <v/>
      </c>
      <c r="AD134" s="12"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IF(AE134=0,"",IF($J134&lt;&gt;"",$J134,IF(OR(CasualCounts="Yes",COUNT($G134:$I134)=0,COUNT($G134:$H134)=0),$F134,MIN($G134:$H134))))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8"/>
      <c r="B135" s="8"/>
      <c r="C135" s="8"/>
      <c r="D135" s="9"/>
      <c r="E135" s="10" t="str">
        <f aca="false">IF(OR(AE135=0,$D135=""),"",DATE(YEAR(AsOfDate)+IF(DATE(YEAR(AsOfDate),MONTH($D135),DAY($D135))&lt;=AsOfDate,1,0),MONTH($D135),DAY($D135)))</f>
        <v/>
      </c>
      <c r="F135" s="9"/>
      <c r="G135" s="9"/>
      <c r="H135" s="9"/>
      <c r="I135" s="9"/>
      <c r="J135" s="9"/>
      <c r="K135" s="10" t="str">
        <f aca="false">IF(AE135=0,"",DATE(YEAR(AsOfDate)+IF(DATE(YEAR(AsOfDate),MONTH(AF135),DAY(AF135))&lt;=AsOfDate,1,0),MONTH(AF135),DAY(AF135)))</f>
        <v/>
      </c>
      <c r="L135" s="11" t="str">
        <f aca="false">IF(AE135=0,"",ROUND((AsOfDate-AF135)/365.25,1))</f>
        <v/>
      </c>
      <c r="M135" s="12" t="str">
        <f aca="false">IF(AE135=0,"",IF(AsOfDate&lt;AF135,"-",DATEDIF(AF135,AsOfDate,"y")&amp;"y "&amp;DATEDIF(AF135,AsOfDate,"ym")&amp;"m "&amp;DATEDIF(AF135,AsOfDate,"md")&amp;"d"))</f>
        <v/>
      </c>
      <c r="N135" s="13" t="str">
        <f aca="false">IF(AE135=0,"",O135*HoursPerDay)</f>
        <v/>
      </c>
      <c r="O135" s="13" t="str">
        <f aca="false">IF(AE135=0,"",AX135)</f>
        <v/>
      </c>
      <c r="P135" s="14"/>
      <c r="Q135" s="12" t="str">
        <f aca="false">IF(AE135=0,"",IF(AG135&lt;2,"",AK135&amp;" to "&amp;AL135&amp;" on "&amp;TEXT(AI135,"dd/mm/yyyy")&amp;IF(AI135&gt;AsOfDate," (future)",IF(AN135=AO135,"",IF(AO135="None"," - STOPPED accruing",IF(AN135="None"," - commencement for Bonus Leave"," - pathway changed"))))&amp;IF(AG135&lt;3,"","; "&amp;AL135&amp;" to "&amp;AM135&amp;" on "&amp;TEXT(AJ135,"dd/mm/yyyy")&amp;IF(AJ135&gt;AsOfDate," (future)",IF(AO135=AP135,"",IF(AP135="None"," - STOPPED accruing",IF(AO135="None"," - commencement for Bonus Leave","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AE135=0,"",IF(NOT(LH_Ready),"",IF(AF135&gt;PFYDate,0,IF(LH_ColPeriod=0,W135-U135+V135,SUMIFS(INDEX(LH_Data,0,LH_ColAcc),INDEX(LH_Data,0,LH_ColFirst),$A135,INDEX(LH_Data,0,LH_ColSur),$B135,INDEX(LH_Data,0,LH_ColCat),BonusCat,INDEX(LH_Data,0,LH_ColPeriod),LH_OpenLabel)*UnitFactor))))</f>
        <v/>
      </c>
      <c r="U135" s="13" t="str">
        <f aca="false">IF(AE135=0,"",IF(NOT(LH_Ready),"",SUMIFS(INDEX(LH_Data,0,LH_ColAcc),INDEX(LH_Data,0,LH_ColFirst),$A135,INDEX(LH_Data,0,LH_ColSur),$B135,INDEX(LH_Data,0,LH_ColCat),BonusCat,INDEX(LH_Data,0,LH_ColStart),"&gt;="&amp;AF135)*UnitFactor))</f>
        <v/>
      </c>
      <c r="V135" s="13" t="str">
        <f aca="false">IF(AE135=0,"",IF(NOT(LH_Ready),"",SUMIFS(INDEX(LH_Data,0,LH_ColTaken),INDEX(LH_Data,0,LH_ColFirst),$A135,INDEX(LH_Data,0,LH_ColSur),$B135,INDEX(LH_Data,0,LH_ColCat),BonusCat,INDEX(LH_Data,0,LH_ColStart),"&gt;="&amp;AF135)*UnitFactor))</f>
        <v/>
      </c>
      <c r="W135" s="13" t="str">
        <f aca="false">IF(AE135=0,"",IF(NOT(LH_Ready),"",IF(BB135=0,0,INDEX(INDEX(LH_Data,0,LH_ColClose),BB135-1)*UnitFactor)))</f>
        <v/>
      </c>
      <c r="X135" s="13" t="str">
        <f aca="false">IF(AE135=0,"",(AX135-AY135)*HoursPerDay)</f>
        <v/>
      </c>
      <c r="Y135" s="13" t="str">
        <f aca="false">IF(AE135=0,"",IF(NOT(LH_Ready),"",IF(BA135=0,N135,IF(PFYDate&lt;$F135,N135-N(T135)-N(U135),X135-N(U135)))))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 hrs more than policy since commencement",IF(N(W135)&gt;O135*HoursPerDay+0.01,"CHECK - EH balance "&amp;ROUND(W135-O135*HoursPerDay,2)&amp;" hrs more than policy entitlement",IF(O135&gt;0,"OK - nothing to add",IF(AQ135="None",R135,"Not yet - first day on "&amp;TEXT(S135,"dd/mm/yyyy")))))))))</f>
        <v/>
      </c>
      <c r="AB135" s="13" t="str">
        <f aca="false">IF(OR(AE135=0,T135=""),"",AY135*HoursPerDay-T135)</f>
        <v/>
      </c>
      <c r="AC135" s="12" t="str">
        <f aca="false">IF(AE135=0,"",BA135)</f>
        <v/>
      </c>
      <c r="AD135" s="12"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IF(AE135=0,"",IF($J135&lt;&gt;"",$J135,IF(OR(CasualCounts="Yes",COUNT($G135:$I135)=0,COUNT($G135:$H135)=0),$F135,MIN($G135:$H135))))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8"/>
      <c r="B136" s="8"/>
      <c r="C136" s="8"/>
      <c r="D136" s="9"/>
      <c r="E136" s="10" t="str">
        <f aca="false">IF(OR(AE136=0,$D136=""),"",DATE(YEAR(AsOfDate)+IF(DATE(YEAR(AsOfDate),MONTH($D136),DAY($D136))&lt;=AsOfDate,1,0),MONTH($D136),DAY($D136)))</f>
        <v/>
      </c>
      <c r="F136" s="9"/>
      <c r="G136" s="9"/>
      <c r="H136" s="9"/>
      <c r="I136" s="9"/>
      <c r="J136" s="9"/>
      <c r="K136" s="10" t="str">
        <f aca="false">IF(AE136=0,"",DATE(YEAR(AsOfDate)+IF(DATE(YEAR(AsOfDate),MONTH(AF136),DAY(AF136))&lt;=AsOfDate,1,0),MONTH(AF136),DAY(AF136)))</f>
        <v/>
      </c>
      <c r="L136" s="11" t="str">
        <f aca="false">IF(AE136=0,"",ROUND((AsOfDate-AF136)/365.25,1))</f>
        <v/>
      </c>
      <c r="M136" s="12" t="str">
        <f aca="false">IF(AE136=0,"",IF(AsOfDate&lt;AF136,"-",DATEDIF(AF136,AsOfDate,"y")&amp;"y "&amp;DATEDIF(AF136,AsOfDate,"ym")&amp;"m "&amp;DATEDIF(AF136,AsOfDate,"md")&amp;"d"))</f>
        <v/>
      </c>
      <c r="N136" s="13" t="str">
        <f aca="false">IF(AE136=0,"",O136*HoursPerDay)</f>
        <v/>
      </c>
      <c r="O136" s="13" t="str">
        <f aca="false">IF(AE136=0,"",AX136)</f>
        <v/>
      </c>
      <c r="P136" s="14"/>
      <c r="Q136" s="12" t="str">
        <f aca="false">IF(AE136=0,"",IF(AG136&lt;2,"",AK136&amp;" to "&amp;AL136&amp;" on "&amp;TEXT(AI136,"dd/mm/yyyy")&amp;IF(AI136&gt;AsOfDate," (future)",IF(AN136=AO136,"",IF(AO136="None"," - STOPPED accruing",IF(AN136="None"," - commencement for Bonus Leave"," - pathway changed"))))&amp;IF(AG136&lt;3,"","; "&amp;AL136&amp;" to "&amp;AM136&amp;" on "&amp;TEXT(AJ136,"dd/mm/yyyy")&amp;IF(AJ136&gt;AsOfDate," (future)",IF(AO136=AP136,"",IF(AP136="None"," - STOPPED accruing",IF(AO136="None"," - commencement for Bonus Leave","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AE136=0,"",IF(NOT(LH_Ready),"",IF(AF136&gt;PFYDate,0,IF(LH_ColPeriod=0,W136-U136+V136,SUMIFS(INDEX(LH_Data,0,LH_ColAcc),INDEX(LH_Data,0,LH_ColFirst),$A136,INDEX(LH_Data,0,LH_ColSur),$B136,INDEX(LH_Data,0,LH_ColCat),BonusCat,INDEX(LH_Data,0,LH_ColPeriod),LH_OpenLabel)*UnitFactor))))</f>
        <v/>
      </c>
      <c r="U136" s="13" t="str">
        <f aca="false">IF(AE136=0,"",IF(NOT(LH_Ready),"",SUMIFS(INDEX(LH_Data,0,LH_ColAcc),INDEX(LH_Data,0,LH_ColFirst),$A136,INDEX(LH_Data,0,LH_ColSur),$B136,INDEX(LH_Data,0,LH_ColCat),BonusCat,INDEX(LH_Data,0,LH_ColStart),"&gt;="&amp;AF136)*UnitFactor))</f>
        <v/>
      </c>
      <c r="V136" s="13" t="str">
        <f aca="false">IF(AE136=0,"",IF(NOT(LH_Ready),"",SUMIFS(INDEX(LH_Data,0,LH_ColTaken),INDEX(LH_Data,0,LH_ColFirst),$A136,INDEX(LH_Data,0,LH_ColSur),$B136,INDEX(LH_Data,0,LH_ColCat),BonusCat,INDEX(LH_Data,0,LH_ColStart),"&gt;="&amp;AF136)*UnitFactor))</f>
        <v/>
      </c>
      <c r="W136" s="13" t="str">
        <f aca="false">IF(AE136=0,"",IF(NOT(LH_Ready),"",IF(BB136=0,0,INDEX(INDEX(LH_Data,0,LH_ColClose),BB136-1)*UnitFactor)))</f>
        <v/>
      </c>
      <c r="X136" s="13" t="str">
        <f aca="false">IF(AE136=0,"",(AX136-AY136)*HoursPerDay)</f>
        <v/>
      </c>
      <c r="Y136" s="13" t="str">
        <f aca="false">IF(AE136=0,"",IF(NOT(LH_Ready),"",IF(BA136=0,N136,IF(PFYDate&lt;$F136,N136-N(T136)-N(U136),X136-N(U136)))))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 hrs more than policy since commencement",IF(N(W136)&gt;O136*HoursPerDay+0.01,"CHECK - EH balance "&amp;ROUND(W136-O136*HoursPerDay,2)&amp;" hrs more than policy entitlement",IF(O136&gt;0,"OK - nothing to add",IF(AQ136="None",R136,"Not yet - first day on "&amp;TEXT(S136,"dd/mm/yyyy")))))))))</f>
        <v/>
      </c>
      <c r="AB136" s="13" t="str">
        <f aca="false">IF(OR(AE136=0,T136=""),"",AY136*HoursPerDay-T136)</f>
        <v/>
      </c>
      <c r="AC136" s="12" t="str">
        <f aca="false">IF(AE136=0,"",BA136)</f>
        <v/>
      </c>
      <c r="AD136" s="12"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IF(AE136=0,"",IF($J136&lt;&gt;"",$J136,IF(OR(CasualCounts="Yes",COUNT($G136:$I136)=0,COUNT($G136:$H136)=0),$F136,MIN($G136:$H136))))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8"/>
      <c r="B137" s="8"/>
      <c r="C137" s="8"/>
      <c r="D137" s="9"/>
      <c r="E137" s="10" t="str">
        <f aca="false">IF(OR(AE137=0,$D137=""),"",DATE(YEAR(AsOfDate)+IF(DATE(YEAR(AsOfDate),MONTH($D137),DAY($D137))&lt;=AsOfDate,1,0),MONTH($D137),DAY($D137)))</f>
        <v/>
      </c>
      <c r="F137" s="9"/>
      <c r="G137" s="9"/>
      <c r="H137" s="9"/>
      <c r="I137" s="9"/>
      <c r="J137" s="9"/>
      <c r="K137" s="10" t="str">
        <f aca="false">IF(AE137=0,"",DATE(YEAR(AsOfDate)+IF(DATE(YEAR(AsOfDate),MONTH(AF137),DAY(AF137))&lt;=AsOfDate,1,0),MONTH(AF137),DAY(AF137)))</f>
        <v/>
      </c>
      <c r="L137" s="11" t="str">
        <f aca="false">IF(AE137=0,"",ROUND((AsOfDate-AF137)/365.25,1))</f>
        <v/>
      </c>
      <c r="M137" s="12" t="str">
        <f aca="false">IF(AE137=0,"",IF(AsOfDate&lt;AF137,"-",DATEDIF(AF137,AsOfDate,"y")&amp;"y "&amp;DATEDIF(AF137,AsOfDate,"ym")&amp;"m "&amp;DATEDIF(AF137,AsOfDate,"md")&amp;"d"))</f>
        <v/>
      </c>
      <c r="N137" s="13" t="str">
        <f aca="false">IF(AE137=0,"",O137*HoursPerDay)</f>
        <v/>
      </c>
      <c r="O137" s="13" t="str">
        <f aca="false">IF(AE137=0,"",AX137)</f>
        <v/>
      </c>
      <c r="P137" s="14"/>
      <c r="Q137" s="12" t="str">
        <f aca="false">IF(AE137=0,"",IF(AG137&lt;2,"",AK137&amp;" to "&amp;AL137&amp;" on "&amp;TEXT(AI137,"dd/mm/yyyy")&amp;IF(AI137&gt;AsOfDate," (future)",IF(AN137=AO137,"",IF(AO137="None"," - STOPPED accruing",IF(AN137="None"," - commencement for Bonus Leave"," - pathway changed"))))&amp;IF(AG137&lt;3,"","; "&amp;AL137&amp;" to "&amp;AM137&amp;" on "&amp;TEXT(AJ137,"dd/mm/yyyy")&amp;IF(AJ137&gt;AsOfDate," (future)",IF(AO137=AP137,"",IF(AP137="None"," - STOPPED accruing",IF(AO137="None"," - commencement for Bonus Leave","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AE137=0,"",IF(NOT(LH_Ready),"",IF(AF137&gt;PFYDate,0,IF(LH_ColPeriod=0,W137-U137+V137,SUMIFS(INDEX(LH_Data,0,LH_ColAcc),INDEX(LH_Data,0,LH_ColFirst),$A137,INDEX(LH_Data,0,LH_ColSur),$B137,INDEX(LH_Data,0,LH_ColCat),BonusCat,INDEX(LH_Data,0,LH_ColPeriod),LH_OpenLabel)*UnitFactor))))</f>
        <v/>
      </c>
      <c r="U137" s="13" t="str">
        <f aca="false">IF(AE137=0,"",IF(NOT(LH_Ready),"",SUMIFS(INDEX(LH_Data,0,LH_ColAcc),INDEX(LH_Data,0,LH_ColFirst),$A137,INDEX(LH_Data,0,LH_ColSur),$B137,INDEX(LH_Data,0,LH_ColCat),BonusCat,INDEX(LH_Data,0,LH_ColStart),"&gt;="&amp;AF137)*UnitFactor))</f>
        <v/>
      </c>
      <c r="V137" s="13" t="str">
        <f aca="false">IF(AE137=0,"",IF(NOT(LH_Ready),"",SUMIFS(INDEX(LH_Data,0,LH_ColTaken),INDEX(LH_Data,0,LH_ColFirst),$A137,INDEX(LH_Data,0,LH_ColSur),$B137,INDEX(LH_Data,0,LH_ColCat),BonusCat,INDEX(LH_Data,0,LH_ColStart),"&gt;="&amp;AF137)*UnitFactor))</f>
        <v/>
      </c>
      <c r="W137" s="13" t="str">
        <f aca="false">IF(AE137=0,"",IF(NOT(LH_Ready),"",IF(BB137=0,0,INDEX(INDEX(LH_Data,0,LH_ColClose),BB137-1)*UnitFactor)))</f>
        <v/>
      </c>
      <c r="X137" s="13" t="str">
        <f aca="false">IF(AE137=0,"",(AX137-AY137)*HoursPerDay)</f>
        <v/>
      </c>
      <c r="Y137" s="13" t="str">
        <f aca="false">IF(AE137=0,"",IF(NOT(LH_Ready),"",IF(BA137=0,N137,IF(PFYDate&lt;$F137,N137-N(T137)-N(U137),X137-N(U137)))))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 hrs more than policy since commencement",IF(N(W137)&gt;O137*HoursPerDay+0.01,"CHECK - EH balance "&amp;ROUND(W137-O137*HoursPerDay,2)&amp;" hrs more than policy entitlement",IF(O137&gt;0,"OK - nothing to add",IF(AQ137="None",R137,"Not yet - first day on "&amp;TEXT(S137,"dd/mm/yyyy")))))))))</f>
        <v/>
      </c>
      <c r="AB137" s="13" t="str">
        <f aca="false">IF(OR(AE137=0,T137=""),"",AY137*HoursPerDay-T137)</f>
        <v/>
      </c>
      <c r="AC137" s="12" t="str">
        <f aca="false">IF(AE137=0,"",BA137)</f>
        <v/>
      </c>
      <c r="AD137" s="12"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IF(AE137=0,"",IF($J137&lt;&gt;"",$J137,IF(OR(CasualCounts="Yes",COUNT($G137:$I137)=0,COUNT($G137:$H137)=0),$F137,MIN($G137:$H137))))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8"/>
      <c r="B138" s="8"/>
      <c r="C138" s="8"/>
      <c r="D138" s="9"/>
      <c r="E138" s="10" t="str">
        <f aca="false">IF(OR(AE138=0,$D138=""),"",DATE(YEAR(AsOfDate)+IF(DATE(YEAR(AsOfDate),MONTH($D138),DAY($D138))&lt;=AsOfDate,1,0),MONTH($D138),DAY($D138)))</f>
        <v/>
      </c>
      <c r="F138" s="9"/>
      <c r="G138" s="9"/>
      <c r="H138" s="9"/>
      <c r="I138" s="9"/>
      <c r="J138" s="9"/>
      <c r="K138" s="10" t="str">
        <f aca="false">IF(AE138=0,"",DATE(YEAR(AsOfDate)+IF(DATE(YEAR(AsOfDate),MONTH(AF138),DAY(AF138))&lt;=AsOfDate,1,0),MONTH(AF138),DAY(AF138)))</f>
        <v/>
      </c>
      <c r="L138" s="11" t="str">
        <f aca="false">IF(AE138=0,"",ROUND((AsOfDate-AF138)/365.25,1))</f>
        <v/>
      </c>
      <c r="M138" s="12" t="str">
        <f aca="false">IF(AE138=0,"",IF(AsOfDate&lt;AF138,"-",DATEDIF(AF138,AsOfDate,"y")&amp;"y "&amp;DATEDIF(AF138,AsOfDate,"ym")&amp;"m "&amp;DATEDIF(AF138,AsOfDate,"md")&amp;"d"))</f>
        <v/>
      </c>
      <c r="N138" s="13" t="str">
        <f aca="false">IF(AE138=0,"",O138*HoursPerDay)</f>
        <v/>
      </c>
      <c r="O138" s="13" t="str">
        <f aca="false">IF(AE138=0,"",AX138)</f>
        <v/>
      </c>
      <c r="P138" s="14"/>
      <c r="Q138" s="12" t="str">
        <f aca="false">IF(AE138=0,"",IF(AG138&lt;2,"",AK138&amp;" to "&amp;AL138&amp;" on "&amp;TEXT(AI138,"dd/mm/yyyy")&amp;IF(AI138&gt;AsOfDate," (future)",IF(AN138=AO138,"",IF(AO138="None"," - STOPPED accruing",IF(AN138="None"," - commencement for Bonus Leave"," - pathway changed"))))&amp;IF(AG138&lt;3,"","; "&amp;AL138&amp;" to "&amp;AM138&amp;" on "&amp;TEXT(AJ138,"dd/mm/yyyy")&amp;IF(AJ138&gt;AsOfDate," (future)",IF(AO138=AP138,"",IF(AP138="None"," - STOPPED accruing",IF(AO138="None"," - commencement for Bonus Leave","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AE138=0,"",IF(NOT(LH_Ready),"",IF(AF138&gt;PFYDate,0,IF(LH_ColPeriod=0,W138-U138+V138,SUMIFS(INDEX(LH_Data,0,LH_ColAcc),INDEX(LH_Data,0,LH_ColFirst),$A138,INDEX(LH_Data,0,LH_ColSur),$B138,INDEX(LH_Data,0,LH_ColCat),BonusCat,INDEX(LH_Data,0,LH_ColPeriod),LH_OpenLabel)*UnitFactor))))</f>
        <v/>
      </c>
      <c r="U138" s="13" t="str">
        <f aca="false">IF(AE138=0,"",IF(NOT(LH_Ready),"",SUMIFS(INDEX(LH_Data,0,LH_ColAcc),INDEX(LH_Data,0,LH_ColFirst),$A138,INDEX(LH_Data,0,LH_ColSur),$B138,INDEX(LH_Data,0,LH_ColCat),BonusCat,INDEX(LH_Data,0,LH_ColStart),"&gt;="&amp;AF138)*UnitFactor))</f>
        <v/>
      </c>
      <c r="V138" s="13" t="str">
        <f aca="false">IF(AE138=0,"",IF(NOT(LH_Ready),"",SUMIFS(INDEX(LH_Data,0,LH_ColTaken),INDEX(LH_Data,0,LH_ColFirst),$A138,INDEX(LH_Data,0,LH_ColSur),$B138,INDEX(LH_Data,0,LH_ColCat),BonusCat,INDEX(LH_Data,0,LH_ColStart),"&gt;="&amp;AF138)*UnitFactor))</f>
        <v/>
      </c>
      <c r="W138" s="13" t="str">
        <f aca="false">IF(AE138=0,"",IF(NOT(LH_Ready),"",IF(BB138=0,0,INDEX(INDEX(LH_Data,0,LH_ColClose),BB138-1)*UnitFactor)))</f>
        <v/>
      </c>
      <c r="X138" s="13" t="str">
        <f aca="false">IF(AE138=0,"",(AX138-AY138)*HoursPerDay)</f>
        <v/>
      </c>
      <c r="Y138" s="13" t="str">
        <f aca="false">IF(AE138=0,"",IF(NOT(LH_Ready),"",IF(BA138=0,N138,IF(PFYDate&lt;$F138,N138-N(T138)-N(U138),X138-N(U138)))))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 hrs more than policy since commencement",IF(N(W138)&gt;O138*HoursPerDay+0.01,"CHECK - EH balance "&amp;ROUND(W138-O138*HoursPerDay,2)&amp;" hrs more than policy entitlement",IF(O138&gt;0,"OK - nothing to add",IF(AQ138="None",R138,"Not yet - first day on "&amp;TEXT(S138,"dd/mm/yyyy")))))))))</f>
        <v/>
      </c>
      <c r="AB138" s="13" t="str">
        <f aca="false">IF(OR(AE138=0,T138=""),"",AY138*HoursPerDay-T138)</f>
        <v/>
      </c>
      <c r="AC138" s="12" t="str">
        <f aca="false">IF(AE138=0,"",BA138)</f>
        <v/>
      </c>
      <c r="AD138" s="12"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IF(AE138=0,"",IF($J138&lt;&gt;"",$J138,IF(OR(CasualCounts="Yes",COUNT($G138:$I138)=0,COUNT($G138:$H138)=0),$F138,MIN($G138:$H138))))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8"/>
      <c r="B139" s="8"/>
      <c r="C139" s="8"/>
      <c r="D139" s="9"/>
      <c r="E139" s="10" t="str">
        <f aca="false">IF(OR(AE139=0,$D139=""),"",DATE(YEAR(AsOfDate)+IF(DATE(YEAR(AsOfDate),MONTH($D139),DAY($D139))&lt;=AsOfDate,1,0),MONTH($D139),DAY($D139)))</f>
        <v/>
      </c>
      <c r="F139" s="9"/>
      <c r="G139" s="9"/>
      <c r="H139" s="9"/>
      <c r="I139" s="9"/>
      <c r="J139" s="9"/>
      <c r="K139" s="10" t="str">
        <f aca="false">IF(AE139=0,"",DATE(YEAR(AsOfDate)+IF(DATE(YEAR(AsOfDate),MONTH(AF139),DAY(AF139))&lt;=AsOfDate,1,0),MONTH(AF139),DAY(AF139)))</f>
        <v/>
      </c>
      <c r="L139" s="11" t="str">
        <f aca="false">IF(AE139=0,"",ROUND((AsOfDate-AF139)/365.25,1))</f>
        <v/>
      </c>
      <c r="M139" s="12" t="str">
        <f aca="false">IF(AE139=0,"",IF(AsOfDate&lt;AF139,"-",DATEDIF(AF139,AsOfDate,"y")&amp;"y "&amp;DATEDIF(AF139,AsOfDate,"ym")&amp;"m "&amp;DATEDIF(AF139,AsOfDate,"md")&amp;"d"))</f>
        <v/>
      </c>
      <c r="N139" s="13" t="str">
        <f aca="false">IF(AE139=0,"",O139*HoursPerDay)</f>
        <v/>
      </c>
      <c r="O139" s="13" t="str">
        <f aca="false">IF(AE139=0,"",AX139)</f>
        <v/>
      </c>
      <c r="P139" s="14"/>
      <c r="Q139" s="12" t="str">
        <f aca="false">IF(AE139=0,"",IF(AG139&lt;2,"",AK139&amp;" to "&amp;AL139&amp;" on "&amp;TEXT(AI139,"dd/mm/yyyy")&amp;IF(AI139&gt;AsOfDate," (future)",IF(AN139=AO139,"",IF(AO139="None"," - STOPPED accruing",IF(AN139="None"," - commencement for Bonus Leave"," - pathway changed"))))&amp;IF(AG139&lt;3,"","; "&amp;AL139&amp;" to "&amp;AM139&amp;" on "&amp;TEXT(AJ139,"dd/mm/yyyy")&amp;IF(AJ139&gt;AsOfDate," (future)",IF(AO139=AP139,"",IF(AP139="None"," - STOPPED accruing",IF(AO139="None"," - commencement for Bonus Leave","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AE139=0,"",IF(NOT(LH_Ready),"",IF(AF139&gt;PFYDate,0,IF(LH_ColPeriod=0,W139-U139+V139,SUMIFS(INDEX(LH_Data,0,LH_ColAcc),INDEX(LH_Data,0,LH_ColFirst),$A139,INDEX(LH_Data,0,LH_ColSur),$B139,INDEX(LH_Data,0,LH_ColCat),BonusCat,INDEX(LH_Data,0,LH_ColPeriod),LH_OpenLabel)*UnitFactor))))</f>
        <v/>
      </c>
      <c r="U139" s="13" t="str">
        <f aca="false">IF(AE139=0,"",IF(NOT(LH_Ready),"",SUMIFS(INDEX(LH_Data,0,LH_ColAcc),INDEX(LH_Data,0,LH_ColFirst),$A139,INDEX(LH_Data,0,LH_ColSur),$B139,INDEX(LH_Data,0,LH_ColCat),BonusCat,INDEX(LH_Data,0,LH_ColStart),"&gt;="&amp;AF139)*UnitFactor))</f>
        <v/>
      </c>
      <c r="V139" s="13" t="str">
        <f aca="false">IF(AE139=0,"",IF(NOT(LH_Ready),"",SUMIFS(INDEX(LH_Data,0,LH_ColTaken),INDEX(LH_Data,0,LH_ColFirst),$A139,INDEX(LH_Data,0,LH_ColSur),$B139,INDEX(LH_Data,0,LH_ColCat),BonusCat,INDEX(LH_Data,0,LH_ColStart),"&gt;="&amp;AF139)*UnitFactor))</f>
        <v/>
      </c>
      <c r="W139" s="13" t="str">
        <f aca="false">IF(AE139=0,"",IF(NOT(LH_Ready),"",IF(BB139=0,0,INDEX(INDEX(LH_Data,0,LH_ColClose),BB139-1)*UnitFactor)))</f>
        <v/>
      </c>
      <c r="X139" s="13" t="str">
        <f aca="false">IF(AE139=0,"",(AX139-AY139)*HoursPerDay)</f>
        <v/>
      </c>
      <c r="Y139" s="13" t="str">
        <f aca="false">IF(AE139=0,"",IF(NOT(LH_Ready),"",IF(BA139=0,N139,IF(PFYDate&lt;$F139,N139-N(T139)-N(U139),X139-N(U139)))))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 hrs more than policy since commencement",IF(N(W139)&gt;O139*HoursPerDay+0.01,"CHECK - EH balance "&amp;ROUND(W139-O139*HoursPerDay,2)&amp;" hrs more than policy entitlement",IF(O139&gt;0,"OK - nothing to add",IF(AQ139="None",R139,"Not yet - first day on "&amp;TEXT(S139,"dd/mm/yyyy")))))))))</f>
        <v/>
      </c>
      <c r="AB139" s="13" t="str">
        <f aca="false">IF(OR(AE139=0,T139=""),"",AY139*HoursPerDay-T139)</f>
        <v/>
      </c>
      <c r="AC139" s="12" t="str">
        <f aca="false">IF(AE139=0,"",BA139)</f>
        <v/>
      </c>
      <c r="AD139" s="12"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IF(AE139=0,"",IF($J139&lt;&gt;"",$J139,IF(OR(CasualCounts="Yes",COUNT($G139:$I139)=0,COUNT($G139:$H139)=0),$F139,MIN($G139:$H139))))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8"/>
      <c r="B140" s="8"/>
      <c r="C140" s="8"/>
      <c r="D140" s="9"/>
      <c r="E140" s="10" t="str">
        <f aca="false">IF(OR(AE140=0,$D140=""),"",DATE(YEAR(AsOfDate)+IF(DATE(YEAR(AsOfDate),MONTH($D140),DAY($D140))&lt;=AsOfDate,1,0),MONTH($D140),DAY($D140)))</f>
        <v/>
      </c>
      <c r="F140" s="9"/>
      <c r="G140" s="9"/>
      <c r="H140" s="9"/>
      <c r="I140" s="9"/>
      <c r="J140" s="9"/>
      <c r="K140" s="10" t="str">
        <f aca="false">IF(AE140=0,"",DATE(YEAR(AsOfDate)+IF(DATE(YEAR(AsOfDate),MONTH(AF140),DAY(AF140))&lt;=AsOfDate,1,0),MONTH(AF140),DAY(AF140)))</f>
        <v/>
      </c>
      <c r="L140" s="11" t="str">
        <f aca="false">IF(AE140=0,"",ROUND((AsOfDate-AF140)/365.25,1))</f>
        <v/>
      </c>
      <c r="M140" s="12" t="str">
        <f aca="false">IF(AE140=0,"",IF(AsOfDate&lt;AF140,"-",DATEDIF(AF140,AsOfDate,"y")&amp;"y "&amp;DATEDIF(AF140,AsOfDate,"ym")&amp;"m "&amp;DATEDIF(AF140,AsOfDate,"md")&amp;"d"))</f>
        <v/>
      </c>
      <c r="N140" s="13" t="str">
        <f aca="false">IF(AE140=0,"",O140*HoursPerDay)</f>
        <v/>
      </c>
      <c r="O140" s="13" t="str">
        <f aca="false">IF(AE140=0,"",AX140)</f>
        <v/>
      </c>
      <c r="P140" s="14"/>
      <c r="Q140" s="12" t="str">
        <f aca="false">IF(AE140=0,"",IF(AG140&lt;2,"",AK140&amp;" to "&amp;AL140&amp;" on "&amp;TEXT(AI140,"dd/mm/yyyy")&amp;IF(AI140&gt;AsOfDate," (future)",IF(AN140=AO140,"",IF(AO140="None"," - STOPPED accruing",IF(AN140="None"," - commencement for Bonus Leave"," - pathway changed"))))&amp;IF(AG140&lt;3,"","; "&amp;AL140&amp;" to "&amp;AM140&amp;" on "&amp;TEXT(AJ140,"dd/mm/yyyy")&amp;IF(AJ140&gt;AsOfDate," (future)",IF(AO140=AP140,"",IF(AP140="None"," - STOPPED accruing",IF(AO140="None"," - commencement for Bonus Leave","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AE140=0,"",IF(NOT(LH_Ready),"",IF(AF140&gt;PFYDate,0,IF(LH_ColPeriod=0,W140-U140+V140,SUMIFS(INDEX(LH_Data,0,LH_ColAcc),INDEX(LH_Data,0,LH_ColFirst),$A140,INDEX(LH_Data,0,LH_ColSur),$B140,INDEX(LH_Data,0,LH_ColCat),BonusCat,INDEX(LH_Data,0,LH_ColPeriod),LH_OpenLabel)*UnitFactor))))</f>
        <v/>
      </c>
      <c r="U140" s="13" t="str">
        <f aca="false">IF(AE140=0,"",IF(NOT(LH_Ready),"",SUMIFS(INDEX(LH_Data,0,LH_ColAcc),INDEX(LH_Data,0,LH_ColFirst),$A140,INDEX(LH_Data,0,LH_ColSur),$B140,INDEX(LH_Data,0,LH_ColCat),BonusCat,INDEX(LH_Data,0,LH_ColStart),"&gt;="&amp;AF140)*UnitFactor))</f>
        <v/>
      </c>
      <c r="V140" s="13" t="str">
        <f aca="false">IF(AE140=0,"",IF(NOT(LH_Ready),"",SUMIFS(INDEX(LH_Data,0,LH_ColTaken),INDEX(LH_Data,0,LH_ColFirst),$A140,INDEX(LH_Data,0,LH_ColSur),$B140,INDEX(LH_Data,0,LH_ColCat),BonusCat,INDEX(LH_Data,0,LH_ColStart),"&gt;="&amp;AF140)*UnitFactor))</f>
        <v/>
      </c>
      <c r="W140" s="13" t="str">
        <f aca="false">IF(AE140=0,"",IF(NOT(LH_Ready),"",IF(BB140=0,0,INDEX(INDEX(LH_Data,0,LH_ColClose),BB140-1)*UnitFactor)))</f>
        <v/>
      </c>
      <c r="X140" s="13" t="str">
        <f aca="false">IF(AE140=0,"",(AX140-AY140)*HoursPerDay)</f>
        <v/>
      </c>
      <c r="Y140" s="13" t="str">
        <f aca="false">IF(AE140=0,"",IF(NOT(LH_Ready),"",IF(BA140=0,N140,IF(PFYDate&lt;$F140,N140-N(T140)-N(U140),X140-N(U140)))))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 hrs more than policy since commencement",IF(N(W140)&gt;O140*HoursPerDay+0.01,"CHECK - EH balance "&amp;ROUND(W140-O140*HoursPerDay,2)&amp;" hrs more than policy entitlement",IF(O140&gt;0,"OK - nothing to add",IF(AQ140="None",R140,"Not yet - first day on "&amp;TEXT(S140,"dd/mm/yyyy")))))))))</f>
        <v/>
      </c>
      <c r="AB140" s="13" t="str">
        <f aca="false">IF(OR(AE140=0,T140=""),"",AY140*HoursPerDay-T140)</f>
        <v/>
      </c>
      <c r="AC140" s="12" t="str">
        <f aca="false">IF(AE140=0,"",BA140)</f>
        <v/>
      </c>
      <c r="AD140" s="12"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IF(AE140=0,"",IF($J140&lt;&gt;"",$J140,IF(OR(CasualCounts="Yes",COUNT($G140:$I140)=0,COUNT($G140:$H140)=0),$F140,MIN($G140:$H140))))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8"/>
      <c r="B141" s="8"/>
      <c r="C141" s="8"/>
      <c r="D141" s="9"/>
      <c r="E141" s="10" t="str">
        <f aca="false">IF(OR(AE141=0,$D141=""),"",DATE(YEAR(AsOfDate)+IF(DATE(YEAR(AsOfDate),MONTH($D141),DAY($D141))&lt;=AsOfDate,1,0),MONTH($D141),DAY($D141)))</f>
        <v/>
      </c>
      <c r="F141" s="9"/>
      <c r="G141" s="9"/>
      <c r="H141" s="9"/>
      <c r="I141" s="9"/>
      <c r="J141" s="9"/>
      <c r="K141" s="10" t="str">
        <f aca="false">IF(AE141=0,"",DATE(YEAR(AsOfDate)+IF(DATE(YEAR(AsOfDate),MONTH(AF141),DAY(AF141))&lt;=AsOfDate,1,0),MONTH(AF141),DAY(AF141)))</f>
        <v/>
      </c>
      <c r="L141" s="11" t="str">
        <f aca="false">IF(AE141=0,"",ROUND((AsOfDate-AF141)/365.25,1))</f>
        <v/>
      </c>
      <c r="M141" s="12" t="str">
        <f aca="false">IF(AE141=0,"",IF(AsOfDate&lt;AF141,"-",DATEDIF(AF141,AsOfDate,"y")&amp;"y "&amp;DATEDIF(AF141,AsOfDate,"ym")&amp;"m "&amp;DATEDIF(AF141,AsOfDate,"md")&amp;"d"))</f>
        <v/>
      </c>
      <c r="N141" s="13" t="str">
        <f aca="false">IF(AE141=0,"",O141*HoursPerDay)</f>
        <v/>
      </c>
      <c r="O141" s="13" t="str">
        <f aca="false">IF(AE141=0,"",AX141)</f>
        <v/>
      </c>
      <c r="P141" s="14"/>
      <c r="Q141" s="12" t="str">
        <f aca="false">IF(AE141=0,"",IF(AG141&lt;2,"",AK141&amp;" to "&amp;AL141&amp;" on "&amp;TEXT(AI141,"dd/mm/yyyy")&amp;IF(AI141&gt;AsOfDate," (future)",IF(AN141=AO141,"",IF(AO141="None"," - STOPPED accruing",IF(AN141="None"," - commencement for Bonus Leave"," - pathway changed"))))&amp;IF(AG141&lt;3,"","; "&amp;AL141&amp;" to "&amp;AM141&amp;" on "&amp;TEXT(AJ141,"dd/mm/yyyy")&amp;IF(AJ141&gt;AsOfDate," (future)",IF(AO141=AP141,"",IF(AP141="None"," - STOPPED accruing",IF(AO141="None"," - commencement for Bonus Leave","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AE141=0,"",IF(NOT(LH_Ready),"",IF(AF141&gt;PFYDate,0,IF(LH_ColPeriod=0,W141-U141+V141,SUMIFS(INDEX(LH_Data,0,LH_ColAcc),INDEX(LH_Data,0,LH_ColFirst),$A141,INDEX(LH_Data,0,LH_ColSur),$B141,INDEX(LH_Data,0,LH_ColCat),BonusCat,INDEX(LH_Data,0,LH_ColPeriod),LH_OpenLabel)*UnitFactor))))</f>
        <v/>
      </c>
      <c r="U141" s="13" t="str">
        <f aca="false">IF(AE141=0,"",IF(NOT(LH_Ready),"",SUMIFS(INDEX(LH_Data,0,LH_ColAcc),INDEX(LH_Data,0,LH_ColFirst),$A141,INDEX(LH_Data,0,LH_ColSur),$B141,INDEX(LH_Data,0,LH_ColCat),BonusCat,INDEX(LH_Data,0,LH_ColStart),"&gt;="&amp;AF141)*UnitFactor))</f>
        <v/>
      </c>
      <c r="V141" s="13" t="str">
        <f aca="false">IF(AE141=0,"",IF(NOT(LH_Ready),"",SUMIFS(INDEX(LH_Data,0,LH_ColTaken),INDEX(LH_Data,0,LH_ColFirst),$A141,INDEX(LH_Data,0,LH_ColSur),$B141,INDEX(LH_Data,0,LH_ColCat),BonusCat,INDEX(LH_Data,0,LH_ColStart),"&gt;="&amp;AF141)*UnitFactor))</f>
        <v/>
      </c>
      <c r="W141" s="13" t="str">
        <f aca="false">IF(AE141=0,"",IF(NOT(LH_Ready),"",IF(BB141=0,0,INDEX(INDEX(LH_Data,0,LH_ColClose),BB141-1)*UnitFactor)))</f>
        <v/>
      </c>
      <c r="X141" s="13" t="str">
        <f aca="false">IF(AE141=0,"",(AX141-AY141)*HoursPerDay)</f>
        <v/>
      </c>
      <c r="Y141" s="13" t="str">
        <f aca="false">IF(AE141=0,"",IF(NOT(LH_Ready),"",IF(BA141=0,N141,IF(PFYDate&lt;$F141,N141-N(T141)-N(U141),X141-N(U141)))))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 hrs more than policy since commencement",IF(N(W141)&gt;O141*HoursPerDay+0.01,"CHECK - EH balance "&amp;ROUND(W141-O141*HoursPerDay,2)&amp;" hrs more than policy entitlement",IF(O141&gt;0,"OK - nothing to add",IF(AQ141="None",R141,"Not yet - first day on "&amp;TEXT(S141,"dd/mm/yyyy")))))))))</f>
        <v/>
      </c>
      <c r="AB141" s="13" t="str">
        <f aca="false">IF(OR(AE141=0,T141=""),"",AY141*HoursPerDay-T141)</f>
        <v/>
      </c>
      <c r="AC141" s="12" t="str">
        <f aca="false">IF(AE141=0,"",BA141)</f>
        <v/>
      </c>
      <c r="AD141" s="12"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IF(AE141=0,"",IF($J141&lt;&gt;"",$J141,IF(OR(CasualCounts="Yes",COUNT($G141:$I141)=0,COUNT($G141:$H141)=0),$F141,MIN($G141:$H141))))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8"/>
      <c r="B142" s="8"/>
      <c r="C142" s="8"/>
      <c r="D142" s="9"/>
      <c r="E142" s="10" t="str">
        <f aca="false">IF(OR(AE142=0,$D142=""),"",DATE(YEAR(AsOfDate)+IF(DATE(YEAR(AsOfDate),MONTH($D142),DAY($D142))&lt;=AsOfDate,1,0),MONTH($D142),DAY($D142)))</f>
        <v/>
      </c>
      <c r="F142" s="9"/>
      <c r="G142" s="9"/>
      <c r="H142" s="9"/>
      <c r="I142" s="9"/>
      <c r="J142" s="9"/>
      <c r="K142" s="10" t="str">
        <f aca="false">IF(AE142=0,"",DATE(YEAR(AsOfDate)+IF(DATE(YEAR(AsOfDate),MONTH(AF142),DAY(AF142))&lt;=AsOfDate,1,0),MONTH(AF142),DAY(AF142)))</f>
        <v/>
      </c>
      <c r="L142" s="11" t="str">
        <f aca="false">IF(AE142=0,"",ROUND((AsOfDate-AF142)/365.25,1))</f>
        <v/>
      </c>
      <c r="M142" s="12" t="str">
        <f aca="false">IF(AE142=0,"",IF(AsOfDate&lt;AF142,"-",DATEDIF(AF142,AsOfDate,"y")&amp;"y "&amp;DATEDIF(AF142,AsOfDate,"ym")&amp;"m "&amp;DATEDIF(AF142,AsOfDate,"md")&amp;"d"))</f>
        <v/>
      </c>
      <c r="N142" s="13" t="str">
        <f aca="false">IF(AE142=0,"",O142*HoursPerDay)</f>
        <v/>
      </c>
      <c r="O142" s="13" t="str">
        <f aca="false">IF(AE142=0,"",AX142)</f>
        <v/>
      </c>
      <c r="P142" s="14"/>
      <c r="Q142" s="12" t="str">
        <f aca="false">IF(AE142=0,"",IF(AG142&lt;2,"",AK142&amp;" to "&amp;AL142&amp;" on "&amp;TEXT(AI142,"dd/mm/yyyy")&amp;IF(AI142&gt;AsOfDate," (future)",IF(AN142=AO142,"",IF(AO142="None"," - STOPPED accruing",IF(AN142="None"," - commencement for Bonus Leave"," - pathway changed"))))&amp;IF(AG142&lt;3,"","; "&amp;AL142&amp;" to "&amp;AM142&amp;" on "&amp;TEXT(AJ142,"dd/mm/yyyy")&amp;IF(AJ142&gt;AsOfDate," (future)",IF(AO142=AP142,"",IF(AP142="None"," - STOPPED accruing",IF(AO142="None"," - commencement for Bonus Leave","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AE142=0,"",IF(NOT(LH_Ready),"",IF(AF142&gt;PFYDate,0,IF(LH_ColPeriod=0,W142-U142+V142,SUMIFS(INDEX(LH_Data,0,LH_ColAcc),INDEX(LH_Data,0,LH_ColFirst),$A142,INDEX(LH_Data,0,LH_ColSur),$B142,INDEX(LH_Data,0,LH_ColCat),BonusCat,INDEX(LH_Data,0,LH_ColPeriod),LH_OpenLabel)*UnitFactor))))</f>
        <v/>
      </c>
      <c r="U142" s="13" t="str">
        <f aca="false">IF(AE142=0,"",IF(NOT(LH_Ready),"",SUMIFS(INDEX(LH_Data,0,LH_ColAcc),INDEX(LH_Data,0,LH_ColFirst),$A142,INDEX(LH_Data,0,LH_ColSur),$B142,INDEX(LH_Data,0,LH_ColCat),BonusCat,INDEX(LH_Data,0,LH_ColStart),"&gt;="&amp;AF142)*UnitFactor))</f>
        <v/>
      </c>
      <c r="V142" s="13" t="str">
        <f aca="false">IF(AE142=0,"",IF(NOT(LH_Ready),"",SUMIFS(INDEX(LH_Data,0,LH_ColTaken),INDEX(LH_Data,0,LH_ColFirst),$A142,INDEX(LH_Data,0,LH_ColSur),$B142,INDEX(LH_Data,0,LH_ColCat),BonusCat,INDEX(LH_Data,0,LH_ColStart),"&gt;="&amp;AF142)*UnitFactor))</f>
        <v/>
      </c>
      <c r="W142" s="13" t="str">
        <f aca="false">IF(AE142=0,"",IF(NOT(LH_Ready),"",IF(BB142=0,0,INDEX(INDEX(LH_Data,0,LH_ColClose),BB142-1)*UnitFactor)))</f>
        <v/>
      </c>
      <c r="X142" s="13" t="str">
        <f aca="false">IF(AE142=0,"",(AX142-AY142)*HoursPerDay)</f>
        <v/>
      </c>
      <c r="Y142" s="13" t="str">
        <f aca="false">IF(AE142=0,"",IF(NOT(LH_Ready),"",IF(BA142=0,N142,IF(PFYDate&lt;$F142,N142-N(T142)-N(U142),X142-N(U142)))))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 hrs more than policy since commencement",IF(N(W142)&gt;O142*HoursPerDay+0.01,"CHECK - EH balance "&amp;ROUND(W142-O142*HoursPerDay,2)&amp;" hrs more than policy entitlement",IF(O142&gt;0,"OK - nothing to add",IF(AQ142="None",R142,"Not yet - first day on "&amp;TEXT(S142,"dd/mm/yyyy")))))))))</f>
        <v/>
      </c>
      <c r="AB142" s="13" t="str">
        <f aca="false">IF(OR(AE142=0,T142=""),"",AY142*HoursPerDay-T142)</f>
        <v/>
      </c>
      <c r="AC142" s="12" t="str">
        <f aca="false">IF(AE142=0,"",BA142)</f>
        <v/>
      </c>
      <c r="AD142" s="12"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IF(AE142=0,"",IF($J142&lt;&gt;"",$J142,IF(OR(CasualCounts="Yes",COUNT($G142:$I142)=0,COUNT($G142:$H142)=0),$F142,MIN($G142:$H142))))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8"/>
      <c r="B143" s="8"/>
      <c r="C143" s="8"/>
      <c r="D143" s="9"/>
      <c r="E143" s="10" t="str">
        <f aca="false">IF(OR(AE143=0,$D143=""),"",DATE(YEAR(AsOfDate)+IF(DATE(YEAR(AsOfDate),MONTH($D143),DAY($D143))&lt;=AsOfDate,1,0),MONTH($D143),DAY($D143)))</f>
        <v/>
      </c>
      <c r="F143" s="9"/>
      <c r="G143" s="9"/>
      <c r="H143" s="9"/>
      <c r="I143" s="9"/>
      <c r="J143" s="9"/>
      <c r="K143" s="10" t="str">
        <f aca="false">IF(AE143=0,"",DATE(YEAR(AsOfDate)+IF(DATE(YEAR(AsOfDate),MONTH(AF143),DAY(AF143))&lt;=AsOfDate,1,0),MONTH(AF143),DAY(AF143)))</f>
        <v/>
      </c>
      <c r="L143" s="11" t="str">
        <f aca="false">IF(AE143=0,"",ROUND((AsOfDate-AF143)/365.25,1))</f>
        <v/>
      </c>
      <c r="M143" s="12" t="str">
        <f aca="false">IF(AE143=0,"",IF(AsOfDate&lt;AF143,"-",DATEDIF(AF143,AsOfDate,"y")&amp;"y "&amp;DATEDIF(AF143,AsOfDate,"ym")&amp;"m "&amp;DATEDIF(AF143,AsOfDate,"md")&amp;"d"))</f>
        <v/>
      </c>
      <c r="N143" s="13" t="str">
        <f aca="false">IF(AE143=0,"",O143*HoursPerDay)</f>
        <v/>
      </c>
      <c r="O143" s="13" t="str">
        <f aca="false">IF(AE143=0,"",AX143)</f>
        <v/>
      </c>
      <c r="P143" s="14"/>
      <c r="Q143" s="12" t="str">
        <f aca="false">IF(AE143=0,"",IF(AG143&lt;2,"",AK143&amp;" to "&amp;AL143&amp;" on "&amp;TEXT(AI143,"dd/mm/yyyy")&amp;IF(AI143&gt;AsOfDate," (future)",IF(AN143=AO143,"",IF(AO143="None"," - STOPPED accruing",IF(AN143="None"," - commencement for Bonus Leave"," - pathway changed"))))&amp;IF(AG143&lt;3,"","; "&amp;AL143&amp;" to "&amp;AM143&amp;" on "&amp;TEXT(AJ143,"dd/mm/yyyy")&amp;IF(AJ143&gt;AsOfDate," (future)",IF(AO143=AP143,"",IF(AP143="None"," - STOPPED accruing",IF(AO143="None"," - commencement for Bonus Leave","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AE143=0,"",IF(NOT(LH_Ready),"",IF(AF143&gt;PFYDate,0,IF(LH_ColPeriod=0,W143-U143+V143,SUMIFS(INDEX(LH_Data,0,LH_ColAcc),INDEX(LH_Data,0,LH_ColFirst),$A143,INDEX(LH_Data,0,LH_ColSur),$B143,INDEX(LH_Data,0,LH_ColCat),BonusCat,INDEX(LH_Data,0,LH_ColPeriod),LH_OpenLabel)*UnitFactor))))</f>
        <v/>
      </c>
      <c r="U143" s="13" t="str">
        <f aca="false">IF(AE143=0,"",IF(NOT(LH_Ready),"",SUMIFS(INDEX(LH_Data,0,LH_ColAcc),INDEX(LH_Data,0,LH_ColFirst),$A143,INDEX(LH_Data,0,LH_ColSur),$B143,INDEX(LH_Data,0,LH_ColCat),BonusCat,INDEX(LH_Data,0,LH_ColStart),"&gt;="&amp;AF143)*UnitFactor))</f>
        <v/>
      </c>
      <c r="V143" s="13" t="str">
        <f aca="false">IF(AE143=0,"",IF(NOT(LH_Ready),"",SUMIFS(INDEX(LH_Data,0,LH_ColTaken),INDEX(LH_Data,0,LH_ColFirst),$A143,INDEX(LH_Data,0,LH_ColSur),$B143,INDEX(LH_Data,0,LH_ColCat),BonusCat,INDEX(LH_Data,0,LH_ColStart),"&gt;="&amp;AF143)*UnitFactor))</f>
        <v/>
      </c>
      <c r="W143" s="13" t="str">
        <f aca="false">IF(AE143=0,"",IF(NOT(LH_Ready),"",IF(BB143=0,0,INDEX(INDEX(LH_Data,0,LH_ColClose),BB143-1)*UnitFactor)))</f>
        <v/>
      </c>
      <c r="X143" s="13" t="str">
        <f aca="false">IF(AE143=0,"",(AX143-AY143)*HoursPerDay)</f>
        <v/>
      </c>
      <c r="Y143" s="13" t="str">
        <f aca="false">IF(AE143=0,"",IF(NOT(LH_Ready),"",IF(BA143=0,N143,IF(PFYDate&lt;$F143,N143-N(T143)-N(U143),X143-N(U143)))))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 hrs more than policy since commencement",IF(N(W143)&gt;O143*HoursPerDay+0.01,"CHECK - EH balance "&amp;ROUND(W143-O143*HoursPerDay,2)&amp;" hrs more than policy entitlement",IF(O143&gt;0,"OK - nothing to add",IF(AQ143="None",R143,"Not yet - first day on "&amp;TEXT(S143,"dd/mm/yyyy")))))))))</f>
        <v/>
      </c>
      <c r="AB143" s="13" t="str">
        <f aca="false">IF(OR(AE143=0,T143=""),"",AY143*HoursPerDay-T143)</f>
        <v/>
      </c>
      <c r="AC143" s="12" t="str">
        <f aca="false">IF(AE143=0,"",BA143)</f>
        <v/>
      </c>
      <c r="AD143" s="12"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IF(AE143=0,"",IF($J143&lt;&gt;"",$J143,IF(OR(CasualCounts="Yes",COUNT($G143:$I143)=0,COUNT($G143:$H143)=0),$F143,MIN($G143:$H143))))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8"/>
      <c r="B144" s="8"/>
      <c r="C144" s="8"/>
      <c r="D144" s="9"/>
      <c r="E144" s="10" t="str">
        <f aca="false">IF(OR(AE144=0,$D144=""),"",DATE(YEAR(AsOfDate)+IF(DATE(YEAR(AsOfDate),MONTH($D144),DAY($D144))&lt;=AsOfDate,1,0),MONTH($D144),DAY($D144)))</f>
        <v/>
      </c>
      <c r="F144" s="9"/>
      <c r="G144" s="9"/>
      <c r="H144" s="9"/>
      <c r="I144" s="9"/>
      <c r="J144" s="9"/>
      <c r="K144" s="10" t="str">
        <f aca="false">IF(AE144=0,"",DATE(YEAR(AsOfDate)+IF(DATE(YEAR(AsOfDate),MONTH(AF144),DAY(AF144))&lt;=AsOfDate,1,0),MONTH(AF144),DAY(AF144)))</f>
        <v/>
      </c>
      <c r="L144" s="11" t="str">
        <f aca="false">IF(AE144=0,"",ROUND((AsOfDate-AF144)/365.25,1))</f>
        <v/>
      </c>
      <c r="M144" s="12" t="str">
        <f aca="false">IF(AE144=0,"",IF(AsOfDate&lt;AF144,"-",DATEDIF(AF144,AsOfDate,"y")&amp;"y "&amp;DATEDIF(AF144,AsOfDate,"ym")&amp;"m "&amp;DATEDIF(AF144,AsOfDate,"md")&amp;"d"))</f>
        <v/>
      </c>
      <c r="N144" s="13" t="str">
        <f aca="false">IF(AE144=0,"",O144*HoursPerDay)</f>
        <v/>
      </c>
      <c r="O144" s="13" t="str">
        <f aca="false">IF(AE144=0,"",AX144)</f>
        <v/>
      </c>
      <c r="P144" s="14"/>
      <c r="Q144" s="12" t="str">
        <f aca="false">IF(AE144=0,"",IF(AG144&lt;2,"",AK144&amp;" to "&amp;AL144&amp;" on "&amp;TEXT(AI144,"dd/mm/yyyy")&amp;IF(AI144&gt;AsOfDate," (future)",IF(AN144=AO144,"",IF(AO144="None"," - STOPPED accruing",IF(AN144="None"," - commencement for Bonus Leave"," - pathway changed"))))&amp;IF(AG144&lt;3,"","; "&amp;AL144&amp;" to "&amp;AM144&amp;" on "&amp;TEXT(AJ144,"dd/mm/yyyy")&amp;IF(AJ144&gt;AsOfDate," (future)",IF(AO144=AP144,"",IF(AP144="None"," - STOPPED accruing",IF(AO144="None"," - commencement for Bonus Leave","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AE144=0,"",IF(NOT(LH_Ready),"",IF(AF144&gt;PFYDate,0,IF(LH_ColPeriod=0,W144-U144+V144,SUMIFS(INDEX(LH_Data,0,LH_ColAcc),INDEX(LH_Data,0,LH_ColFirst),$A144,INDEX(LH_Data,0,LH_ColSur),$B144,INDEX(LH_Data,0,LH_ColCat),BonusCat,INDEX(LH_Data,0,LH_ColPeriod),LH_OpenLabel)*UnitFactor))))</f>
        <v/>
      </c>
      <c r="U144" s="13" t="str">
        <f aca="false">IF(AE144=0,"",IF(NOT(LH_Ready),"",SUMIFS(INDEX(LH_Data,0,LH_ColAcc),INDEX(LH_Data,0,LH_ColFirst),$A144,INDEX(LH_Data,0,LH_ColSur),$B144,INDEX(LH_Data,0,LH_ColCat),BonusCat,INDEX(LH_Data,0,LH_ColStart),"&gt;="&amp;AF144)*UnitFactor))</f>
        <v/>
      </c>
      <c r="V144" s="13" t="str">
        <f aca="false">IF(AE144=0,"",IF(NOT(LH_Ready),"",SUMIFS(INDEX(LH_Data,0,LH_ColTaken),INDEX(LH_Data,0,LH_ColFirst),$A144,INDEX(LH_Data,0,LH_ColSur),$B144,INDEX(LH_Data,0,LH_ColCat),BonusCat,INDEX(LH_Data,0,LH_ColStart),"&gt;="&amp;AF144)*UnitFactor))</f>
        <v/>
      </c>
      <c r="W144" s="13" t="str">
        <f aca="false">IF(AE144=0,"",IF(NOT(LH_Ready),"",IF(BB144=0,0,INDEX(INDEX(LH_Data,0,LH_ColClose),BB144-1)*UnitFactor)))</f>
        <v/>
      </c>
      <c r="X144" s="13" t="str">
        <f aca="false">IF(AE144=0,"",(AX144-AY144)*HoursPerDay)</f>
        <v/>
      </c>
      <c r="Y144" s="13" t="str">
        <f aca="false">IF(AE144=0,"",IF(NOT(LH_Ready),"",IF(BA144=0,N144,IF(PFYDate&lt;$F144,N144-N(T144)-N(U144),X144-N(U144)))))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 hrs more than policy since commencement",IF(N(W144)&gt;O144*HoursPerDay+0.01,"CHECK - EH balance "&amp;ROUND(W144-O144*HoursPerDay,2)&amp;" hrs more than policy entitlement",IF(O144&gt;0,"OK - nothing to add",IF(AQ144="None",R144,"Not yet - first day on "&amp;TEXT(S144,"dd/mm/yyyy")))))))))</f>
        <v/>
      </c>
      <c r="AB144" s="13" t="str">
        <f aca="false">IF(OR(AE144=0,T144=""),"",AY144*HoursPerDay-T144)</f>
        <v/>
      </c>
      <c r="AC144" s="12" t="str">
        <f aca="false">IF(AE144=0,"",BA144)</f>
        <v/>
      </c>
      <c r="AD144" s="12"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IF(AE144=0,"",IF($J144&lt;&gt;"",$J144,IF(OR(CasualCounts="Yes",COUNT($G144:$I144)=0,COUNT($G144:$H144)=0),$F144,MIN($G144:$H144))))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8"/>
      <c r="B145" s="8"/>
      <c r="C145" s="8"/>
      <c r="D145" s="9"/>
      <c r="E145" s="10" t="str">
        <f aca="false">IF(OR(AE145=0,$D145=""),"",DATE(YEAR(AsOfDate)+IF(DATE(YEAR(AsOfDate),MONTH($D145),DAY($D145))&lt;=AsOfDate,1,0),MONTH($D145),DAY($D145)))</f>
        <v/>
      </c>
      <c r="F145" s="9"/>
      <c r="G145" s="9"/>
      <c r="H145" s="9"/>
      <c r="I145" s="9"/>
      <c r="J145" s="9"/>
      <c r="K145" s="10" t="str">
        <f aca="false">IF(AE145=0,"",DATE(YEAR(AsOfDate)+IF(DATE(YEAR(AsOfDate),MONTH(AF145),DAY(AF145))&lt;=AsOfDate,1,0),MONTH(AF145),DAY(AF145)))</f>
        <v/>
      </c>
      <c r="L145" s="11" t="str">
        <f aca="false">IF(AE145=0,"",ROUND((AsOfDate-AF145)/365.25,1))</f>
        <v/>
      </c>
      <c r="M145" s="12" t="str">
        <f aca="false">IF(AE145=0,"",IF(AsOfDate&lt;AF145,"-",DATEDIF(AF145,AsOfDate,"y")&amp;"y "&amp;DATEDIF(AF145,AsOfDate,"ym")&amp;"m "&amp;DATEDIF(AF145,AsOfDate,"md")&amp;"d"))</f>
        <v/>
      </c>
      <c r="N145" s="13" t="str">
        <f aca="false">IF(AE145=0,"",O145*HoursPerDay)</f>
        <v/>
      </c>
      <c r="O145" s="13" t="str">
        <f aca="false">IF(AE145=0,"",AX145)</f>
        <v/>
      </c>
      <c r="P145" s="14"/>
      <c r="Q145" s="12" t="str">
        <f aca="false">IF(AE145=0,"",IF(AG145&lt;2,"",AK145&amp;" to "&amp;AL145&amp;" on "&amp;TEXT(AI145,"dd/mm/yyyy")&amp;IF(AI145&gt;AsOfDate," (future)",IF(AN145=AO145,"",IF(AO145="None"," - STOPPED accruing",IF(AN145="None"," - commencement for Bonus Leave"," - pathway changed"))))&amp;IF(AG145&lt;3,"","; "&amp;AL145&amp;" to "&amp;AM145&amp;" on "&amp;TEXT(AJ145,"dd/mm/yyyy")&amp;IF(AJ145&gt;AsOfDate," (future)",IF(AO145=AP145,"",IF(AP145="None"," - STOPPED accruing",IF(AO145="None"," - commencement for Bonus Leave","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AE145=0,"",IF(NOT(LH_Ready),"",IF(AF145&gt;PFYDate,0,IF(LH_ColPeriod=0,W145-U145+V145,SUMIFS(INDEX(LH_Data,0,LH_ColAcc),INDEX(LH_Data,0,LH_ColFirst),$A145,INDEX(LH_Data,0,LH_ColSur),$B145,INDEX(LH_Data,0,LH_ColCat),BonusCat,INDEX(LH_Data,0,LH_ColPeriod),LH_OpenLabel)*UnitFactor))))</f>
        <v/>
      </c>
      <c r="U145" s="13" t="str">
        <f aca="false">IF(AE145=0,"",IF(NOT(LH_Ready),"",SUMIFS(INDEX(LH_Data,0,LH_ColAcc),INDEX(LH_Data,0,LH_ColFirst),$A145,INDEX(LH_Data,0,LH_ColSur),$B145,INDEX(LH_Data,0,LH_ColCat),BonusCat,INDEX(LH_Data,0,LH_ColStart),"&gt;="&amp;AF145)*UnitFactor))</f>
        <v/>
      </c>
      <c r="V145" s="13" t="str">
        <f aca="false">IF(AE145=0,"",IF(NOT(LH_Ready),"",SUMIFS(INDEX(LH_Data,0,LH_ColTaken),INDEX(LH_Data,0,LH_ColFirst),$A145,INDEX(LH_Data,0,LH_ColSur),$B145,INDEX(LH_Data,0,LH_ColCat),BonusCat,INDEX(LH_Data,0,LH_ColStart),"&gt;="&amp;AF145)*UnitFactor))</f>
        <v/>
      </c>
      <c r="W145" s="13" t="str">
        <f aca="false">IF(AE145=0,"",IF(NOT(LH_Ready),"",IF(BB145=0,0,INDEX(INDEX(LH_Data,0,LH_ColClose),BB145-1)*UnitFactor)))</f>
        <v/>
      </c>
      <c r="X145" s="13" t="str">
        <f aca="false">IF(AE145=0,"",(AX145-AY145)*HoursPerDay)</f>
        <v/>
      </c>
      <c r="Y145" s="13" t="str">
        <f aca="false">IF(AE145=0,"",IF(NOT(LH_Ready),"",IF(BA145=0,N145,IF(PFYDate&lt;$F145,N145-N(T145)-N(U145),X145-N(U145)))))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 hrs more than policy since commencement",IF(N(W145)&gt;O145*HoursPerDay+0.01,"CHECK - EH balance "&amp;ROUND(W145-O145*HoursPerDay,2)&amp;" hrs more than policy entitlement",IF(O145&gt;0,"OK - nothing to add",IF(AQ145="None",R145,"Not yet - first day on "&amp;TEXT(S145,"dd/mm/yyyy")))))))))</f>
        <v/>
      </c>
      <c r="AB145" s="13" t="str">
        <f aca="false">IF(OR(AE145=0,T145=""),"",AY145*HoursPerDay-T145)</f>
        <v/>
      </c>
      <c r="AC145" s="12" t="str">
        <f aca="false">IF(AE145=0,"",BA145)</f>
        <v/>
      </c>
      <c r="AD145" s="12"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IF(AE145=0,"",IF($J145&lt;&gt;"",$J145,IF(OR(CasualCounts="Yes",COUNT($G145:$I145)=0,COUNT($G145:$H145)=0),$F145,MIN($G145:$H145))))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8"/>
      <c r="B146" s="8"/>
      <c r="C146" s="8"/>
      <c r="D146" s="9"/>
      <c r="E146" s="10" t="str">
        <f aca="false">IF(OR(AE146=0,$D146=""),"",DATE(YEAR(AsOfDate)+IF(DATE(YEAR(AsOfDate),MONTH($D146),DAY($D146))&lt;=AsOfDate,1,0),MONTH($D146),DAY($D146)))</f>
        <v/>
      </c>
      <c r="F146" s="9"/>
      <c r="G146" s="9"/>
      <c r="H146" s="9"/>
      <c r="I146" s="9"/>
      <c r="J146" s="9"/>
      <c r="K146" s="10" t="str">
        <f aca="false">IF(AE146=0,"",DATE(YEAR(AsOfDate)+IF(DATE(YEAR(AsOfDate),MONTH(AF146),DAY(AF146))&lt;=AsOfDate,1,0),MONTH(AF146),DAY(AF146)))</f>
        <v/>
      </c>
      <c r="L146" s="11" t="str">
        <f aca="false">IF(AE146=0,"",ROUND((AsOfDate-AF146)/365.25,1))</f>
        <v/>
      </c>
      <c r="M146" s="12" t="str">
        <f aca="false">IF(AE146=0,"",IF(AsOfDate&lt;AF146,"-",DATEDIF(AF146,AsOfDate,"y")&amp;"y "&amp;DATEDIF(AF146,AsOfDate,"ym")&amp;"m "&amp;DATEDIF(AF146,AsOfDate,"md")&amp;"d"))</f>
        <v/>
      </c>
      <c r="N146" s="13" t="str">
        <f aca="false">IF(AE146=0,"",O146*HoursPerDay)</f>
        <v/>
      </c>
      <c r="O146" s="13" t="str">
        <f aca="false">IF(AE146=0,"",AX146)</f>
        <v/>
      </c>
      <c r="P146" s="14"/>
      <c r="Q146" s="12" t="str">
        <f aca="false">IF(AE146=0,"",IF(AG146&lt;2,"",AK146&amp;" to "&amp;AL146&amp;" on "&amp;TEXT(AI146,"dd/mm/yyyy")&amp;IF(AI146&gt;AsOfDate," (future)",IF(AN146=AO146,"",IF(AO146="None"," - STOPPED accruing",IF(AN146="None"," - commencement for Bonus Leave"," - pathway changed"))))&amp;IF(AG146&lt;3,"","; "&amp;AL146&amp;" to "&amp;AM146&amp;" on "&amp;TEXT(AJ146,"dd/mm/yyyy")&amp;IF(AJ146&gt;AsOfDate," (future)",IF(AO146=AP146,"",IF(AP146="None"," - STOPPED accruing",IF(AO146="None"," - commencement for Bonus Leave","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AE146=0,"",IF(NOT(LH_Ready),"",IF(AF146&gt;PFYDate,0,IF(LH_ColPeriod=0,W146-U146+V146,SUMIFS(INDEX(LH_Data,0,LH_ColAcc),INDEX(LH_Data,0,LH_ColFirst),$A146,INDEX(LH_Data,0,LH_ColSur),$B146,INDEX(LH_Data,0,LH_ColCat),BonusCat,INDEX(LH_Data,0,LH_ColPeriod),LH_OpenLabel)*UnitFactor))))</f>
        <v/>
      </c>
      <c r="U146" s="13" t="str">
        <f aca="false">IF(AE146=0,"",IF(NOT(LH_Ready),"",SUMIFS(INDEX(LH_Data,0,LH_ColAcc),INDEX(LH_Data,0,LH_ColFirst),$A146,INDEX(LH_Data,0,LH_ColSur),$B146,INDEX(LH_Data,0,LH_ColCat),BonusCat,INDEX(LH_Data,0,LH_ColStart),"&gt;="&amp;AF146)*UnitFactor))</f>
        <v/>
      </c>
      <c r="V146" s="13" t="str">
        <f aca="false">IF(AE146=0,"",IF(NOT(LH_Ready),"",SUMIFS(INDEX(LH_Data,0,LH_ColTaken),INDEX(LH_Data,0,LH_ColFirst),$A146,INDEX(LH_Data,0,LH_ColSur),$B146,INDEX(LH_Data,0,LH_ColCat),BonusCat,INDEX(LH_Data,0,LH_ColStart),"&gt;="&amp;AF146)*UnitFactor))</f>
        <v/>
      </c>
      <c r="W146" s="13" t="str">
        <f aca="false">IF(AE146=0,"",IF(NOT(LH_Ready),"",IF(BB146=0,0,INDEX(INDEX(LH_Data,0,LH_ColClose),BB146-1)*UnitFactor)))</f>
        <v/>
      </c>
      <c r="X146" s="13" t="str">
        <f aca="false">IF(AE146=0,"",(AX146-AY146)*HoursPerDay)</f>
        <v/>
      </c>
      <c r="Y146" s="13" t="str">
        <f aca="false">IF(AE146=0,"",IF(NOT(LH_Ready),"",IF(BA146=0,N146,IF(PFYDate&lt;$F146,N146-N(T146)-N(U146),X146-N(U146)))))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 hrs more than policy since commencement",IF(N(W146)&gt;O146*HoursPerDay+0.01,"CHECK - EH balance "&amp;ROUND(W146-O146*HoursPerDay,2)&amp;" hrs more than policy entitlement",IF(O146&gt;0,"OK - nothing to add",IF(AQ146="None",R146,"Not yet - first day on "&amp;TEXT(S146,"dd/mm/yyyy")))))))))</f>
        <v/>
      </c>
      <c r="AB146" s="13" t="str">
        <f aca="false">IF(OR(AE146=0,T146=""),"",AY146*HoursPerDay-T146)</f>
        <v/>
      </c>
      <c r="AC146" s="12" t="str">
        <f aca="false">IF(AE146=0,"",BA146)</f>
        <v/>
      </c>
      <c r="AD146" s="12"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IF(AE146=0,"",IF($J146&lt;&gt;"",$J146,IF(OR(CasualCounts="Yes",COUNT($G146:$I146)=0,COUNT($G146:$H146)=0),$F146,MIN($G146:$H146))))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8"/>
      <c r="B147" s="8"/>
      <c r="C147" s="8"/>
      <c r="D147" s="9"/>
      <c r="E147" s="10" t="str">
        <f aca="false">IF(OR(AE147=0,$D147=""),"",DATE(YEAR(AsOfDate)+IF(DATE(YEAR(AsOfDate),MONTH($D147),DAY($D147))&lt;=AsOfDate,1,0),MONTH($D147),DAY($D147)))</f>
        <v/>
      </c>
      <c r="F147" s="9"/>
      <c r="G147" s="9"/>
      <c r="H147" s="9"/>
      <c r="I147" s="9"/>
      <c r="J147" s="9"/>
      <c r="K147" s="10" t="str">
        <f aca="false">IF(AE147=0,"",DATE(YEAR(AsOfDate)+IF(DATE(YEAR(AsOfDate),MONTH(AF147),DAY(AF147))&lt;=AsOfDate,1,0),MONTH(AF147),DAY(AF147)))</f>
        <v/>
      </c>
      <c r="L147" s="11" t="str">
        <f aca="false">IF(AE147=0,"",ROUND((AsOfDate-AF147)/365.25,1))</f>
        <v/>
      </c>
      <c r="M147" s="12" t="str">
        <f aca="false">IF(AE147=0,"",IF(AsOfDate&lt;AF147,"-",DATEDIF(AF147,AsOfDate,"y")&amp;"y "&amp;DATEDIF(AF147,AsOfDate,"ym")&amp;"m "&amp;DATEDIF(AF147,AsOfDate,"md")&amp;"d"))</f>
        <v/>
      </c>
      <c r="N147" s="13" t="str">
        <f aca="false">IF(AE147=0,"",O147*HoursPerDay)</f>
        <v/>
      </c>
      <c r="O147" s="13" t="str">
        <f aca="false">IF(AE147=0,"",AX147)</f>
        <v/>
      </c>
      <c r="P147" s="14"/>
      <c r="Q147" s="12" t="str">
        <f aca="false">IF(AE147=0,"",IF(AG147&lt;2,"",AK147&amp;" to "&amp;AL147&amp;" on "&amp;TEXT(AI147,"dd/mm/yyyy")&amp;IF(AI147&gt;AsOfDate," (future)",IF(AN147=AO147,"",IF(AO147="None"," - STOPPED accruing",IF(AN147="None"," - commencement for Bonus Leave"," - pathway changed"))))&amp;IF(AG147&lt;3,"","; "&amp;AL147&amp;" to "&amp;AM147&amp;" on "&amp;TEXT(AJ147,"dd/mm/yyyy")&amp;IF(AJ147&gt;AsOfDate," (future)",IF(AO147=AP147,"",IF(AP147="None"," - STOPPED accruing",IF(AO147="None"," - commencement for Bonus Leave","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AE147=0,"",IF(NOT(LH_Ready),"",IF(AF147&gt;PFYDate,0,IF(LH_ColPeriod=0,W147-U147+V147,SUMIFS(INDEX(LH_Data,0,LH_ColAcc),INDEX(LH_Data,0,LH_ColFirst),$A147,INDEX(LH_Data,0,LH_ColSur),$B147,INDEX(LH_Data,0,LH_ColCat),BonusCat,INDEX(LH_Data,0,LH_ColPeriod),LH_OpenLabel)*UnitFactor))))</f>
        <v/>
      </c>
      <c r="U147" s="13" t="str">
        <f aca="false">IF(AE147=0,"",IF(NOT(LH_Ready),"",SUMIFS(INDEX(LH_Data,0,LH_ColAcc),INDEX(LH_Data,0,LH_ColFirst),$A147,INDEX(LH_Data,0,LH_ColSur),$B147,INDEX(LH_Data,0,LH_ColCat),BonusCat,INDEX(LH_Data,0,LH_ColStart),"&gt;="&amp;AF147)*UnitFactor))</f>
        <v/>
      </c>
      <c r="V147" s="13" t="str">
        <f aca="false">IF(AE147=0,"",IF(NOT(LH_Ready),"",SUMIFS(INDEX(LH_Data,0,LH_ColTaken),INDEX(LH_Data,0,LH_ColFirst),$A147,INDEX(LH_Data,0,LH_ColSur),$B147,INDEX(LH_Data,0,LH_ColCat),BonusCat,INDEX(LH_Data,0,LH_ColStart),"&gt;="&amp;AF147)*UnitFactor))</f>
        <v/>
      </c>
      <c r="W147" s="13" t="str">
        <f aca="false">IF(AE147=0,"",IF(NOT(LH_Ready),"",IF(BB147=0,0,INDEX(INDEX(LH_Data,0,LH_ColClose),BB147-1)*UnitFactor)))</f>
        <v/>
      </c>
      <c r="X147" s="13" t="str">
        <f aca="false">IF(AE147=0,"",(AX147-AY147)*HoursPerDay)</f>
        <v/>
      </c>
      <c r="Y147" s="13" t="str">
        <f aca="false">IF(AE147=0,"",IF(NOT(LH_Ready),"",IF(BA147=0,N147,IF(PFYDate&lt;$F147,N147-N(T147)-N(U147),X147-N(U147)))))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 hrs more than policy since commencement",IF(N(W147)&gt;O147*HoursPerDay+0.01,"CHECK - EH balance "&amp;ROUND(W147-O147*HoursPerDay,2)&amp;" hrs more than policy entitlement",IF(O147&gt;0,"OK - nothing to add",IF(AQ147="None",R147,"Not yet - first day on "&amp;TEXT(S147,"dd/mm/yyyy")))))))))</f>
        <v/>
      </c>
      <c r="AB147" s="13" t="str">
        <f aca="false">IF(OR(AE147=0,T147=""),"",AY147*HoursPerDay-T147)</f>
        <v/>
      </c>
      <c r="AC147" s="12" t="str">
        <f aca="false">IF(AE147=0,"",BA147)</f>
        <v/>
      </c>
      <c r="AD147" s="12"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IF(AE147=0,"",IF($J147&lt;&gt;"",$J147,IF(OR(CasualCounts="Yes",COUNT($G147:$I147)=0,COUNT($G147:$H147)=0),$F147,MIN($G147:$H147))))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8"/>
      <c r="B148" s="8"/>
      <c r="C148" s="8"/>
      <c r="D148" s="9"/>
      <c r="E148" s="10" t="str">
        <f aca="false">IF(OR(AE148=0,$D148=""),"",DATE(YEAR(AsOfDate)+IF(DATE(YEAR(AsOfDate),MONTH($D148),DAY($D148))&lt;=AsOfDate,1,0),MONTH($D148),DAY($D148)))</f>
        <v/>
      </c>
      <c r="F148" s="9"/>
      <c r="G148" s="9"/>
      <c r="H148" s="9"/>
      <c r="I148" s="9"/>
      <c r="J148" s="9"/>
      <c r="K148" s="10" t="str">
        <f aca="false">IF(AE148=0,"",DATE(YEAR(AsOfDate)+IF(DATE(YEAR(AsOfDate),MONTH(AF148),DAY(AF148))&lt;=AsOfDate,1,0),MONTH(AF148),DAY(AF148)))</f>
        <v/>
      </c>
      <c r="L148" s="11" t="str">
        <f aca="false">IF(AE148=0,"",ROUND((AsOfDate-AF148)/365.25,1))</f>
        <v/>
      </c>
      <c r="M148" s="12" t="str">
        <f aca="false">IF(AE148=0,"",IF(AsOfDate&lt;AF148,"-",DATEDIF(AF148,AsOfDate,"y")&amp;"y "&amp;DATEDIF(AF148,AsOfDate,"ym")&amp;"m "&amp;DATEDIF(AF148,AsOfDate,"md")&amp;"d"))</f>
        <v/>
      </c>
      <c r="N148" s="13" t="str">
        <f aca="false">IF(AE148=0,"",O148*HoursPerDay)</f>
        <v/>
      </c>
      <c r="O148" s="13" t="str">
        <f aca="false">IF(AE148=0,"",AX148)</f>
        <v/>
      </c>
      <c r="P148" s="14"/>
      <c r="Q148" s="12" t="str">
        <f aca="false">IF(AE148=0,"",IF(AG148&lt;2,"",AK148&amp;" to "&amp;AL148&amp;" on "&amp;TEXT(AI148,"dd/mm/yyyy")&amp;IF(AI148&gt;AsOfDate," (future)",IF(AN148=AO148,"",IF(AO148="None"," - STOPPED accruing",IF(AN148="None"," - commencement for Bonus Leave"," - pathway changed"))))&amp;IF(AG148&lt;3,"","; "&amp;AL148&amp;" to "&amp;AM148&amp;" on "&amp;TEXT(AJ148,"dd/mm/yyyy")&amp;IF(AJ148&gt;AsOfDate," (future)",IF(AO148=AP148,"",IF(AP148="None"," - STOPPED accruing",IF(AO148="None"," - commencement for Bonus Leave","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AE148=0,"",IF(NOT(LH_Ready),"",IF(AF148&gt;PFYDate,0,IF(LH_ColPeriod=0,W148-U148+V148,SUMIFS(INDEX(LH_Data,0,LH_ColAcc),INDEX(LH_Data,0,LH_ColFirst),$A148,INDEX(LH_Data,0,LH_ColSur),$B148,INDEX(LH_Data,0,LH_ColCat),BonusCat,INDEX(LH_Data,0,LH_ColPeriod),LH_OpenLabel)*UnitFactor))))</f>
        <v/>
      </c>
      <c r="U148" s="13" t="str">
        <f aca="false">IF(AE148=0,"",IF(NOT(LH_Ready),"",SUMIFS(INDEX(LH_Data,0,LH_ColAcc),INDEX(LH_Data,0,LH_ColFirst),$A148,INDEX(LH_Data,0,LH_ColSur),$B148,INDEX(LH_Data,0,LH_ColCat),BonusCat,INDEX(LH_Data,0,LH_ColStart),"&gt;="&amp;AF148)*UnitFactor))</f>
        <v/>
      </c>
      <c r="V148" s="13" t="str">
        <f aca="false">IF(AE148=0,"",IF(NOT(LH_Ready),"",SUMIFS(INDEX(LH_Data,0,LH_ColTaken),INDEX(LH_Data,0,LH_ColFirst),$A148,INDEX(LH_Data,0,LH_ColSur),$B148,INDEX(LH_Data,0,LH_ColCat),BonusCat,INDEX(LH_Data,0,LH_ColStart),"&gt;="&amp;AF148)*UnitFactor))</f>
        <v/>
      </c>
      <c r="W148" s="13" t="str">
        <f aca="false">IF(AE148=0,"",IF(NOT(LH_Ready),"",IF(BB148=0,0,INDEX(INDEX(LH_Data,0,LH_ColClose),BB148-1)*UnitFactor)))</f>
        <v/>
      </c>
      <c r="X148" s="13" t="str">
        <f aca="false">IF(AE148=0,"",(AX148-AY148)*HoursPerDay)</f>
        <v/>
      </c>
      <c r="Y148" s="13" t="str">
        <f aca="false">IF(AE148=0,"",IF(NOT(LH_Ready),"",IF(BA148=0,N148,IF(PFYDate&lt;$F148,N148-N(T148)-N(U148),X148-N(U148)))))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 hrs more than policy since commencement",IF(N(W148)&gt;O148*HoursPerDay+0.01,"CHECK - EH balance "&amp;ROUND(W148-O148*HoursPerDay,2)&amp;" hrs more than policy entitlement",IF(O148&gt;0,"OK - nothing to add",IF(AQ148="None",R148,"Not yet - first day on "&amp;TEXT(S148,"dd/mm/yyyy")))))))))</f>
        <v/>
      </c>
      <c r="AB148" s="13" t="str">
        <f aca="false">IF(OR(AE148=0,T148=""),"",AY148*HoursPerDay-T148)</f>
        <v/>
      </c>
      <c r="AC148" s="12" t="str">
        <f aca="false">IF(AE148=0,"",BA148)</f>
        <v/>
      </c>
      <c r="AD148" s="12"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IF(AE148=0,"",IF($J148&lt;&gt;"",$J148,IF(OR(CasualCounts="Yes",COUNT($G148:$I148)=0,COUNT($G148:$H148)=0),$F148,MIN($G148:$H148))))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8"/>
      <c r="B149" s="8"/>
      <c r="C149" s="8"/>
      <c r="D149" s="9"/>
      <c r="E149" s="10" t="str">
        <f aca="false">IF(OR(AE149=0,$D149=""),"",DATE(YEAR(AsOfDate)+IF(DATE(YEAR(AsOfDate),MONTH($D149),DAY($D149))&lt;=AsOfDate,1,0),MONTH($D149),DAY($D149)))</f>
        <v/>
      </c>
      <c r="F149" s="9"/>
      <c r="G149" s="9"/>
      <c r="H149" s="9"/>
      <c r="I149" s="9"/>
      <c r="J149" s="9"/>
      <c r="K149" s="10" t="str">
        <f aca="false">IF(AE149=0,"",DATE(YEAR(AsOfDate)+IF(DATE(YEAR(AsOfDate),MONTH(AF149),DAY(AF149))&lt;=AsOfDate,1,0),MONTH(AF149),DAY(AF149)))</f>
        <v/>
      </c>
      <c r="L149" s="11" t="str">
        <f aca="false">IF(AE149=0,"",ROUND((AsOfDate-AF149)/365.25,1))</f>
        <v/>
      </c>
      <c r="M149" s="12" t="str">
        <f aca="false">IF(AE149=0,"",IF(AsOfDate&lt;AF149,"-",DATEDIF(AF149,AsOfDate,"y")&amp;"y "&amp;DATEDIF(AF149,AsOfDate,"ym")&amp;"m "&amp;DATEDIF(AF149,AsOfDate,"md")&amp;"d"))</f>
        <v/>
      </c>
      <c r="N149" s="13" t="str">
        <f aca="false">IF(AE149=0,"",O149*HoursPerDay)</f>
        <v/>
      </c>
      <c r="O149" s="13" t="str">
        <f aca="false">IF(AE149=0,"",AX149)</f>
        <v/>
      </c>
      <c r="P149" s="14"/>
      <c r="Q149" s="12" t="str">
        <f aca="false">IF(AE149=0,"",IF(AG149&lt;2,"",AK149&amp;" to "&amp;AL149&amp;" on "&amp;TEXT(AI149,"dd/mm/yyyy")&amp;IF(AI149&gt;AsOfDate," (future)",IF(AN149=AO149,"",IF(AO149="None"," - STOPPED accruing",IF(AN149="None"," - commencement for Bonus Leave"," - pathway changed"))))&amp;IF(AG149&lt;3,"","; "&amp;AL149&amp;" to "&amp;AM149&amp;" on "&amp;TEXT(AJ149,"dd/mm/yyyy")&amp;IF(AJ149&gt;AsOfDate," (future)",IF(AO149=AP149,"",IF(AP149="None"," - STOPPED accruing",IF(AO149="None"," - commencement for Bonus Leave","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AE149=0,"",IF(NOT(LH_Ready),"",IF(AF149&gt;PFYDate,0,IF(LH_ColPeriod=0,W149-U149+V149,SUMIFS(INDEX(LH_Data,0,LH_ColAcc),INDEX(LH_Data,0,LH_ColFirst),$A149,INDEX(LH_Data,0,LH_ColSur),$B149,INDEX(LH_Data,0,LH_ColCat),BonusCat,INDEX(LH_Data,0,LH_ColPeriod),LH_OpenLabel)*UnitFactor))))</f>
        <v/>
      </c>
      <c r="U149" s="13" t="str">
        <f aca="false">IF(AE149=0,"",IF(NOT(LH_Ready),"",SUMIFS(INDEX(LH_Data,0,LH_ColAcc),INDEX(LH_Data,0,LH_ColFirst),$A149,INDEX(LH_Data,0,LH_ColSur),$B149,INDEX(LH_Data,0,LH_ColCat),BonusCat,INDEX(LH_Data,0,LH_ColStart),"&gt;="&amp;AF149)*UnitFactor))</f>
        <v/>
      </c>
      <c r="V149" s="13" t="str">
        <f aca="false">IF(AE149=0,"",IF(NOT(LH_Ready),"",SUMIFS(INDEX(LH_Data,0,LH_ColTaken),INDEX(LH_Data,0,LH_ColFirst),$A149,INDEX(LH_Data,0,LH_ColSur),$B149,INDEX(LH_Data,0,LH_ColCat),BonusCat,INDEX(LH_Data,0,LH_ColStart),"&gt;="&amp;AF149)*UnitFactor))</f>
        <v/>
      </c>
      <c r="W149" s="13" t="str">
        <f aca="false">IF(AE149=0,"",IF(NOT(LH_Ready),"",IF(BB149=0,0,INDEX(INDEX(LH_Data,0,LH_ColClose),BB149-1)*UnitFactor)))</f>
        <v/>
      </c>
      <c r="X149" s="13" t="str">
        <f aca="false">IF(AE149=0,"",(AX149-AY149)*HoursPerDay)</f>
        <v/>
      </c>
      <c r="Y149" s="13" t="str">
        <f aca="false">IF(AE149=0,"",IF(NOT(LH_Ready),"",IF(BA149=0,N149,IF(PFYDate&lt;$F149,N149-N(T149)-N(U149),X149-N(U149)))))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 hrs more than policy since commencement",IF(N(W149)&gt;O149*HoursPerDay+0.01,"CHECK - EH balance "&amp;ROUND(W149-O149*HoursPerDay,2)&amp;" hrs more than policy entitlement",IF(O149&gt;0,"OK - nothing to add",IF(AQ149="None",R149,"Not yet - first day on "&amp;TEXT(S149,"dd/mm/yyyy")))))))))</f>
        <v/>
      </c>
      <c r="AB149" s="13" t="str">
        <f aca="false">IF(OR(AE149=0,T149=""),"",AY149*HoursPerDay-T149)</f>
        <v/>
      </c>
      <c r="AC149" s="12" t="str">
        <f aca="false">IF(AE149=0,"",BA149)</f>
        <v/>
      </c>
      <c r="AD149" s="12"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IF(AE149=0,"",IF($J149&lt;&gt;"",$J149,IF(OR(CasualCounts="Yes",COUNT($G149:$I149)=0,COUNT($G149:$H149)=0),$F149,MIN($G149:$H149))))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8"/>
      <c r="B150" s="8"/>
      <c r="C150" s="8"/>
      <c r="D150" s="9"/>
      <c r="E150" s="10" t="str">
        <f aca="false">IF(OR(AE150=0,$D150=""),"",DATE(YEAR(AsOfDate)+IF(DATE(YEAR(AsOfDate),MONTH($D150),DAY($D150))&lt;=AsOfDate,1,0),MONTH($D150),DAY($D150)))</f>
        <v/>
      </c>
      <c r="F150" s="9"/>
      <c r="G150" s="9"/>
      <c r="H150" s="9"/>
      <c r="I150" s="9"/>
      <c r="J150" s="9"/>
      <c r="K150" s="10" t="str">
        <f aca="false">IF(AE150=0,"",DATE(YEAR(AsOfDate)+IF(DATE(YEAR(AsOfDate),MONTH(AF150),DAY(AF150))&lt;=AsOfDate,1,0),MONTH(AF150),DAY(AF150)))</f>
        <v/>
      </c>
      <c r="L150" s="11" t="str">
        <f aca="false">IF(AE150=0,"",ROUND((AsOfDate-AF150)/365.25,1))</f>
        <v/>
      </c>
      <c r="M150" s="12" t="str">
        <f aca="false">IF(AE150=0,"",IF(AsOfDate&lt;AF150,"-",DATEDIF(AF150,AsOfDate,"y")&amp;"y "&amp;DATEDIF(AF150,AsOfDate,"ym")&amp;"m "&amp;DATEDIF(AF150,AsOfDate,"md")&amp;"d"))</f>
        <v/>
      </c>
      <c r="N150" s="13" t="str">
        <f aca="false">IF(AE150=0,"",O150*HoursPerDay)</f>
        <v/>
      </c>
      <c r="O150" s="13" t="str">
        <f aca="false">IF(AE150=0,"",AX150)</f>
        <v/>
      </c>
      <c r="P150" s="14"/>
      <c r="Q150" s="12" t="str">
        <f aca="false">IF(AE150=0,"",IF(AG150&lt;2,"",AK150&amp;" to "&amp;AL150&amp;" on "&amp;TEXT(AI150,"dd/mm/yyyy")&amp;IF(AI150&gt;AsOfDate," (future)",IF(AN150=AO150,"",IF(AO150="None"," - STOPPED accruing",IF(AN150="None"," - commencement for Bonus Leave"," - pathway changed"))))&amp;IF(AG150&lt;3,"","; "&amp;AL150&amp;" to "&amp;AM150&amp;" on "&amp;TEXT(AJ150,"dd/mm/yyyy")&amp;IF(AJ150&gt;AsOfDate," (future)",IF(AO150=AP150,"",IF(AP150="None"," - STOPPED accruing",IF(AO150="None"," - commencement for Bonus Leave","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AE150=0,"",IF(NOT(LH_Ready),"",IF(AF150&gt;PFYDate,0,IF(LH_ColPeriod=0,W150-U150+V150,SUMIFS(INDEX(LH_Data,0,LH_ColAcc),INDEX(LH_Data,0,LH_ColFirst),$A150,INDEX(LH_Data,0,LH_ColSur),$B150,INDEX(LH_Data,0,LH_ColCat),BonusCat,INDEX(LH_Data,0,LH_ColPeriod),LH_OpenLabel)*UnitFactor))))</f>
        <v/>
      </c>
      <c r="U150" s="13" t="str">
        <f aca="false">IF(AE150=0,"",IF(NOT(LH_Ready),"",SUMIFS(INDEX(LH_Data,0,LH_ColAcc),INDEX(LH_Data,0,LH_ColFirst),$A150,INDEX(LH_Data,0,LH_ColSur),$B150,INDEX(LH_Data,0,LH_ColCat),BonusCat,INDEX(LH_Data,0,LH_ColStart),"&gt;="&amp;AF150)*UnitFactor))</f>
        <v/>
      </c>
      <c r="V150" s="13" t="str">
        <f aca="false">IF(AE150=0,"",IF(NOT(LH_Ready),"",SUMIFS(INDEX(LH_Data,0,LH_ColTaken),INDEX(LH_Data,0,LH_ColFirst),$A150,INDEX(LH_Data,0,LH_ColSur),$B150,INDEX(LH_Data,0,LH_ColCat),BonusCat,INDEX(LH_Data,0,LH_ColStart),"&gt;="&amp;AF150)*UnitFactor))</f>
        <v/>
      </c>
      <c r="W150" s="13" t="str">
        <f aca="false">IF(AE150=0,"",IF(NOT(LH_Ready),"",IF(BB150=0,0,INDEX(INDEX(LH_Data,0,LH_ColClose),BB150-1)*UnitFactor)))</f>
        <v/>
      </c>
      <c r="X150" s="13" t="str">
        <f aca="false">IF(AE150=0,"",(AX150-AY150)*HoursPerDay)</f>
        <v/>
      </c>
      <c r="Y150" s="13" t="str">
        <f aca="false">IF(AE150=0,"",IF(NOT(LH_Ready),"",IF(BA150=0,N150,IF(PFYDate&lt;$F150,N150-N(T150)-N(U150),X150-N(U150)))))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 hrs more than policy since commencement",IF(N(W150)&gt;O150*HoursPerDay+0.01,"CHECK - EH balance "&amp;ROUND(W150-O150*HoursPerDay,2)&amp;" hrs more than policy entitlement",IF(O150&gt;0,"OK - nothing to add",IF(AQ150="None",R150,"Not yet - first day on "&amp;TEXT(S150,"dd/mm/yyyy")))))))))</f>
        <v/>
      </c>
      <c r="AB150" s="13" t="str">
        <f aca="false">IF(OR(AE150=0,T150=""),"",AY150*HoursPerDay-T150)</f>
        <v/>
      </c>
      <c r="AC150" s="12" t="str">
        <f aca="false">IF(AE150=0,"",BA150)</f>
        <v/>
      </c>
      <c r="AD150" s="12"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IF(AE150=0,"",IF($J150&lt;&gt;"",$J150,IF(OR(CasualCounts="Yes",COUNT($G150:$I150)=0,COUNT($G150:$H150)=0),$F150,MIN($G150:$H150))))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8"/>
      <c r="B151" s="8"/>
      <c r="C151" s="8"/>
      <c r="D151" s="9"/>
      <c r="E151" s="10" t="str">
        <f aca="false">IF(OR(AE151=0,$D151=""),"",DATE(YEAR(AsOfDate)+IF(DATE(YEAR(AsOfDate),MONTH($D151),DAY($D151))&lt;=AsOfDate,1,0),MONTH($D151),DAY($D151)))</f>
        <v/>
      </c>
      <c r="F151" s="9"/>
      <c r="G151" s="9"/>
      <c r="H151" s="9"/>
      <c r="I151" s="9"/>
      <c r="J151" s="9"/>
      <c r="K151" s="10" t="str">
        <f aca="false">IF(AE151=0,"",DATE(YEAR(AsOfDate)+IF(DATE(YEAR(AsOfDate),MONTH(AF151),DAY(AF151))&lt;=AsOfDate,1,0),MONTH(AF151),DAY(AF151)))</f>
        <v/>
      </c>
      <c r="L151" s="11" t="str">
        <f aca="false">IF(AE151=0,"",ROUND((AsOfDate-AF151)/365.25,1))</f>
        <v/>
      </c>
      <c r="M151" s="12" t="str">
        <f aca="false">IF(AE151=0,"",IF(AsOfDate&lt;AF151,"-",DATEDIF(AF151,AsOfDate,"y")&amp;"y "&amp;DATEDIF(AF151,AsOfDate,"ym")&amp;"m "&amp;DATEDIF(AF151,AsOfDate,"md")&amp;"d"))</f>
        <v/>
      </c>
      <c r="N151" s="13" t="str">
        <f aca="false">IF(AE151=0,"",O151*HoursPerDay)</f>
        <v/>
      </c>
      <c r="O151" s="13" t="str">
        <f aca="false">IF(AE151=0,"",AX151)</f>
        <v/>
      </c>
      <c r="P151" s="14"/>
      <c r="Q151" s="12" t="str">
        <f aca="false">IF(AE151=0,"",IF(AG151&lt;2,"",AK151&amp;" to "&amp;AL151&amp;" on "&amp;TEXT(AI151,"dd/mm/yyyy")&amp;IF(AI151&gt;AsOfDate," (future)",IF(AN151=AO151,"",IF(AO151="None"," - STOPPED accruing",IF(AN151="None"," - commencement for Bonus Leave"," - pathway changed"))))&amp;IF(AG151&lt;3,"","; "&amp;AL151&amp;" to "&amp;AM151&amp;" on "&amp;TEXT(AJ151,"dd/mm/yyyy")&amp;IF(AJ151&gt;AsOfDate," (future)",IF(AO151=AP151,"",IF(AP151="None"," - STOPPED accruing",IF(AO151="None"," - commencement for Bonus Leave","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AE151=0,"",IF(NOT(LH_Ready),"",IF(AF151&gt;PFYDate,0,IF(LH_ColPeriod=0,W151-U151+V151,SUMIFS(INDEX(LH_Data,0,LH_ColAcc),INDEX(LH_Data,0,LH_ColFirst),$A151,INDEX(LH_Data,0,LH_ColSur),$B151,INDEX(LH_Data,0,LH_ColCat),BonusCat,INDEX(LH_Data,0,LH_ColPeriod),LH_OpenLabel)*UnitFactor))))</f>
        <v/>
      </c>
      <c r="U151" s="13" t="str">
        <f aca="false">IF(AE151=0,"",IF(NOT(LH_Ready),"",SUMIFS(INDEX(LH_Data,0,LH_ColAcc),INDEX(LH_Data,0,LH_ColFirst),$A151,INDEX(LH_Data,0,LH_ColSur),$B151,INDEX(LH_Data,0,LH_ColCat),BonusCat,INDEX(LH_Data,0,LH_ColStart),"&gt;="&amp;AF151)*UnitFactor))</f>
        <v/>
      </c>
      <c r="V151" s="13" t="str">
        <f aca="false">IF(AE151=0,"",IF(NOT(LH_Ready),"",SUMIFS(INDEX(LH_Data,0,LH_ColTaken),INDEX(LH_Data,0,LH_ColFirst),$A151,INDEX(LH_Data,0,LH_ColSur),$B151,INDEX(LH_Data,0,LH_ColCat),BonusCat,INDEX(LH_Data,0,LH_ColStart),"&gt;="&amp;AF151)*UnitFactor))</f>
        <v/>
      </c>
      <c r="W151" s="13" t="str">
        <f aca="false">IF(AE151=0,"",IF(NOT(LH_Ready),"",IF(BB151=0,0,INDEX(INDEX(LH_Data,0,LH_ColClose),BB151-1)*UnitFactor)))</f>
        <v/>
      </c>
      <c r="X151" s="13" t="str">
        <f aca="false">IF(AE151=0,"",(AX151-AY151)*HoursPerDay)</f>
        <v/>
      </c>
      <c r="Y151" s="13" t="str">
        <f aca="false">IF(AE151=0,"",IF(NOT(LH_Ready),"",IF(BA151=0,N151,IF(PFYDate&lt;$F151,N151-N(T151)-N(U151),X151-N(U151)))))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 hrs more than policy since commencement",IF(N(W151)&gt;O151*HoursPerDay+0.01,"CHECK - EH balance "&amp;ROUND(W151-O151*HoursPerDay,2)&amp;" hrs more than policy entitlement",IF(O151&gt;0,"OK - nothing to add",IF(AQ151="None",R151,"Not yet - first day on "&amp;TEXT(S151,"dd/mm/yyyy")))))))))</f>
        <v/>
      </c>
      <c r="AB151" s="13" t="str">
        <f aca="false">IF(OR(AE151=0,T151=""),"",AY151*HoursPerDay-T151)</f>
        <v/>
      </c>
      <c r="AC151" s="12" t="str">
        <f aca="false">IF(AE151=0,"",BA151)</f>
        <v/>
      </c>
      <c r="AD151" s="12"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IF(AE151=0,"",IF($J151&lt;&gt;"",$J151,IF(OR(CasualCounts="Yes",COUNT($G151:$I151)=0,COUNT($G151:$H151)=0),$F151,MIN($G151:$H151))))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8"/>
      <c r="B152" s="8"/>
      <c r="C152" s="8"/>
      <c r="D152" s="9"/>
      <c r="E152" s="10" t="str">
        <f aca="false">IF(OR(AE152=0,$D152=""),"",DATE(YEAR(AsOfDate)+IF(DATE(YEAR(AsOfDate),MONTH($D152),DAY($D152))&lt;=AsOfDate,1,0),MONTH($D152),DAY($D152)))</f>
        <v/>
      </c>
      <c r="F152" s="9"/>
      <c r="G152" s="9"/>
      <c r="H152" s="9"/>
      <c r="I152" s="9"/>
      <c r="J152" s="9"/>
      <c r="K152" s="10" t="str">
        <f aca="false">IF(AE152=0,"",DATE(YEAR(AsOfDate)+IF(DATE(YEAR(AsOfDate),MONTH(AF152),DAY(AF152))&lt;=AsOfDate,1,0),MONTH(AF152),DAY(AF152)))</f>
        <v/>
      </c>
      <c r="L152" s="11" t="str">
        <f aca="false">IF(AE152=0,"",ROUND((AsOfDate-AF152)/365.25,1))</f>
        <v/>
      </c>
      <c r="M152" s="12" t="str">
        <f aca="false">IF(AE152=0,"",IF(AsOfDate&lt;AF152,"-",DATEDIF(AF152,AsOfDate,"y")&amp;"y "&amp;DATEDIF(AF152,AsOfDate,"ym")&amp;"m "&amp;DATEDIF(AF152,AsOfDate,"md")&amp;"d"))</f>
        <v/>
      </c>
      <c r="N152" s="13" t="str">
        <f aca="false">IF(AE152=0,"",O152*HoursPerDay)</f>
        <v/>
      </c>
      <c r="O152" s="13" t="str">
        <f aca="false">IF(AE152=0,"",AX152)</f>
        <v/>
      </c>
      <c r="P152" s="14"/>
      <c r="Q152" s="12" t="str">
        <f aca="false">IF(AE152=0,"",IF(AG152&lt;2,"",AK152&amp;" to "&amp;AL152&amp;" on "&amp;TEXT(AI152,"dd/mm/yyyy")&amp;IF(AI152&gt;AsOfDate," (future)",IF(AN152=AO152,"",IF(AO152="None"," - STOPPED accruing",IF(AN152="None"," - commencement for Bonus Leave"," - pathway changed"))))&amp;IF(AG152&lt;3,"","; "&amp;AL152&amp;" to "&amp;AM152&amp;" on "&amp;TEXT(AJ152,"dd/mm/yyyy")&amp;IF(AJ152&gt;AsOfDate," (future)",IF(AO152=AP152,"",IF(AP152="None"," - STOPPED accruing",IF(AO152="None"," - commencement for Bonus Leave","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AE152=0,"",IF(NOT(LH_Ready),"",IF(AF152&gt;PFYDate,0,IF(LH_ColPeriod=0,W152-U152+V152,SUMIFS(INDEX(LH_Data,0,LH_ColAcc),INDEX(LH_Data,0,LH_ColFirst),$A152,INDEX(LH_Data,0,LH_ColSur),$B152,INDEX(LH_Data,0,LH_ColCat),BonusCat,INDEX(LH_Data,0,LH_ColPeriod),LH_OpenLabel)*UnitFactor))))</f>
        <v/>
      </c>
      <c r="U152" s="13" t="str">
        <f aca="false">IF(AE152=0,"",IF(NOT(LH_Ready),"",SUMIFS(INDEX(LH_Data,0,LH_ColAcc),INDEX(LH_Data,0,LH_ColFirst),$A152,INDEX(LH_Data,0,LH_ColSur),$B152,INDEX(LH_Data,0,LH_ColCat),BonusCat,INDEX(LH_Data,0,LH_ColStart),"&gt;="&amp;AF152)*UnitFactor))</f>
        <v/>
      </c>
      <c r="V152" s="13" t="str">
        <f aca="false">IF(AE152=0,"",IF(NOT(LH_Ready),"",SUMIFS(INDEX(LH_Data,0,LH_ColTaken),INDEX(LH_Data,0,LH_ColFirst),$A152,INDEX(LH_Data,0,LH_ColSur),$B152,INDEX(LH_Data,0,LH_ColCat),BonusCat,INDEX(LH_Data,0,LH_ColStart),"&gt;="&amp;AF152)*UnitFactor))</f>
        <v/>
      </c>
      <c r="W152" s="13" t="str">
        <f aca="false">IF(AE152=0,"",IF(NOT(LH_Ready),"",IF(BB152=0,0,INDEX(INDEX(LH_Data,0,LH_ColClose),BB152-1)*UnitFactor)))</f>
        <v/>
      </c>
      <c r="X152" s="13" t="str">
        <f aca="false">IF(AE152=0,"",(AX152-AY152)*HoursPerDay)</f>
        <v/>
      </c>
      <c r="Y152" s="13" t="str">
        <f aca="false">IF(AE152=0,"",IF(NOT(LH_Ready),"",IF(BA152=0,N152,IF(PFYDate&lt;$F152,N152-N(T152)-N(U152),X152-N(U152)))))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 hrs more than policy since commencement",IF(N(W152)&gt;O152*HoursPerDay+0.01,"CHECK - EH balance "&amp;ROUND(W152-O152*HoursPerDay,2)&amp;" hrs more than policy entitlement",IF(O152&gt;0,"OK - nothing to add",IF(AQ152="None",R152,"Not yet - first day on "&amp;TEXT(S152,"dd/mm/yyyy")))))))))</f>
        <v/>
      </c>
      <c r="AB152" s="13" t="str">
        <f aca="false">IF(OR(AE152=0,T152=""),"",AY152*HoursPerDay-T152)</f>
        <v/>
      </c>
      <c r="AC152" s="12" t="str">
        <f aca="false">IF(AE152=0,"",BA152)</f>
        <v/>
      </c>
      <c r="AD152" s="12"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IF(AE152=0,"",IF($J152&lt;&gt;"",$J152,IF(OR(CasualCounts="Yes",COUNT($G152:$I152)=0,COUNT($G152:$H152)=0),$F152,MIN($G152:$H152))))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8"/>
      <c r="B153" s="8"/>
      <c r="C153" s="8"/>
      <c r="D153" s="9"/>
      <c r="E153" s="10" t="str">
        <f aca="false">IF(OR(AE153=0,$D153=""),"",DATE(YEAR(AsOfDate)+IF(DATE(YEAR(AsOfDate),MONTH($D153),DAY($D153))&lt;=AsOfDate,1,0),MONTH($D153),DAY($D153)))</f>
        <v/>
      </c>
      <c r="F153" s="9"/>
      <c r="G153" s="9"/>
      <c r="H153" s="9"/>
      <c r="I153" s="9"/>
      <c r="J153" s="9"/>
      <c r="K153" s="10" t="str">
        <f aca="false">IF(AE153=0,"",DATE(YEAR(AsOfDate)+IF(DATE(YEAR(AsOfDate),MONTH(AF153),DAY(AF153))&lt;=AsOfDate,1,0),MONTH(AF153),DAY(AF153)))</f>
        <v/>
      </c>
      <c r="L153" s="11" t="str">
        <f aca="false">IF(AE153=0,"",ROUND((AsOfDate-AF153)/365.25,1))</f>
        <v/>
      </c>
      <c r="M153" s="12" t="str">
        <f aca="false">IF(AE153=0,"",IF(AsOfDate&lt;AF153,"-",DATEDIF(AF153,AsOfDate,"y")&amp;"y "&amp;DATEDIF(AF153,AsOfDate,"ym")&amp;"m "&amp;DATEDIF(AF153,AsOfDate,"md")&amp;"d"))</f>
        <v/>
      </c>
      <c r="N153" s="13" t="str">
        <f aca="false">IF(AE153=0,"",O153*HoursPerDay)</f>
        <v/>
      </c>
      <c r="O153" s="13" t="str">
        <f aca="false">IF(AE153=0,"",AX153)</f>
        <v/>
      </c>
      <c r="P153" s="14"/>
      <c r="Q153" s="12" t="str">
        <f aca="false">IF(AE153=0,"",IF(AG153&lt;2,"",AK153&amp;" to "&amp;AL153&amp;" on "&amp;TEXT(AI153,"dd/mm/yyyy")&amp;IF(AI153&gt;AsOfDate," (future)",IF(AN153=AO153,"",IF(AO153="None"," - STOPPED accruing",IF(AN153="None"," - commencement for Bonus Leave"," - pathway changed"))))&amp;IF(AG153&lt;3,"","; "&amp;AL153&amp;" to "&amp;AM153&amp;" on "&amp;TEXT(AJ153,"dd/mm/yyyy")&amp;IF(AJ153&gt;AsOfDate," (future)",IF(AO153=AP153,"",IF(AP153="None"," - STOPPED accruing",IF(AO153="None"," - commencement for Bonus Leave","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AE153=0,"",IF(NOT(LH_Ready),"",IF(AF153&gt;PFYDate,0,IF(LH_ColPeriod=0,W153-U153+V153,SUMIFS(INDEX(LH_Data,0,LH_ColAcc),INDEX(LH_Data,0,LH_ColFirst),$A153,INDEX(LH_Data,0,LH_ColSur),$B153,INDEX(LH_Data,0,LH_ColCat),BonusCat,INDEX(LH_Data,0,LH_ColPeriod),LH_OpenLabel)*UnitFactor))))</f>
        <v/>
      </c>
      <c r="U153" s="13" t="str">
        <f aca="false">IF(AE153=0,"",IF(NOT(LH_Ready),"",SUMIFS(INDEX(LH_Data,0,LH_ColAcc),INDEX(LH_Data,0,LH_ColFirst),$A153,INDEX(LH_Data,0,LH_ColSur),$B153,INDEX(LH_Data,0,LH_ColCat),BonusCat,INDEX(LH_Data,0,LH_ColStart),"&gt;="&amp;AF153)*UnitFactor))</f>
        <v/>
      </c>
      <c r="V153" s="13" t="str">
        <f aca="false">IF(AE153=0,"",IF(NOT(LH_Ready),"",SUMIFS(INDEX(LH_Data,0,LH_ColTaken),INDEX(LH_Data,0,LH_ColFirst),$A153,INDEX(LH_Data,0,LH_ColSur),$B153,INDEX(LH_Data,0,LH_ColCat),BonusCat,INDEX(LH_Data,0,LH_ColStart),"&gt;="&amp;AF153)*UnitFactor))</f>
        <v/>
      </c>
      <c r="W153" s="13" t="str">
        <f aca="false">IF(AE153=0,"",IF(NOT(LH_Ready),"",IF(BB153=0,0,INDEX(INDEX(LH_Data,0,LH_ColClose),BB153-1)*UnitFactor)))</f>
        <v/>
      </c>
      <c r="X153" s="13" t="str">
        <f aca="false">IF(AE153=0,"",(AX153-AY153)*HoursPerDay)</f>
        <v/>
      </c>
      <c r="Y153" s="13" t="str">
        <f aca="false">IF(AE153=0,"",IF(NOT(LH_Ready),"",IF(BA153=0,N153,IF(PFYDate&lt;$F153,N153-N(T153)-N(U153),X153-N(U153)))))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 hrs more than policy since commencement",IF(N(W153)&gt;O153*HoursPerDay+0.01,"CHECK - EH balance "&amp;ROUND(W153-O153*HoursPerDay,2)&amp;" hrs more than policy entitlement",IF(O153&gt;0,"OK - nothing to add",IF(AQ153="None",R153,"Not yet - first day on "&amp;TEXT(S153,"dd/mm/yyyy")))))))))</f>
        <v/>
      </c>
      <c r="AB153" s="13" t="str">
        <f aca="false">IF(OR(AE153=0,T153=""),"",AY153*HoursPerDay-T153)</f>
        <v/>
      </c>
      <c r="AC153" s="12" t="str">
        <f aca="false">IF(AE153=0,"",BA153)</f>
        <v/>
      </c>
      <c r="AD153" s="12"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IF(AE153=0,"",IF($J153&lt;&gt;"",$J153,IF(OR(CasualCounts="Yes",COUNT($G153:$I153)=0,COUNT($G153:$H153)=0),$F153,MIN($G153:$H153))))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8"/>
      <c r="B154" s="8"/>
      <c r="C154" s="8"/>
      <c r="D154" s="9"/>
      <c r="E154" s="10" t="str">
        <f aca="false">IF(OR(AE154=0,$D154=""),"",DATE(YEAR(AsOfDate)+IF(DATE(YEAR(AsOfDate),MONTH($D154),DAY($D154))&lt;=AsOfDate,1,0),MONTH($D154),DAY($D154)))</f>
        <v/>
      </c>
      <c r="F154" s="9"/>
      <c r="G154" s="9"/>
      <c r="H154" s="9"/>
      <c r="I154" s="9"/>
      <c r="J154" s="9"/>
      <c r="K154" s="10" t="str">
        <f aca="false">IF(AE154=0,"",DATE(YEAR(AsOfDate)+IF(DATE(YEAR(AsOfDate),MONTH(AF154),DAY(AF154))&lt;=AsOfDate,1,0),MONTH(AF154),DAY(AF154)))</f>
        <v/>
      </c>
      <c r="L154" s="11" t="str">
        <f aca="false">IF(AE154=0,"",ROUND((AsOfDate-AF154)/365.25,1))</f>
        <v/>
      </c>
      <c r="M154" s="12" t="str">
        <f aca="false">IF(AE154=0,"",IF(AsOfDate&lt;AF154,"-",DATEDIF(AF154,AsOfDate,"y")&amp;"y "&amp;DATEDIF(AF154,AsOfDate,"ym")&amp;"m "&amp;DATEDIF(AF154,AsOfDate,"md")&amp;"d"))</f>
        <v/>
      </c>
      <c r="N154" s="13" t="str">
        <f aca="false">IF(AE154=0,"",O154*HoursPerDay)</f>
        <v/>
      </c>
      <c r="O154" s="13" t="str">
        <f aca="false">IF(AE154=0,"",AX154)</f>
        <v/>
      </c>
      <c r="P154" s="14"/>
      <c r="Q154" s="12" t="str">
        <f aca="false">IF(AE154=0,"",IF(AG154&lt;2,"",AK154&amp;" to "&amp;AL154&amp;" on "&amp;TEXT(AI154,"dd/mm/yyyy")&amp;IF(AI154&gt;AsOfDate," (future)",IF(AN154=AO154,"",IF(AO154="None"," - STOPPED accruing",IF(AN154="None"," - commencement for Bonus Leave"," - pathway changed"))))&amp;IF(AG154&lt;3,"","; "&amp;AL154&amp;" to "&amp;AM154&amp;" on "&amp;TEXT(AJ154,"dd/mm/yyyy")&amp;IF(AJ154&gt;AsOfDate," (future)",IF(AO154=AP154,"",IF(AP154="None"," - STOPPED accruing",IF(AO154="None"," - commencement for Bonus Leave","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AE154=0,"",IF(NOT(LH_Ready),"",IF(AF154&gt;PFYDate,0,IF(LH_ColPeriod=0,W154-U154+V154,SUMIFS(INDEX(LH_Data,0,LH_ColAcc),INDEX(LH_Data,0,LH_ColFirst),$A154,INDEX(LH_Data,0,LH_ColSur),$B154,INDEX(LH_Data,0,LH_ColCat),BonusCat,INDEX(LH_Data,0,LH_ColPeriod),LH_OpenLabel)*UnitFactor))))</f>
        <v/>
      </c>
      <c r="U154" s="13" t="str">
        <f aca="false">IF(AE154=0,"",IF(NOT(LH_Ready),"",SUMIFS(INDEX(LH_Data,0,LH_ColAcc),INDEX(LH_Data,0,LH_ColFirst),$A154,INDEX(LH_Data,0,LH_ColSur),$B154,INDEX(LH_Data,0,LH_ColCat),BonusCat,INDEX(LH_Data,0,LH_ColStart),"&gt;="&amp;AF154)*UnitFactor))</f>
        <v/>
      </c>
      <c r="V154" s="13" t="str">
        <f aca="false">IF(AE154=0,"",IF(NOT(LH_Ready),"",SUMIFS(INDEX(LH_Data,0,LH_ColTaken),INDEX(LH_Data,0,LH_ColFirst),$A154,INDEX(LH_Data,0,LH_ColSur),$B154,INDEX(LH_Data,0,LH_ColCat),BonusCat,INDEX(LH_Data,0,LH_ColStart),"&gt;="&amp;AF154)*UnitFactor))</f>
        <v/>
      </c>
      <c r="W154" s="13" t="str">
        <f aca="false">IF(AE154=0,"",IF(NOT(LH_Ready),"",IF(BB154=0,0,INDEX(INDEX(LH_Data,0,LH_ColClose),BB154-1)*UnitFactor)))</f>
        <v/>
      </c>
      <c r="X154" s="13" t="str">
        <f aca="false">IF(AE154=0,"",(AX154-AY154)*HoursPerDay)</f>
        <v/>
      </c>
      <c r="Y154" s="13" t="str">
        <f aca="false">IF(AE154=0,"",IF(NOT(LH_Ready),"",IF(BA154=0,N154,IF(PFYDate&lt;$F154,N154-N(T154)-N(U154),X154-N(U154)))))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 hrs more than policy since commencement",IF(N(W154)&gt;O154*HoursPerDay+0.01,"CHECK - EH balance "&amp;ROUND(W154-O154*HoursPerDay,2)&amp;" hrs more than policy entitlement",IF(O154&gt;0,"OK - nothing to add",IF(AQ154="None",R154,"Not yet - first day on "&amp;TEXT(S154,"dd/mm/yyyy")))))))))</f>
        <v/>
      </c>
      <c r="AB154" s="13" t="str">
        <f aca="false">IF(OR(AE154=0,T154=""),"",AY154*HoursPerDay-T154)</f>
        <v/>
      </c>
      <c r="AC154" s="12" t="str">
        <f aca="false">IF(AE154=0,"",BA154)</f>
        <v/>
      </c>
      <c r="AD154" s="12"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IF(AE154=0,"",IF($J154&lt;&gt;"",$J154,IF(OR(CasualCounts="Yes",COUNT($G154:$I154)=0,COUNT($G154:$H154)=0),$F154,MIN($G154:$H154))))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R5:R154">
    <cfRule type="expression" priority="7" aboveAverage="0" equalAverage="0" bottom="0" percent="0" rank="0" text="" dxfId="12">
      <formula>LEFT(R5,3)="Yes"</formula>
    </cfRule>
  </conditionalFormatting>
  <conditionalFormatting sqref="Q5:Q154">
    <cfRule type="expression" priority="8" aboveAverage="0" equalAverage="0" bottom="0" percent="0" rank="0" text="" dxfId="13">
      <formula>Q5&lt;&gt;""</formula>
    </cfRule>
  </conditionalFormatting>
  <conditionalFormatting sqref="AD5:AD154">
    <cfRule type="expression" priority="9"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2" t="s">
        <v>79</v>
      </c>
      <c r="B1" s="2" t="s">
        <v>80</v>
      </c>
      <c r="C1" s="2" t="s">
        <v>81</v>
      </c>
      <c r="D1" s="2" t="s">
        <v>26</v>
      </c>
      <c r="E1" s="2" t="s">
        <v>82</v>
      </c>
      <c r="F1" s="2" t="s">
        <v>83</v>
      </c>
      <c r="G1" s="2" t="s">
        <v>84</v>
      </c>
      <c r="H1" s="2" t="s">
        <v>85</v>
      </c>
      <c r="I1" s="2" t="s">
        <v>86</v>
      </c>
      <c r="J1" s="2" t="s">
        <v>87</v>
      </c>
      <c r="K1" s="2" t="s">
        <v>88</v>
      </c>
      <c r="L1" s="2" t="s">
        <v>89</v>
      </c>
      <c r="N1" s="15" t="s">
        <v>90</v>
      </c>
      <c r="O1" s="15" t="s">
        <v>91</v>
      </c>
    </row>
    <row r="2" customFormat="false" ht="15" hidden="false" customHeight="false" outlineLevel="0" collapsed="false">
      <c r="N2" s="16" t="str">
        <f aca="false">IF(H2="","",IFERROR(LEFT(H2,FIND(" ",H2)-1),H2))</f>
        <v/>
      </c>
      <c r="O2" s="17" t="n">
        <f aca="false">IFERROR(DATE(VALUE(MID(N2,FIND("/",N2,FIND("/",N2)+1)+1,4)),VALUE(MID(N2,FIND("/",N2)+1,FIND("/",N2,FIND("/",N2)+1)-FIND("/",N2)-1)),VALUE(LEFT(N2,FIND("/",N2)-1))),0)</f>
        <v>0</v>
      </c>
      <c r="Q2" s="16" t="s">
        <v>92</v>
      </c>
    </row>
    <row r="3" customFormat="false" ht="15" hidden="false" customHeight="false" outlineLevel="0" collapsed="false">
      <c r="N3" s="0" t="str">
        <f aca="false">IF(H3="","",IFERROR(LEFT(H3,FIND(" ",H3)-1),H3))</f>
        <v/>
      </c>
      <c r="O3" s="17" t="n">
        <f aca="false">IFERROR(DATE(VALUE(MID(N3,FIND("/",N3,FIND("/",N3)+1)+1,4)),VALUE(MID(N3,FIND("/",N3)+1,FIND("/",N3,FIND("/",N3)+1)-FIND("/",N3)-1)),VALUE(LEFT(N3,FIND("/",N3)-1))),0)</f>
        <v>0</v>
      </c>
    </row>
    <row r="4" customFormat="false" ht="15" hidden="false" customHeight="false" outlineLevel="0" collapsed="false">
      <c r="N4" s="0" t="str">
        <f aca="false">IF(H4="","",IFERROR(LEFT(H4,FIND(" ",H4)-1),H4))</f>
        <v/>
      </c>
      <c r="O4" s="17" t="n">
        <f aca="false">IFERROR(DATE(VALUE(MID(N4,FIND("/",N4,FIND("/",N4)+1)+1,4)),VALUE(MID(N4,FIND("/",N4)+1,FIND("/",N4,FIND("/",N4)+1)-FIND("/",N4)-1)),VALUE(LEFT(N4,FIND("/",N4)-1))),0)</f>
        <v>0</v>
      </c>
    </row>
    <row r="5" customFormat="false" ht="15" hidden="false" customHeight="false" outlineLevel="0" collapsed="false">
      <c r="N5" s="0" t="str">
        <f aca="false">IF(H5="","",IFERROR(LEFT(H5,FIND(" ",H5)-1),H5))</f>
        <v/>
      </c>
      <c r="O5" s="17" t="n">
        <f aca="false">IFERROR(DATE(VALUE(MID(N5,FIND("/",N5,FIND("/",N5)+1)+1,4)),VALUE(MID(N5,FIND("/",N5)+1,FIND("/",N5,FIND("/",N5)+1)-FIND("/",N5)-1)),VALUE(LEFT(N5,FIND("/",N5)-1))),0)</f>
        <v>0</v>
      </c>
    </row>
    <row r="6" customFormat="false" ht="15" hidden="false" customHeight="false" outlineLevel="0" collapsed="false">
      <c r="N6" s="0" t="str">
        <f aca="false">IF(H6="","",IFERROR(LEFT(H6,FIND(" ",H6)-1),H6))</f>
        <v/>
      </c>
      <c r="O6" s="17" t="n">
        <f aca="false">IFERROR(DATE(VALUE(MID(N6,FIND("/",N6,FIND("/",N6)+1)+1,4)),VALUE(MID(N6,FIND("/",N6)+1,FIND("/",N6,FIND("/",N6)+1)-FIND("/",N6)-1)),VALUE(LEFT(N6,FIND("/",N6)-1))),0)</f>
        <v>0</v>
      </c>
    </row>
    <row r="7" customFormat="false" ht="15" hidden="false" customHeight="false" outlineLevel="0" collapsed="false">
      <c r="N7" s="0" t="str">
        <f aca="false">IF(H7="","",IFERROR(LEFT(H7,FIND(" ",H7)-1),H7))</f>
        <v/>
      </c>
      <c r="O7" s="17" t="n">
        <f aca="false">IFERROR(DATE(VALUE(MID(N7,FIND("/",N7,FIND("/",N7)+1)+1,4)),VALUE(MID(N7,FIND("/",N7)+1,FIND("/",N7,FIND("/",N7)+1)-FIND("/",N7)-1)),VALUE(LEFT(N7,FIND("/",N7)-1))),0)</f>
        <v>0</v>
      </c>
    </row>
    <row r="8" customFormat="false" ht="15" hidden="false" customHeight="false" outlineLevel="0" collapsed="false">
      <c r="N8" s="0" t="str">
        <f aca="false">IF(H8="","",IFERROR(LEFT(H8,FIND(" ",H8)-1),H8))</f>
        <v/>
      </c>
      <c r="O8" s="17" t="n">
        <f aca="false">IFERROR(DATE(VALUE(MID(N8,FIND("/",N8,FIND("/",N8)+1)+1,4)),VALUE(MID(N8,FIND("/",N8)+1,FIND("/",N8,FIND("/",N8)+1)-FIND("/",N8)-1)),VALUE(LEFT(N8,FIND("/",N8)-1))),0)</f>
        <v>0</v>
      </c>
    </row>
    <row r="9" customFormat="false" ht="15" hidden="false" customHeight="false" outlineLevel="0" collapsed="false">
      <c r="N9" s="0" t="str">
        <f aca="false">IF(H9="","",IFERROR(LEFT(H9,FIND(" ",H9)-1),H9))</f>
        <v/>
      </c>
      <c r="O9" s="17" t="n">
        <f aca="false">IFERROR(DATE(VALUE(MID(N9,FIND("/",N9,FIND("/",N9)+1)+1,4)),VALUE(MID(N9,FIND("/",N9)+1,FIND("/",N9,FIND("/",N9)+1)-FIND("/",N9)-1)),VALUE(LEFT(N9,FIND("/",N9)-1))),0)</f>
        <v>0</v>
      </c>
    </row>
    <row r="10" customFormat="false" ht="15" hidden="false" customHeight="false" outlineLevel="0" collapsed="false">
      <c r="N10" s="0" t="str">
        <f aca="false">IF(H10="","",IFERROR(LEFT(H10,FIND(" ",H10)-1),H10))</f>
        <v/>
      </c>
      <c r="O10" s="17"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17"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17"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17"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17"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17"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17"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17"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17"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17"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17"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17"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17"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17"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17"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17"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17"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17"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17"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17"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17"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17"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17"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17"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17"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17"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17"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17"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17"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17"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17"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17"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17"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17"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17"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17"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17"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17"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17"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17"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17"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17"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17"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17"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17"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17"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17"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17"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17"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17"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17"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17"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17"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17"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17"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17"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17"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17"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17"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17"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17"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17"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17"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17"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17"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17"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17"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17"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17"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17"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17"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17"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17"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17"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17"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17"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17"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17"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17"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17"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17"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17"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17"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17"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17"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17"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17"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17"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17"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17"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17"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17"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17"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17"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17"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17"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17"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17"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17"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17"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17"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17"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17"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17"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17"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17"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17"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17"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17"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17"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17"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17"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17"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17"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17"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17"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17"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17"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17"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17"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17"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17"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17"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17"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17"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17"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17"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17"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17"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17"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17"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17"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17"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17"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17"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17"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17"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17"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17"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17"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17"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17"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17"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17"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17"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17"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17"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17"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17"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17"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17"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17"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17"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17"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17"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17"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17"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17"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17"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17"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17"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17"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17"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17"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17"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17"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17"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17"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17"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17"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17"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17"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17"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17"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17"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17"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17"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17"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17"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17"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17"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17"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17"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17"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17"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17"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17"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17"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17"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17"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17"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17"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17"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17"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17"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17"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17"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17"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17"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17"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17"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17"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17"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17"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17"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17"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17"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17"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17"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17"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17"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17"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17"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17"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17"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17"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17"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17"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17"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17"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17"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17"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17"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17"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17"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17"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17"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17"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17"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17"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17"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17"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17"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17"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17"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17"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17"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17"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17"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17"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17"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17"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17"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17"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17"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17"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17"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17"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17"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17"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17"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17"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17"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17"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17"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17"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17"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17"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17"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17"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17"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17"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17"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17"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17"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17"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17"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17"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17"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17"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17"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17"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17"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17"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17"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17"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17"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17"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17"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17"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17"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17"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17"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1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1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1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1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1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1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1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1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1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1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1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1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1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1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1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1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1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1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1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1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1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1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1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1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1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1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1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1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1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1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1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1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1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1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1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1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1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1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1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1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1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1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1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1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1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1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1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1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1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1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1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1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1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1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1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1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1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1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1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1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1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1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1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1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1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1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1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1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1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1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1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1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1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1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1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1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1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1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1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1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1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1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1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1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1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1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1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1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1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1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1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1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1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1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1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1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1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1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1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1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1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1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1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1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1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1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1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1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1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1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1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1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1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1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1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1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1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1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1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1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1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1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1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1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1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1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1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1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1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1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1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1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1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1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1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1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1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1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1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1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1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1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1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1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1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1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1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1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1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1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1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1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1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1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1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1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1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1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1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1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1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1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1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1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1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1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1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1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1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1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1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1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1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1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1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1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1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1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1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1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1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1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1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1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1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1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1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1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1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1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1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1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1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1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1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1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1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1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1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1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1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1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1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1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1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1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1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1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1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1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1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1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1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1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1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1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1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1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1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1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1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1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1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1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1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1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1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1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1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1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1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1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1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1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1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1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1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1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1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1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1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1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1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1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1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1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1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1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1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1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1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1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1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1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1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1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1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1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1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1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1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1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1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1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1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1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1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1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1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1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1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1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1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1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1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1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1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1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1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1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1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1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1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1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1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1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1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1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1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1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1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1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1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1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1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1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1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1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1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1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1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1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1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1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1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1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1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1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1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1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1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1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1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1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1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1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1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1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1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1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1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1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1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1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1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1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1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1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1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1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1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1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1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1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1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1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1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1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1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1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1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1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1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1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1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1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1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1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1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1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1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1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1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1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1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1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1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1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1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1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1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1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1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1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1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1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1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1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1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1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1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1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1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1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1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1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1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1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1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1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1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1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1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1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1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1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1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1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1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1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1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1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1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1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1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1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1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1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1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1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1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1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1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1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1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1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1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1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1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1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1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1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1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1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1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1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1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1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1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1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1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1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1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1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1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1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1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1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1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1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1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1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1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1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1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1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1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1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1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1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1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1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1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1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1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1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1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1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1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1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1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1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1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1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1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1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1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1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1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1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1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1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1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1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1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1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1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1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1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1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1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1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1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1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1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1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1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1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1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1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1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1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1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1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1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1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1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1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1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1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1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1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1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1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1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1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1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1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1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1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1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1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1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1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1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1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1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1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1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1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1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1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1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1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1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1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1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1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1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1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1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1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1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1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1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1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1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1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1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1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1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1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1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1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1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1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1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1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1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1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1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1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1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1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1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1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1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1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1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1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1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1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1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1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1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1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1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1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1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1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1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1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1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1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1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1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1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1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1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1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1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1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1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1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1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1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1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1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1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1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1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1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1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1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1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1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1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1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1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1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1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1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1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1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1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1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1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1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1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1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1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1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1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1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1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1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1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1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1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1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1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1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1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1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1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1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1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1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1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1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1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1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1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1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1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1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1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1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1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1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1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1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1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1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1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1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1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1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1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1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1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1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1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1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1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1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1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1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1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1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1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1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1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1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1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1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1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1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1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1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1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1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1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1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1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1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1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1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1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1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1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1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1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1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1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1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1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1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1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1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1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1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1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1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1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1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1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1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1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1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1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1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1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1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1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1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1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1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1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1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1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1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1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1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1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1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1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1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1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1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1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1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1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1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1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1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1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1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1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1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1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1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1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1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1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1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1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1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1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1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1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1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1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1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1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1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1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1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1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1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1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1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1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1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1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1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1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1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1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1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1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1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1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1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1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1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1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1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1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1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1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1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1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1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1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1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1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1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1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1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1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1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1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1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1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1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1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1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1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1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1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1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1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1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1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1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1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1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1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1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1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1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1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1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1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1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1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1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1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1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1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1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1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1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1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1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1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1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1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1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1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1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1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1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1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1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1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1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1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1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1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1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1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1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1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1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1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1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1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1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1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1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1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1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1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1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1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1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1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1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1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1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1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1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1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1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1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1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1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1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1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1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1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1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1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1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1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1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1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1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1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1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1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1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1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1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1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1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1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1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1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1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1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1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1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1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1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1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1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1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1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1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1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1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1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1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1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1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1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1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1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1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1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1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1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1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1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1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1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1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1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1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1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1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1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1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1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1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1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1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1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1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1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1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1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1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1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1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1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1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1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1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1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1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1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1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1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1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1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1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1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1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1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1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1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1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1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1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1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1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1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1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1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1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1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1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1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1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1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1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1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1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1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1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1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1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1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1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1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1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1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1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1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1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1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1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1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1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1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1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1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1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1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1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1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1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1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1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1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1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1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1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1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1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1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1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1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1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1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1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1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1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1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1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1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1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1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1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1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1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1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1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1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1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1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1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1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1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1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1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1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1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1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1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1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1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1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1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1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1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1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1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1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1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1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1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1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1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1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1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1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1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1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1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1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1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1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1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1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1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1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1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1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1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1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1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1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1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1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1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1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1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1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1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1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1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1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1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1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1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1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1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1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1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1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1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1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1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1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1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1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1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1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1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1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1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1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1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1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1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1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1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1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1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1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1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1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1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1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1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1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1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1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1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1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1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1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1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1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1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1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1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1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1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1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1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1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1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1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1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1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1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1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1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1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1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1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1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1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1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1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1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1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1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1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1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1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1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1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1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1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1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1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1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1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1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1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1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1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1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1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1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1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1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1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1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1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1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1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1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1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1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1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1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1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1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1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1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1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1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1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1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1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1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1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1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1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1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1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1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1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1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1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1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1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1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1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1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1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1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1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1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1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1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1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1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1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1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1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1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1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1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1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1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1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1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1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1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1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1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1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1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1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1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1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1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1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1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1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1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1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1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1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1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1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1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1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1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1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1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1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1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1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1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1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1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1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1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1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1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1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1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1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1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1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1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1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1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1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1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1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1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1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1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1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1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1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1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1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1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1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1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1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1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1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1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1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1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1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1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1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1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1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1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1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1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1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1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1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1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1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1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1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1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1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1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1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1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1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1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1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1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1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1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1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1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1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1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1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1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1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1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1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1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1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1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1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1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1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1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1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1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1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1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1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1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1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1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1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1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1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1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1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1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1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1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1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1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1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1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1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1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1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1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1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1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1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1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1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1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1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1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1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1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1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1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1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1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1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1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1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1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1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1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1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1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1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1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1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1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1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1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1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1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1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1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1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1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1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1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1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1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1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1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1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1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1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1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1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1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1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1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1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1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1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1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1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1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1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1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1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1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1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1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1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1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1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1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1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1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1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1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1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1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1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1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1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1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1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1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1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1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1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1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1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1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1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1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1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1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1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1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1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1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1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1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1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1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1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1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1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1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1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1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1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1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1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1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1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1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1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1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1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1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1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1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1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1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1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1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1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1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1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1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1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1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1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1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1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1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1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1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1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1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1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1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1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1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1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1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1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1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1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1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1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1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1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1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1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1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1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1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1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1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1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1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1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1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1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1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1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1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1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1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1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1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1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1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1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1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1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1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1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1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1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1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1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1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1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1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1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1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1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1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1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1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1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1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1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1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1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1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1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1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1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1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1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1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1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1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1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1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1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1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1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1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1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1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1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1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1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1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1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1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1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1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1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1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1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1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1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1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1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1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1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1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1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1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1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1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1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1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1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1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1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1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1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1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1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1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1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1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1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1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1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1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1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1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1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1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1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1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1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1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1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1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1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1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1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1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1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1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1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1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1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1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1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1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1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1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1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1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1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1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1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1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1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1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1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1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1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1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1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1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1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1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1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1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1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1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1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1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1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1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1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1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1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1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1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1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1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1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1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1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1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1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1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1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1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1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1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1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1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1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1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1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1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1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1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1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1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1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1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1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1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1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1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1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1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1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1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1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1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1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1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1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1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1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1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1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1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1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1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1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1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1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1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1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1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1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1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1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1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1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1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1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1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1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1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1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1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1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1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1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1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1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1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1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1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1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1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1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1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1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1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1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1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1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1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1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1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1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1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1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1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1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1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1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1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1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1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1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1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1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1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1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1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1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1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1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1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1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1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1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1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1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1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1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1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1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1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1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1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1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1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1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1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1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1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1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1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1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1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1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1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1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1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1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1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1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1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1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1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1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1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1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1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1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1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1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1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1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1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1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1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1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1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1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1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1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1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1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1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1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1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1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1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1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1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1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1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1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1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1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1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1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1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1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1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1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1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1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1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1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1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1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1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1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1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1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1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1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1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1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1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1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1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1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1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1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1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1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1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1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1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1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1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1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1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1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1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1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1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1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1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1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1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1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1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1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1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1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1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1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1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1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1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1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1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1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1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1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1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1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1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1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1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1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1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1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1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1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1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1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1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1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1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1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1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1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1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1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1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1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1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1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1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1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1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1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1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1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1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1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1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1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1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1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1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1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1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1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1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1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1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1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1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1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1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1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1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1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1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1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1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1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1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1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1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1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1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1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1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1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1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1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1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1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1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1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1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1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1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1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1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1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1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1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1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1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1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1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1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1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1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1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1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1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1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1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1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1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1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1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1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1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1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1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1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1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1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1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1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1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1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1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1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1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1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1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1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1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1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1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1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1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1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1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1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1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1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1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1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1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1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1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1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1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1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1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1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1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1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1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1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1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1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1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1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1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1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1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1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1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1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1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1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1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1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1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1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1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1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1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1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1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1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1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1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1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1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1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1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1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1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1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1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1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1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1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1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1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1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1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1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1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1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1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1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1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1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1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1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1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1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1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1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1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1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1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1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1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1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1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1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1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1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1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1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1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1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1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1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1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1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1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1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1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1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1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1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1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1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1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1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1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1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1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1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1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1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1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1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1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1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1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1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1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1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1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1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1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1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1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1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1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1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1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1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1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1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1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1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1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1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1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1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1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1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1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1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1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1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1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1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1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1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1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1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1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1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1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1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1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1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1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1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1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1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1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1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1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1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1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1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1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1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1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1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1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1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1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1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1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1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1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1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1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1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1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1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1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1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1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1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1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1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1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1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1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1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1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1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1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1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1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1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1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1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1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1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1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1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1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1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1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1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1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1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1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1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1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1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1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1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1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1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1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1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1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1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1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1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1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1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1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1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1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1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1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1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1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1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1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1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1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1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1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1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1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1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1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1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1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1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1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1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1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1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1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1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1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1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1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1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1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1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1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1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1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1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1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1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1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1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1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1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1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1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1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1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1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1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1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1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1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1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1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1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1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1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1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1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1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1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1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1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1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1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1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1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1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1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1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1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1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1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1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1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1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1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1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1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1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1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1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1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1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1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1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1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1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1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1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1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1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1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1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1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1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1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1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1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1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1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1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1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1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1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1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1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1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1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1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1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1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1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1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1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1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1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1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1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1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1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1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1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1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1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1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1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1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1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1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1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1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1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1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1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1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1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1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1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1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1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1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1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1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1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1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1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1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1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1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1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1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1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1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1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1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1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1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1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1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1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1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1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1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1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1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1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1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1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1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1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1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1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1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1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1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1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1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1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1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1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1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1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1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1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1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1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1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1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1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1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1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1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1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1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1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1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1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1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1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1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1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1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1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1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1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1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1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1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1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1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1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1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1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1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1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1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1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1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1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1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1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1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1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1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1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1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1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1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1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1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1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1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1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1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1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1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1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1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1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1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1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1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1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1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1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1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1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1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1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1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1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1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1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1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1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1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1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1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1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1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1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1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1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1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1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1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1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1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1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1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1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1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1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1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1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1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1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1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1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1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1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1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1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1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1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1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1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1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1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1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1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1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1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1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1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1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1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1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1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1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1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1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1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1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1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1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1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1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1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1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1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1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1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1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1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1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1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1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1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1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1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1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1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1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1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1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1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1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1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1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1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1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1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1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1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1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1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1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1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1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1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1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1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1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1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1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1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1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1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1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1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1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1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1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1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1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1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1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1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1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1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1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1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1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1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1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1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1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1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1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1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1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1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1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1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1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1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1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1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1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1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1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1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1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1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1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1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1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1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1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1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1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1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1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1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1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1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1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1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1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1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1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1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1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1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1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1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1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1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1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1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1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1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1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1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1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1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1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1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1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1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1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1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1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1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1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1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1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1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1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1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1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1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1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1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1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1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1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1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1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1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1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1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1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1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1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1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1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1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1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1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1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1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1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1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1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1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1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1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1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1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1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1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1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1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1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1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1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1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1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1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1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1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1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1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1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1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1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1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1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1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1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1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1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1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1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1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1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1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1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1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1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1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1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1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1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1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1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1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1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1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1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1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1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1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1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1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1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1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1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1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1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1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1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1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1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1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1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1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1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1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1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1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1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1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1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1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1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1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1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1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1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1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93</v>
      </c>
    </row>
    <row r="4" customFormat="false" ht="15" hidden="false" customHeight="false" outlineLevel="0" collapsed="false">
      <c r="B4" s="5" t="s">
        <v>94</v>
      </c>
      <c r="C4" s="5" t="s">
        <v>95</v>
      </c>
    </row>
    <row r="5" customFormat="false" ht="15" hidden="false" customHeight="false" outlineLevel="0" collapsed="false">
      <c r="B5" s="18" t="s">
        <v>96</v>
      </c>
      <c r="C5" s="9" t="n">
        <f aca="true">TODAY()</f>
        <v>46300</v>
      </c>
      <c r="F5" s="16" t="s">
        <v>97</v>
      </c>
    </row>
    <row r="6" customFormat="false" ht="15" hidden="false" customHeight="false" outlineLevel="0" collapsed="false">
      <c r="B6" s="18" t="s">
        <v>98</v>
      </c>
      <c r="C6" s="9" t="n">
        <v>43646</v>
      </c>
      <c r="F6" s="16" t="s">
        <v>99</v>
      </c>
    </row>
    <row r="7" customFormat="false" ht="15" hidden="false" customHeight="false" outlineLevel="0" collapsed="false">
      <c r="B7" s="18" t="s">
        <v>100</v>
      </c>
      <c r="C7" s="8" t="n">
        <v>8</v>
      </c>
      <c r="F7" s="16" t="s">
        <v>101</v>
      </c>
    </row>
    <row r="8" customFormat="false" ht="15" hidden="false" customHeight="false" outlineLevel="0" collapsed="false">
      <c r="B8" s="18" t="s">
        <v>102</v>
      </c>
      <c r="C8" s="8" t="s">
        <v>103</v>
      </c>
      <c r="F8" s="16" t="s">
        <v>104</v>
      </c>
    </row>
    <row r="9" customFormat="false" ht="15" hidden="false" customHeight="false" outlineLevel="0" collapsed="false">
      <c r="B9" s="18" t="s">
        <v>105</v>
      </c>
      <c r="C9" s="8" t="s">
        <v>106</v>
      </c>
      <c r="F9" s="16" t="s">
        <v>107</v>
      </c>
      <c r="G9" s="16" t="n">
        <f aca="false">IF(LHUnit="Days",HoursPerDay,1)</f>
        <v>1</v>
      </c>
    </row>
    <row r="10" customFormat="false" ht="15" hidden="false" customHeight="false" outlineLevel="0" collapsed="false">
      <c r="B10" s="18" t="s">
        <v>108</v>
      </c>
      <c r="C10" s="8" t="s">
        <v>85</v>
      </c>
      <c r="D10" s="19" t="str">
        <f aca="false">IF(ISNUMBER(MATCH($C10,LH_Hdr,0)),"Yes","NO")</f>
        <v>Yes</v>
      </c>
      <c r="G10" s="16" t="n">
        <f aca="false">IFERROR(MATCH($C10,LH_Hdr,0),0)</f>
        <v>8</v>
      </c>
    </row>
    <row r="11" customFormat="false" ht="15" hidden="false" customHeight="false" outlineLevel="0" collapsed="false">
      <c r="B11" s="5" t="s">
        <v>109</v>
      </c>
      <c r="C11" s="5" t="s">
        <v>110</v>
      </c>
      <c r="D11" s="5" t="s">
        <v>111</v>
      </c>
    </row>
    <row r="12" customFormat="false" ht="15" hidden="false" customHeight="false" outlineLevel="0" collapsed="false">
      <c r="B12" s="18" t="s">
        <v>112</v>
      </c>
      <c r="C12" s="8" t="s">
        <v>81</v>
      </c>
      <c r="D12" s="19" t="str">
        <f aca="false">IF(ISNUMBER(MATCH($C12,LH_Hdr,0)),"Yes","NO")</f>
        <v>Yes</v>
      </c>
      <c r="F12" s="16" t="s">
        <v>113</v>
      </c>
      <c r="G12" s="16" t="n">
        <f aca="false">IFERROR(MATCH($C12,LH_Hdr,0),0)</f>
        <v>3</v>
      </c>
    </row>
    <row r="13" customFormat="false" ht="15" hidden="false" customHeight="false" outlineLevel="0" collapsed="false">
      <c r="B13" s="18" t="s">
        <v>26</v>
      </c>
      <c r="C13" s="8" t="s">
        <v>26</v>
      </c>
      <c r="D13" s="19" t="str">
        <f aca="false">IF(ISNUMBER(MATCH($C13,LH_Hdr,0)),"Yes","NO")</f>
        <v>Yes</v>
      </c>
      <c r="G13" s="16" t="n">
        <f aca="false">IFERROR(MATCH($C13,LH_Hdr,0),0)</f>
        <v>4</v>
      </c>
    </row>
    <row r="14" customFormat="false" ht="15" hidden="false" customHeight="false" outlineLevel="0" collapsed="false">
      <c r="B14" s="18" t="s">
        <v>114</v>
      </c>
      <c r="C14" s="8" t="s">
        <v>82</v>
      </c>
      <c r="D14" s="19" t="str">
        <f aca="false">IF(ISNUMBER(MATCH($C14,LH_Hdr,0)),"Yes","NO")</f>
        <v>Yes</v>
      </c>
      <c r="G14" s="16" t="n">
        <f aca="false">IFERROR(MATCH($C14,LH_Hdr,0),0)</f>
        <v>5</v>
      </c>
    </row>
    <row r="15" customFormat="false" ht="15" hidden="false" customHeight="false" outlineLevel="0" collapsed="false">
      <c r="B15" s="18" t="s">
        <v>115</v>
      </c>
      <c r="C15" s="8" t="s">
        <v>87</v>
      </c>
      <c r="D15" s="19" t="str">
        <f aca="false">IF(ISNUMBER(MATCH($C15,LH_Hdr,0)),"Yes","NO")</f>
        <v>Yes</v>
      </c>
      <c r="G15" s="16" t="n">
        <f aca="false">IFERROR(MATCH($C15,LH_Hdr,0),0)</f>
        <v>10</v>
      </c>
    </row>
    <row r="16" customFormat="false" ht="15" hidden="false" customHeight="false" outlineLevel="0" collapsed="false">
      <c r="B16" s="18" t="s">
        <v>116</v>
      </c>
      <c r="C16" s="8" t="s">
        <v>88</v>
      </c>
      <c r="D16" s="19" t="str">
        <f aca="false">IF(ISNUMBER(MATCH($C16,LH_Hdr,0)),"Yes","NO")</f>
        <v>Yes</v>
      </c>
      <c r="G16" s="16" t="n">
        <f aca="false">IFERROR(MATCH($C16,LH_Hdr,0),0)</f>
        <v>11</v>
      </c>
    </row>
    <row r="17" customFormat="false" ht="15" hidden="false" customHeight="false" outlineLevel="0" collapsed="false">
      <c r="B17" s="18" t="s">
        <v>117</v>
      </c>
      <c r="C17" s="8" t="s">
        <v>84</v>
      </c>
      <c r="D17" s="19" t="str">
        <f aca="false">IF(ISNUMBER(MATCH($C17,LH_Hdr,0)),"Yes","NO")</f>
        <v>Yes</v>
      </c>
      <c r="G17" s="16" t="n">
        <f aca="false">IFERROR(MATCH($C17,LH_Hdr,0),0)</f>
        <v>7</v>
      </c>
    </row>
    <row r="18" customFormat="false" ht="15" hidden="false" customHeight="false" outlineLevel="0" collapsed="false">
      <c r="B18" s="2" t="s">
        <v>118</v>
      </c>
      <c r="D18" s="19" t="str">
        <f aca="false">IF(LH_Ready,"YES","NO")</f>
        <v>YES</v>
      </c>
      <c r="G18" s="20" t="b">
        <f aca="false">AND(LH_ColFirst&gt;0,LH_ColSur&gt;0,LH_ColCat&gt;0,LH_ColAcc&gt;0,LH_ColTaken&gt;0,LH_ColClose&gt;0)</f>
        <v>1</v>
      </c>
    </row>
    <row r="19" customFormat="false" ht="15" hidden="false" customHeight="false" outlineLevel="0" collapsed="false">
      <c r="B19" s="18" t="s">
        <v>119</v>
      </c>
      <c r="C19" s="8" t="s">
        <v>120</v>
      </c>
      <c r="F19" s="16" t="s">
        <v>121</v>
      </c>
    </row>
    <row r="20" customFormat="false" ht="15" hidden="false" customHeight="false" outlineLevel="0" collapsed="false">
      <c r="B20" s="5" t="s">
        <v>122</v>
      </c>
      <c r="C20" s="5" t="s">
        <v>95</v>
      </c>
    </row>
    <row r="21" customFormat="false" ht="15" hidden="false" customHeight="false" outlineLevel="0" collapsed="false">
      <c r="B21" s="18" t="s">
        <v>123</v>
      </c>
      <c r="C21" s="8" t="n">
        <v>36</v>
      </c>
      <c r="F21" s="16" t="s">
        <v>124</v>
      </c>
    </row>
    <row r="22" customFormat="false" ht="15" hidden="false" customHeight="false" outlineLevel="0" collapsed="false">
      <c r="B22" s="18" t="s">
        <v>125</v>
      </c>
      <c r="C22" s="8" t="n">
        <v>4</v>
      </c>
      <c r="F22" s="16" t="s">
        <v>126</v>
      </c>
    </row>
    <row r="23" customFormat="false" ht="15" hidden="false" customHeight="false" outlineLevel="0" collapsed="false">
      <c r="B23" s="18" t="s">
        <v>127</v>
      </c>
      <c r="C23" s="8" t="n">
        <v>60</v>
      </c>
      <c r="F23" s="16" t="s">
        <v>128</v>
      </c>
    </row>
    <row r="24" customFormat="false" ht="15" hidden="false" customHeight="false" outlineLevel="0" collapsed="false">
      <c r="B24" s="18" t="s">
        <v>129</v>
      </c>
      <c r="C24" s="8" t="n">
        <v>2</v>
      </c>
      <c r="F24" s="16" t="s">
        <v>128</v>
      </c>
    </row>
    <row r="25" customFormat="false" ht="15" hidden="false" customHeight="false" outlineLevel="0" collapsed="false">
      <c r="B25" s="18" t="s">
        <v>130</v>
      </c>
      <c r="C25" s="8" t="n">
        <v>3</v>
      </c>
      <c r="F25" s="16" t="s">
        <v>131</v>
      </c>
    </row>
    <row r="26" customFormat="false" ht="15" hidden="false" customHeight="false" outlineLevel="0" collapsed="false">
      <c r="B26" s="18" t="s">
        <v>132</v>
      </c>
      <c r="C26" s="8" t="n">
        <v>60</v>
      </c>
      <c r="F26" s="16" t="s">
        <v>133</v>
      </c>
    </row>
    <row r="27" customFormat="false" ht="15" hidden="false" customHeight="false" outlineLevel="0" collapsed="false">
      <c r="B27" s="18" t="s">
        <v>134</v>
      </c>
      <c r="C27" s="8" t="n">
        <v>4</v>
      </c>
      <c r="F27" s="16" t="s">
        <v>135</v>
      </c>
    </row>
    <row r="28" customFormat="false" ht="15" hidden="false" customHeight="false" outlineLevel="0" collapsed="false">
      <c r="B28" s="18" t="s">
        <v>136</v>
      </c>
      <c r="C28" s="8" t="n">
        <v>24</v>
      </c>
      <c r="F28" s="16" t="s">
        <v>137</v>
      </c>
    </row>
    <row r="29" customFormat="false" ht="15" hidden="false" customHeight="false" outlineLevel="0" collapsed="false">
      <c r="B29" s="18" t="s">
        <v>138</v>
      </c>
      <c r="C29" s="12" t="n">
        <f aca="false">1+INT((FT_Y5-1-FT_First)/FT_Int1)</f>
        <v>6</v>
      </c>
    </row>
    <row r="30" customFormat="false" ht="15" hidden="false" customHeight="false" outlineLevel="0" collapsed="false">
      <c r="B30" s="18" t="s">
        <v>139</v>
      </c>
      <c r="C30" s="12" t="n">
        <f aca="false">FT_AnnivDays+INT(11/FT_Int2)</f>
        <v>5</v>
      </c>
    </row>
    <row r="31" customFormat="false" ht="15" hidden="false" customHeight="false" outlineLevel="0" collapsed="false">
      <c r="B31" s="18" t="s">
        <v>140</v>
      </c>
      <c r="C31" s="8" t="s">
        <v>141</v>
      </c>
      <c r="F31" s="16" t="s">
        <v>142</v>
      </c>
    </row>
    <row r="34" customFormat="false" ht="15" hidden="false" customHeight="true" outlineLevel="0" collapsed="false">
      <c r="B34" s="21" t="s">
        <v>143</v>
      </c>
      <c r="C34" s="21"/>
      <c r="D34" s="21"/>
      <c r="E34" s="21"/>
      <c r="F34" s="21"/>
    </row>
    <row r="35" customFormat="false" ht="15" hidden="false" customHeight="true" outlineLevel="0" collapsed="false">
      <c r="B35" s="22" t="s">
        <v>144</v>
      </c>
      <c r="C35" s="22"/>
      <c r="D35" s="22"/>
      <c r="E35" s="22"/>
      <c r="F35" s="22"/>
    </row>
    <row r="36" customFormat="false" ht="43.5" hidden="false" customHeight="true" outlineLevel="0" collapsed="false">
      <c r="B36" s="22" t="s">
        <v>145</v>
      </c>
      <c r="C36" s="22"/>
      <c r="D36" s="22"/>
      <c r="E36" s="22"/>
      <c r="F36" s="22"/>
    </row>
    <row r="37" customFormat="false" ht="30" hidden="false" customHeight="true" outlineLevel="0" collapsed="false">
      <c r="B37" s="22" t="s">
        <v>146</v>
      </c>
      <c r="C37" s="22"/>
      <c r="D37" s="22"/>
      <c r="E37" s="22"/>
      <c r="F37" s="22"/>
    </row>
    <row r="38" customFormat="false" ht="30" hidden="false" customHeight="true" outlineLevel="0" collapsed="false">
      <c r="B38" s="22" t="s">
        <v>147</v>
      </c>
      <c r="C38" s="22"/>
      <c r="D38" s="22"/>
      <c r="E38" s="22"/>
      <c r="F38" s="22"/>
    </row>
    <row r="39" customFormat="false" ht="43.5" hidden="false" customHeight="true" outlineLevel="0" collapsed="false">
      <c r="B39" s="22" t="s">
        <v>148</v>
      </c>
      <c r="C39" s="22"/>
      <c r="D39" s="22"/>
      <c r="E39" s="22"/>
      <c r="F39" s="22"/>
    </row>
    <row r="40" customFormat="false" ht="43.5" hidden="false" customHeight="true" outlineLevel="0" collapsed="false">
      <c r="B40" s="22" t="s">
        <v>149</v>
      </c>
      <c r="C40" s="22"/>
      <c r="D40" s="22"/>
      <c r="E40" s="22"/>
      <c r="F40" s="22"/>
    </row>
    <row r="41" customFormat="false" ht="43.5" hidden="false" customHeight="true" outlineLevel="0" collapsed="false">
      <c r="B41" s="22" t="s">
        <v>150</v>
      </c>
      <c r="C41" s="22"/>
      <c r="D41" s="22"/>
      <c r="E41" s="22"/>
      <c r="F41" s="22"/>
    </row>
    <row r="42" customFormat="false" ht="43.5" hidden="false" customHeight="true" outlineLevel="0" collapsed="false">
      <c r="B42" s="22" t="s">
        <v>151</v>
      </c>
      <c r="C42" s="22"/>
      <c r="D42" s="22"/>
      <c r="E42" s="22"/>
      <c r="F42" s="22"/>
    </row>
    <row r="43" customFormat="false" ht="15" hidden="false" customHeight="false" outlineLevel="0" collapsed="false">
      <c r="B43" s="22"/>
      <c r="C43" s="22"/>
      <c r="D43" s="22"/>
      <c r="E43" s="22"/>
      <c r="F43" s="22"/>
    </row>
    <row r="44" customFormat="false" ht="15" hidden="false" customHeight="true" outlineLevel="0" collapsed="false">
      <c r="B44" s="21" t="s">
        <v>152</v>
      </c>
      <c r="C44" s="21"/>
      <c r="D44" s="21"/>
      <c r="E44" s="21"/>
      <c r="F44" s="21"/>
    </row>
    <row r="45" customFormat="false" ht="30" hidden="false" customHeight="true" outlineLevel="0" collapsed="false">
      <c r="B45" s="22" t="s">
        <v>153</v>
      </c>
      <c r="C45" s="22"/>
      <c r="D45" s="22"/>
      <c r="E45" s="22"/>
      <c r="F45" s="22"/>
    </row>
    <row r="46" customFormat="false" ht="15" hidden="false" customHeight="true" outlineLevel="0" collapsed="false">
      <c r="B46" s="22" t="s">
        <v>154</v>
      </c>
      <c r="C46" s="22"/>
      <c r="D46" s="22"/>
      <c r="E46" s="22"/>
      <c r="F46" s="22"/>
    </row>
    <row r="47" customFormat="false" ht="43.5" hidden="false" customHeight="true" outlineLevel="0" collapsed="false">
      <c r="B47" s="22" t="s">
        <v>155</v>
      </c>
      <c r="C47" s="22"/>
      <c r="D47" s="22"/>
      <c r="E47" s="22"/>
      <c r="F47" s="22"/>
    </row>
    <row r="48" customFormat="false" ht="15" hidden="false" customHeight="false" outlineLevel="0" collapsed="false">
      <c r="B48" s="22"/>
      <c r="C48" s="22"/>
      <c r="D48" s="22"/>
      <c r="E48" s="22"/>
      <c r="F48" s="22"/>
    </row>
    <row r="49" customFormat="false" ht="43.5" hidden="false" customHeight="true" outlineLevel="0" collapsed="false">
      <c r="B49" s="21" t="s">
        <v>156</v>
      </c>
      <c r="C49" s="21"/>
      <c r="D49" s="21"/>
      <c r="E49" s="21"/>
      <c r="F49" s="21"/>
    </row>
  </sheetData>
  <mergeCells count="16">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2026-10-05T23:08:40Z</dcterms:created>
  <dc:creator>openpyxl</dc:creator>
  <dc:description/>
  <dc:language>en-US</dc:language>
  <cp:lastModifiedBy/>
  <dcterms:modified xsi:type="dcterms:W3CDTF">2026-10-05T23:08:40Z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