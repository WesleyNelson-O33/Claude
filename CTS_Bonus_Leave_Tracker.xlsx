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<sst xmlns="http://schemas.openxmlformats.org/spreadsheetml/2006/main" count="365" uniqueCount="174">
  <si>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</si>
  <si>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</si>
  <si>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</si>
  <si>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</si>
  <si>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</si>
  <si>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</si>
  <si>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</si>
  <si>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</si>
  <si>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</si>
  <si>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</si>
  <si>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</si>
  <si>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</si>
  <si>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</si>
  <si>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</si>
  <si>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</si>
  <si>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</si>
  <si>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balance at start of report</t>
  </si>
  <si>
    <t xml:space="preserve">posted in EH during report</t>
  </si>
  <si>
    <t xml:space="preserve">taken during report</t>
  </si>
  <si>
    <t xml:space="preserve">EH balance now</t>
  </si>
  <si>
    <t xml:space="preserve">policy accrual from report start to as-of</t>
  </si>
  <si>
    <t xml:space="preserve">due - accrued in EH</t>
  </si>
  <si>
    <t xml:space="preserve">policy hrs at report start - opening balance</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</si>
  <si>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</si>
  <si>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</si>
  <si>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</si>
  <si>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</si>
  <si>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</si>
  <si>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</si>
  <si>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</si>
  <si>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</si>
  <si>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</si>
  <si>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</si>
  <si>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</si>
  <si>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</si>
  <si>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</si>
  <si>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</si>
  <si>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</si>
  <si>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</si>
  <si>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</si>
  <si>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</si>
  <si>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</si>
  <si>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</si>
  <si>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</si>
  <si>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</si>
  <si>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</si>
  <si>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</si>
  <si>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</si>
  <si>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</si>
  <si>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Accrue?</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</si>
  <si>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</si>
  <si>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</si>
  <si>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</si>
  <si>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</si>
  <si>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</si>
  <si>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</si>
  <si>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</si>
  <si>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</si>
  <si>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</si>
  <si>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</si>
  <si>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</si>
  <si>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</si>
  <si>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</si>
  <si>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</si>
  <si>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</si>
  <si>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</si>
  <si>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</si>
  <si>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</si>
  <si>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</si>
  <si>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</si>
  <si>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</si>
  <si>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</si>
  <si>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</si>
  <si>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</si>
  <si>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</si>
  <si>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</si>
  <si>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</si>
  <si>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</si>
  <si>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Jane</t>
  </si>
  <si>
    <t xml:space="preserve">Citizen</t>
  </si>
  <si>
    <t xml:space="preserve">Full-Time</t>
  </si>
  <si>
    <t xml:space="preserve">Tom</t>
  </si>
  <si>
    <t xml:space="preserve">Nguyen</t>
  </si>
  <si>
    <t xml:space="preserve">Part-Time</t>
  </si>
  <si>
    <t xml:space="preserve">Sam</t>
  </si>
  <si>
    <t xml:space="preserve">Lee</t>
  </si>
  <si>
    <t xml:space="preserve">Casual</t>
  </si>
  <si>
    <t xml:space="preserve">Priya</t>
  </si>
  <si>
    <t xml:space="preserve">Patel</t>
  </si>
  <si>
    <t xml:space="preserve">Liam</t>
  </si>
  <si>
    <t xml:space="preserve">Brown</t>
  </si>
  <si>
    <t xml:space="preserve">Olivia</t>
  </si>
  <si>
    <t xml:space="preserve">Smith</t>
  </si>
  <si>
    <t xml:space="preserve">Ava</t>
  </si>
  <si>
    <t xml:space="preserve">Jones</t>
  </si>
  <si>
    <t xml:space="preserve">Chris</t>
  </si>
  <si>
    <t xml:space="preserve">Taylor</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</si>
  <si>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</si>
  <si>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</si>
  <si>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</si>
  <si>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</si>
  <si>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</si>
  <si>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</si>
  <si>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</si>
  <si>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</si>
  <si>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</si>
  <si>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</si>
  <si>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</si>
  <si>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SAMPLE - clear this sheet, then paste the EH Leave History Report at A1 (headers in row 1, paste as values). Run it from 1 July (or your chosen start date) to today.</t>
  </si>
  <si>
    <t xml:space="preserve">Bonus Leave</t>
  </si>
  <si>
    <t xml:space="preserve">01/07/2026 - 14/07/2026</t>
  </si>
  <si>
    <t xml:space="preserve">Hours</t>
  </si>
  <si>
    <t xml:space="preserve">Rows must be in date order within each employee (EH's default). The latest row's Closing Balance is used as the balance now.</t>
  </si>
  <si>
    <t xml:space="preserve">15/07/2026 - 28/07/2026</t>
  </si>
  <si>
    <t xml:space="preserve">29/07/2026 - 11/08/2026</t>
  </si>
  <si>
    <t xml:space="preserve">12/08/2026 - 25/08/2026</t>
  </si>
  <si>
    <t xml:space="preserve">26/08/2026 - 08/09/2026</t>
  </si>
  <si>
    <t xml:space="preserve">09/09/2026 - 22/09/2026</t>
  </si>
  <si>
    <t xml:space="preserve">Annual Leave</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</si>
  <si>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</si>
  <si>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</si>
  <si>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</si>
  <si>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</si>
  <si>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</si>
  <si>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</si>
  <si>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Report from 01/07/2026 = enter 30/06/2026. Policy accrual due is counted from the next day to the as-of date.</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</si>
  <si>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</si>
  <si>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</si>
  <si>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</si>
  <si>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</si>
  <si>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</si>
  <si>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</si>
  <si>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</si>
  <si>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</si>
  <si>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</si>
  <si>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</si>
  <si>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</si>
  <si>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</si>
  <si>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</si>
  <si>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</si>
  <si>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</si>
  <si>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</si>
  <si>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</si>
  <si>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</si>
  <si>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</si>
  <si>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</si>
  <si>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</si>
  <si>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</si>
  <si>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</si>
  <si>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</si>
  <si>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</si>
  <si>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</si>
  <si>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</si>
  <si>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</si>
  <si>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</si>
  <si>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</si>
  <si>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</si>
  <si>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</si>
  <si>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</si>
  <si>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</si>
  <si>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</si>
  <si>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</si>
  <si>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</si>
  <si>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</si>
  <si>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</si>
  <si>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1 July (or any start date) to today and paste it at A1. On this tab set the day BEFORE the report start date.</t>
  </si>
  <si>
    <t xml:space="preserve">6. The red columns on Staff then read straight from the report: Opening Balance, Leave Accrued (what HR posted in EH during the report), Leave Taken, Closing Balance (balance now), Due per policy (what the policy accrues between the report start and today), Hours to Accrue (= due - accrued in EH), Accrue? and an Action.</t>
  </si>
  <si>
    <t xml:space="preserve">7. Filter the Action column: ACCRUE = add those hours in EH now. CHECK = something does not add up. OK = nothing to do. Data Check flags input problems (e.g. EmploymentType not matching the latest start date).</t>
  </si>
  <si>
    <t xml:space="preserve">8. Opening gap vs policy: policy hours at the report start minus the opening balance. Positive = either leave taken before the report start (fine) or accruals never posted (catch up). Run a longer Leave History report to see which.</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</si>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</sst>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E2EFDA"/>
        <bgColor rgb="FFF2F2F2"/>
      </patternFill>
    </fill>
    <fill>
      <patternFill patternType="solid">
        <fgColor rgb="FFF2F2F2"/>
        <bgColor rgb="FFE2EFDA"/>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8"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2E75B6"/>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8"/>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"&amp;TEXT(SUMIF($Y$5:$Y$154,"&gt;0"),"0.##")&amp;" hrs for "&amp;COUNTIF($Z$5:$Z$154,"Yes")&amp;" people"</f>
        <v>As at 01/10/2026  |  Report from 01/07/2026  |  Staff: 8  |  Accruing: 5  |  To accrue now: 40 hrs for 4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c r="AA3" s="3"/>
      <c r="AB3" s="3" t="s">
        <v>22</v>
      </c>
      <c r="AC3" s="3" t="s">
        <v>23</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24</v>
      </c>
      <c r="B4" s="4" t="s">
        <v>25</v>
      </c>
      <c r="C4" s="4" t="s">
        <v>26</v>
      </c>
      <c r="D4" s="4" t="s">
        <v>27</v>
      </c>
      <c r="E4" s="5" t="s">
        <v>28</v>
      </c>
      <c r="F4" s="4" t="s">
        <v>29</v>
      </c>
      <c r="G4" s="4" t="s">
        <v>30</v>
      </c>
      <c r="H4" s="4" t="s">
        <v>31</v>
      </c>
      <c r="I4" s="4" t="s">
        <v>32</v>
      </c>
      <c r="J4" s="4" t="s">
        <v>33</v>
      </c>
      <c r="K4" s="5" t="s">
        <v>34</v>
      </c>
      <c r="L4" s="5" t="s">
        <v>35</v>
      </c>
      <c r="M4" s="5" t="s">
        <v>36</v>
      </c>
      <c r="N4" s="5" t="s">
        <v>37</v>
      </c>
      <c r="O4" s="5" t="s">
        <v>38</v>
      </c>
      <c r="P4" s="4" t="s">
        <v>39</v>
      </c>
      <c r="Q4" s="5" t="s">
        <v>40</v>
      </c>
      <c r="R4" s="5" t="s">
        <v>41</v>
      </c>
      <c r="S4" s="5" t="s">
        <v>42</v>
      </c>
      <c r="T4" s="6" t="s">
        <v>43</v>
      </c>
      <c r="U4" s="6" t="s">
        <v>44</v>
      </c>
      <c r="V4" s="6" t="s">
        <v>45</v>
      </c>
      <c r="W4" s="6" t="s">
        <v>46</v>
      </c>
      <c r="X4" s="6" t="s">
        <v>47</v>
      </c>
      <c r="Y4" s="6" t="s">
        <v>48</v>
      </c>
      <c r="Z4" s="6" t="s">
        <v>49</v>
      </c>
      <c r="AA4" s="6" t="s">
        <v>50</v>
      </c>
      <c r="AB4" s="6" t="s">
        <v>51</v>
      </c>
      <c r="AC4" s="6" t="s">
        <v>52</v>
      </c>
      <c r="AD4" s="5" t="s">
        <v>53</v>
      </c>
      <c r="AE4" s="7" t="s">
        <v>54</v>
      </c>
      <c r="AF4" s="7" t="s">
        <v>55</v>
      </c>
      <c r="AG4" s="7" t="s">
        <v>56</v>
      </c>
      <c r="AH4" s="7" t="s">
        <v>57</v>
      </c>
      <c r="AI4" s="7" t="s">
        <v>58</v>
      </c>
      <c r="AJ4" s="7" t="s">
        <v>59</v>
      </c>
      <c r="AK4" s="7" t="s">
        <v>60</v>
      </c>
      <c r="AL4" s="7" t="s">
        <v>61</v>
      </c>
      <c r="AM4" s="7" t="s">
        <v>62</v>
      </c>
      <c r="AN4" s="7" t="s">
        <v>63</v>
      </c>
      <c r="AO4" s="7" t="s">
        <v>64</v>
      </c>
      <c r="AP4" s="7" t="s">
        <v>65</v>
      </c>
      <c r="AQ4" s="7" t="s">
        <v>66</v>
      </c>
      <c r="AR4" s="7" t="s">
        <v>67</v>
      </c>
      <c r="AS4" s="7" t="s">
        <v>68</v>
      </c>
      <c r="AT4" s="7" t="s">
        <v>69</v>
      </c>
      <c r="AU4" s="7" t="s">
        <v>70</v>
      </c>
      <c r="AV4" s="7" t="s">
        <v>71</v>
      </c>
      <c r="AW4" s="7" t="s">
        <v>72</v>
      </c>
      <c r="AX4" s="7" t="s">
        <v>73</v>
      </c>
      <c r="AY4" s="7" t="s">
        <v>74</v>
      </c>
      <c r="AZ4" s="7" t="s">
        <v>75</v>
      </c>
      <c r="BA4" s="7" t="s">
        <v>76</v>
      </c>
      <c r="BB4" s="7" t="s">
        <v>77</v>
      </c>
    </row>
    <row r="5" customFormat="false" ht="15" hidden="false" customHeight="false" outlineLevel="0" collapsed="false">
      <c r="A5" s="8" t="s">
        <v>78</v>
      </c>
      <c r="B5" s="8" t="s">
        <v>79</v>
      </c>
      <c r="C5" s="8" t="s">
        <v>80</v>
      </c>
      <c r="D5" s="9" t="n">
        <v>32975</v>
      </c>
      <c r="E5" s="10" t="n">
        <f aca="false">IF(OR(AE5=0,$D5=""),"",DATE(YEAR(AsOfDate)+IF(DATE(YEAR(AsOfDate),MONTH($D5),DAY($D5))&lt;=AsOfDate,1,0),MONTH($D5),DAY($D5)))</f>
        <v>46489</v>
      </c>
      <c r="F5" s="9" t="n">
        <v>44242</v>
      </c>
      <c r="G5" s="9"/>
      <c r="H5" s="9" t="n">
        <v>44242</v>
      </c>
      <c r="I5" s="9"/>
      <c r="J5" s="9"/>
      <c r="K5" s="10" t="n">
        <f aca="false">IF(AE5=0,"",DATE(YEAR(AsOfDate)+IF(DATE(YEAR(AsOfDate),MONTH($F5),DAY($F5))&lt;=AsOfDate,1,0),MONTH($F5),DAY($F5)))</f>
        <v>46433</v>
      </c>
      <c r="L5" s="11" t="n">
        <f aca="false">IF(AE5=0,"",ROUND((AsOfDate-$F5)/365.25,1))</f>
        <v>5.6</v>
      </c>
      <c r="M5" s="12" t="str">
        <f aca="false">IF(AE5=0,"",IF(AsOfDate&lt;AF5,"-",DATEDIF(AF5,AsOfDate,"y")&amp;"y "&amp;DATEDIF(AF5,AsOfDate,"ym")&amp;"m "&amp;DATEDIF(AF5,AsOfDate,"md")&amp;"d"))</f>
        <v>5y 7m 16d</v>
      </c>
      <c r="N5" s="13" t="n">
        <f aca="false">IF(AE5=0,"",O5*HoursPerDay)</f>
        <v>80</v>
      </c>
      <c r="O5" s="13" t="n">
        <f aca="false">IF(AE5=0,"",AX5)</f>
        <v>10</v>
      </c>
      <c r="P5" s="14"/>
      <c r="Q5" s="12"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Yes - accruing</v>
      </c>
      <c r="S5" s="10" t="n">
        <f aca="false">IF(AE5=0,"",IF(AQ5="None","",EDATE(AF5,AZ5)))</f>
        <v>46341</v>
      </c>
      <c r="T5" s="13" t="n">
        <f aca="false">IF(OR(AE5=0,W5=""),"",W5-U5+V5)</f>
        <v>64</v>
      </c>
      <c r="U5" s="13" t="n">
        <f aca="false">IF(AE5=0,"",IF(NOT(LH_Ready),"",SUMIFS(INDEX(LH_Data,0,LH_ColAcc),INDEX(LH_Data,0,LH_ColFirst),$A5,INDEX(LH_Data,0,LH_ColSur),$B5,INDEX(LH_Data,0,LH_ColCat),BonusCat)*UnitFactor))</f>
        <v>0</v>
      </c>
      <c r="V5" s="13" t="n">
        <f aca="false">IF(AE5=0,"",IF(NOT(LH_Ready),"",SUMIFS(INDEX(LH_Data,0,LH_ColTaken),INDEX(LH_Data,0,LH_ColFirst),$A5,INDEX(LH_Data,0,LH_ColSur),$B5,INDEX(LH_Data,0,LH_ColCat),BonusCat)*UnitFactor))</f>
        <v>8</v>
      </c>
      <c r="W5" s="13" t="n">
        <f aca="false">IF(AE5=0,"",IF(NOT(LH_Ready),"",IF(BB5=0,0,INDEX(INDEX(LH_Data,0,LH_ColClose),BB5-1)*UnitFactor)))</f>
        <v>56</v>
      </c>
      <c r="X5" s="13" t="n">
        <f aca="false">IF(AE5=0,"",(AX5-AY5)*HoursPerDay)</f>
        <v>8</v>
      </c>
      <c r="Y5" s="13" t="n">
        <f aca="false">IF(AE5=0,"",X5-N(U5))</f>
        <v>8</v>
      </c>
      <c r="Z5" s="12" t="str">
        <f aca="false">IF(AE5=0,"",IF(Y5&gt;0,"Yes","No"))</f>
        <v>Yes</v>
      </c>
      <c r="AA5" s="12" t="str">
        <f aca="false">IF(AE5=0,"",IF(NOT(LH_Ready),"Paste Leave History export",IF(Y5&gt;0,"ACCRUE "&amp;TEXT(Y5,"0.##")&amp;" hrs ("&amp;TEXT(Y5/HoursPerDay,"0.##")&amp;" days)"&amp;IF(BA5=0," - no Bonus Leave line in EH yet",""),IF(Y5&lt;0,"CHECK - EH accrued "&amp;TEXT(-Y5,"0.##")&amp;" hrs more than policy",IF(AND(O5&gt;0,BA5=0),"CHECK - policy says "&amp;TEXT(N5,"0.##")&amp;" hrs to date but no Bonus Leave in EH",IF(O5&gt;0,"OK","-"))))))</f>
        <v>ACCRUE 8 hrs (1 days)</v>
      </c>
      <c r="AB5" s="13" t="n">
        <f aca="false">IF(OR(AE5=0,T5=""),"",AY5*HoursPerDay-T5)</f>
        <v>8</v>
      </c>
      <c r="AC5" s="12" t="n">
        <f aca="false">IF(AE5=0,"",BA5)</f>
        <v>6</v>
      </c>
      <c r="AD5" s="12" t="str">
        <f aca="false">IF(AE5=0,"",TRIM(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1</v>
      </c>
      <c r="AF5" s="10" t="n">
        <f aca="false">IF(AE5=0,"",IF($J5&lt;&gt;"",$J5,$F5))</f>
        <v>44242</v>
      </c>
      <c r="AG5" s="12" t="n">
        <f aca="false">IF(AE5=0,"",COUNT($G5:$I5))</f>
        <v>1</v>
      </c>
      <c r="AH5" s="10" t="n">
        <f aca="false">IF(AE5=0,"",IFERROR(SMALL($G5:$I5,1),""))</f>
        <v>44242</v>
      </c>
      <c r="AI5" s="10" t="str">
        <f aca="false">IF(AE5=0,"",IFERROR(SMALL($G5:$I5,2),""))</f>
        <v/>
      </c>
      <c r="AJ5" s="10" t="str">
        <f aca="false">IF(AE5=0,"",IFERROR(SMALL($G5:$I5,3),""))</f>
        <v/>
      </c>
      <c r="AK5" s="12" t="str">
        <f aca="false">IF(AE5=0,"",IF(AH5="","",IF(AH5=$G5,"Part-Time",IF(AH5=$H5,"Full-Time","Casual"))))</f>
        <v>Full-Time</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FT</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FT</v>
      </c>
      <c r="AR5" s="12" t="n">
        <f aca="false">IF(AE5=0,"",IF(AsOfDate&lt;AF5,-1,12*(YEAR(AsOfDate)-YEAR(AF5))+MONTH(AsOfDate)-MONTH(AF5)-IF(DAY(AsOfDate)&lt;MIN(DAY(AF5),DAY(EOMONTH(AsOfDate,0))),1,0)))</f>
        <v>67</v>
      </c>
      <c r="AS5" s="12" t="n">
        <f aca="false">IF(AE5=0,"",IF(OR(AG5&lt;2,AI5&gt;AsOfDate),AR5,IF((AI5-1)&lt;AF5,-1,12*(YEAR((AI5-1))-YEAR(AF5))+MONTH((AI5-1))-MONTH(AF5)-IF(DAY((AI5-1))&lt;MIN(DAY(AF5),DAY(EOMONTH((AI5-1),0))),1,0))))</f>
        <v>67</v>
      </c>
      <c r="AT5" s="12" t="n">
        <f aca="false">IF(AE5=0,"",IF(OR(AG5&lt;3,AJ5&gt;AsOfDate),AR5,IF((AJ5-1)&lt;AF5,-1,12*(YEAR((AJ5-1))-YEAR(AF5))+MONTH((AJ5-1))-MONTH(AF5)-IF(DAY((AJ5-1))&lt;MIN(DAY(AF5),DAY(EOMONTH((AJ5-1),0))),1,0))))</f>
        <v>67</v>
      </c>
      <c r="AU5" s="12" t="n">
        <f aca="false">IF(AE5=0,"",IF(PFYDate&lt;AF5,-1,12*(YEAR(PFYDate)-YEAR(AF5))+MONTH(PFYDate)-MONTH(AF5)-IF(DAY(PFYDate)&lt;MIN(DAY(AF5),DAY(EOMONTH(PFYDate,0))),1,0)))</f>
        <v>64</v>
      </c>
      <c r="AV5" s="12" t="n">
        <f aca="false">IF(AE5=0,"",IF(OR(AG5&lt;2,AI5&gt;PFYDate),AU5,IF((AI5-1)&lt;AF5,-1,12*(YEAR((AI5-1))-YEAR(AF5))+MONTH((AI5-1))-MONTH(AF5)-IF(DAY((AI5-1))&lt;MIN(DAY(AF5),DAY(EOMONTH((AI5-1),0))),1,0))))</f>
        <v>64</v>
      </c>
      <c r="AW5" s="12" t="n">
        <f aca="false">IF(AE5=0,"",IF(OR(AG5&lt;3,AJ5&gt;PFYDate),AU5,IF((AJ5-1)&lt;AF5,-1,12*(YEAR((AJ5-1))-YEAR(AF5))+MONTH((AJ5-1))-MONTH(AF5)-IF(DAY((AJ5-1))&lt;MIN(DAY(AF5),DAY(EOMONTH((AJ5-1),0))),1,0))))</f>
        <v>64</v>
      </c>
      <c r="AX5" s="12"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10</v>
      </c>
      <c r="AY5" s="12"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9</v>
      </c>
      <c r="AZ5" s="12" t="n">
        <f aca="false">IF(AE5=0,"",IF(AQ5="FT",IF(AR5&lt;FT_First,FT_First,IF(AR5&lt;FT_Y5,MIN(FT_Y5,FT_First+FT_Int1*(INT((AR5-FT_First)/FT_Int1)+1)),FT_Y5+12*INT((AR5-FT_Y5)/12)+FT_Int2*(INT(MOD(AR5-FT_Y5,12)/FT_Int2)+1))),IF(AQ5="PT",IF(AR5&lt;PT_First,PT_First,PT_First+PT_Int*(INT((AR5-PT_First)/PT_Int)+1)),"")))</f>
        <v>69</v>
      </c>
      <c r="BA5" s="12" t="n">
        <f aca="false">IF(AE5=0,"",IF(NOT(LH_Ready),0,COUNTIFS(INDEX(LH_Data,0,LH_ColFirst),$A5,INDEX(LH_Data,0,LH_ColSur),$B5,INDEX(LH_Data,0,LH_ColCat),BonusCat)))</f>
        <v>6</v>
      </c>
      <c r="BB5" s="12" t="n">
        <f aca="false">IF(AE5=0,"",IF(OR(NOT(LH_Ready),BA5=0),0,SUMPRODUCT(MAX((INDEX(LH_Data,0,LH_ColFirst)=$A5)*(INDEX(LH_Data,0,LH_ColSur)=$B5)*(INDEX(LH_Data,0,LH_ColCat)=BonusCat)*ROW(LH_Data)))))</f>
        <v>7</v>
      </c>
    </row>
    <row r="6" customFormat="false" ht="15" hidden="false" customHeight="false" outlineLevel="0" collapsed="false">
      <c r="A6" s="8" t="s">
        <v>81</v>
      </c>
      <c r="B6" s="8" t="s">
        <v>82</v>
      </c>
      <c r="C6" s="8" t="s">
        <v>83</v>
      </c>
      <c r="D6" s="9" t="n">
        <v>31381</v>
      </c>
      <c r="E6" s="10" t="n">
        <f aca="false">IF(OR(AE6=0,$D6=""),"",DATE(YEAR(AsOfDate)+IF(DATE(YEAR(AsOfDate),MONTH($D6),DAY($D6))&lt;=AsOfDate,1,0),MONTH($D6),DAY($D6)))</f>
        <v>46356</v>
      </c>
      <c r="F6" s="9" t="n">
        <v>43983</v>
      </c>
      <c r="G6" s="9" t="n">
        <v>43983</v>
      </c>
      <c r="H6" s="9"/>
      <c r="I6" s="9"/>
      <c r="J6" s="9"/>
      <c r="K6" s="10" t="n">
        <f aca="false">IF(AE6=0,"",DATE(YEAR(AsOfDate)+IF(DATE(YEAR(AsOfDate),MONTH($F6),DAY($F6))&lt;=AsOfDate,1,0),MONTH($F6),DAY($F6)))</f>
        <v>46539</v>
      </c>
      <c r="L6" s="11" t="n">
        <f aca="false">IF(AE6=0,"",ROUND((AsOfDate-$F6)/365.25,1))</f>
        <v>6.3</v>
      </c>
      <c r="M6" s="12" t="str">
        <f aca="false">IF(AE6=0,"",IF(AsOfDate&lt;AF6,"-",DATEDIF(AF6,AsOfDate,"y")&amp;"y "&amp;DATEDIF(AF6,AsOfDate,"ym")&amp;"m "&amp;DATEDIF(AF6,AsOfDate,"md")&amp;"d"))</f>
        <v>6y 4m 0d</v>
      </c>
      <c r="N6" s="13" t="n">
        <f aca="false">IF(AE6=0,"",O6*HoursPerDay)</f>
        <v>40</v>
      </c>
      <c r="O6" s="13" t="n">
        <f aca="false">IF(AE6=0,"",AX6)</f>
        <v>5</v>
      </c>
      <c r="P6" s="14" t="n">
        <v>24</v>
      </c>
      <c r="Q6" s="12"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Yes - accruing</v>
      </c>
      <c r="S6" s="10" t="n">
        <f aca="false">IF(AE6=0,"",IF(AQ6="None","",EDATE(AF6,AZ6)))</f>
        <v>46419</v>
      </c>
      <c r="T6" s="13" t="n">
        <f aca="false">IF(OR(AE6=0,W6=""),"",W6-U6+V6)</f>
        <v>32</v>
      </c>
      <c r="U6" s="13" t="n">
        <f aca="false">IF(AE6=0,"",IF(NOT(LH_Ready),"",SUMIFS(INDEX(LH_Data,0,LH_ColAcc),INDEX(LH_Data,0,LH_ColFirst),$A6,INDEX(LH_Data,0,LH_ColSur),$B6,INDEX(LH_Data,0,LH_ColCat),BonusCat)*UnitFactor))</f>
        <v>0</v>
      </c>
      <c r="V6" s="13" t="n">
        <f aca="false">IF(AE6=0,"",IF(NOT(LH_Ready),"",SUMIFS(INDEX(LH_Data,0,LH_ColTaken),INDEX(LH_Data,0,LH_ColFirst),$A6,INDEX(LH_Data,0,LH_ColSur),$B6,INDEX(LH_Data,0,LH_ColCat),BonusCat)*UnitFactor))</f>
        <v>0</v>
      </c>
      <c r="W6" s="13" t="n">
        <f aca="false">IF(AE6=0,"",IF(NOT(LH_Ready),"",IF(BB6=0,0,INDEX(INDEX(LH_Data,0,LH_ColClose),BB6-1)*UnitFactor)))</f>
        <v>32</v>
      </c>
      <c r="X6" s="13" t="n">
        <f aca="false">IF(AE6=0,"",(AX6-AY6)*HoursPerDay)</f>
        <v>8</v>
      </c>
      <c r="Y6" s="13" t="n">
        <f aca="false">IF(AE6=0,"",X6-N(U6))</f>
        <v>8</v>
      </c>
      <c r="Z6" s="12" t="str">
        <f aca="false">IF(AE6=0,"",IF(Y6&gt;0,"Yes","No"))</f>
        <v>Yes</v>
      </c>
      <c r="AA6" s="12" t="str">
        <f aca="false">IF(AE6=0,"",IF(NOT(LH_Ready),"Paste Leave History export",IF(Y6&gt;0,"ACCRUE "&amp;TEXT(Y6,"0.##")&amp;" hrs ("&amp;TEXT(Y6/HoursPerDay,"0.##")&amp;" days)"&amp;IF(BA6=0," - no Bonus Leave line in EH yet",""),IF(Y6&lt;0,"CHECK - EH accrued "&amp;TEXT(-Y6,"0.##")&amp;" hrs more than policy",IF(AND(O6&gt;0,BA6=0),"CHECK - policy says "&amp;TEXT(N6,"0.##")&amp;" hrs to date but no Bonus Leave in EH",IF(O6&gt;0,"OK","-"))))))</f>
        <v>ACCRUE 8 hrs (1 days)</v>
      </c>
      <c r="AB6" s="13" t="n">
        <f aca="false">IF(OR(AE6=0,T6=""),"",AY6*HoursPerDay-T6)</f>
        <v>0</v>
      </c>
      <c r="AC6" s="12" t="n">
        <f aca="false">IF(AE6=0,"",BA6)</f>
        <v>6</v>
      </c>
      <c r="AD6" s="12" t="str">
        <f aca="false">IF(AE6=0,"",TRIM(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1</v>
      </c>
      <c r="AF6" s="10" t="n">
        <f aca="false">IF(AE6=0,"",IF($J6&lt;&gt;"",$J6,$F6))</f>
        <v>43983</v>
      </c>
      <c r="AG6" s="12" t="n">
        <f aca="false">IF(AE6=0,"",COUNT($G6:$I6))</f>
        <v>1</v>
      </c>
      <c r="AH6" s="10" t="n">
        <f aca="false">IF(AE6=0,"",IFERROR(SMALL($G6:$I6,1),""))</f>
        <v>43983</v>
      </c>
      <c r="AI6" s="10" t="str">
        <f aca="false">IF(AE6=0,"",IFERROR(SMALL($G6:$I6,2),""))</f>
        <v/>
      </c>
      <c r="AJ6" s="10" t="str">
        <f aca="false">IF(AE6=0,"",IFERROR(SMALL($G6:$I6,3),""))</f>
        <v/>
      </c>
      <c r="AK6" s="12" t="str">
        <f aca="false">IF(AE6=0,"",IF(AH6="","",IF(AH6=$G6,"Part-Time",IF(AH6=$H6,"Full-Time","Casual"))))</f>
        <v>Part-Time</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PT</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PT</v>
      </c>
      <c r="AR6" s="12" t="n">
        <f aca="false">IF(AE6=0,"",IF(AsOfDate&lt;AF6,-1,12*(YEAR(AsOfDate)-YEAR(AF6))+MONTH(AsOfDate)-MONTH(AF6)-IF(DAY(AsOfDate)&lt;MIN(DAY(AF6),DAY(EOMONTH(AsOfDate,0))),1,0)))</f>
        <v>76</v>
      </c>
      <c r="AS6" s="12" t="n">
        <f aca="false">IF(AE6=0,"",IF(OR(AG6&lt;2,AI6&gt;AsOfDate),AR6,IF((AI6-1)&lt;AF6,-1,12*(YEAR((AI6-1))-YEAR(AF6))+MONTH((AI6-1))-MONTH(AF6)-IF(DAY((AI6-1))&lt;MIN(DAY(AF6),DAY(EOMONTH((AI6-1),0))),1,0))))</f>
        <v>76</v>
      </c>
      <c r="AT6" s="12" t="n">
        <f aca="false">IF(AE6=0,"",IF(OR(AG6&lt;3,AJ6&gt;AsOfDate),AR6,IF((AJ6-1)&lt;AF6,-1,12*(YEAR((AJ6-1))-YEAR(AF6))+MONTH((AJ6-1))-MONTH(AF6)-IF(DAY((AJ6-1))&lt;MIN(DAY(AF6),DAY(EOMONTH((AJ6-1),0))),1,0))))</f>
        <v>76</v>
      </c>
      <c r="AU6" s="12" t="n">
        <f aca="false">IF(AE6=0,"",IF(PFYDate&lt;AF6,-1,12*(YEAR(PFYDate)-YEAR(AF6))+MONTH(PFYDate)-MONTH(AF6)-IF(DAY(PFYDate)&lt;MIN(DAY(AF6),DAY(EOMONTH(PFYDate,0))),1,0)))</f>
        <v>72</v>
      </c>
      <c r="AV6" s="12" t="n">
        <f aca="false">IF(AE6=0,"",IF(OR(AG6&lt;2,AI6&gt;PFYDate),AU6,IF((AI6-1)&lt;AF6,-1,12*(YEAR((AI6-1))-YEAR(AF6))+MONTH((AI6-1))-MONTH(AF6)-IF(DAY((AI6-1))&lt;MIN(DAY(AF6),DAY(EOMONTH((AI6-1),0))),1,0))))</f>
        <v>72</v>
      </c>
      <c r="AW6" s="12" t="n">
        <f aca="false">IF(AE6=0,"",IF(OR(AG6&lt;3,AJ6&gt;PFYDate),AU6,IF((AJ6-1)&lt;AF6,-1,12*(YEAR((AJ6-1))-YEAR(AF6))+MONTH((AJ6-1))-MONTH(AF6)-IF(DAY((AJ6-1))&lt;MIN(DAY(AF6),DAY(EOMONTH((AJ6-1),0))),1,0))))</f>
        <v>72</v>
      </c>
      <c r="AX6" s="12"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5</v>
      </c>
      <c r="AY6" s="12"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4</v>
      </c>
      <c r="AZ6" s="12" t="n">
        <f aca="false">IF(AE6=0,"",IF(AQ6="FT",IF(AR6&lt;FT_First,FT_First,IF(AR6&lt;FT_Y5,MIN(FT_Y5,FT_First+FT_Int1*(INT((AR6-FT_First)/FT_Int1)+1)),FT_Y5+12*INT((AR6-FT_Y5)/12)+FT_Int2*(INT(MOD(AR6-FT_Y5,12)/FT_Int2)+1))),IF(AQ6="PT",IF(AR6&lt;PT_First,PT_First,PT_First+PT_Int*(INT((AR6-PT_First)/PT_Int)+1)),"")))</f>
        <v>80</v>
      </c>
      <c r="BA6" s="12" t="n">
        <f aca="false">IF(AE6=0,"",IF(NOT(LH_Ready),0,COUNTIFS(INDEX(LH_Data,0,LH_ColFirst),$A6,INDEX(LH_Data,0,LH_ColSur),$B6,INDEX(LH_Data,0,LH_ColCat),BonusCat)))</f>
        <v>6</v>
      </c>
      <c r="BB6" s="12" t="n">
        <f aca="false">IF(AE6=0,"",IF(OR(NOT(LH_Ready),BA6=0),0,SUMPRODUCT(MAX((INDEX(LH_Data,0,LH_ColFirst)=$A6)*(INDEX(LH_Data,0,LH_ColSur)=$B6)*(INDEX(LH_Data,0,LH_ColCat)=BonusCat)*ROW(LH_Data)))))</f>
        <v>19</v>
      </c>
    </row>
    <row r="7" customFormat="false" ht="15" hidden="false" customHeight="false" outlineLevel="0" collapsed="false">
      <c r="A7" s="8" t="s">
        <v>84</v>
      </c>
      <c r="B7" s="8" t="s">
        <v>85</v>
      </c>
      <c r="C7" s="8" t="s">
        <v>86</v>
      </c>
      <c r="D7" s="9" t="n">
        <v>36545</v>
      </c>
      <c r="E7" s="10" t="n">
        <f aca="false">IF(OR(AE7=0,$D7=""),"",DATE(YEAR(AsOfDate)+IF(DATE(YEAR(AsOfDate),MONTH($D7),DAY($D7))&lt;=AsOfDate,1,0),MONTH($D7),DAY($D7)))</f>
        <v>46407</v>
      </c>
      <c r="F7" s="9" t="n">
        <v>43528</v>
      </c>
      <c r="G7" s="9"/>
      <c r="H7" s="9"/>
      <c r="I7" s="9" t="n">
        <v>43528</v>
      </c>
      <c r="J7" s="9"/>
      <c r="K7" s="10" t="n">
        <f aca="false">IF(AE7=0,"",DATE(YEAR(AsOfDate)+IF(DATE(YEAR(AsOfDate),MONTH($F7),DAY($F7))&lt;=AsOfDate,1,0),MONTH($F7),DAY($F7)))</f>
        <v>46450</v>
      </c>
      <c r="L7" s="11" t="n">
        <f aca="false">IF(AE7=0,"",ROUND((AsOfDate-$F7)/365.25,1))</f>
        <v>7.6</v>
      </c>
      <c r="M7" s="12" t="str">
        <f aca="false">IF(AE7=0,"",IF(AsOfDate&lt;AF7,"-",DATEDIF(AF7,AsOfDate,"y")&amp;"y "&amp;DATEDIF(AF7,AsOfDate,"ym")&amp;"m "&amp;DATEDIF(AF7,AsOfDate,"md")&amp;"d"))</f>
        <v>7y 6m 27d</v>
      </c>
      <c r="N7" s="13" t="n">
        <f aca="false">IF(AE7=0,"",O7*HoursPerDay)</f>
        <v>0</v>
      </c>
      <c r="O7" s="13" t="n">
        <f aca="false">IF(AE7=0,"",AX7)</f>
        <v>0</v>
      </c>
      <c r="P7" s="14"/>
      <c r="Q7" s="12"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Not eligible - Casual</v>
      </c>
      <c r="S7" s="10" t="str">
        <f aca="false">IF(AE7=0,"",IF(AQ7="None","",EDATE(AF7,AZ7)))</f>
        <v/>
      </c>
      <c r="T7" s="13" t="n">
        <f aca="false">IF(OR(AE7=0,W7=""),"",W7-U7+V7)</f>
        <v>0</v>
      </c>
      <c r="U7" s="13" t="n">
        <f aca="false">IF(AE7=0,"",IF(NOT(LH_Ready),"",SUMIFS(INDEX(LH_Data,0,LH_ColAcc),INDEX(LH_Data,0,LH_ColFirst),$A7,INDEX(LH_Data,0,LH_ColSur),$B7,INDEX(LH_Data,0,LH_ColCat),BonusCat)*UnitFactor))</f>
        <v>0</v>
      </c>
      <c r="V7" s="13" t="n">
        <f aca="false">IF(AE7=0,"",IF(NOT(LH_Ready),"",SUMIFS(INDEX(LH_Data,0,LH_ColTaken),INDEX(LH_Data,0,LH_ColFirst),$A7,INDEX(LH_Data,0,LH_ColSur),$B7,INDEX(LH_Data,0,LH_ColCat),BonusCat)*UnitFactor))</f>
        <v>0</v>
      </c>
      <c r="W7" s="13" t="n">
        <f aca="false">IF(AE7=0,"",IF(NOT(LH_Ready),"",IF(BB7=0,0,INDEX(INDEX(LH_Data,0,LH_ColClose),BB7-1)*UnitFactor)))</f>
        <v>0</v>
      </c>
      <c r="X7" s="13" t="n">
        <f aca="false">IF(AE7=0,"",(AX7-AY7)*HoursPerDay)</f>
        <v>0</v>
      </c>
      <c r="Y7" s="13" t="n">
        <f aca="false">IF(AE7=0,"",X7-N(U7))</f>
        <v>0</v>
      </c>
      <c r="Z7" s="12" t="str">
        <f aca="false">IF(AE7=0,"",IF(Y7&gt;0,"Yes","No"))</f>
        <v>No</v>
      </c>
      <c r="AA7" s="12" t="str">
        <f aca="false">IF(AE7=0,"",IF(NOT(LH_Ready),"Paste Leave History export",IF(Y7&gt;0,"ACCRUE "&amp;TEXT(Y7,"0.##")&amp;" hrs ("&amp;TEXT(Y7/HoursPerDay,"0.##")&amp;" days)"&amp;IF(BA7=0," - no Bonus Leave line in EH yet",""),IF(Y7&lt;0,"CHECK - EH accrued "&amp;TEXT(-Y7,"0.##")&amp;" hrs more than policy",IF(AND(O7&gt;0,BA7=0),"CHECK - policy says "&amp;TEXT(N7,"0.##")&amp;" hrs to date but no Bonus Leave in EH",IF(O7&gt;0,"OK","-"))))))</f>
        <v>-</v>
      </c>
      <c r="AB7" s="13" t="n">
        <f aca="false">IF(OR(AE7=0,T7=""),"",AY7*HoursPerDay-T7)</f>
        <v>0</v>
      </c>
      <c r="AC7" s="12" t="n">
        <f aca="false">IF(AE7=0,"",BA7)</f>
        <v>0</v>
      </c>
      <c r="AD7" s="12" t="str">
        <f aca="false">IF(AE7=0,"",TRIM(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1</v>
      </c>
      <c r="AF7" s="10" t="n">
        <f aca="false">IF(AE7=0,"",IF($J7&lt;&gt;"",$J7,$F7))</f>
        <v>43528</v>
      </c>
      <c r="AG7" s="12" t="n">
        <f aca="false">IF(AE7=0,"",COUNT($G7:$I7))</f>
        <v>1</v>
      </c>
      <c r="AH7" s="10" t="n">
        <f aca="false">IF(AE7=0,"",IFERROR(SMALL($G7:$I7,1),""))</f>
        <v>43528</v>
      </c>
      <c r="AI7" s="10" t="str">
        <f aca="false">IF(AE7=0,"",IFERROR(SMALL($G7:$I7,2),""))</f>
        <v/>
      </c>
      <c r="AJ7" s="10" t="str">
        <f aca="false">IF(AE7=0,"",IFERROR(SMALL($G7:$I7,3),""))</f>
        <v/>
      </c>
      <c r="AK7" s="12" t="str">
        <f aca="false">IF(AE7=0,"",IF(AH7="","",IF(AH7=$G7,"Part-Time",IF(AH7=$H7,"Full-Time","Casual"))))</f>
        <v>Casual</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None</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None</v>
      </c>
      <c r="AR7" s="12" t="n">
        <f aca="false">IF(AE7=0,"",IF(AsOfDate&lt;AF7,-1,12*(YEAR(AsOfDate)-YEAR(AF7))+MONTH(AsOfDate)-MONTH(AF7)-IF(DAY(AsOfDate)&lt;MIN(DAY(AF7),DAY(EOMONTH(AsOfDate,0))),1,0)))</f>
        <v>90</v>
      </c>
      <c r="AS7" s="12" t="n">
        <f aca="false">IF(AE7=0,"",IF(OR(AG7&lt;2,AI7&gt;AsOfDate),AR7,IF((AI7-1)&lt;AF7,-1,12*(YEAR((AI7-1))-YEAR(AF7))+MONTH((AI7-1))-MONTH(AF7)-IF(DAY((AI7-1))&lt;MIN(DAY(AF7),DAY(EOMONTH((AI7-1),0))),1,0))))</f>
        <v>90</v>
      </c>
      <c r="AT7" s="12" t="n">
        <f aca="false">IF(AE7=0,"",IF(OR(AG7&lt;3,AJ7&gt;AsOfDate),AR7,IF((AJ7-1)&lt;AF7,-1,12*(YEAR((AJ7-1))-YEAR(AF7))+MONTH((AJ7-1))-MONTH(AF7)-IF(DAY((AJ7-1))&lt;MIN(DAY(AF7),DAY(EOMONTH((AJ7-1),0))),1,0))))</f>
        <v>90</v>
      </c>
      <c r="AU7" s="12" t="n">
        <f aca="false">IF(AE7=0,"",IF(PFYDate&lt;AF7,-1,12*(YEAR(PFYDate)-YEAR(AF7))+MONTH(PFYDate)-MONTH(AF7)-IF(DAY(PFYDate)&lt;MIN(DAY(AF7),DAY(EOMONTH(PFYDate,0))),1,0)))</f>
        <v>87</v>
      </c>
      <c r="AV7" s="12" t="n">
        <f aca="false">IF(AE7=0,"",IF(OR(AG7&lt;2,AI7&gt;PFYDate),AU7,IF((AI7-1)&lt;AF7,-1,12*(YEAR((AI7-1))-YEAR(AF7))+MONTH((AI7-1))-MONTH(AF7)-IF(DAY((AI7-1))&lt;MIN(DAY(AF7),DAY(EOMONTH((AI7-1),0))),1,0))))</f>
        <v>87</v>
      </c>
      <c r="AW7" s="12" t="n">
        <f aca="false">IF(AE7=0,"",IF(OR(AG7&lt;3,AJ7&gt;PFYDate),AU7,IF((AJ7-1)&lt;AF7,-1,12*(YEAR((AJ7-1))-YEAR(AF7))+MONTH((AJ7-1))-MONTH(AF7)-IF(DAY((AJ7-1))&lt;MIN(DAY(AF7),DAY(EOMONTH((AJ7-1),0))),1,0))))</f>
        <v>87</v>
      </c>
      <c r="AX7" s="12"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12"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12" t="str">
        <f aca="false">IF(AE7=0,"",IF(AQ7="FT",IF(AR7&lt;FT_First,FT_First,IF(AR7&lt;FT_Y5,MIN(FT_Y5,FT_First+FT_Int1*(INT((AR7-FT_First)/FT_Int1)+1)),FT_Y5+12*INT((AR7-FT_Y5)/12)+FT_Int2*(INT(MOD(AR7-FT_Y5,12)/FT_Int2)+1))),IF(AQ7="PT",IF(AR7&lt;PT_First,PT_First,PT_First+PT_Int*(INT((AR7-PT_First)/PT_Int)+1)),"")))</f>
        <v/>
      </c>
      <c r="BA7" s="12" t="n">
        <f aca="false">IF(AE7=0,"",IF(NOT(LH_Ready),0,COUNTIFS(INDEX(LH_Data,0,LH_ColFirst),$A7,INDEX(LH_Data,0,LH_ColSur),$B7,INDEX(LH_Data,0,LH_ColCat),BonusCat)))</f>
        <v>0</v>
      </c>
      <c r="BB7" s="12" t="n">
        <f aca="false">IF(AE7=0,"",IF(OR(NOT(LH_Ready),BA7=0),0,SUMPRODUCT(MAX((INDEX(LH_Data,0,LH_ColFirst)=$A7)*(INDEX(LH_Data,0,LH_ColSur)=$B7)*(INDEX(LH_Data,0,LH_ColCat)=BonusCat)*ROW(LH_Data)))))</f>
        <v>0</v>
      </c>
    </row>
    <row r="8" customFormat="false" ht="15" hidden="false" customHeight="false" outlineLevel="0" collapsed="false">
      <c r="A8" s="8" t="s">
        <v>87</v>
      </c>
      <c r="B8" s="8" t="s">
        <v>88</v>
      </c>
      <c r="C8" s="8" t="s">
        <v>83</v>
      </c>
      <c r="D8" s="9" t="n">
        <v>33793</v>
      </c>
      <c r="E8" s="10" t="n">
        <f aca="false">IF(OR(AE8=0,$D8=""),"",DATE(YEAR(AsOfDate)+IF(DATE(YEAR(AsOfDate),MONTH($D8),DAY($D8))&lt;=AsOfDate,1,0),MONTH($D8),DAY($D8)))</f>
        <v>46576</v>
      </c>
      <c r="F8" s="9" t="n">
        <v>44621</v>
      </c>
      <c r="G8" s="9" t="n">
        <v>45839</v>
      </c>
      <c r="H8" s="9" t="n">
        <v>44621</v>
      </c>
      <c r="I8" s="9"/>
      <c r="J8" s="9"/>
      <c r="K8" s="10" t="n">
        <f aca="false">IF(AE8=0,"",DATE(YEAR(AsOfDate)+IF(DATE(YEAR(AsOfDate),MONTH($F8),DAY($F8))&lt;=AsOfDate,1,0),MONTH($F8),DAY($F8)))</f>
        <v>46447</v>
      </c>
      <c r="L8" s="11" t="n">
        <f aca="false">IF(AE8=0,"",ROUND((AsOfDate-$F8)/365.25,1))</f>
        <v>4.6</v>
      </c>
      <c r="M8" s="12" t="str">
        <f aca="false">IF(AE8=0,"",IF(AsOfDate&lt;AF8,"-",DATEDIF(AF8,AsOfDate,"y")&amp;"y "&amp;DATEDIF(AF8,AsOfDate,"ym")&amp;"m "&amp;DATEDIF(AF8,AsOfDate,"md")&amp;"d"))</f>
        <v>4y 7m 0d</v>
      </c>
      <c r="N8" s="13" t="n">
        <f aca="false">IF(AE8=0,"",O8*HoursPerDay)</f>
        <v>8</v>
      </c>
      <c r="O8" s="13" t="n">
        <f aca="false">IF(AE8=0,"",AX8)</f>
        <v>1</v>
      </c>
      <c r="P8" s="14" t="n">
        <v>20</v>
      </c>
      <c r="Q8" s="12"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Full-Time to Part-Time on 01/07/2025 - STOPPED accruing</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No longer accruing</v>
      </c>
      <c r="S8" s="10" t="str">
        <f aca="false">IF(AE8=0,"",IF(AQ8="None","",EDATE(AF8,AZ8)))</f>
        <v/>
      </c>
      <c r="T8" s="13" t="n">
        <f aca="false">IF(OR(AE8=0,W8=""),"",W8-U8+V8)</f>
        <v>8</v>
      </c>
      <c r="U8" s="13" t="n">
        <f aca="false">IF(AE8=0,"",IF(NOT(LH_Ready),"",SUMIFS(INDEX(LH_Data,0,LH_ColAcc),INDEX(LH_Data,0,LH_ColFirst),$A8,INDEX(LH_Data,0,LH_ColSur),$B8,INDEX(LH_Data,0,LH_ColCat),BonusCat)*UnitFactor))</f>
        <v>0</v>
      </c>
      <c r="V8" s="13" t="n">
        <f aca="false">IF(AE8=0,"",IF(NOT(LH_Ready),"",SUMIFS(INDEX(LH_Data,0,LH_ColTaken),INDEX(LH_Data,0,LH_ColFirst),$A8,INDEX(LH_Data,0,LH_ColSur),$B8,INDEX(LH_Data,0,LH_ColCat),BonusCat)*UnitFactor))</f>
        <v>8</v>
      </c>
      <c r="W8" s="13" t="n">
        <f aca="false">IF(AE8=0,"",IF(NOT(LH_Ready),"",IF(BB8=0,0,INDEX(INDEX(LH_Data,0,LH_ColClose),BB8-1)*UnitFactor)))</f>
        <v>0</v>
      </c>
      <c r="X8" s="13" t="n">
        <f aca="false">IF(AE8=0,"",(AX8-AY8)*HoursPerDay)</f>
        <v>0</v>
      </c>
      <c r="Y8" s="13" t="n">
        <f aca="false">IF(AE8=0,"",X8-N(U8))</f>
        <v>0</v>
      </c>
      <c r="Z8" s="12" t="str">
        <f aca="false">IF(AE8=0,"",IF(Y8&gt;0,"Yes","No"))</f>
        <v>No</v>
      </c>
      <c r="AA8" s="12" t="str">
        <f aca="false">IF(AE8=0,"",IF(NOT(LH_Ready),"Paste Leave History export",IF(Y8&gt;0,"ACCRUE "&amp;TEXT(Y8,"0.##")&amp;" hrs ("&amp;TEXT(Y8/HoursPerDay,"0.##")&amp;" days)"&amp;IF(BA8=0," - no Bonus Leave line in EH yet",""),IF(Y8&lt;0,"CHECK - EH accrued "&amp;TEXT(-Y8,"0.##")&amp;" hrs more than policy",IF(AND(O8&gt;0,BA8=0),"CHECK - policy says "&amp;TEXT(N8,"0.##")&amp;" hrs to date but no Bonus Leave in EH",IF(O8&gt;0,"OK","-"))))))</f>
        <v>OK</v>
      </c>
      <c r="AB8" s="13" t="n">
        <f aca="false">IF(OR(AE8=0,T8=""),"",AY8*HoursPerDay-T8)</f>
        <v>0</v>
      </c>
      <c r="AC8" s="12" t="n">
        <f aca="false">IF(AE8=0,"",BA8)</f>
        <v>6</v>
      </c>
      <c r="AD8" s="12" t="str">
        <f aca="false">IF(AE8=0,"",TRIM(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1</v>
      </c>
      <c r="AF8" s="10" t="n">
        <f aca="false">IF(AE8=0,"",IF($J8&lt;&gt;"",$J8,$F8))</f>
        <v>44621</v>
      </c>
      <c r="AG8" s="12" t="n">
        <f aca="false">IF(AE8=0,"",COUNT($G8:$I8))</f>
        <v>2</v>
      </c>
      <c r="AH8" s="10" t="n">
        <f aca="false">IF(AE8=0,"",IFERROR(SMALL($G8:$I8,1),""))</f>
        <v>44621</v>
      </c>
      <c r="AI8" s="10" t="n">
        <f aca="false">IF(AE8=0,"",IFERROR(SMALL($G8:$I8,2),""))</f>
        <v>45839</v>
      </c>
      <c r="AJ8" s="10" t="str">
        <f aca="false">IF(AE8=0,"",IFERROR(SMALL($G8:$I8,3),""))</f>
        <v/>
      </c>
      <c r="AK8" s="12" t="str">
        <f aca="false">IF(AE8=0,"",IF(AH8="","",IF(AH8=$G8,"Part-Time",IF(AH8=$H8,"Full-Time","Casual"))))</f>
        <v>Full-Time</v>
      </c>
      <c r="AL8" s="12" t="str">
        <f aca="false">IF(AE8=0,"",IF(AI8="","",IF(AI8=$G8,"Part-Time",IF(AI8=$H8,"Full-Time","Casual"))))</f>
        <v>Part-Time</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FT</v>
      </c>
      <c r="AO8" s="12" t="str">
        <f aca="false">IF(AE8=0,"",IF(AG8&lt;2,"",IF(OR(ISNUMBER(SEARCH("full",AL8)),UPPER(TRIM(AL8))="FT",UPPER(TRIM(AL8))="FTE"),"FT",IF(AND(OR(ISNUMBER(SEARCH("part",AL8)),UPPER(TRIM(AL8))="PT",UPPER(TRIM(AL8))="PTE"),OR($P8="",N($P8)&gt;=PT_MinHours)),"PT","None"))))</f>
        <v>None</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None</v>
      </c>
      <c r="AR8" s="12" t="n">
        <f aca="false">IF(AE8=0,"",IF(AsOfDate&lt;AF8,-1,12*(YEAR(AsOfDate)-YEAR(AF8))+MONTH(AsOfDate)-MONTH(AF8)-IF(DAY(AsOfDate)&lt;MIN(DAY(AF8),DAY(EOMONTH(AsOfDate,0))),1,0)))</f>
        <v>55</v>
      </c>
      <c r="AS8" s="12" t="n">
        <f aca="false">IF(AE8=0,"",IF(OR(AG8&lt;2,AI8&gt;AsOfDate),AR8,IF((AI8-1)&lt;AF8,-1,12*(YEAR((AI8-1))-YEAR(AF8))+MONTH((AI8-1))-MONTH(AF8)-IF(DAY((AI8-1))&lt;MIN(DAY(AF8),DAY(EOMONTH((AI8-1),0))),1,0))))</f>
        <v>39</v>
      </c>
      <c r="AT8" s="12" t="n">
        <f aca="false">IF(AE8=0,"",IF(OR(AG8&lt;3,AJ8&gt;AsOfDate),AR8,IF((AJ8-1)&lt;AF8,-1,12*(YEAR((AJ8-1))-YEAR(AF8))+MONTH((AJ8-1))-MONTH(AF8)-IF(DAY((AJ8-1))&lt;MIN(DAY(AF8),DAY(EOMONTH((AJ8-1),0))),1,0))))</f>
        <v>55</v>
      </c>
      <c r="AU8" s="12" t="n">
        <f aca="false">IF(AE8=0,"",IF(PFYDate&lt;AF8,-1,12*(YEAR(PFYDate)-YEAR(AF8))+MONTH(PFYDate)-MONTH(AF8)-IF(DAY(PFYDate)&lt;MIN(DAY(AF8),DAY(EOMONTH(PFYDate,0))),1,0)))</f>
        <v>51</v>
      </c>
      <c r="AV8" s="12" t="n">
        <f aca="false">IF(AE8=0,"",IF(OR(AG8&lt;2,AI8&gt;PFYDate),AU8,IF((AI8-1)&lt;AF8,-1,12*(YEAR((AI8-1))-YEAR(AF8))+MONTH((AI8-1))-MONTH(AF8)-IF(DAY((AI8-1))&lt;MIN(DAY(AF8),DAY(EOMONTH((AI8-1),0))),1,0))))</f>
        <v>39</v>
      </c>
      <c r="AW8" s="12" t="n">
        <f aca="false">IF(AE8=0,"",IF(OR(AG8&lt;3,AJ8&gt;PFYDate),AU8,IF((AJ8-1)&lt;AF8,-1,12*(YEAR((AJ8-1))-YEAR(AF8))+MONTH((AJ8-1))-MONTH(AF8)-IF(DAY((AJ8-1))&lt;MIN(DAY(AF8),DAY(EOMONTH((AJ8-1),0))),1,0))))</f>
        <v>51</v>
      </c>
      <c r="AX8" s="12"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1</v>
      </c>
      <c r="AY8" s="12"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1</v>
      </c>
      <c r="AZ8" s="12" t="str">
        <f aca="false">IF(AE8=0,"",IF(AQ8="FT",IF(AR8&lt;FT_First,FT_First,IF(AR8&lt;FT_Y5,MIN(FT_Y5,FT_First+FT_Int1*(INT((AR8-FT_First)/FT_Int1)+1)),FT_Y5+12*INT((AR8-FT_Y5)/12)+FT_Int2*(INT(MOD(AR8-FT_Y5,12)/FT_Int2)+1))),IF(AQ8="PT",IF(AR8&lt;PT_First,PT_First,PT_First+PT_Int*(INT((AR8-PT_First)/PT_Int)+1)),"")))</f>
        <v/>
      </c>
      <c r="BA8" s="12" t="n">
        <f aca="false">IF(AE8=0,"",IF(NOT(LH_Ready),0,COUNTIFS(INDEX(LH_Data,0,LH_ColFirst),$A8,INDEX(LH_Data,0,LH_ColSur),$B8,INDEX(LH_Data,0,LH_ColCat),BonusCat)))</f>
        <v>6</v>
      </c>
      <c r="BB8" s="12" t="n">
        <f aca="false">IF(AE8=0,"",IF(OR(NOT(LH_Ready),BA8=0),0,SUMPRODUCT(MAX((INDEX(LH_Data,0,LH_ColFirst)=$A8)*(INDEX(LH_Data,0,LH_ColSur)=$B8)*(INDEX(LH_Data,0,LH_ColCat)=BonusCat)*ROW(LH_Data)))))</f>
        <v>25</v>
      </c>
    </row>
    <row r="9" customFormat="false" ht="15" hidden="false" customHeight="false" outlineLevel="0" collapsed="false">
      <c r="A9" s="8" t="s">
        <v>89</v>
      </c>
      <c r="B9" s="8" t="s">
        <v>90</v>
      </c>
      <c r="C9" s="8" t="s">
        <v>80</v>
      </c>
      <c r="D9" s="9" t="n">
        <v>32202</v>
      </c>
      <c r="E9" s="10" t="n">
        <f aca="false">IF(OR(AE9=0,$D9=""),"",DATE(YEAR(AsOfDate)+IF(DATE(YEAR(AsOfDate),MONTH($D9),DAY($D9))&lt;=AsOfDate,1,0),MONTH($D9),DAY($D9)))</f>
        <v>46447</v>
      </c>
      <c r="F9" s="9" t="n">
        <v>43840</v>
      </c>
      <c r="G9" s="9" t="n">
        <v>43840</v>
      </c>
      <c r="H9" s="9" t="n">
        <v>45292</v>
      </c>
      <c r="I9" s="9"/>
      <c r="J9" s="9"/>
      <c r="K9" s="10" t="n">
        <f aca="false">IF(AE9=0,"",DATE(YEAR(AsOfDate)+IF(DATE(YEAR(AsOfDate),MONTH($F9),DAY($F9))&lt;=AsOfDate,1,0),MONTH($F9),DAY($F9)))</f>
        <v>46397</v>
      </c>
      <c r="L9" s="11" t="n">
        <f aca="false">IF(AE9=0,"",ROUND((AsOfDate-$F9)/365.25,1))</f>
        <v>6.7</v>
      </c>
      <c r="M9" s="12" t="str">
        <f aca="false">IF(AE9=0,"",IF(AsOfDate&lt;AF9,"-",DATEDIF(AF9,AsOfDate,"y")&amp;"y "&amp;DATEDIF(AF9,AsOfDate,"ym")&amp;"m "&amp;DATEDIF(AF9,AsOfDate,"md")&amp;"d"))</f>
        <v>6y 8m 21d</v>
      </c>
      <c r="N9" s="13" t="n">
        <f aca="false">IF(AE9=0,"",O9*HoursPerDay)</f>
        <v>96</v>
      </c>
      <c r="O9" s="13" t="n">
        <f aca="false">IF(AE9=0,"",AX9)</f>
        <v>12</v>
      </c>
      <c r="P9" s="14"/>
      <c r="Q9" s="12"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Part-Time to Full-Time on 01/01/2024 - pathway changed</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Yes - accruing</v>
      </c>
      <c r="S9" s="10" t="n">
        <f aca="false">IF(AE9=0,"",IF(AQ9="None","",EDATE(AF9,AZ9)))</f>
        <v>46305</v>
      </c>
      <c r="T9" s="13" t="n">
        <f aca="false">IF(OR(AE9=0,W9=""),"",W9-U9+V9)</f>
        <v>72</v>
      </c>
      <c r="U9" s="13" t="n">
        <f aca="false">IF(AE9=0,"",IF(NOT(LH_Ready),"",SUMIFS(INDEX(LH_Data,0,LH_ColAcc),INDEX(LH_Data,0,LH_ColFirst),$A9,INDEX(LH_Data,0,LH_ColSur),$B9,INDEX(LH_Data,0,LH_ColCat),BonusCat)*UnitFactor))</f>
        <v>8</v>
      </c>
      <c r="V9" s="13" t="n">
        <f aca="false">IF(AE9=0,"",IF(NOT(LH_Ready),"",SUMIFS(INDEX(LH_Data,0,LH_ColTaken),INDEX(LH_Data,0,LH_ColFirst),$A9,INDEX(LH_Data,0,LH_ColSur),$B9,INDEX(LH_Data,0,LH_ColCat),BonusCat)*UnitFactor))</f>
        <v>0</v>
      </c>
      <c r="W9" s="13" t="n">
        <f aca="false">IF(AE9=0,"",IF(NOT(LH_Ready),"",IF(BB9=0,0,INDEX(INDEX(LH_Data,0,LH_ColClose),BB9-1)*UnitFactor)))</f>
        <v>80</v>
      </c>
      <c r="X9" s="13" t="n">
        <f aca="false">IF(AE9=0,"",(AX9-AY9)*HoursPerDay)</f>
        <v>8</v>
      </c>
      <c r="Y9" s="13" t="n">
        <f aca="false">IF(AE9=0,"",X9-N(U9))</f>
        <v>0</v>
      </c>
      <c r="Z9" s="12" t="str">
        <f aca="false">IF(AE9=0,"",IF(Y9&gt;0,"Yes","No"))</f>
        <v>No</v>
      </c>
      <c r="AA9" s="12" t="str">
        <f aca="false">IF(AE9=0,"",IF(NOT(LH_Ready),"Paste Leave History export",IF(Y9&gt;0,"ACCRUE "&amp;TEXT(Y9,"0.##")&amp;" hrs ("&amp;TEXT(Y9/HoursPerDay,"0.##")&amp;" days)"&amp;IF(BA9=0," - no Bonus Leave line in EH yet",""),IF(Y9&lt;0,"CHECK - EH accrued "&amp;TEXT(-Y9,"0.##")&amp;" hrs more than policy",IF(AND(O9&gt;0,BA9=0),"CHECK - policy says "&amp;TEXT(N9,"0.##")&amp;" hrs to date but no Bonus Leave in EH",IF(O9&gt;0,"OK","-"))))))</f>
        <v>OK</v>
      </c>
      <c r="AB9" s="13" t="n">
        <f aca="false">IF(OR(AE9=0,T9=""),"",AY9*HoursPerDay-T9)</f>
        <v>16</v>
      </c>
      <c r="AC9" s="12" t="n">
        <f aca="false">IF(AE9=0,"",BA9)</f>
        <v>6</v>
      </c>
      <c r="AD9" s="12" t="str">
        <f aca="false">IF(AE9=0,"",TRIM(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1</v>
      </c>
      <c r="AF9" s="10" t="n">
        <f aca="false">IF(AE9=0,"",IF($J9&lt;&gt;"",$J9,$F9))</f>
        <v>43840</v>
      </c>
      <c r="AG9" s="12" t="n">
        <f aca="false">IF(AE9=0,"",COUNT($G9:$I9))</f>
        <v>2</v>
      </c>
      <c r="AH9" s="10" t="n">
        <f aca="false">IF(AE9=0,"",IFERROR(SMALL($G9:$I9,1),""))</f>
        <v>43840</v>
      </c>
      <c r="AI9" s="10" t="n">
        <f aca="false">IF(AE9=0,"",IFERROR(SMALL($G9:$I9,2),""))</f>
        <v>45292</v>
      </c>
      <c r="AJ9" s="10" t="str">
        <f aca="false">IF(AE9=0,"",IFERROR(SMALL($G9:$I9,3),""))</f>
        <v/>
      </c>
      <c r="AK9" s="12" t="str">
        <f aca="false">IF(AE9=0,"",IF(AH9="","",IF(AH9=$G9,"Part-Time",IF(AH9=$H9,"Full-Time","Casual"))))</f>
        <v>Part-Time</v>
      </c>
      <c r="AL9" s="12" t="str">
        <f aca="false">IF(AE9=0,"",IF(AI9="","",IF(AI9=$G9,"Part-Time",IF(AI9=$H9,"Full-Time","Casual"))))</f>
        <v>Full-Time</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PT</v>
      </c>
      <c r="AO9" s="12" t="str">
        <f aca="false">IF(AE9=0,"",IF(AG9&lt;2,"",IF(OR(ISNUMBER(SEARCH("full",AL9)),UPPER(TRIM(AL9))="FT",UPPER(TRIM(AL9))="FTE"),"FT",IF(AND(OR(ISNUMBER(SEARCH("part",AL9)),UPPER(TRIM(AL9))="PT",UPPER(TRIM(AL9))="PTE"),OR($P9="",N($P9)&gt;=PT_MinHours)),"PT","None"))))</f>
        <v>FT</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FT</v>
      </c>
      <c r="AR9" s="12" t="n">
        <f aca="false">IF(AE9=0,"",IF(AsOfDate&lt;AF9,-1,12*(YEAR(AsOfDate)-YEAR(AF9))+MONTH(AsOfDate)-MONTH(AF9)-IF(DAY(AsOfDate)&lt;MIN(DAY(AF9),DAY(EOMONTH(AsOfDate,0))),1,0)))</f>
        <v>80</v>
      </c>
      <c r="AS9" s="12" t="n">
        <f aca="false">IF(AE9=0,"",IF(OR(AG9&lt;2,AI9&gt;AsOfDate),AR9,IF((AI9-1)&lt;AF9,-1,12*(YEAR((AI9-1))-YEAR(AF9))+MONTH((AI9-1))-MONTH(AF9)-IF(DAY((AI9-1))&lt;MIN(DAY(AF9),DAY(EOMONTH((AI9-1),0))),1,0))))</f>
        <v>47</v>
      </c>
      <c r="AT9" s="12" t="n">
        <f aca="false">IF(AE9=0,"",IF(OR(AG9&lt;3,AJ9&gt;AsOfDate),AR9,IF((AJ9-1)&lt;AF9,-1,12*(YEAR((AJ9-1))-YEAR(AF9))+MONTH((AJ9-1))-MONTH(AF9)-IF(DAY((AJ9-1))&lt;MIN(DAY(AF9),DAY(EOMONTH((AJ9-1),0))),1,0))))</f>
        <v>80</v>
      </c>
      <c r="AU9" s="12" t="n">
        <f aca="false">IF(AE9=0,"",IF(PFYDate&lt;AF9,-1,12*(YEAR(PFYDate)-YEAR(AF9))+MONTH(PFYDate)-MONTH(AF9)-IF(DAY(PFYDate)&lt;MIN(DAY(AF9),DAY(EOMONTH(PFYDate,0))),1,0)))</f>
        <v>77</v>
      </c>
      <c r="AV9" s="12" t="n">
        <f aca="false">IF(AE9=0,"",IF(OR(AG9&lt;2,AI9&gt;PFYDate),AU9,IF((AI9-1)&lt;AF9,-1,12*(YEAR((AI9-1))-YEAR(AF9))+MONTH((AI9-1))-MONTH(AF9)-IF(DAY((AI9-1))&lt;MIN(DAY(AF9),DAY(EOMONTH((AI9-1),0))),1,0))))</f>
        <v>47</v>
      </c>
      <c r="AW9" s="12" t="n">
        <f aca="false">IF(AE9=0,"",IF(OR(AG9&lt;3,AJ9&gt;PFYDate),AU9,IF((AJ9-1)&lt;AF9,-1,12*(YEAR((AJ9-1))-YEAR(AF9))+MONTH((AJ9-1))-MONTH(AF9)-IF(DAY((AJ9-1))&lt;MIN(DAY(AF9),DAY(EOMONTH((AJ9-1),0))),1,0))))</f>
        <v>77</v>
      </c>
      <c r="AX9" s="12"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12</v>
      </c>
      <c r="AY9" s="12"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11</v>
      </c>
      <c r="AZ9" s="12" t="n">
        <f aca="false">IF(AE9=0,"",IF(AQ9="FT",IF(AR9&lt;FT_First,FT_First,IF(AR9&lt;FT_Y5,MIN(FT_Y5,FT_First+FT_Int1*(INT((AR9-FT_First)/FT_Int1)+1)),FT_Y5+12*INT((AR9-FT_Y5)/12)+FT_Int2*(INT(MOD(AR9-FT_Y5,12)/FT_Int2)+1))),IF(AQ9="PT",IF(AR9&lt;PT_First,PT_First,PT_First+PT_Int*(INT((AR9-PT_First)/PT_Int)+1)),"")))</f>
        <v>81</v>
      </c>
      <c r="BA9" s="12" t="n">
        <f aca="false">IF(AE9=0,"",IF(NOT(LH_Ready),0,COUNTIFS(INDEX(LH_Data,0,LH_ColFirst),$A9,INDEX(LH_Data,0,LH_ColSur),$B9,INDEX(LH_Data,0,LH_ColCat),BonusCat)))</f>
        <v>6</v>
      </c>
      <c r="BB9" s="12" t="n">
        <f aca="false">IF(AE9=0,"",IF(OR(NOT(LH_Ready),BA9=0),0,SUMPRODUCT(MAX((INDEX(LH_Data,0,LH_ColFirst)=$A9)*(INDEX(LH_Data,0,LH_ColSur)=$B9)*(INDEX(LH_Data,0,LH_ColCat)=BonusCat)*ROW(LH_Data)))))</f>
        <v>31</v>
      </c>
    </row>
    <row r="10" customFormat="false" ht="15" hidden="false" customHeight="false" outlineLevel="0" collapsed="false">
      <c r="A10" s="8" t="s">
        <v>91</v>
      </c>
      <c r="B10" s="8" t="s">
        <v>92</v>
      </c>
      <c r="C10" s="8" t="s">
        <v>80</v>
      </c>
      <c r="D10" s="9" t="n">
        <v>34945</v>
      </c>
      <c r="E10" s="10" t="n">
        <f aca="false">IF(OR(AE10=0,$D10=""),"",DATE(YEAR(AsOfDate)+IF(DATE(YEAR(AsOfDate),MONTH($D10),DAY($D10))&lt;=AsOfDate,1,0),MONTH($D10),DAY($D10)))</f>
        <v>46633</v>
      </c>
      <c r="F10" s="9" t="n">
        <v>44686</v>
      </c>
      <c r="G10" s="9"/>
      <c r="H10" s="9" t="n">
        <v>44686</v>
      </c>
      <c r="I10" s="9"/>
      <c r="J10" s="9" t="n">
        <v>44867</v>
      </c>
      <c r="K10" s="10" t="n">
        <f aca="false">IF(AE10=0,"",DATE(YEAR(AsOfDate)+IF(DATE(YEAR(AsOfDate),MONTH($F10),DAY($F10))&lt;=AsOfDate,1,0),MONTH($F10),DAY($F10)))</f>
        <v>46512</v>
      </c>
      <c r="L10" s="11" t="n">
        <f aca="false">IF(AE10=0,"",ROUND((AsOfDate-$F10)/365.25,1))</f>
        <v>4.4</v>
      </c>
      <c r="M10" s="12" t="str">
        <f aca="false">IF(AE10=0,"",IF(AsOfDate&lt;AF10,"-",DATEDIF(AF10,AsOfDate,"y")&amp;"y "&amp;DATEDIF(AF10,AsOfDate,"ym")&amp;"m "&amp;DATEDIF(AF10,AsOfDate,"md")&amp;"d"))</f>
        <v>3y 10m 29d</v>
      </c>
      <c r="N10" s="13" t="n">
        <f aca="false">IF(AE10=0,"",O10*HoursPerDay)</f>
        <v>24</v>
      </c>
      <c r="O10" s="13" t="n">
        <f aca="false">IF(AE10=0,"",AX10)</f>
        <v>3</v>
      </c>
      <c r="P10" s="14"/>
      <c r="Q10" s="12"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Yes - accruing</v>
      </c>
      <c r="S10" s="10" t="n">
        <f aca="false">IF(AE10=0,"",IF(AQ10="None","",EDATE(AF10,AZ10)))</f>
        <v>46328</v>
      </c>
      <c r="T10" s="13" t="n">
        <f aca="false">IF(OR(AE10=0,W10=""),"",W10-U10+V10)</f>
        <v>0</v>
      </c>
      <c r="U10" s="13" t="n">
        <f aca="false">IF(AE10=0,"",IF(NOT(LH_Ready),"",SUMIFS(INDEX(LH_Data,0,LH_ColAcc),INDEX(LH_Data,0,LH_ColFirst),$A10,INDEX(LH_Data,0,LH_ColSur),$B10,INDEX(LH_Data,0,LH_ColCat),BonusCat)*UnitFactor))</f>
        <v>0</v>
      </c>
      <c r="V10" s="13" t="n">
        <f aca="false">IF(AE10=0,"",IF(NOT(LH_Ready),"",SUMIFS(INDEX(LH_Data,0,LH_ColTaken),INDEX(LH_Data,0,LH_ColFirst),$A10,INDEX(LH_Data,0,LH_ColSur),$B10,INDEX(LH_Data,0,LH_ColCat),BonusCat)*UnitFactor))</f>
        <v>0</v>
      </c>
      <c r="W10" s="13" t="n">
        <f aca="false">IF(AE10=0,"",IF(NOT(LH_Ready),"",IF(BB10=0,0,INDEX(INDEX(LH_Data,0,LH_ColClose),BB10-1)*UnitFactor)))</f>
        <v>0</v>
      </c>
      <c r="X10" s="13" t="n">
        <f aca="false">IF(AE10=0,"",(AX10-AY10)*HoursPerDay)</f>
        <v>8</v>
      </c>
      <c r="Y10" s="13" t="n">
        <f aca="false">IF(AE10=0,"",X10-N(U10))</f>
        <v>8</v>
      </c>
      <c r="Z10" s="12" t="str">
        <f aca="false">IF(AE10=0,"",IF(Y10&gt;0,"Yes","No"))</f>
        <v>Yes</v>
      </c>
      <c r="AA10" s="12" t="str">
        <f aca="false">IF(AE10=0,"",IF(NOT(LH_Ready),"Paste Leave History export",IF(Y10&gt;0,"ACCRUE "&amp;TEXT(Y10,"0.##")&amp;" hrs ("&amp;TEXT(Y10/HoursPerDay,"0.##")&amp;" days)"&amp;IF(BA10=0," - no Bonus Leave line in EH yet",""),IF(Y10&lt;0,"CHECK - EH accrued "&amp;TEXT(-Y10,"0.##")&amp;" hrs more than policy",IF(AND(O10&gt;0,BA10=0),"CHECK - policy says "&amp;TEXT(N10,"0.##")&amp;" hrs to date but no Bonus Leave in EH",IF(O10&gt;0,"OK","-"))))))</f>
        <v>ACCRUE 8 hrs (1 days) - no Bonus Leave line in EH yet</v>
      </c>
      <c r="AB10" s="13" t="n">
        <f aca="false">IF(OR(AE10=0,T10=""),"",AY10*HoursPerDay-T10)</f>
        <v>16</v>
      </c>
      <c r="AC10" s="12" t="n">
        <f aca="false">IF(AE10=0,"",BA10)</f>
        <v>0</v>
      </c>
      <c r="AD10" s="12" t="str">
        <f aca="false">IF(AE10=0,"",TRIM(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1</v>
      </c>
      <c r="AF10" s="10" t="n">
        <f aca="false">IF(AE10=0,"",IF($J10&lt;&gt;"",$J10,$F10))</f>
        <v>44867</v>
      </c>
      <c r="AG10" s="12" t="n">
        <f aca="false">IF(AE10=0,"",COUNT($G10:$I10))</f>
        <v>1</v>
      </c>
      <c r="AH10" s="10" t="n">
        <f aca="false">IF(AE10=0,"",IFERROR(SMALL($G10:$I10,1),""))</f>
        <v>44686</v>
      </c>
      <c r="AI10" s="10" t="str">
        <f aca="false">IF(AE10=0,"",IFERROR(SMALL($G10:$I10,2),""))</f>
        <v/>
      </c>
      <c r="AJ10" s="10" t="str">
        <f aca="false">IF(AE10=0,"",IFERROR(SMALL($G10:$I10,3),""))</f>
        <v/>
      </c>
      <c r="AK10" s="12" t="str">
        <f aca="false">IF(AE10=0,"",IF(AH10="","",IF(AH10=$G10,"Part-Time",IF(AH10=$H10,"Full-Time","Casual"))))</f>
        <v>Full-Time</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FT</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FT</v>
      </c>
      <c r="AR10" s="12" t="n">
        <f aca="false">IF(AE10=0,"",IF(AsOfDate&lt;AF10,-1,12*(YEAR(AsOfDate)-YEAR(AF10))+MONTH(AsOfDate)-MONTH(AF10)-IF(DAY(AsOfDate)&lt;MIN(DAY(AF10),DAY(EOMONTH(AsOfDate,0))),1,0)))</f>
        <v>46</v>
      </c>
      <c r="AS10" s="12" t="n">
        <f aca="false">IF(AE10=0,"",IF(OR(AG10&lt;2,AI10&gt;AsOfDate),AR10,IF((AI10-1)&lt;AF10,-1,12*(YEAR((AI10-1))-YEAR(AF10))+MONTH((AI10-1))-MONTH(AF10)-IF(DAY((AI10-1))&lt;MIN(DAY(AF10),DAY(EOMONTH((AI10-1),0))),1,0))))</f>
        <v>46</v>
      </c>
      <c r="AT10" s="12" t="n">
        <f aca="false">IF(AE10=0,"",IF(OR(AG10&lt;3,AJ10&gt;AsOfDate),AR10,IF((AJ10-1)&lt;AF10,-1,12*(YEAR((AJ10-1))-YEAR(AF10))+MONTH((AJ10-1))-MONTH(AF10)-IF(DAY((AJ10-1))&lt;MIN(DAY(AF10),DAY(EOMONTH((AJ10-1),0))),1,0))))</f>
        <v>46</v>
      </c>
      <c r="AU10" s="12" t="n">
        <f aca="false">IF(AE10=0,"",IF(PFYDate&lt;AF10,-1,12*(YEAR(PFYDate)-YEAR(AF10))+MONTH(PFYDate)-MONTH(AF10)-IF(DAY(PFYDate)&lt;MIN(DAY(AF10),DAY(EOMONTH(PFYDate,0))),1,0)))</f>
        <v>43</v>
      </c>
      <c r="AV10" s="12" t="n">
        <f aca="false">IF(AE10=0,"",IF(OR(AG10&lt;2,AI10&gt;PFYDate),AU10,IF((AI10-1)&lt;AF10,-1,12*(YEAR((AI10-1))-YEAR(AF10))+MONTH((AI10-1))-MONTH(AF10)-IF(DAY((AI10-1))&lt;MIN(DAY(AF10),DAY(EOMONTH((AI10-1),0))),1,0))))</f>
        <v>43</v>
      </c>
      <c r="AW10" s="12" t="n">
        <f aca="false">IF(AE10=0,"",IF(OR(AG10&lt;3,AJ10&gt;PFYDate),AU10,IF((AJ10-1)&lt;AF10,-1,12*(YEAR((AJ10-1))-YEAR(AF10))+MONTH((AJ10-1))-MONTH(AF10)-IF(DAY((AJ10-1))&lt;MIN(DAY(AF10),DAY(EOMONTH((AJ10-1),0))),1,0))))</f>
        <v>43</v>
      </c>
      <c r="AX10" s="12"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3</v>
      </c>
      <c r="AY10" s="12"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2</v>
      </c>
      <c r="AZ10" s="12" t="n">
        <f aca="false">IF(AE10=0,"",IF(AQ10="FT",IF(AR10&lt;FT_First,FT_First,IF(AR10&lt;FT_Y5,MIN(FT_Y5,FT_First+FT_Int1*(INT((AR10-FT_First)/FT_Int1)+1)),FT_Y5+12*INT((AR10-FT_Y5)/12)+FT_Int2*(INT(MOD(AR10-FT_Y5,12)/FT_Int2)+1))),IF(AQ10="PT",IF(AR10&lt;PT_First,PT_First,PT_First+PT_Int*(INT((AR10-PT_First)/PT_Int)+1)),"")))</f>
        <v>48</v>
      </c>
      <c r="BA10" s="12" t="n">
        <f aca="false">IF(AE10=0,"",IF(NOT(LH_Ready),0,COUNTIFS(INDEX(LH_Data,0,LH_ColFirst),$A10,INDEX(LH_Data,0,LH_ColSur),$B10,INDEX(LH_Data,0,LH_ColCat),BonusCat)))</f>
        <v>0</v>
      </c>
      <c r="BB10" s="12" t="n">
        <f aca="false">IF(AE10=0,"",IF(OR(NOT(LH_Ready),BA10=0),0,SUMPRODUCT(MAX((INDEX(LH_Data,0,LH_ColFirst)=$A10)*(INDEX(LH_Data,0,LH_ColSur)=$B10)*(INDEX(LH_Data,0,LH_ColCat)=BonusCat)*ROW(LH_Data)))))</f>
        <v>0</v>
      </c>
    </row>
    <row r="11" customFormat="false" ht="15" hidden="false" customHeight="false" outlineLevel="0" collapsed="false">
      <c r="A11" s="8" t="s">
        <v>93</v>
      </c>
      <c r="B11" s="8" t="s">
        <v>94</v>
      </c>
      <c r="C11" s="8" t="s">
        <v>80</v>
      </c>
      <c r="D11" s="9" t="n">
        <v>37250</v>
      </c>
      <c r="E11" s="10" t="n">
        <f aca="false">IF(OR(AE11=0,$D11=""),"",DATE(YEAR(AsOfDate)+IF(DATE(YEAR(AsOfDate),MONTH($D11),DAY($D11))&lt;=AsOfDate,1,0),MONTH($D11),DAY($D11)))</f>
        <v>46381</v>
      </c>
      <c r="F11" s="9" t="n">
        <v>45627</v>
      </c>
      <c r="G11" s="9"/>
      <c r="H11" s="9" t="n">
        <v>45627</v>
      </c>
      <c r="I11" s="9"/>
      <c r="J11" s="9"/>
      <c r="K11" s="10" t="n">
        <f aca="false">IF(AE11=0,"",DATE(YEAR(AsOfDate)+IF(DATE(YEAR(AsOfDate),MONTH($F11),DAY($F11))&lt;=AsOfDate,1,0),MONTH($F11),DAY($F11)))</f>
        <v>46357</v>
      </c>
      <c r="L11" s="11" t="n">
        <f aca="false">IF(AE11=0,"",ROUND((AsOfDate-$F11)/365.25,1))</f>
        <v>1.8</v>
      </c>
      <c r="M11" s="12" t="str">
        <f aca="false">IF(AE11=0,"",IF(AsOfDate&lt;AF11,"-",DATEDIF(AF11,AsOfDate,"y")&amp;"y "&amp;DATEDIF(AF11,AsOfDate,"ym")&amp;"m "&amp;DATEDIF(AF11,AsOfDate,"md")&amp;"d"))</f>
        <v>1y 10m 0d</v>
      </c>
      <c r="N11" s="13" t="n">
        <f aca="false">IF(AE11=0,"",O11*HoursPerDay)</f>
        <v>0</v>
      </c>
      <c r="O11" s="13" t="n">
        <f aca="false">IF(AE11=0,"",AX11)</f>
        <v>0</v>
      </c>
      <c r="P11" s="14"/>
      <c r="Q11" s="12"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Not yet - from 01/12/2027</v>
      </c>
      <c r="S11" s="10" t="n">
        <f aca="false">IF(AE11=0,"",IF(AQ11="None","",EDATE(AF11,AZ11)))</f>
        <v>46722</v>
      </c>
      <c r="T11" s="13" t="n">
        <f aca="false">IF(OR(AE11=0,W11=""),"",W11-U11+V11)</f>
        <v>0</v>
      </c>
      <c r="U11" s="13" t="n">
        <f aca="false">IF(AE11=0,"",IF(NOT(LH_Ready),"",SUMIFS(INDEX(LH_Data,0,LH_ColAcc),INDEX(LH_Data,0,LH_ColFirst),$A11,INDEX(LH_Data,0,LH_ColSur),$B11,INDEX(LH_Data,0,LH_ColCat),BonusCat)*UnitFactor))</f>
        <v>0</v>
      </c>
      <c r="V11" s="13" t="n">
        <f aca="false">IF(AE11=0,"",IF(NOT(LH_Ready),"",SUMIFS(INDEX(LH_Data,0,LH_ColTaken),INDEX(LH_Data,0,LH_ColFirst),$A11,INDEX(LH_Data,0,LH_ColSur),$B11,INDEX(LH_Data,0,LH_ColCat),BonusCat)*UnitFactor))</f>
        <v>0</v>
      </c>
      <c r="W11" s="13" t="n">
        <f aca="false">IF(AE11=0,"",IF(NOT(LH_Ready),"",IF(BB11=0,0,INDEX(INDEX(LH_Data,0,LH_ColClose),BB11-1)*UnitFactor)))</f>
        <v>0</v>
      </c>
      <c r="X11" s="13" t="n">
        <f aca="false">IF(AE11=0,"",(AX11-AY11)*HoursPerDay)</f>
        <v>0</v>
      </c>
      <c r="Y11" s="13" t="n">
        <f aca="false">IF(AE11=0,"",X11-N(U11))</f>
        <v>0</v>
      </c>
      <c r="Z11" s="12" t="str">
        <f aca="false">IF(AE11=0,"",IF(Y11&gt;0,"Yes","No"))</f>
        <v>No</v>
      </c>
      <c r="AA11" s="12" t="str">
        <f aca="false">IF(AE11=0,"",IF(NOT(LH_Ready),"Paste Leave History export",IF(Y11&gt;0,"ACCRUE "&amp;TEXT(Y11,"0.##")&amp;" hrs ("&amp;TEXT(Y11/HoursPerDay,"0.##")&amp;" days)"&amp;IF(BA11=0," - no Bonus Leave line in EH yet",""),IF(Y11&lt;0,"CHECK - EH accrued "&amp;TEXT(-Y11,"0.##")&amp;" hrs more than policy",IF(AND(O11&gt;0,BA11=0),"CHECK - policy says "&amp;TEXT(N11,"0.##")&amp;" hrs to date but no Bonus Leave in EH",IF(O11&gt;0,"OK","-"))))))</f>
        <v>-</v>
      </c>
      <c r="AB11" s="13" t="n">
        <f aca="false">IF(OR(AE11=0,T11=""),"",AY11*HoursPerDay-T11)</f>
        <v>0</v>
      </c>
      <c r="AC11" s="12" t="n">
        <f aca="false">IF(AE11=0,"",BA11)</f>
        <v>0</v>
      </c>
      <c r="AD11" s="12" t="str">
        <f aca="false">IF(AE11=0,"",TRIM(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1</v>
      </c>
      <c r="AF11" s="10" t="n">
        <f aca="false">IF(AE11=0,"",IF($J11&lt;&gt;"",$J11,$F11))</f>
        <v>45627</v>
      </c>
      <c r="AG11" s="12" t="n">
        <f aca="false">IF(AE11=0,"",COUNT($G11:$I11))</f>
        <v>1</v>
      </c>
      <c r="AH11" s="10" t="n">
        <f aca="false">IF(AE11=0,"",IFERROR(SMALL($G11:$I11,1),""))</f>
        <v>45627</v>
      </c>
      <c r="AI11" s="10" t="str">
        <f aca="false">IF(AE11=0,"",IFERROR(SMALL($G11:$I11,2),""))</f>
        <v/>
      </c>
      <c r="AJ11" s="10" t="str">
        <f aca="false">IF(AE11=0,"",IFERROR(SMALL($G11:$I11,3),""))</f>
        <v/>
      </c>
      <c r="AK11" s="12" t="str">
        <f aca="false">IF(AE11=0,"",IF(AH11="","",IF(AH11=$G11,"Part-Time",IF(AH11=$H11,"Full-Time","Casual"))))</f>
        <v>Full-Time</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FT</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FT</v>
      </c>
      <c r="AR11" s="12" t="n">
        <f aca="false">IF(AE11=0,"",IF(AsOfDate&lt;AF11,-1,12*(YEAR(AsOfDate)-YEAR(AF11))+MONTH(AsOfDate)-MONTH(AF11)-IF(DAY(AsOfDate)&lt;MIN(DAY(AF11),DAY(EOMONTH(AsOfDate,0))),1,0)))</f>
        <v>22</v>
      </c>
      <c r="AS11" s="12" t="n">
        <f aca="false">IF(AE11=0,"",IF(OR(AG11&lt;2,AI11&gt;AsOfDate),AR11,IF((AI11-1)&lt;AF11,-1,12*(YEAR((AI11-1))-YEAR(AF11))+MONTH((AI11-1))-MONTH(AF11)-IF(DAY((AI11-1))&lt;MIN(DAY(AF11),DAY(EOMONTH((AI11-1),0))),1,0))))</f>
        <v>22</v>
      </c>
      <c r="AT11" s="12" t="n">
        <f aca="false">IF(AE11=0,"",IF(OR(AG11&lt;3,AJ11&gt;AsOfDate),AR11,IF((AJ11-1)&lt;AF11,-1,12*(YEAR((AJ11-1))-YEAR(AF11))+MONTH((AJ11-1))-MONTH(AF11)-IF(DAY((AJ11-1))&lt;MIN(DAY(AF11),DAY(EOMONTH((AJ11-1),0))),1,0))))</f>
        <v>22</v>
      </c>
      <c r="AU11" s="12" t="n">
        <f aca="false">IF(AE11=0,"",IF(PFYDate&lt;AF11,-1,12*(YEAR(PFYDate)-YEAR(AF11))+MONTH(PFYDate)-MONTH(AF11)-IF(DAY(PFYDate)&lt;MIN(DAY(AF11),DAY(EOMONTH(PFYDate,0))),1,0)))</f>
        <v>18</v>
      </c>
      <c r="AV11" s="12" t="n">
        <f aca="false">IF(AE11=0,"",IF(OR(AG11&lt;2,AI11&gt;PFYDate),AU11,IF((AI11-1)&lt;AF11,-1,12*(YEAR((AI11-1))-YEAR(AF11))+MONTH((AI11-1))-MONTH(AF11)-IF(DAY((AI11-1))&lt;MIN(DAY(AF11),DAY(EOMONTH((AI11-1),0))),1,0))))</f>
        <v>18</v>
      </c>
      <c r="AW11" s="12" t="n">
        <f aca="false">IF(AE11=0,"",IF(OR(AG11&lt;3,AJ11&gt;PFYDate),AU11,IF((AJ11-1)&lt;AF11,-1,12*(YEAR((AJ11-1))-YEAR(AF11))+MONTH((AJ11-1))-MONTH(AF11)-IF(DAY((AJ11-1))&lt;MIN(DAY(AF11),DAY(EOMONTH((AJ11-1),0))),1,0))))</f>
        <v>18</v>
      </c>
      <c r="AX11" s="12"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12"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12" t="n">
        <f aca="false">IF(AE11=0,"",IF(AQ11="FT",IF(AR11&lt;FT_First,FT_First,IF(AR11&lt;FT_Y5,MIN(FT_Y5,FT_First+FT_Int1*(INT((AR11-FT_First)/FT_Int1)+1)),FT_Y5+12*INT((AR11-FT_Y5)/12)+FT_Int2*(INT(MOD(AR11-FT_Y5,12)/FT_Int2)+1))),IF(AQ11="PT",IF(AR11&lt;PT_First,PT_First,PT_First+PT_Int*(INT((AR11-PT_First)/PT_Int)+1)),"")))</f>
        <v>36</v>
      </c>
      <c r="BA11" s="12" t="n">
        <f aca="false">IF(AE11=0,"",IF(NOT(LH_Ready),0,COUNTIFS(INDEX(LH_Data,0,LH_ColFirst),$A11,INDEX(LH_Data,0,LH_ColSur),$B11,INDEX(LH_Data,0,LH_ColCat),BonusCat)))</f>
        <v>0</v>
      </c>
      <c r="BB11" s="12" t="n">
        <f aca="false">IF(AE11=0,"",IF(OR(NOT(LH_Ready),BA11=0),0,SUMPRODUCT(MAX((INDEX(LH_Data,0,LH_ColFirst)=$A11)*(INDEX(LH_Data,0,LH_ColSur)=$B11)*(INDEX(LH_Data,0,LH_ColCat)=BonusCat)*ROW(LH_Data)))))</f>
        <v>0</v>
      </c>
    </row>
    <row r="12" customFormat="false" ht="15" hidden="false" customHeight="false" outlineLevel="0" collapsed="false">
      <c r="A12" s="8" t="s">
        <v>95</v>
      </c>
      <c r="B12" s="8" t="s">
        <v>96</v>
      </c>
      <c r="C12" s="8" t="s">
        <v>80</v>
      </c>
      <c r="D12" s="9" t="n">
        <v>34126</v>
      </c>
      <c r="E12" s="10" t="n">
        <f aca="false">IF(OR(AE12=0,$D12=""),"",DATE(YEAR(AsOfDate)+IF(DATE(YEAR(AsOfDate),MONTH($D12),DAY($D12))&lt;=AsOfDate,1,0),MONTH($D12),DAY($D12)))</f>
        <v>46544</v>
      </c>
      <c r="F12" s="9" t="n">
        <v>43710</v>
      </c>
      <c r="G12" s="9"/>
      <c r="H12" s="9" t="n">
        <v>44256</v>
      </c>
      <c r="I12" s="9" t="n">
        <v>43710</v>
      </c>
      <c r="J12" s="9"/>
      <c r="K12" s="10" t="n">
        <f aca="false">IF(AE12=0,"",DATE(YEAR(AsOfDate)+IF(DATE(YEAR(AsOfDate),MONTH($F12),DAY($F12))&lt;=AsOfDate,1,0),MONTH($F12),DAY($F12)))</f>
        <v>46632</v>
      </c>
      <c r="L12" s="11" t="n">
        <f aca="false">IF(AE12=0,"",ROUND((AsOfDate-$F12)/365.25,1))</f>
        <v>7.1</v>
      </c>
      <c r="M12" s="12" t="str">
        <f aca="false">IF(AE12=0,"",IF(AsOfDate&lt;AF12,"-",DATEDIF(AF12,AsOfDate,"y")&amp;"y "&amp;DATEDIF(AF12,AsOfDate,"ym")&amp;"m "&amp;DATEDIF(AF12,AsOfDate,"md")&amp;"d"))</f>
        <v>7y 0m 29d</v>
      </c>
      <c r="N12" s="13" t="n">
        <f aca="false">IF(AE12=0,"",O12*HoursPerDay)</f>
        <v>144</v>
      </c>
      <c r="O12" s="13" t="n">
        <f aca="false">IF(AE12=0,"",AX12)</f>
        <v>18</v>
      </c>
      <c r="P12" s="14"/>
      <c r="Q12" s="12"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Casual to Full-Time on 01/03/2021 - now qualifying</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Yes - accruing</v>
      </c>
      <c r="S12" s="10" t="n">
        <f aca="false">IF(AE12=0,"",IF(AQ12="None","",EDATE(AF12,AZ12)))</f>
        <v>46358</v>
      </c>
      <c r="T12" s="13" t="n">
        <f aca="false">IF(OR(AE12=0,W12=""),"",W12-U12+V12)</f>
        <v>16</v>
      </c>
      <c r="U12" s="13" t="n">
        <f aca="false">IF(AE12=0,"",IF(NOT(LH_Ready),"",SUMIFS(INDEX(LH_Data,0,LH_ColAcc),INDEX(LH_Data,0,LH_ColFirst),$A12,INDEX(LH_Data,0,LH_ColSur),$B12,INDEX(LH_Data,0,LH_ColCat),BonusCat)*UnitFactor))</f>
        <v>0</v>
      </c>
      <c r="V12" s="13" t="n">
        <f aca="false">IF(AE12=0,"",IF(NOT(LH_Ready),"",SUMIFS(INDEX(LH_Data,0,LH_ColTaken),INDEX(LH_Data,0,LH_ColFirst),$A12,INDEX(LH_Data,0,LH_ColSur),$B12,INDEX(LH_Data,0,LH_ColCat),BonusCat)*UnitFactor))</f>
        <v>0</v>
      </c>
      <c r="W12" s="13" t="n">
        <f aca="false">IF(AE12=0,"",IF(NOT(LH_Ready),"",IF(BB12=0,0,INDEX(INDEX(LH_Data,0,LH_ColClose),BB12-1)*UnitFactor)))</f>
        <v>16</v>
      </c>
      <c r="X12" s="13" t="n">
        <f aca="false">IF(AE12=0,"",(AX12-AY12)*HoursPerDay)</f>
        <v>16</v>
      </c>
      <c r="Y12" s="13" t="n">
        <f aca="false">IF(AE12=0,"",X12-N(U12))</f>
        <v>16</v>
      </c>
      <c r="Z12" s="12" t="str">
        <f aca="false">IF(AE12=0,"",IF(Y12&gt;0,"Yes","No"))</f>
        <v>Yes</v>
      </c>
      <c r="AA12" s="12" t="str">
        <f aca="false">IF(AE12=0,"",IF(NOT(LH_Ready),"Paste Leave History export",IF(Y12&gt;0,"ACCRUE "&amp;TEXT(Y12,"0.##")&amp;" hrs ("&amp;TEXT(Y12/HoursPerDay,"0.##")&amp;" days)"&amp;IF(BA12=0," - no Bonus Leave line in EH yet",""),IF(Y12&lt;0,"CHECK - EH accrued "&amp;TEXT(-Y12,"0.##")&amp;" hrs more than policy",IF(AND(O12&gt;0,BA12=0),"CHECK - policy says "&amp;TEXT(N12,"0.##")&amp;" hrs to date but no Bonus Leave in EH",IF(O12&gt;0,"OK","-"))))))</f>
        <v>ACCRUE 16 hrs (2 days)</v>
      </c>
      <c r="AB12" s="13" t="n">
        <f aca="false">IF(OR(AE12=0,T12=""),"",AY12*HoursPerDay-T12)</f>
        <v>112</v>
      </c>
      <c r="AC12" s="12" t="n">
        <f aca="false">IF(AE12=0,"",BA12)</f>
        <v>6</v>
      </c>
      <c r="AD12" s="12" t="str">
        <f aca="false">IF(AE12=0,"",TRIM(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1</v>
      </c>
      <c r="AF12" s="10" t="n">
        <f aca="false">IF(AE12=0,"",IF($J12&lt;&gt;"",$J12,$F12))</f>
        <v>43710</v>
      </c>
      <c r="AG12" s="12" t="n">
        <f aca="false">IF(AE12=0,"",COUNT($G12:$I12))</f>
        <v>2</v>
      </c>
      <c r="AH12" s="10" t="n">
        <f aca="false">IF(AE12=0,"",IFERROR(SMALL($G12:$I12,1),""))</f>
        <v>43710</v>
      </c>
      <c r="AI12" s="10" t="n">
        <f aca="false">IF(AE12=0,"",IFERROR(SMALL($G12:$I12,2),""))</f>
        <v>44256</v>
      </c>
      <c r="AJ12" s="10" t="str">
        <f aca="false">IF(AE12=0,"",IFERROR(SMALL($G12:$I12,3),""))</f>
        <v/>
      </c>
      <c r="AK12" s="12" t="str">
        <f aca="false">IF(AE12=0,"",IF(AH12="","",IF(AH12=$G12,"Part-Time",IF(AH12=$H12,"Full-Time","Casual"))))</f>
        <v>Casual</v>
      </c>
      <c r="AL12" s="12" t="str">
        <f aca="false">IF(AE12=0,"",IF(AI12="","",IF(AI12=$G12,"Part-Time",IF(AI12=$H12,"Full-Time","Casual"))))</f>
        <v>Full-Time</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None</v>
      </c>
      <c r="AO12" s="12" t="str">
        <f aca="false">IF(AE12=0,"",IF(AG12&lt;2,"",IF(OR(ISNUMBER(SEARCH("full",AL12)),UPPER(TRIM(AL12))="FT",UPPER(TRIM(AL12))="FTE"),"FT",IF(AND(OR(ISNUMBER(SEARCH("part",AL12)),UPPER(TRIM(AL12))="PT",UPPER(TRIM(AL12))="PTE"),OR($P12="",N($P12)&gt;=PT_MinHours)),"PT","None"))))</f>
        <v>FT</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FT</v>
      </c>
      <c r="AR12" s="12" t="n">
        <f aca="false">IF(AE12=0,"",IF(AsOfDate&lt;AF12,-1,12*(YEAR(AsOfDate)-YEAR(AF12))+MONTH(AsOfDate)-MONTH(AF12)-IF(DAY(AsOfDate)&lt;MIN(DAY(AF12),DAY(EOMONTH(AsOfDate,0))),1,0)))</f>
        <v>84</v>
      </c>
      <c r="AS12" s="12" t="n">
        <f aca="false">IF(AE12=0,"",IF(OR(AG12&lt;2,AI12&gt;AsOfDate),AR12,IF((AI12-1)&lt;AF12,-1,12*(YEAR((AI12-1))-YEAR(AF12))+MONTH((AI12-1))-MONTH(AF12)-IF(DAY((AI12-1))&lt;MIN(DAY(AF12),DAY(EOMONTH((AI12-1),0))),1,0))))</f>
        <v>17</v>
      </c>
      <c r="AT12" s="12" t="n">
        <f aca="false">IF(AE12=0,"",IF(OR(AG12&lt;3,AJ12&gt;AsOfDate),AR12,IF((AJ12-1)&lt;AF12,-1,12*(YEAR((AJ12-1))-YEAR(AF12))+MONTH((AJ12-1))-MONTH(AF12)-IF(DAY((AJ12-1))&lt;MIN(DAY(AF12),DAY(EOMONTH((AJ12-1),0))),1,0))))</f>
        <v>84</v>
      </c>
      <c r="AU12" s="12" t="n">
        <f aca="false">IF(AE12=0,"",IF(PFYDate&lt;AF12,-1,12*(YEAR(PFYDate)-YEAR(AF12))+MONTH(PFYDate)-MONTH(AF12)-IF(DAY(PFYDate)&lt;MIN(DAY(AF12),DAY(EOMONTH(PFYDate,0))),1,0)))</f>
        <v>81</v>
      </c>
      <c r="AV12" s="12" t="n">
        <f aca="false">IF(AE12=0,"",IF(OR(AG12&lt;2,AI12&gt;PFYDate),AU12,IF((AI12-1)&lt;AF12,-1,12*(YEAR((AI12-1))-YEAR(AF12))+MONTH((AI12-1))-MONTH(AF12)-IF(DAY((AI12-1))&lt;MIN(DAY(AF12),DAY(EOMONTH((AI12-1),0))),1,0))))</f>
        <v>17</v>
      </c>
      <c r="AW12" s="12" t="n">
        <f aca="false">IF(AE12=0,"",IF(OR(AG12&lt;3,AJ12&gt;PFYDate),AU12,IF((AJ12-1)&lt;AF12,-1,12*(YEAR((AJ12-1))-YEAR(AF12))+MONTH((AJ12-1))-MONTH(AF12)-IF(DAY((AJ12-1))&lt;MIN(DAY(AF12),DAY(EOMONTH((AJ12-1),0))),1,0))))</f>
        <v>81</v>
      </c>
      <c r="AX12" s="12"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18</v>
      </c>
      <c r="AY12" s="12"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16</v>
      </c>
      <c r="AZ12" s="12" t="n">
        <f aca="false">IF(AE12=0,"",IF(AQ12="FT",IF(AR12&lt;FT_First,FT_First,IF(AR12&lt;FT_Y5,MIN(FT_Y5,FT_First+FT_Int1*(INT((AR12-FT_First)/FT_Int1)+1)),FT_Y5+12*INT((AR12-FT_Y5)/12)+FT_Int2*(INT(MOD(AR12-FT_Y5,12)/FT_Int2)+1))),IF(AQ12="PT",IF(AR12&lt;PT_First,PT_First,PT_First+PT_Int*(INT((AR12-PT_First)/PT_Int)+1)),"")))</f>
        <v>87</v>
      </c>
      <c r="BA12" s="12" t="n">
        <f aca="false">IF(AE12=0,"",IF(NOT(LH_Ready),0,COUNTIFS(INDEX(LH_Data,0,LH_ColFirst),$A12,INDEX(LH_Data,0,LH_ColSur),$B12,INDEX(LH_Data,0,LH_ColCat),BonusCat)))</f>
        <v>6</v>
      </c>
      <c r="BB12" s="12" t="n">
        <f aca="false">IF(AE12=0,"",IF(OR(NOT(LH_Ready),BA12=0),0,SUMPRODUCT(MAX((INDEX(LH_Data,0,LH_ColFirst)=$A12)*(INDEX(LH_Data,0,LH_ColSur)=$B12)*(INDEX(LH_Data,0,LH_ColCat)=BonusCat)*ROW(LH_Data)))))</f>
        <v>37</v>
      </c>
    </row>
    <row r="13" customFormat="false" ht="15" hidden="false" customHeight="false" outlineLevel="0" collapsed="false">
      <c r="A13" s="15"/>
      <c r="B13" s="15"/>
      <c r="C13" s="15"/>
      <c r="D13" s="16"/>
      <c r="E13" s="10" t="str">
        <f aca="false">IF(OR(AE13=0,$D13=""),"",DATE(YEAR(AsOfDate)+IF(DATE(YEAR(AsOfDate),MONTH($D13),DAY($D13))&lt;=AsOfDate,1,0),MONTH($D13),DAY($D13)))</f>
        <v/>
      </c>
      <c r="F13" s="16"/>
      <c r="G13" s="16"/>
      <c r="H13" s="16"/>
      <c r="I13" s="16"/>
      <c r="J13" s="16"/>
      <c r="K13" s="10" t="str">
        <f aca="false">IF(AE13=0,"",DATE(YEAR(AsOfDate)+IF(DATE(YEAR(AsOfDate),MONTH($F13),DAY($F13))&lt;=AsOfDate,1,0),MONTH($F13),DAY($F13)))</f>
        <v/>
      </c>
      <c r="L13" s="11" t="str">
        <f aca="false">IF(AE13=0,"",ROUND((AsOfDate-$F13)/365.25,1))</f>
        <v/>
      </c>
      <c r="M13" s="12" t="str">
        <f aca="false">IF(AE13=0,"",IF(AsOfDate&lt;AF13,"-",DATEDIF(AF13,AsOfDate,"y")&amp;"y "&amp;DATEDIF(AF13,AsOfDate,"ym")&amp;"m "&amp;DATEDIF(AF13,AsOfDate,"md")&amp;"d"))</f>
        <v/>
      </c>
      <c r="N13" s="13" t="str">
        <f aca="false">IF(AE13=0,"",O13*HoursPerDay)</f>
        <v/>
      </c>
      <c r="O13" s="13" t="str">
        <f aca="false">IF(AE13=0,"",AX13)</f>
        <v/>
      </c>
      <c r="P13" s="17"/>
      <c r="Q13" s="12"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IF(OR(AE13=0,W13=""),"",W13-U13+V13)</f>
        <v/>
      </c>
      <c r="U13" s="13" t="str">
        <f aca="false">IF(AE13=0,"",IF(NOT(LH_Ready),"",SUMIFS(INDEX(LH_Data,0,LH_ColAcc),INDEX(LH_Data,0,LH_ColFirst),$A13,INDEX(LH_Data,0,LH_ColSur),$B13,INDEX(LH_Data,0,LH_ColCat),BonusCat)*UnitFactor))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IF(AE13=0,"",X13-N(U13))</f>
        <v/>
      </c>
      <c r="Z13" s="12" t="str">
        <f aca="false">IF(AE13=0,"",IF(Y13&gt;0,"Yes","No"))</f>
        <v/>
      </c>
      <c r="AA13" s="12" t="str">
        <f aca="false">IF(AE13=0,"",IF(NOT(LH_Ready),"Paste Leave History export",IF(Y13&gt;0,"ACCRUE "&amp;TEXT(Y13,"0.##")&amp;" hrs ("&amp;TEXT(Y13/HoursPerDay,"0.##")&amp;" days)"&amp;IF(BA13=0," - no Bonus Leave line in EH yet",""),IF(Y13&lt;0,"CHECK - EH accrued "&amp;TEXT(-Y13,"0.##")&amp;" hrs more than policy",IF(AND(O13&gt;0,BA13=0),"CHECK - policy says "&amp;TEXT(N13,"0.##")&amp;" hrs to date but no Bonus Leave in EH",IF(O13&gt;0,"OK","-"))))))</f>
        <v/>
      </c>
      <c r="AB13" s="13" t="str">
        <f aca="false">IF(OR(AE13=0,T13=""),"",AY13*HoursPerDay-T13)</f>
        <v/>
      </c>
      <c r="AC13" s="12" t="str">
        <f aca="false">IF(AE13=0,"",BA13)</f>
        <v/>
      </c>
      <c r="AD13" s="12" t="str">
        <f aca="false">IF(AE13=0,"",TRIM(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IF(AE13=0,"",IF($J13&lt;&gt;"",$J13,$F13))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15"/>
      <c r="B14" s="15"/>
      <c r="C14" s="15"/>
      <c r="D14" s="16"/>
      <c r="E14" s="10" t="str">
        <f aca="false">IF(OR(AE14=0,$D14=""),"",DATE(YEAR(AsOfDate)+IF(DATE(YEAR(AsOfDate),MONTH($D14),DAY($D14))&lt;=AsOfDate,1,0),MONTH($D14),DAY($D14)))</f>
        <v/>
      </c>
      <c r="F14" s="16"/>
      <c r="G14" s="16"/>
      <c r="H14" s="16"/>
      <c r="I14" s="16"/>
      <c r="J14" s="16"/>
      <c r="K14" s="10" t="str">
        <f aca="false">IF(AE14=0,"",DATE(YEAR(AsOfDate)+IF(DATE(YEAR(AsOfDate),MONTH($F14),DAY($F14))&lt;=AsOfDate,1,0),MONTH($F14),DAY($F14)))</f>
        <v/>
      </c>
      <c r="L14" s="11" t="str">
        <f aca="false">IF(AE14=0,"",ROUND((AsOfDate-$F14)/365.25,1))</f>
        <v/>
      </c>
      <c r="M14" s="12" t="str">
        <f aca="false">IF(AE14=0,"",IF(AsOfDate&lt;AF14,"-",DATEDIF(AF14,AsOfDate,"y")&amp;"y "&amp;DATEDIF(AF14,AsOfDate,"ym")&amp;"m "&amp;DATEDIF(AF14,AsOfDate,"md")&amp;"d"))</f>
        <v/>
      </c>
      <c r="N14" s="13" t="str">
        <f aca="false">IF(AE14=0,"",O14*HoursPerDay)</f>
        <v/>
      </c>
      <c r="O14" s="13" t="str">
        <f aca="false">IF(AE14=0,"",AX14)</f>
        <v/>
      </c>
      <c r="P14" s="17"/>
      <c r="Q14" s="12"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IF(OR(AE14=0,W14=""),"",W14-U14+V14)</f>
        <v/>
      </c>
      <c r="U14" s="13" t="str">
        <f aca="false">IF(AE14=0,"",IF(NOT(LH_Ready),"",SUMIFS(INDEX(LH_Data,0,LH_ColAcc),INDEX(LH_Data,0,LH_ColFirst),$A14,INDEX(LH_Data,0,LH_ColSur),$B14,INDEX(LH_Data,0,LH_ColCat),BonusCat)*UnitFactor))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IF(AE14=0,"",X14-N(U14))</f>
        <v/>
      </c>
      <c r="Z14" s="12" t="str">
        <f aca="false">IF(AE14=0,"",IF(Y14&gt;0,"Yes","No"))</f>
        <v/>
      </c>
      <c r="AA14" s="12" t="str">
        <f aca="false">IF(AE14=0,"",IF(NOT(LH_Ready),"Paste Leave History export",IF(Y14&gt;0,"ACCRUE "&amp;TEXT(Y14,"0.##")&amp;" hrs ("&amp;TEXT(Y14/HoursPerDay,"0.##")&amp;" days)"&amp;IF(BA14=0," - no Bonus Leave line in EH yet",""),IF(Y14&lt;0,"CHECK - EH accrued "&amp;TEXT(-Y14,"0.##")&amp;" hrs more than policy",IF(AND(O14&gt;0,BA14=0),"CHECK - policy says "&amp;TEXT(N14,"0.##")&amp;" hrs to date but no Bonus Leave in EH",IF(O14&gt;0,"OK","-"))))))</f>
        <v/>
      </c>
      <c r="AB14" s="13" t="str">
        <f aca="false">IF(OR(AE14=0,T14=""),"",AY14*HoursPerDay-T14)</f>
        <v/>
      </c>
      <c r="AC14" s="12" t="str">
        <f aca="false">IF(AE14=0,"",BA14)</f>
        <v/>
      </c>
      <c r="AD14" s="12" t="str">
        <f aca="false">IF(AE14=0,"",TRIM(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IF(AE14=0,"",IF($J14&lt;&gt;"",$J14,$F14))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15"/>
      <c r="B15" s="15"/>
      <c r="C15" s="15"/>
      <c r="D15" s="16"/>
      <c r="E15" s="10" t="str">
        <f aca="false">IF(OR(AE15=0,$D15=""),"",DATE(YEAR(AsOfDate)+IF(DATE(YEAR(AsOfDate),MONTH($D15),DAY($D15))&lt;=AsOfDate,1,0),MONTH($D15),DAY($D15)))</f>
        <v/>
      </c>
      <c r="F15" s="16"/>
      <c r="G15" s="16"/>
      <c r="H15" s="16"/>
      <c r="I15" s="16"/>
      <c r="J15" s="16"/>
      <c r="K15" s="10" t="str">
        <f aca="false">IF(AE15=0,"",DATE(YEAR(AsOfDate)+IF(DATE(YEAR(AsOfDate),MONTH($F15),DAY($F15))&lt;=AsOfDate,1,0),MONTH($F15),DAY($F15)))</f>
        <v/>
      </c>
      <c r="L15" s="11" t="str">
        <f aca="false">IF(AE15=0,"",ROUND((AsOfDate-$F15)/365.25,1))</f>
        <v/>
      </c>
      <c r="M15" s="12" t="str">
        <f aca="false">IF(AE15=0,"",IF(AsOfDate&lt;AF15,"-",DATEDIF(AF15,AsOfDate,"y")&amp;"y "&amp;DATEDIF(AF15,AsOfDate,"ym")&amp;"m "&amp;DATEDIF(AF15,AsOfDate,"md")&amp;"d"))</f>
        <v/>
      </c>
      <c r="N15" s="13" t="str">
        <f aca="false">IF(AE15=0,"",O15*HoursPerDay)</f>
        <v/>
      </c>
      <c r="O15" s="13" t="str">
        <f aca="false">IF(AE15=0,"",AX15)</f>
        <v/>
      </c>
      <c r="P15" s="17"/>
      <c r="Q15" s="12"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IF(OR(AE15=0,W15=""),"",W15-U15+V15)</f>
        <v/>
      </c>
      <c r="U15" s="13" t="str">
        <f aca="false">IF(AE15=0,"",IF(NOT(LH_Ready),"",SUMIFS(INDEX(LH_Data,0,LH_ColAcc),INDEX(LH_Data,0,LH_ColFirst),$A15,INDEX(LH_Data,0,LH_ColSur),$B15,INDEX(LH_Data,0,LH_ColCat),BonusCat)*UnitFactor))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IF(AE15=0,"",X15-N(U15))</f>
        <v/>
      </c>
      <c r="Z15" s="12" t="str">
        <f aca="false">IF(AE15=0,"",IF(Y15&gt;0,"Yes","No"))</f>
        <v/>
      </c>
      <c r="AA15" s="12" t="str">
        <f aca="false">IF(AE15=0,"",IF(NOT(LH_Ready),"Paste Leave History export",IF(Y15&gt;0,"ACCRUE "&amp;TEXT(Y15,"0.##")&amp;" hrs ("&amp;TEXT(Y15/HoursPerDay,"0.##")&amp;" days)"&amp;IF(BA15=0," - no Bonus Leave line in EH yet",""),IF(Y15&lt;0,"CHECK - EH accrued "&amp;TEXT(-Y15,"0.##")&amp;" hrs more than policy",IF(AND(O15&gt;0,BA15=0),"CHECK - policy says "&amp;TEXT(N15,"0.##")&amp;" hrs to date but no Bonus Leave in EH",IF(O15&gt;0,"OK","-"))))))</f>
        <v/>
      </c>
      <c r="AB15" s="13" t="str">
        <f aca="false">IF(OR(AE15=0,T15=""),"",AY15*HoursPerDay-T15)</f>
        <v/>
      </c>
      <c r="AC15" s="12" t="str">
        <f aca="false">IF(AE15=0,"",BA15)</f>
        <v/>
      </c>
      <c r="AD15" s="12" t="str">
        <f aca="false">IF(AE15=0,"",TRIM(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IF(AE15=0,"",IF($J15&lt;&gt;"",$J15,$F15))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15"/>
      <c r="B16" s="15"/>
      <c r="C16" s="15"/>
      <c r="D16" s="16"/>
      <c r="E16" s="10" t="str">
        <f aca="false">IF(OR(AE16=0,$D16=""),"",DATE(YEAR(AsOfDate)+IF(DATE(YEAR(AsOfDate),MONTH($D16),DAY($D16))&lt;=AsOfDate,1,0),MONTH($D16),DAY($D16)))</f>
        <v/>
      </c>
      <c r="F16" s="16"/>
      <c r="G16" s="16"/>
      <c r="H16" s="16"/>
      <c r="I16" s="16"/>
      <c r="J16" s="16"/>
      <c r="K16" s="10" t="str">
        <f aca="false">IF(AE16=0,"",DATE(YEAR(AsOfDate)+IF(DATE(YEAR(AsOfDate),MONTH($F16),DAY($F16))&lt;=AsOfDate,1,0),MONTH($F16),DAY($F16)))</f>
        <v/>
      </c>
      <c r="L16" s="11" t="str">
        <f aca="false">IF(AE16=0,"",ROUND((AsOfDate-$F16)/365.25,1))</f>
        <v/>
      </c>
      <c r="M16" s="12" t="str">
        <f aca="false">IF(AE16=0,"",IF(AsOfDate&lt;AF16,"-",DATEDIF(AF16,AsOfDate,"y")&amp;"y "&amp;DATEDIF(AF16,AsOfDate,"ym")&amp;"m "&amp;DATEDIF(AF16,AsOfDate,"md")&amp;"d"))</f>
        <v/>
      </c>
      <c r="N16" s="13" t="str">
        <f aca="false">IF(AE16=0,"",O16*HoursPerDay)</f>
        <v/>
      </c>
      <c r="O16" s="13" t="str">
        <f aca="false">IF(AE16=0,"",AX16)</f>
        <v/>
      </c>
      <c r="P16" s="17"/>
      <c r="Q16" s="12"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IF(OR(AE16=0,W16=""),"",W16-U16+V16)</f>
        <v/>
      </c>
      <c r="U16" s="13" t="str">
        <f aca="false">IF(AE16=0,"",IF(NOT(LH_Ready),"",SUMIFS(INDEX(LH_Data,0,LH_ColAcc),INDEX(LH_Data,0,LH_ColFirst),$A16,INDEX(LH_Data,0,LH_ColSur),$B16,INDEX(LH_Data,0,LH_ColCat),BonusCat)*UnitFactor))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IF(AE16=0,"",X16-N(U16))</f>
        <v/>
      </c>
      <c r="Z16" s="12" t="str">
        <f aca="false">IF(AE16=0,"",IF(Y16&gt;0,"Yes","No"))</f>
        <v/>
      </c>
      <c r="AA16" s="12" t="str">
        <f aca="false">IF(AE16=0,"",IF(NOT(LH_Ready),"Paste Leave History export",IF(Y16&gt;0,"ACCRUE "&amp;TEXT(Y16,"0.##")&amp;" hrs ("&amp;TEXT(Y16/HoursPerDay,"0.##")&amp;" days)"&amp;IF(BA16=0," - no Bonus Leave line in EH yet",""),IF(Y16&lt;0,"CHECK - EH accrued "&amp;TEXT(-Y16,"0.##")&amp;" hrs more than policy",IF(AND(O16&gt;0,BA16=0),"CHECK - policy says "&amp;TEXT(N16,"0.##")&amp;" hrs to date but no Bonus Leave in EH",IF(O16&gt;0,"OK","-"))))))</f>
        <v/>
      </c>
      <c r="AB16" s="13" t="str">
        <f aca="false">IF(OR(AE16=0,T16=""),"",AY16*HoursPerDay-T16)</f>
        <v/>
      </c>
      <c r="AC16" s="12" t="str">
        <f aca="false">IF(AE16=0,"",BA16)</f>
        <v/>
      </c>
      <c r="AD16" s="12" t="str">
        <f aca="false">IF(AE16=0,"",TRIM(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IF(AE16=0,"",IF($J16&lt;&gt;"",$J16,$F16))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15"/>
      <c r="B17" s="15"/>
      <c r="C17" s="15"/>
      <c r="D17" s="16"/>
      <c r="E17" s="10" t="str">
        <f aca="false">IF(OR(AE17=0,$D17=""),"",DATE(YEAR(AsOfDate)+IF(DATE(YEAR(AsOfDate),MONTH($D17),DAY($D17))&lt;=AsOfDate,1,0),MONTH($D17),DAY($D17)))</f>
        <v/>
      </c>
      <c r="F17" s="16"/>
      <c r="G17" s="16"/>
      <c r="H17" s="16"/>
      <c r="I17" s="16"/>
      <c r="J17" s="16"/>
      <c r="K17" s="10" t="str">
        <f aca="false">IF(AE17=0,"",DATE(YEAR(AsOfDate)+IF(DATE(YEAR(AsOfDate),MONTH($F17),DAY($F17))&lt;=AsOfDate,1,0),MONTH($F17),DAY($F17)))</f>
        <v/>
      </c>
      <c r="L17" s="11" t="str">
        <f aca="false">IF(AE17=0,"",ROUND((AsOfDate-$F17)/365.25,1))</f>
        <v/>
      </c>
      <c r="M17" s="12" t="str">
        <f aca="false">IF(AE17=0,"",IF(AsOfDate&lt;AF17,"-",DATEDIF(AF17,AsOfDate,"y")&amp;"y "&amp;DATEDIF(AF17,AsOfDate,"ym")&amp;"m "&amp;DATEDIF(AF17,AsOfDate,"md")&amp;"d"))</f>
        <v/>
      </c>
      <c r="N17" s="13" t="str">
        <f aca="false">IF(AE17=0,"",O17*HoursPerDay)</f>
        <v/>
      </c>
      <c r="O17" s="13" t="str">
        <f aca="false">IF(AE17=0,"",AX17)</f>
        <v/>
      </c>
      <c r="P17" s="17"/>
      <c r="Q17" s="12"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IF(OR(AE17=0,W17=""),"",W17-U17+V17)</f>
        <v/>
      </c>
      <c r="U17" s="13" t="str">
        <f aca="false">IF(AE17=0,"",IF(NOT(LH_Ready),"",SUMIFS(INDEX(LH_Data,0,LH_ColAcc),INDEX(LH_Data,0,LH_ColFirst),$A17,INDEX(LH_Data,0,LH_ColSur),$B17,INDEX(LH_Data,0,LH_ColCat),BonusCat)*UnitFactor))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IF(AE17=0,"",X17-N(U17))</f>
        <v/>
      </c>
      <c r="Z17" s="12" t="str">
        <f aca="false">IF(AE17=0,"",IF(Y17&gt;0,"Yes","No"))</f>
        <v/>
      </c>
      <c r="AA17" s="12" t="str">
        <f aca="false">IF(AE17=0,"",IF(NOT(LH_Ready),"Paste Leave History export",IF(Y17&gt;0,"ACCRUE "&amp;TEXT(Y17,"0.##")&amp;" hrs ("&amp;TEXT(Y17/HoursPerDay,"0.##")&amp;" days)"&amp;IF(BA17=0," - no Bonus Leave line in EH yet",""),IF(Y17&lt;0,"CHECK - EH accrued "&amp;TEXT(-Y17,"0.##")&amp;" hrs more than policy",IF(AND(O17&gt;0,BA17=0),"CHECK - policy says "&amp;TEXT(N17,"0.##")&amp;" hrs to date but no Bonus Leave in EH",IF(O17&gt;0,"OK","-"))))))</f>
        <v/>
      </c>
      <c r="AB17" s="13" t="str">
        <f aca="false">IF(OR(AE17=0,T17=""),"",AY17*HoursPerDay-T17)</f>
        <v/>
      </c>
      <c r="AC17" s="12" t="str">
        <f aca="false">IF(AE17=0,"",BA17)</f>
        <v/>
      </c>
      <c r="AD17" s="12" t="str">
        <f aca="false">IF(AE17=0,"",TRIM(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IF(AE17=0,"",IF($J17&lt;&gt;"",$J17,$F17))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15"/>
      <c r="B18" s="15"/>
      <c r="C18" s="15"/>
      <c r="D18" s="16"/>
      <c r="E18" s="10" t="str">
        <f aca="false">IF(OR(AE18=0,$D18=""),"",DATE(YEAR(AsOfDate)+IF(DATE(YEAR(AsOfDate),MONTH($D18),DAY($D18))&lt;=AsOfDate,1,0),MONTH($D18),DAY($D18)))</f>
        <v/>
      </c>
      <c r="F18" s="16"/>
      <c r="G18" s="16"/>
      <c r="H18" s="16"/>
      <c r="I18" s="16"/>
      <c r="J18" s="16"/>
      <c r="K18" s="10" t="str">
        <f aca="false">IF(AE18=0,"",DATE(YEAR(AsOfDate)+IF(DATE(YEAR(AsOfDate),MONTH($F18),DAY($F18))&lt;=AsOfDate,1,0),MONTH($F18),DAY($F18)))</f>
        <v/>
      </c>
      <c r="L18" s="11" t="str">
        <f aca="false">IF(AE18=0,"",ROUND((AsOfDate-$F18)/365.25,1))</f>
        <v/>
      </c>
      <c r="M18" s="12" t="str">
        <f aca="false">IF(AE18=0,"",IF(AsOfDate&lt;AF18,"-",DATEDIF(AF18,AsOfDate,"y")&amp;"y "&amp;DATEDIF(AF18,AsOfDate,"ym")&amp;"m "&amp;DATEDIF(AF18,AsOfDate,"md")&amp;"d"))</f>
        <v/>
      </c>
      <c r="N18" s="13" t="str">
        <f aca="false">IF(AE18=0,"",O18*HoursPerDay)</f>
        <v/>
      </c>
      <c r="O18" s="13" t="str">
        <f aca="false">IF(AE18=0,"",AX18)</f>
        <v/>
      </c>
      <c r="P18" s="17"/>
      <c r="Q18" s="12"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IF(OR(AE18=0,W18=""),"",W18-U18+V18)</f>
        <v/>
      </c>
      <c r="U18" s="13" t="str">
        <f aca="false">IF(AE18=0,"",IF(NOT(LH_Ready),"",SUMIFS(INDEX(LH_Data,0,LH_ColAcc),INDEX(LH_Data,0,LH_ColFirst),$A18,INDEX(LH_Data,0,LH_ColSur),$B18,INDEX(LH_Data,0,LH_ColCat),BonusCat)*UnitFactor))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IF(AE18=0,"",X18-N(U18))</f>
        <v/>
      </c>
      <c r="Z18" s="12" t="str">
        <f aca="false">IF(AE18=0,"",IF(Y18&gt;0,"Yes","No"))</f>
        <v/>
      </c>
      <c r="AA18" s="12" t="str">
        <f aca="false">IF(AE18=0,"",IF(NOT(LH_Ready),"Paste Leave History export",IF(Y18&gt;0,"ACCRUE "&amp;TEXT(Y18,"0.##")&amp;" hrs ("&amp;TEXT(Y18/HoursPerDay,"0.##")&amp;" days)"&amp;IF(BA18=0," - no Bonus Leave line in EH yet",""),IF(Y18&lt;0,"CHECK - EH accrued "&amp;TEXT(-Y18,"0.##")&amp;" hrs more than policy",IF(AND(O18&gt;0,BA18=0),"CHECK - policy says "&amp;TEXT(N18,"0.##")&amp;" hrs to date but no Bonus Leave in EH",IF(O18&gt;0,"OK","-"))))))</f>
        <v/>
      </c>
      <c r="AB18" s="13" t="str">
        <f aca="false">IF(OR(AE18=0,T18=""),"",AY18*HoursPerDay-T18)</f>
        <v/>
      </c>
      <c r="AC18" s="12" t="str">
        <f aca="false">IF(AE18=0,"",BA18)</f>
        <v/>
      </c>
      <c r="AD18" s="12" t="str">
        <f aca="false">IF(AE18=0,"",TRIM(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IF(AE18=0,"",IF($J18&lt;&gt;"",$J18,$F18))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15"/>
      <c r="B19" s="15"/>
      <c r="C19" s="15"/>
      <c r="D19" s="16"/>
      <c r="E19" s="10" t="str">
        <f aca="false">IF(OR(AE19=0,$D19=""),"",DATE(YEAR(AsOfDate)+IF(DATE(YEAR(AsOfDate),MONTH($D19),DAY($D19))&lt;=AsOfDate,1,0),MONTH($D19),DAY($D19)))</f>
        <v/>
      </c>
      <c r="F19" s="16"/>
      <c r="G19" s="16"/>
      <c r="H19" s="16"/>
      <c r="I19" s="16"/>
      <c r="J19" s="16"/>
      <c r="K19" s="10" t="str">
        <f aca="false">IF(AE19=0,"",DATE(YEAR(AsOfDate)+IF(DATE(YEAR(AsOfDate),MONTH($F19),DAY($F19))&lt;=AsOfDate,1,0),MONTH($F19),DAY($F19)))</f>
        <v/>
      </c>
      <c r="L19" s="11" t="str">
        <f aca="false">IF(AE19=0,"",ROUND((AsOfDate-$F19)/365.25,1))</f>
        <v/>
      </c>
      <c r="M19" s="12" t="str">
        <f aca="false">IF(AE19=0,"",IF(AsOfDate&lt;AF19,"-",DATEDIF(AF19,AsOfDate,"y")&amp;"y "&amp;DATEDIF(AF19,AsOfDate,"ym")&amp;"m "&amp;DATEDIF(AF19,AsOfDate,"md")&amp;"d"))</f>
        <v/>
      </c>
      <c r="N19" s="13" t="str">
        <f aca="false">IF(AE19=0,"",O19*HoursPerDay)</f>
        <v/>
      </c>
      <c r="O19" s="13" t="str">
        <f aca="false">IF(AE19=0,"",AX19)</f>
        <v/>
      </c>
      <c r="P19" s="17"/>
      <c r="Q19" s="12"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IF(OR(AE19=0,W19=""),"",W19-U19+V19)</f>
        <v/>
      </c>
      <c r="U19" s="13" t="str">
        <f aca="false">IF(AE19=0,"",IF(NOT(LH_Ready),"",SUMIFS(INDEX(LH_Data,0,LH_ColAcc),INDEX(LH_Data,0,LH_ColFirst),$A19,INDEX(LH_Data,0,LH_ColSur),$B19,INDEX(LH_Data,0,LH_ColCat),BonusCat)*UnitFactor))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IF(AE19=0,"",X19-N(U19))</f>
        <v/>
      </c>
      <c r="Z19" s="12" t="str">
        <f aca="false">IF(AE19=0,"",IF(Y19&gt;0,"Yes","No"))</f>
        <v/>
      </c>
      <c r="AA19" s="12" t="str">
        <f aca="false">IF(AE19=0,"",IF(NOT(LH_Ready),"Paste Leave History export",IF(Y19&gt;0,"ACCRUE "&amp;TEXT(Y19,"0.##")&amp;" hrs ("&amp;TEXT(Y19/HoursPerDay,"0.##")&amp;" days)"&amp;IF(BA19=0," - no Bonus Leave line in EH yet",""),IF(Y19&lt;0,"CHECK - EH accrued "&amp;TEXT(-Y19,"0.##")&amp;" hrs more than policy",IF(AND(O19&gt;0,BA19=0),"CHECK - policy says "&amp;TEXT(N19,"0.##")&amp;" hrs to date but no Bonus Leave in EH",IF(O19&gt;0,"OK","-"))))))</f>
        <v/>
      </c>
      <c r="AB19" s="13" t="str">
        <f aca="false">IF(OR(AE19=0,T19=""),"",AY19*HoursPerDay-T19)</f>
        <v/>
      </c>
      <c r="AC19" s="12" t="str">
        <f aca="false">IF(AE19=0,"",BA19)</f>
        <v/>
      </c>
      <c r="AD19" s="12" t="str">
        <f aca="false">IF(AE19=0,"",TRIM(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IF(AE19=0,"",IF($J19&lt;&gt;"",$J19,$F19))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15"/>
      <c r="B20" s="15"/>
      <c r="C20" s="15"/>
      <c r="D20" s="16"/>
      <c r="E20" s="10" t="str">
        <f aca="false">IF(OR(AE20=0,$D20=""),"",DATE(YEAR(AsOfDate)+IF(DATE(YEAR(AsOfDate),MONTH($D20),DAY($D20))&lt;=AsOfDate,1,0),MONTH($D20),DAY($D20)))</f>
        <v/>
      </c>
      <c r="F20" s="16"/>
      <c r="G20" s="16"/>
      <c r="H20" s="16"/>
      <c r="I20" s="16"/>
      <c r="J20" s="16"/>
      <c r="K20" s="10" t="str">
        <f aca="false">IF(AE20=0,"",DATE(YEAR(AsOfDate)+IF(DATE(YEAR(AsOfDate),MONTH($F20),DAY($F20))&lt;=AsOfDate,1,0),MONTH($F20),DAY($F20)))</f>
        <v/>
      </c>
      <c r="L20" s="11" t="str">
        <f aca="false">IF(AE20=0,"",ROUND((AsOfDate-$F20)/365.25,1))</f>
        <v/>
      </c>
      <c r="M20" s="12" t="str">
        <f aca="false">IF(AE20=0,"",IF(AsOfDate&lt;AF20,"-",DATEDIF(AF20,AsOfDate,"y")&amp;"y "&amp;DATEDIF(AF20,AsOfDate,"ym")&amp;"m "&amp;DATEDIF(AF20,AsOfDate,"md")&amp;"d"))</f>
        <v/>
      </c>
      <c r="N20" s="13" t="str">
        <f aca="false">IF(AE20=0,"",O20*HoursPerDay)</f>
        <v/>
      </c>
      <c r="O20" s="13" t="str">
        <f aca="false">IF(AE20=0,"",AX20)</f>
        <v/>
      </c>
      <c r="P20" s="17"/>
      <c r="Q20" s="12"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IF(OR(AE20=0,W20=""),"",W20-U20+V20)</f>
        <v/>
      </c>
      <c r="U20" s="13" t="str">
        <f aca="false">IF(AE20=0,"",IF(NOT(LH_Ready),"",SUMIFS(INDEX(LH_Data,0,LH_ColAcc),INDEX(LH_Data,0,LH_ColFirst),$A20,INDEX(LH_Data,0,LH_ColSur),$B20,INDEX(LH_Data,0,LH_ColCat),BonusCat)*UnitFactor))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IF(AE20=0,"",X20-N(U20))</f>
        <v/>
      </c>
      <c r="Z20" s="12" t="str">
        <f aca="false">IF(AE20=0,"",IF(Y20&gt;0,"Yes","No"))</f>
        <v/>
      </c>
      <c r="AA20" s="12" t="str">
        <f aca="false">IF(AE20=0,"",IF(NOT(LH_Ready),"Paste Leave History export",IF(Y20&gt;0,"ACCRUE "&amp;TEXT(Y20,"0.##")&amp;" hrs ("&amp;TEXT(Y20/HoursPerDay,"0.##")&amp;" days)"&amp;IF(BA20=0," - no Bonus Leave line in EH yet",""),IF(Y20&lt;0,"CHECK - EH accrued "&amp;TEXT(-Y20,"0.##")&amp;" hrs more than policy",IF(AND(O20&gt;0,BA20=0),"CHECK - policy says "&amp;TEXT(N20,"0.##")&amp;" hrs to date but no Bonus Leave in EH",IF(O20&gt;0,"OK","-"))))))</f>
        <v/>
      </c>
      <c r="AB20" s="13" t="str">
        <f aca="false">IF(OR(AE20=0,T20=""),"",AY20*HoursPerDay-T20)</f>
        <v/>
      </c>
      <c r="AC20" s="12" t="str">
        <f aca="false">IF(AE20=0,"",BA20)</f>
        <v/>
      </c>
      <c r="AD20" s="12" t="str">
        <f aca="false">IF(AE20=0,"",TRIM(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IF(AE20=0,"",IF($J20&lt;&gt;"",$J20,$F20))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15"/>
      <c r="B21" s="15"/>
      <c r="C21" s="15"/>
      <c r="D21" s="16"/>
      <c r="E21" s="10" t="str">
        <f aca="false">IF(OR(AE21=0,$D21=""),"",DATE(YEAR(AsOfDate)+IF(DATE(YEAR(AsOfDate),MONTH($D21),DAY($D21))&lt;=AsOfDate,1,0),MONTH($D21),DAY($D21)))</f>
        <v/>
      </c>
      <c r="F21" s="16"/>
      <c r="G21" s="16"/>
      <c r="H21" s="16"/>
      <c r="I21" s="16"/>
      <c r="J21" s="16"/>
      <c r="K21" s="10" t="str">
        <f aca="false">IF(AE21=0,"",DATE(YEAR(AsOfDate)+IF(DATE(YEAR(AsOfDate),MONTH($F21),DAY($F21))&lt;=AsOfDate,1,0),MONTH($F21),DAY($F21)))</f>
        <v/>
      </c>
      <c r="L21" s="11" t="str">
        <f aca="false">IF(AE21=0,"",ROUND((AsOfDate-$F21)/365.25,1))</f>
        <v/>
      </c>
      <c r="M21" s="12" t="str">
        <f aca="false">IF(AE21=0,"",IF(AsOfDate&lt;AF21,"-",DATEDIF(AF21,AsOfDate,"y")&amp;"y "&amp;DATEDIF(AF21,AsOfDate,"ym")&amp;"m "&amp;DATEDIF(AF21,AsOfDate,"md")&amp;"d"))</f>
        <v/>
      </c>
      <c r="N21" s="13" t="str">
        <f aca="false">IF(AE21=0,"",O21*HoursPerDay)</f>
        <v/>
      </c>
      <c r="O21" s="13" t="str">
        <f aca="false">IF(AE21=0,"",AX21)</f>
        <v/>
      </c>
      <c r="P21" s="17"/>
      <c r="Q21" s="12"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IF(OR(AE21=0,W21=""),"",W21-U21+V21)</f>
        <v/>
      </c>
      <c r="U21" s="13" t="str">
        <f aca="false">IF(AE21=0,"",IF(NOT(LH_Ready),"",SUMIFS(INDEX(LH_Data,0,LH_ColAcc),INDEX(LH_Data,0,LH_ColFirst),$A21,INDEX(LH_Data,0,LH_ColSur),$B21,INDEX(LH_Data,0,LH_ColCat),BonusCat)*UnitFactor))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IF(AE21=0,"",X21-N(U21))</f>
        <v/>
      </c>
      <c r="Z21" s="12" t="str">
        <f aca="false">IF(AE21=0,"",IF(Y21&gt;0,"Yes","No"))</f>
        <v/>
      </c>
      <c r="AA21" s="12" t="str">
        <f aca="false">IF(AE21=0,"",IF(NOT(LH_Ready),"Paste Leave History export",IF(Y21&gt;0,"ACCRUE "&amp;TEXT(Y21,"0.##")&amp;" hrs ("&amp;TEXT(Y21/HoursPerDay,"0.##")&amp;" days)"&amp;IF(BA21=0," - no Bonus Leave line in EH yet",""),IF(Y21&lt;0,"CHECK - EH accrued "&amp;TEXT(-Y21,"0.##")&amp;" hrs more than policy",IF(AND(O21&gt;0,BA21=0),"CHECK - policy says "&amp;TEXT(N21,"0.##")&amp;" hrs to date but no Bonus Leave in EH",IF(O21&gt;0,"OK","-"))))))</f>
        <v/>
      </c>
      <c r="AB21" s="13" t="str">
        <f aca="false">IF(OR(AE21=0,T21=""),"",AY21*HoursPerDay-T21)</f>
        <v/>
      </c>
      <c r="AC21" s="12" t="str">
        <f aca="false">IF(AE21=0,"",BA21)</f>
        <v/>
      </c>
      <c r="AD21" s="12" t="str">
        <f aca="false">IF(AE21=0,"",TRIM(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IF(AE21=0,"",IF($J21&lt;&gt;"",$J21,$F21))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15"/>
      <c r="B22" s="15"/>
      <c r="C22" s="15"/>
      <c r="D22" s="16"/>
      <c r="E22" s="10" t="str">
        <f aca="false">IF(OR(AE22=0,$D22=""),"",DATE(YEAR(AsOfDate)+IF(DATE(YEAR(AsOfDate),MONTH($D22),DAY($D22))&lt;=AsOfDate,1,0),MONTH($D22),DAY($D22)))</f>
        <v/>
      </c>
      <c r="F22" s="16"/>
      <c r="G22" s="16"/>
      <c r="H22" s="16"/>
      <c r="I22" s="16"/>
      <c r="J22" s="16"/>
      <c r="K22" s="10" t="str">
        <f aca="false">IF(AE22=0,"",DATE(YEAR(AsOfDate)+IF(DATE(YEAR(AsOfDate),MONTH($F22),DAY($F22))&lt;=AsOfDate,1,0),MONTH($F22),DAY($F22)))</f>
        <v/>
      </c>
      <c r="L22" s="11" t="str">
        <f aca="false">IF(AE22=0,"",ROUND((AsOfDate-$F22)/365.25,1))</f>
        <v/>
      </c>
      <c r="M22" s="12" t="str">
        <f aca="false">IF(AE22=0,"",IF(AsOfDate&lt;AF22,"-",DATEDIF(AF22,AsOfDate,"y")&amp;"y "&amp;DATEDIF(AF22,AsOfDate,"ym")&amp;"m "&amp;DATEDIF(AF22,AsOfDate,"md")&amp;"d"))</f>
        <v/>
      </c>
      <c r="N22" s="13" t="str">
        <f aca="false">IF(AE22=0,"",O22*HoursPerDay)</f>
        <v/>
      </c>
      <c r="O22" s="13" t="str">
        <f aca="false">IF(AE22=0,"",AX22)</f>
        <v/>
      </c>
      <c r="P22" s="17"/>
      <c r="Q22" s="12"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IF(OR(AE22=0,W22=""),"",W22-U22+V22)</f>
        <v/>
      </c>
      <c r="U22" s="13" t="str">
        <f aca="false">IF(AE22=0,"",IF(NOT(LH_Ready),"",SUMIFS(INDEX(LH_Data,0,LH_ColAcc),INDEX(LH_Data,0,LH_ColFirst),$A22,INDEX(LH_Data,0,LH_ColSur),$B22,INDEX(LH_Data,0,LH_ColCat),BonusCat)*UnitFactor))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IF(AE22=0,"",X22-N(U22))</f>
        <v/>
      </c>
      <c r="Z22" s="12" t="str">
        <f aca="false">IF(AE22=0,"",IF(Y22&gt;0,"Yes","No"))</f>
        <v/>
      </c>
      <c r="AA22" s="12" t="str">
        <f aca="false">IF(AE22=0,"",IF(NOT(LH_Ready),"Paste Leave History export",IF(Y22&gt;0,"ACCRUE "&amp;TEXT(Y22,"0.##")&amp;" hrs ("&amp;TEXT(Y22/HoursPerDay,"0.##")&amp;" days)"&amp;IF(BA22=0," - no Bonus Leave line in EH yet",""),IF(Y22&lt;0,"CHECK - EH accrued "&amp;TEXT(-Y22,"0.##")&amp;" hrs more than policy",IF(AND(O22&gt;0,BA22=0),"CHECK - policy says "&amp;TEXT(N22,"0.##")&amp;" hrs to date but no Bonus Leave in EH",IF(O22&gt;0,"OK","-"))))))</f>
        <v/>
      </c>
      <c r="AB22" s="13" t="str">
        <f aca="false">IF(OR(AE22=0,T22=""),"",AY22*HoursPerDay-T22)</f>
        <v/>
      </c>
      <c r="AC22" s="12" t="str">
        <f aca="false">IF(AE22=0,"",BA22)</f>
        <v/>
      </c>
      <c r="AD22" s="12" t="str">
        <f aca="false">IF(AE22=0,"",TRIM(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IF(AE22=0,"",IF($J22&lt;&gt;"",$J22,$F22))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15"/>
      <c r="B23" s="15"/>
      <c r="C23" s="15"/>
      <c r="D23" s="16"/>
      <c r="E23" s="10" t="str">
        <f aca="false">IF(OR(AE23=0,$D23=""),"",DATE(YEAR(AsOfDate)+IF(DATE(YEAR(AsOfDate),MONTH($D23),DAY($D23))&lt;=AsOfDate,1,0),MONTH($D23),DAY($D23)))</f>
        <v/>
      </c>
      <c r="F23" s="16"/>
      <c r="G23" s="16"/>
      <c r="H23" s="16"/>
      <c r="I23" s="16"/>
      <c r="J23" s="16"/>
      <c r="K23" s="10" t="str">
        <f aca="false">IF(AE23=0,"",DATE(YEAR(AsOfDate)+IF(DATE(YEAR(AsOfDate),MONTH($F23),DAY($F23))&lt;=AsOfDate,1,0),MONTH($F23),DAY($F23)))</f>
        <v/>
      </c>
      <c r="L23" s="11" t="str">
        <f aca="false">IF(AE23=0,"",ROUND((AsOfDate-$F23)/365.25,1))</f>
        <v/>
      </c>
      <c r="M23" s="12" t="str">
        <f aca="false">IF(AE23=0,"",IF(AsOfDate&lt;AF23,"-",DATEDIF(AF23,AsOfDate,"y")&amp;"y "&amp;DATEDIF(AF23,AsOfDate,"ym")&amp;"m "&amp;DATEDIF(AF23,AsOfDate,"md")&amp;"d"))</f>
        <v/>
      </c>
      <c r="N23" s="13" t="str">
        <f aca="false">IF(AE23=0,"",O23*HoursPerDay)</f>
        <v/>
      </c>
      <c r="O23" s="13" t="str">
        <f aca="false">IF(AE23=0,"",AX23)</f>
        <v/>
      </c>
      <c r="P23" s="17"/>
      <c r="Q23" s="12"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IF(OR(AE23=0,W23=""),"",W23-U23+V23)</f>
        <v/>
      </c>
      <c r="U23" s="13" t="str">
        <f aca="false">IF(AE23=0,"",IF(NOT(LH_Ready),"",SUMIFS(INDEX(LH_Data,0,LH_ColAcc),INDEX(LH_Data,0,LH_ColFirst),$A23,INDEX(LH_Data,0,LH_ColSur),$B23,INDEX(LH_Data,0,LH_ColCat),BonusCat)*UnitFactor))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IF(AE23=0,"",X23-N(U23))</f>
        <v/>
      </c>
      <c r="Z23" s="12" t="str">
        <f aca="false">IF(AE23=0,"",IF(Y23&gt;0,"Yes","No"))</f>
        <v/>
      </c>
      <c r="AA23" s="12" t="str">
        <f aca="false">IF(AE23=0,"",IF(NOT(LH_Ready),"Paste Leave History export",IF(Y23&gt;0,"ACCRUE "&amp;TEXT(Y23,"0.##")&amp;" hrs ("&amp;TEXT(Y23/HoursPerDay,"0.##")&amp;" days)"&amp;IF(BA23=0," - no Bonus Leave line in EH yet",""),IF(Y23&lt;0,"CHECK - EH accrued "&amp;TEXT(-Y23,"0.##")&amp;" hrs more than policy",IF(AND(O23&gt;0,BA23=0),"CHECK - policy says "&amp;TEXT(N23,"0.##")&amp;" hrs to date but no Bonus Leave in EH",IF(O23&gt;0,"OK","-"))))))</f>
        <v/>
      </c>
      <c r="AB23" s="13" t="str">
        <f aca="false">IF(OR(AE23=0,T23=""),"",AY23*HoursPerDay-T23)</f>
        <v/>
      </c>
      <c r="AC23" s="12" t="str">
        <f aca="false">IF(AE23=0,"",BA23)</f>
        <v/>
      </c>
      <c r="AD23" s="12" t="str">
        <f aca="false">IF(AE23=0,"",TRIM(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IF(AE23=0,"",IF($J23&lt;&gt;"",$J23,$F23))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15"/>
      <c r="B24" s="15"/>
      <c r="C24" s="15"/>
      <c r="D24" s="16"/>
      <c r="E24" s="10" t="str">
        <f aca="false">IF(OR(AE24=0,$D24=""),"",DATE(YEAR(AsOfDate)+IF(DATE(YEAR(AsOfDate),MONTH($D24),DAY($D24))&lt;=AsOfDate,1,0),MONTH($D24),DAY($D24)))</f>
        <v/>
      </c>
      <c r="F24" s="16"/>
      <c r="G24" s="16"/>
      <c r="H24" s="16"/>
      <c r="I24" s="16"/>
      <c r="J24" s="16"/>
      <c r="K24" s="10" t="str">
        <f aca="false">IF(AE24=0,"",DATE(YEAR(AsOfDate)+IF(DATE(YEAR(AsOfDate),MONTH($F24),DAY($F24))&lt;=AsOfDate,1,0),MONTH($F24),DAY($F24)))</f>
        <v/>
      </c>
      <c r="L24" s="11" t="str">
        <f aca="false">IF(AE24=0,"",ROUND((AsOfDate-$F24)/365.25,1))</f>
        <v/>
      </c>
      <c r="M24" s="12" t="str">
        <f aca="false">IF(AE24=0,"",IF(AsOfDate&lt;AF24,"-",DATEDIF(AF24,AsOfDate,"y")&amp;"y "&amp;DATEDIF(AF24,AsOfDate,"ym")&amp;"m "&amp;DATEDIF(AF24,AsOfDate,"md")&amp;"d"))</f>
        <v/>
      </c>
      <c r="N24" s="13" t="str">
        <f aca="false">IF(AE24=0,"",O24*HoursPerDay)</f>
        <v/>
      </c>
      <c r="O24" s="13" t="str">
        <f aca="false">IF(AE24=0,"",AX24)</f>
        <v/>
      </c>
      <c r="P24" s="17"/>
      <c r="Q24" s="12"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IF(OR(AE24=0,W24=""),"",W24-U24+V24)</f>
        <v/>
      </c>
      <c r="U24" s="13" t="str">
        <f aca="false">IF(AE24=0,"",IF(NOT(LH_Ready),"",SUMIFS(INDEX(LH_Data,0,LH_ColAcc),INDEX(LH_Data,0,LH_ColFirst),$A24,INDEX(LH_Data,0,LH_ColSur),$B24,INDEX(LH_Data,0,LH_ColCat),BonusCat)*UnitFactor))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IF(AE24=0,"",X24-N(U24))</f>
        <v/>
      </c>
      <c r="Z24" s="12" t="str">
        <f aca="false">IF(AE24=0,"",IF(Y24&gt;0,"Yes","No"))</f>
        <v/>
      </c>
      <c r="AA24" s="12" t="str">
        <f aca="false">IF(AE24=0,"",IF(NOT(LH_Ready),"Paste Leave History export",IF(Y24&gt;0,"ACCRUE "&amp;TEXT(Y24,"0.##")&amp;" hrs ("&amp;TEXT(Y24/HoursPerDay,"0.##")&amp;" days)"&amp;IF(BA24=0," - no Bonus Leave line in EH yet",""),IF(Y24&lt;0,"CHECK - EH accrued "&amp;TEXT(-Y24,"0.##")&amp;" hrs more than policy",IF(AND(O24&gt;0,BA24=0),"CHECK - policy says "&amp;TEXT(N24,"0.##")&amp;" hrs to date but no Bonus Leave in EH",IF(O24&gt;0,"OK","-"))))))</f>
        <v/>
      </c>
      <c r="AB24" s="13" t="str">
        <f aca="false">IF(OR(AE24=0,T24=""),"",AY24*HoursPerDay-T24)</f>
        <v/>
      </c>
      <c r="AC24" s="12" t="str">
        <f aca="false">IF(AE24=0,"",BA24)</f>
        <v/>
      </c>
      <c r="AD24" s="12" t="str">
        <f aca="false">IF(AE24=0,"",TRIM(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IF(AE24=0,"",IF($J24&lt;&gt;"",$J24,$F24))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15"/>
      <c r="B25" s="15"/>
      <c r="C25" s="15"/>
      <c r="D25" s="16"/>
      <c r="E25" s="10" t="str">
        <f aca="false">IF(OR(AE25=0,$D25=""),"",DATE(YEAR(AsOfDate)+IF(DATE(YEAR(AsOfDate),MONTH($D25),DAY($D25))&lt;=AsOfDate,1,0),MONTH($D25),DAY($D25)))</f>
        <v/>
      </c>
      <c r="F25" s="16"/>
      <c r="G25" s="16"/>
      <c r="H25" s="16"/>
      <c r="I25" s="16"/>
      <c r="J25" s="16"/>
      <c r="K25" s="10" t="str">
        <f aca="false">IF(AE25=0,"",DATE(YEAR(AsOfDate)+IF(DATE(YEAR(AsOfDate),MONTH($F25),DAY($F25))&lt;=AsOfDate,1,0),MONTH($F25),DAY($F25)))</f>
        <v/>
      </c>
      <c r="L25" s="11" t="str">
        <f aca="false">IF(AE25=0,"",ROUND((AsOfDate-$F25)/365.25,1))</f>
        <v/>
      </c>
      <c r="M25" s="12" t="str">
        <f aca="false">IF(AE25=0,"",IF(AsOfDate&lt;AF25,"-",DATEDIF(AF25,AsOfDate,"y")&amp;"y "&amp;DATEDIF(AF25,AsOfDate,"ym")&amp;"m "&amp;DATEDIF(AF25,AsOfDate,"md")&amp;"d"))</f>
        <v/>
      </c>
      <c r="N25" s="13" t="str">
        <f aca="false">IF(AE25=0,"",O25*HoursPerDay)</f>
        <v/>
      </c>
      <c r="O25" s="13" t="str">
        <f aca="false">IF(AE25=0,"",AX25)</f>
        <v/>
      </c>
      <c r="P25" s="17"/>
      <c r="Q25" s="12"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IF(OR(AE25=0,W25=""),"",W25-U25+V25)</f>
        <v/>
      </c>
      <c r="U25" s="13" t="str">
        <f aca="false">IF(AE25=0,"",IF(NOT(LH_Ready),"",SUMIFS(INDEX(LH_Data,0,LH_ColAcc),INDEX(LH_Data,0,LH_ColFirst),$A25,INDEX(LH_Data,0,LH_ColSur),$B25,INDEX(LH_Data,0,LH_ColCat),BonusCat)*UnitFactor))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IF(AE25=0,"",X25-N(U25))</f>
        <v/>
      </c>
      <c r="Z25" s="12" t="str">
        <f aca="false">IF(AE25=0,"",IF(Y25&gt;0,"Yes","No"))</f>
        <v/>
      </c>
      <c r="AA25" s="12" t="str">
        <f aca="false">IF(AE25=0,"",IF(NOT(LH_Ready),"Paste Leave History export",IF(Y25&gt;0,"ACCRUE "&amp;TEXT(Y25,"0.##")&amp;" hrs ("&amp;TEXT(Y25/HoursPerDay,"0.##")&amp;" days)"&amp;IF(BA25=0," - no Bonus Leave line in EH yet",""),IF(Y25&lt;0,"CHECK - EH accrued "&amp;TEXT(-Y25,"0.##")&amp;" hrs more than policy",IF(AND(O25&gt;0,BA25=0),"CHECK - policy says "&amp;TEXT(N25,"0.##")&amp;" hrs to date but no Bonus Leave in EH",IF(O25&gt;0,"OK","-"))))))</f>
        <v/>
      </c>
      <c r="AB25" s="13" t="str">
        <f aca="false">IF(OR(AE25=0,T25=""),"",AY25*HoursPerDay-T25)</f>
        <v/>
      </c>
      <c r="AC25" s="12" t="str">
        <f aca="false">IF(AE25=0,"",BA25)</f>
        <v/>
      </c>
      <c r="AD25" s="12" t="str">
        <f aca="false">IF(AE25=0,"",TRIM(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IF(AE25=0,"",IF($J25&lt;&gt;"",$J25,$F25))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15"/>
      <c r="B26" s="15"/>
      <c r="C26" s="15"/>
      <c r="D26" s="16"/>
      <c r="E26" s="10" t="str">
        <f aca="false">IF(OR(AE26=0,$D26=""),"",DATE(YEAR(AsOfDate)+IF(DATE(YEAR(AsOfDate),MONTH($D26),DAY($D26))&lt;=AsOfDate,1,0),MONTH($D26),DAY($D26)))</f>
        <v/>
      </c>
      <c r="F26" s="16"/>
      <c r="G26" s="16"/>
      <c r="H26" s="16"/>
      <c r="I26" s="16"/>
      <c r="J26" s="16"/>
      <c r="K26" s="10" t="str">
        <f aca="false">IF(AE26=0,"",DATE(YEAR(AsOfDate)+IF(DATE(YEAR(AsOfDate),MONTH($F26),DAY($F26))&lt;=AsOfDate,1,0),MONTH($F26),DAY($F26)))</f>
        <v/>
      </c>
      <c r="L26" s="11" t="str">
        <f aca="false">IF(AE26=0,"",ROUND((AsOfDate-$F26)/365.25,1))</f>
        <v/>
      </c>
      <c r="M26" s="12" t="str">
        <f aca="false">IF(AE26=0,"",IF(AsOfDate&lt;AF26,"-",DATEDIF(AF26,AsOfDate,"y")&amp;"y "&amp;DATEDIF(AF26,AsOfDate,"ym")&amp;"m "&amp;DATEDIF(AF26,AsOfDate,"md")&amp;"d"))</f>
        <v/>
      </c>
      <c r="N26" s="13" t="str">
        <f aca="false">IF(AE26=0,"",O26*HoursPerDay)</f>
        <v/>
      </c>
      <c r="O26" s="13" t="str">
        <f aca="false">IF(AE26=0,"",AX26)</f>
        <v/>
      </c>
      <c r="P26" s="17"/>
      <c r="Q26" s="12"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IF(OR(AE26=0,W26=""),"",W26-U26+V26)</f>
        <v/>
      </c>
      <c r="U26" s="13" t="str">
        <f aca="false">IF(AE26=0,"",IF(NOT(LH_Ready),"",SUMIFS(INDEX(LH_Data,0,LH_ColAcc),INDEX(LH_Data,0,LH_ColFirst),$A26,INDEX(LH_Data,0,LH_ColSur),$B26,INDEX(LH_Data,0,LH_ColCat),BonusCat)*UnitFactor))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IF(AE26=0,"",X26-N(U26))</f>
        <v/>
      </c>
      <c r="Z26" s="12" t="str">
        <f aca="false">IF(AE26=0,"",IF(Y26&gt;0,"Yes","No"))</f>
        <v/>
      </c>
      <c r="AA26" s="12" t="str">
        <f aca="false">IF(AE26=0,"",IF(NOT(LH_Ready),"Paste Leave History export",IF(Y26&gt;0,"ACCRUE "&amp;TEXT(Y26,"0.##")&amp;" hrs ("&amp;TEXT(Y26/HoursPerDay,"0.##")&amp;" days)"&amp;IF(BA26=0," - no Bonus Leave line in EH yet",""),IF(Y26&lt;0,"CHECK - EH accrued "&amp;TEXT(-Y26,"0.##")&amp;" hrs more than policy",IF(AND(O26&gt;0,BA26=0),"CHECK - policy says "&amp;TEXT(N26,"0.##")&amp;" hrs to date but no Bonus Leave in EH",IF(O26&gt;0,"OK","-"))))))</f>
        <v/>
      </c>
      <c r="AB26" s="13" t="str">
        <f aca="false">IF(OR(AE26=0,T26=""),"",AY26*HoursPerDay-T26)</f>
        <v/>
      </c>
      <c r="AC26" s="12" t="str">
        <f aca="false">IF(AE26=0,"",BA26)</f>
        <v/>
      </c>
      <c r="AD26" s="12" t="str">
        <f aca="false">IF(AE26=0,"",TRIM(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IF(AE26=0,"",IF($J26&lt;&gt;"",$J26,$F26))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15"/>
      <c r="B27" s="15"/>
      <c r="C27" s="15"/>
      <c r="D27" s="16"/>
      <c r="E27" s="10" t="str">
        <f aca="false">IF(OR(AE27=0,$D27=""),"",DATE(YEAR(AsOfDate)+IF(DATE(YEAR(AsOfDate),MONTH($D27),DAY($D27))&lt;=AsOfDate,1,0),MONTH($D27),DAY($D27)))</f>
        <v/>
      </c>
      <c r="F27" s="16"/>
      <c r="G27" s="16"/>
      <c r="H27" s="16"/>
      <c r="I27" s="16"/>
      <c r="J27" s="16"/>
      <c r="K27" s="10" t="str">
        <f aca="false">IF(AE27=0,"",DATE(YEAR(AsOfDate)+IF(DATE(YEAR(AsOfDate),MONTH($F27),DAY($F27))&lt;=AsOfDate,1,0),MONTH($F27),DAY($F27)))</f>
        <v/>
      </c>
      <c r="L27" s="11" t="str">
        <f aca="false">IF(AE27=0,"",ROUND((AsOfDate-$F27)/365.25,1))</f>
        <v/>
      </c>
      <c r="M27" s="12" t="str">
        <f aca="false">IF(AE27=0,"",IF(AsOfDate&lt;AF27,"-",DATEDIF(AF27,AsOfDate,"y")&amp;"y "&amp;DATEDIF(AF27,AsOfDate,"ym")&amp;"m "&amp;DATEDIF(AF27,AsOfDate,"md")&amp;"d"))</f>
        <v/>
      </c>
      <c r="N27" s="13" t="str">
        <f aca="false">IF(AE27=0,"",O27*HoursPerDay)</f>
        <v/>
      </c>
      <c r="O27" s="13" t="str">
        <f aca="false">IF(AE27=0,"",AX27)</f>
        <v/>
      </c>
      <c r="P27" s="17"/>
      <c r="Q27" s="12"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IF(OR(AE27=0,W27=""),"",W27-U27+V27)</f>
        <v/>
      </c>
      <c r="U27" s="13" t="str">
        <f aca="false">IF(AE27=0,"",IF(NOT(LH_Ready),"",SUMIFS(INDEX(LH_Data,0,LH_ColAcc),INDEX(LH_Data,0,LH_ColFirst),$A27,INDEX(LH_Data,0,LH_ColSur),$B27,INDEX(LH_Data,0,LH_ColCat),BonusCat)*UnitFactor))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IF(AE27=0,"",X27-N(U27))</f>
        <v/>
      </c>
      <c r="Z27" s="12" t="str">
        <f aca="false">IF(AE27=0,"",IF(Y27&gt;0,"Yes","No"))</f>
        <v/>
      </c>
      <c r="AA27" s="12" t="str">
        <f aca="false">IF(AE27=0,"",IF(NOT(LH_Ready),"Paste Leave History export",IF(Y27&gt;0,"ACCRUE "&amp;TEXT(Y27,"0.##")&amp;" hrs ("&amp;TEXT(Y27/HoursPerDay,"0.##")&amp;" days)"&amp;IF(BA27=0," - no Bonus Leave line in EH yet",""),IF(Y27&lt;0,"CHECK - EH accrued "&amp;TEXT(-Y27,"0.##")&amp;" hrs more than policy",IF(AND(O27&gt;0,BA27=0),"CHECK - policy says "&amp;TEXT(N27,"0.##")&amp;" hrs to date but no Bonus Leave in EH",IF(O27&gt;0,"OK","-"))))))</f>
        <v/>
      </c>
      <c r="AB27" s="13" t="str">
        <f aca="false">IF(OR(AE27=0,T27=""),"",AY27*HoursPerDay-T27)</f>
        <v/>
      </c>
      <c r="AC27" s="12" t="str">
        <f aca="false">IF(AE27=0,"",BA27)</f>
        <v/>
      </c>
      <c r="AD27" s="12" t="str">
        <f aca="false">IF(AE27=0,"",TRIM(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IF(AE27=0,"",IF($J27&lt;&gt;"",$J27,$F27))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15"/>
      <c r="B28" s="15"/>
      <c r="C28" s="15"/>
      <c r="D28" s="16"/>
      <c r="E28" s="10" t="str">
        <f aca="false">IF(OR(AE28=0,$D28=""),"",DATE(YEAR(AsOfDate)+IF(DATE(YEAR(AsOfDate),MONTH($D28),DAY($D28))&lt;=AsOfDate,1,0),MONTH($D28),DAY($D28)))</f>
        <v/>
      </c>
      <c r="F28" s="16"/>
      <c r="G28" s="16"/>
      <c r="H28" s="16"/>
      <c r="I28" s="16"/>
      <c r="J28" s="16"/>
      <c r="K28" s="10" t="str">
        <f aca="false">IF(AE28=0,"",DATE(YEAR(AsOfDate)+IF(DATE(YEAR(AsOfDate),MONTH($F28),DAY($F28))&lt;=AsOfDate,1,0),MONTH($F28),DAY($F28)))</f>
        <v/>
      </c>
      <c r="L28" s="11" t="str">
        <f aca="false">IF(AE28=0,"",ROUND((AsOfDate-$F28)/365.25,1))</f>
        <v/>
      </c>
      <c r="M28" s="12" t="str">
        <f aca="false">IF(AE28=0,"",IF(AsOfDate&lt;AF28,"-",DATEDIF(AF28,AsOfDate,"y")&amp;"y "&amp;DATEDIF(AF28,AsOfDate,"ym")&amp;"m "&amp;DATEDIF(AF28,AsOfDate,"md")&amp;"d"))</f>
        <v/>
      </c>
      <c r="N28" s="13" t="str">
        <f aca="false">IF(AE28=0,"",O28*HoursPerDay)</f>
        <v/>
      </c>
      <c r="O28" s="13" t="str">
        <f aca="false">IF(AE28=0,"",AX28)</f>
        <v/>
      </c>
      <c r="P28" s="17"/>
      <c r="Q28" s="12"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IF(OR(AE28=0,W28=""),"",W28-U28+V28)</f>
        <v/>
      </c>
      <c r="U28" s="13" t="str">
        <f aca="false">IF(AE28=0,"",IF(NOT(LH_Ready),"",SUMIFS(INDEX(LH_Data,0,LH_ColAcc),INDEX(LH_Data,0,LH_ColFirst),$A28,INDEX(LH_Data,0,LH_ColSur),$B28,INDEX(LH_Data,0,LH_ColCat),BonusCat)*UnitFactor))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IF(AE28=0,"",X28-N(U28))</f>
        <v/>
      </c>
      <c r="Z28" s="12" t="str">
        <f aca="false">IF(AE28=0,"",IF(Y28&gt;0,"Yes","No"))</f>
        <v/>
      </c>
      <c r="AA28" s="12" t="str">
        <f aca="false">IF(AE28=0,"",IF(NOT(LH_Ready),"Paste Leave History export",IF(Y28&gt;0,"ACCRUE "&amp;TEXT(Y28,"0.##")&amp;" hrs ("&amp;TEXT(Y28/HoursPerDay,"0.##")&amp;" days)"&amp;IF(BA28=0," - no Bonus Leave line in EH yet",""),IF(Y28&lt;0,"CHECK - EH accrued "&amp;TEXT(-Y28,"0.##")&amp;" hrs more than policy",IF(AND(O28&gt;0,BA28=0),"CHECK - policy says "&amp;TEXT(N28,"0.##")&amp;" hrs to date but no Bonus Leave in EH",IF(O28&gt;0,"OK","-"))))))</f>
        <v/>
      </c>
      <c r="AB28" s="13" t="str">
        <f aca="false">IF(OR(AE28=0,T28=""),"",AY28*HoursPerDay-T28)</f>
        <v/>
      </c>
      <c r="AC28" s="12" t="str">
        <f aca="false">IF(AE28=0,"",BA28)</f>
        <v/>
      </c>
      <c r="AD28" s="12" t="str">
        <f aca="false">IF(AE28=0,"",TRIM(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IF(AE28=0,"",IF($J28&lt;&gt;"",$J28,$F28))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15"/>
      <c r="B29" s="15"/>
      <c r="C29" s="15"/>
      <c r="D29" s="16"/>
      <c r="E29" s="10" t="str">
        <f aca="false">IF(OR(AE29=0,$D29=""),"",DATE(YEAR(AsOfDate)+IF(DATE(YEAR(AsOfDate),MONTH($D29),DAY($D29))&lt;=AsOfDate,1,0),MONTH($D29),DAY($D29)))</f>
        <v/>
      </c>
      <c r="F29" s="16"/>
      <c r="G29" s="16"/>
      <c r="H29" s="16"/>
      <c r="I29" s="16"/>
      <c r="J29" s="16"/>
      <c r="K29" s="10" t="str">
        <f aca="false">IF(AE29=0,"",DATE(YEAR(AsOfDate)+IF(DATE(YEAR(AsOfDate),MONTH($F29),DAY($F29))&lt;=AsOfDate,1,0),MONTH($F29),DAY($F29)))</f>
        <v/>
      </c>
      <c r="L29" s="11" t="str">
        <f aca="false">IF(AE29=0,"",ROUND((AsOfDate-$F29)/365.25,1))</f>
        <v/>
      </c>
      <c r="M29" s="12" t="str">
        <f aca="false">IF(AE29=0,"",IF(AsOfDate&lt;AF29,"-",DATEDIF(AF29,AsOfDate,"y")&amp;"y "&amp;DATEDIF(AF29,AsOfDate,"ym")&amp;"m "&amp;DATEDIF(AF29,AsOfDate,"md")&amp;"d"))</f>
        <v/>
      </c>
      <c r="N29" s="13" t="str">
        <f aca="false">IF(AE29=0,"",O29*HoursPerDay)</f>
        <v/>
      </c>
      <c r="O29" s="13" t="str">
        <f aca="false">IF(AE29=0,"",AX29)</f>
        <v/>
      </c>
      <c r="P29" s="17"/>
      <c r="Q29" s="12"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IF(OR(AE29=0,W29=""),"",W29-U29+V29)</f>
        <v/>
      </c>
      <c r="U29" s="13" t="str">
        <f aca="false">IF(AE29=0,"",IF(NOT(LH_Ready),"",SUMIFS(INDEX(LH_Data,0,LH_ColAcc),INDEX(LH_Data,0,LH_ColFirst),$A29,INDEX(LH_Data,0,LH_ColSur),$B29,INDEX(LH_Data,0,LH_ColCat),BonusCat)*UnitFactor))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IF(AE29=0,"",X29-N(U29))</f>
        <v/>
      </c>
      <c r="Z29" s="12" t="str">
        <f aca="false">IF(AE29=0,"",IF(Y29&gt;0,"Yes","No"))</f>
        <v/>
      </c>
      <c r="AA29" s="12" t="str">
        <f aca="false">IF(AE29=0,"",IF(NOT(LH_Ready),"Paste Leave History export",IF(Y29&gt;0,"ACCRUE "&amp;TEXT(Y29,"0.##")&amp;" hrs ("&amp;TEXT(Y29/HoursPerDay,"0.##")&amp;" days)"&amp;IF(BA29=0," - no Bonus Leave line in EH yet",""),IF(Y29&lt;0,"CHECK - EH accrued "&amp;TEXT(-Y29,"0.##")&amp;" hrs more than policy",IF(AND(O29&gt;0,BA29=0),"CHECK - policy says "&amp;TEXT(N29,"0.##")&amp;" hrs to date but no Bonus Leave in EH",IF(O29&gt;0,"OK","-"))))))</f>
        <v/>
      </c>
      <c r="AB29" s="13" t="str">
        <f aca="false">IF(OR(AE29=0,T29=""),"",AY29*HoursPerDay-T29)</f>
        <v/>
      </c>
      <c r="AC29" s="12" t="str">
        <f aca="false">IF(AE29=0,"",BA29)</f>
        <v/>
      </c>
      <c r="AD29" s="12" t="str">
        <f aca="false">IF(AE29=0,"",TRIM(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IF(AE29=0,"",IF($J29&lt;&gt;"",$J29,$F29))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15"/>
      <c r="B30" s="15"/>
      <c r="C30" s="15"/>
      <c r="D30" s="16"/>
      <c r="E30" s="10" t="str">
        <f aca="false">IF(OR(AE30=0,$D30=""),"",DATE(YEAR(AsOfDate)+IF(DATE(YEAR(AsOfDate),MONTH($D30),DAY($D30))&lt;=AsOfDate,1,0),MONTH($D30),DAY($D30)))</f>
        <v/>
      </c>
      <c r="F30" s="16"/>
      <c r="G30" s="16"/>
      <c r="H30" s="16"/>
      <c r="I30" s="16"/>
      <c r="J30" s="16"/>
      <c r="K30" s="10" t="str">
        <f aca="false">IF(AE30=0,"",DATE(YEAR(AsOfDate)+IF(DATE(YEAR(AsOfDate),MONTH($F30),DAY($F30))&lt;=AsOfDate,1,0),MONTH($F30),DAY($F30)))</f>
        <v/>
      </c>
      <c r="L30" s="11" t="str">
        <f aca="false">IF(AE30=0,"",ROUND((AsOfDate-$F30)/365.25,1))</f>
        <v/>
      </c>
      <c r="M30" s="12" t="str">
        <f aca="false">IF(AE30=0,"",IF(AsOfDate&lt;AF30,"-",DATEDIF(AF30,AsOfDate,"y")&amp;"y "&amp;DATEDIF(AF30,AsOfDate,"ym")&amp;"m "&amp;DATEDIF(AF30,AsOfDate,"md")&amp;"d"))</f>
        <v/>
      </c>
      <c r="N30" s="13" t="str">
        <f aca="false">IF(AE30=0,"",O30*HoursPerDay)</f>
        <v/>
      </c>
      <c r="O30" s="13" t="str">
        <f aca="false">IF(AE30=0,"",AX30)</f>
        <v/>
      </c>
      <c r="P30" s="17"/>
      <c r="Q30" s="12"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IF(OR(AE30=0,W30=""),"",W30-U30+V30)</f>
        <v/>
      </c>
      <c r="U30" s="13" t="str">
        <f aca="false">IF(AE30=0,"",IF(NOT(LH_Ready),"",SUMIFS(INDEX(LH_Data,0,LH_ColAcc),INDEX(LH_Data,0,LH_ColFirst),$A30,INDEX(LH_Data,0,LH_ColSur),$B30,INDEX(LH_Data,0,LH_ColCat),BonusCat)*UnitFactor))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IF(AE30=0,"",X30-N(U30))</f>
        <v/>
      </c>
      <c r="Z30" s="12" t="str">
        <f aca="false">IF(AE30=0,"",IF(Y30&gt;0,"Yes","No"))</f>
        <v/>
      </c>
      <c r="AA30" s="12" t="str">
        <f aca="false">IF(AE30=0,"",IF(NOT(LH_Ready),"Paste Leave History export",IF(Y30&gt;0,"ACCRUE "&amp;TEXT(Y30,"0.##")&amp;" hrs ("&amp;TEXT(Y30/HoursPerDay,"0.##")&amp;" days)"&amp;IF(BA30=0," - no Bonus Leave line in EH yet",""),IF(Y30&lt;0,"CHECK - EH accrued "&amp;TEXT(-Y30,"0.##")&amp;" hrs more than policy",IF(AND(O30&gt;0,BA30=0),"CHECK - policy says "&amp;TEXT(N30,"0.##")&amp;" hrs to date but no Bonus Leave in EH",IF(O30&gt;0,"OK","-"))))))</f>
        <v/>
      </c>
      <c r="AB30" s="13" t="str">
        <f aca="false">IF(OR(AE30=0,T30=""),"",AY30*HoursPerDay-T30)</f>
        <v/>
      </c>
      <c r="AC30" s="12" t="str">
        <f aca="false">IF(AE30=0,"",BA30)</f>
        <v/>
      </c>
      <c r="AD30" s="12" t="str">
        <f aca="false">IF(AE30=0,"",TRIM(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IF(AE30=0,"",IF($J30&lt;&gt;"",$J30,$F30))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15"/>
      <c r="B31" s="15"/>
      <c r="C31" s="15"/>
      <c r="D31" s="16"/>
      <c r="E31" s="10" t="str">
        <f aca="false">IF(OR(AE31=0,$D31=""),"",DATE(YEAR(AsOfDate)+IF(DATE(YEAR(AsOfDate),MONTH($D31),DAY($D31))&lt;=AsOfDate,1,0),MONTH($D31),DAY($D31)))</f>
        <v/>
      </c>
      <c r="F31" s="16"/>
      <c r="G31" s="16"/>
      <c r="H31" s="16"/>
      <c r="I31" s="16"/>
      <c r="J31" s="16"/>
      <c r="K31" s="10" t="str">
        <f aca="false">IF(AE31=0,"",DATE(YEAR(AsOfDate)+IF(DATE(YEAR(AsOfDate),MONTH($F31),DAY($F31))&lt;=AsOfDate,1,0),MONTH($F31),DAY($F31)))</f>
        <v/>
      </c>
      <c r="L31" s="11" t="str">
        <f aca="false">IF(AE31=0,"",ROUND((AsOfDate-$F31)/365.25,1))</f>
        <v/>
      </c>
      <c r="M31" s="12" t="str">
        <f aca="false">IF(AE31=0,"",IF(AsOfDate&lt;AF31,"-",DATEDIF(AF31,AsOfDate,"y")&amp;"y "&amp;DATEDIF(AF31,AsOfDate,"ym")&amp;"m "&amp;DATEDIF(AF31,AsOfDate,"md")&amp;"d"))</f>
        <v/>
      </c>
      <c r="N31" s="13" t="str">
        <f aca="false">IF(AE31=0,"",O31*HoursPerDay)</f>
        <v/>
      </c>
      <c r="O31" s="13" t="str">
        <f aca="false">IF(AE31=0,"",AX31)</f>
        <v/>
      </c>
      <c r="P31" s="17"/>
      <c r="Q31" s="12"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IF(OR(AE31=0,W31=""),"",W31-U31+V31)</f>
        <v/>
      </c>
      <c r="U31" s="13" t="str">
        <f aca="false">IF(AE31=0,"",IF(NOT(LH_Ready),"",SUMIFS(INDEX(LH_Data,0,LH_ColAcc),INDEX(LH_Data,0,LH_ColFirst),$A31,INDEX(LH_Data,0,LH_ColSur),$B31,INDEX(LH_Data,0,LH_ColCat),BonusCat)*UnitFactor))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IF(AE31=0,"",X31-N(U31))</f>
        <v/>
      </c>
      <c r="Z31" s="12" t="str">
        <f aca="false">IF(AE31=0,"",IF(Y31&gt;0,"Yes","No"))</f>
        <v/>
      </c>
      <c r="AA31" s="12" t="str">
        <f aca="false">IF(AE31=0,"",IF(NOT(LH_Ready),"Paste Leave History export",IF(Y31&gt;0,"ACCRUE "&amp;TEXT(Y31,"0.##")&amp;" hrs ("&amp;TEXT(Y31/HoursPerDay,"0.##")&amp;" days)"&amp;IF(BA31=0," - no Bonus Leave line in EH yet",""),IF(Y31&lt;0,"CHECK - EH accrued "&amp;TEXT(-Y31,"0.##")&amp;" hrs more than policy",IF(AND(O31&gt;0,BA31=0),"CHECK - policy says "&amp;TEXT(N31,"0.##")&amp;" hrs to date but no Bonus Leave in EH",IF(O31&gt;0,"OK","-"))))))</f>
        <v/>
      </c>
      <c r="AB31" s="13" t="str">
        <f aca="false">IF(OR(AE31=0,T31=""),"",AY31*HoursPerDay-T31)</f>
        <v/>
      </c>
      <c r="AC31" s="12" t="str">
        <f aca="false">IF(AE31=0,"",BA31)</f>
        <v/>
      </c>
      <c r="AD31" s="12" t="str">
        <f aca="false">IF(AE31=0,"",TRIM(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IF(AE31=0,"",IF($J31&lt;&gt;"",$J31,$F31))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15"/>
      <c r="B32" s="15"/>
      <c r="C32" s="15"/>
      <c r="D32" s="16"/>
      <c r="E32" s="10" t="str">
        <f aca="false">IF(OR(AE32=0,$D32=""),"",DATE(YEAR(AsOfDate)+IF(DATE(YEAR(AsOfDate),MONTH($D32),DAY($D32))&lt;=AsOfDate,1,0),MONTH($D32),DAY($D32)))</f>
        <v/>
      </c>
      <c r="F32" s="16"/>
      <c r="G32" s="16"/>
      <c r="H32" s="16"/>
      <c r="I32" s="16"/>
      <c r="J32" s="16"/>
      <c r="K32" s="10" t="str">
        <f aca="false">IF(AE32=0,"",DATE(YEAR(AsOfDate)+IF(DATE(YEAR(AsOfDate),MONTH($F32),DAY($F32))&lt;=AsOfDate,1,0),MONTH($F32),DAY($F32)))</f>
        <v/>
      </c>
      <c r="L32" s="11" t="str">
        <f aca="false">IF(AE32=0,"",ROUND((AsOfDate-$F32)/365.25,1))</f>
        <v/>
      </c>
      <c r="M32" s="12" t="str">
        <f aca="false">IF(AE32=0,"",IF(AsOfDate&lt;AF32,"-",DATEDIF(AF32,AsOfDate,"y")&amp;"y "&amp;DATEDIF(AF32,AsOfDate,"ym")&amp;"m "&amp;DATEDIF(AF32,AsOfDate,"md")&amp;"d"))</f>
        <v/>
      </c>
      <c r="N32" s="13" t="str">
        <f aca="false">IF(AE32=0,"",O32*HoursPerDay)</f>
        <v/>
      </c>
      <c r="O32" s="13" t="str">
        <f aca="false">IF(AE32=0,"",AX32)</f>
        <v/>
      </c>
      <c r="P32" s="17"/>
      <c r="Q32" s="12"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IF(OR(AE32=0,W32=""),"",W32-U32+V32)</f>
        <v/>
      </c>
      <c r="U32" s="13" t="str">
        <f aca="false">IF(AE32=0,"",IF(NOT(LH_Ready),"",SUMIFS(INDEX(LH_Data,0,LH_ColAcc),INDEX(LH_Data,0,LH_ColFirst),$A32,INDEX(LH_Data,0,LH_ColSur),$B32,INDEX(LH_Data,0,LH_ColCat),BonusCat)*UnitFactor))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IF(AE32=0,"",X32-N(U32))</f>
        <v/>
      </c>
      <c r="Z32" s="12" t="str">
        <f aca="false">IF(AE32=0,"",IF(Y32&gt;0,"Yes","No"))</f>
        <v/>
      </c>
      <c r="AA32" s="12" t="str">
        <f aca="false">IF(AE32=0,"",IF(NOT(LH_Ready),"Paste Leave History export",IF(Y32&gt;0,"ACCRUE "&amp;TEXT(Y32,"0.##")&amp;" hrs ("&amp;TEXT(Y32/HoursPerDay,"0.##")&amp;" days)"&amp;IF(BA32=0," - no Bonus Leave line in EH yet",""),IF(Y32&lt;0,"CHECK - EH accrued "&amp;TEXT(-Y32,"0.##")&amp;" hrs more than policy",IF(AND(O32&gt;0,BA32=0),"CHECK - policy says "&amp;TEXT(N32,"0.##")&amp;" hrs to date but no Bonus Leave in EH",IF(O32&gt;0,"OK","-"))))))</f>
        <v/>
      </c>
      <c r="AB32" s="13" t="str">
        <f aca="false">IF(OR(AE32=0,T32=""),"",AY32*HoursPerDay-T32)</f>
        <v/>
      </c>
      <c r="AC32" s="12" t="str">
        <f aca="false">IF(AE32=0,"",BA32)</f>
        <v/>
      </c>
      <c r="AD32" s="12" t="str">
        <f aca="false">IF(AE32=0,"",TRIM(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IF(AE32=0,"",IF($J32&lt;&gt;"",$J32,$F32))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15"/>
      <c r="B33" s="15"/>
      <c r="C33" s="15"/>
      <c r="D33" s="16"/>
      <c r="E33" s="10" t="str">
        <f aca="false">IF(OR(AE33=0,$D33=""),"",DATE(YEAR(AsOfDate)+IF(DATE(YEAR(AsOfDate),MONTH($D33),DAY($D33))&lt;=AsOfDate,1,0),MONTH($D33),DAY($D33)))</f>
        <v/>
      </c>
      <c r="F33" s="16"/>
      <c r="G33" s="16"/>
      <c r="H33" s="16"/>
      <c r="I33" s="16"/>
      <c r="J33" s="16"/>
      <c r="K33" s="10" t="str">
        <f aca="false">IF(AE33=0,"",DATE(YEAR(AsOfDate)+IF(DATE(YEAR(AsOfDate),MONTH($F33),DAY($F33))&lt;=AsOfDate,1,0),MONTH($F33),DAY($F33)))</f>
        <v/>
      </c>
      <c r="L33" s="11" t="str">
        <f aca="false">IF(AE33=0,"",ROUND((AsOfDate-$F33)/365.25,1))</f>
        <v/>
      </c>
      <c r="M33" s="12" t="str">
        <f aca="false">IF(AE33=0,"",IF(AsOfDate&lt;AF33,"-",DATEDIF(AF33,AsOfDate,"y")&amp;"y "&amp;DATEDIF(AF33,AsOfDate,"ym")&amp;"m "&amp;DATEDIF(AF33,AsOfDate,"md")&amp;"d"))</f>
        <v/>
      </c>
      <c r="N33" s="13" t="str">
        <f aca="false">IF(AE33=0,"",O33*HoursPerDay)</f>
        <v/>
      </c>
      <c r="O33" s="13" t="str">
        <f aca="false">IF(AE33=0,"",AX33)</f>
        <v/>
      </c>
      <c r="P33" s="17"/>
      <c r="Q33" s="12"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IF(OR(AE33=0,W33=""),"",W33-U33+V33)</f>
        <v/>
      </c>
      <c r="U33" s="13" t="str">
        <f aca="false">IF(AE33=0,"",IF(NOT(LH_Ready),"",SUMIFS(INDEX(LH_Data,0,LH_ColAcc),INDEX(LH_Data,0,LH_ColFirst),$A33,INDEX(LH_Data,0,LH_ColSur),$B33,INDEX(LH_Data,0,LH_ColCat),BonusCat)*UnitFactor))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IF(AE33=0,"",X33-N(U33))</f>
        <v/>
      </c>
      <c r="Z33" s="12" t="str">
        <f aca="false">IF(AE33=0,"",IF(Y33&gt;0,"Yes","No"))</f>
        <v/>
      </c>
      <c r="AA33" s="12" t="str">
        <f aca="false">IF(AE33=0,"",IF(NOT(LH_Ready),"Paste Leave History export",IF(Y33&gt;0,"ACCRUE "&amp;TEXT(Y33,"0.##")&amp;" hrs ("&amp;TEXT(Y33/HoursPerDay,"0.##")&amp;" days)"&amp;IF(BA33=0," - no Bonus Leave line in EH yet",""),IF(Y33&lt;0,"CHECK - EH accrued "&amp;TEXT(-Y33,"0.##")&amp;" hrs more than policy",IF(AND(O33&gt;0,BA33=0),"CHECK - policy says "&amp;TEXT(N33,"0.##")&amp;" hrs to date but no Bonus Leave in EH",IF(O33&gt;0,"OK","-"))))))</f>
        <v/>
      </c>
      <c r="AB33" s="13" t="str">
        <f aca="false">IF(OR(AE33=0,T33=""),"",AY33*HoursPerDay-T33)</f>
        <v/>
      </c>
      <c r="AC33" s="12" t="str">
        <f aca="false">IF(AE33=0,"",BA33)</f>
        <v/>
      </c>
      <c r="AD33" s="12" t="str">
        <f aca="false">IF(AE33=0,"",TRIM(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IF(AE33=0,"",IF($J33&lt;&gt;"",$J33,$F33))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15"/>
      <c r="B34" s="15"/>
      <c r="C34" s="15"/>
      <c r="D34" s="16"/>
      <c r="E34" s="10" t="str">
        <f aca="false">IF(OR(AE34=0,$D34=""),"",DATE(YEAR(AsOfDate)+IF(DATE(YEAR(AsOfDate),MONTH($D34),DAY($D34))&lt;=AsOfDate,1,0),MONTH($D34),DAY($D34)))</f>
        <v/>
      </c>
      <c r="F34" s="16"/>
      <c r="G34" s="16"/>
      <c r="H34" s="16"/>
      <c r="I34" s="16"/>
      <c r="J34" s="16"/>
      <c r="K34" s="10" t="str">
        <f aca="false">IF(AE34=0,"",DATE(YEAR(AsOfDate)+IF(DATE(YEAR(AsOfDate),MONTH($F34),DAY($F34))&lt;=AsOfDate,1,0),MONTH($F34),DAY($F34)))</f>
        <v/>
      </c>
      <c r="L34" s="11" t="str">
        <f aca="false">IF(AE34=0,"",ROUND((AsOfDate-$F34)/365.25,1))</f>
        <v/>
      </c>
      <c r="M34" s="12" t="str">
        <f aca="false">IF(AE34=0,"",IF(AsOfDate&lt;AF34,"-",DATEDIF(AF34,AsOfDate,"y")&amp;"y "&amp;DATEDIF(AF34,AsOfDate,"ym")&amp;"m "&amp;DATEDIF(AF34,AsOfDate,"md")&amp;"d"))</f>
        <v/>
      </c>
      <c r="N34" s="13" t="str">
        <f aca="false">IF(AE34=0,"",O34*HoursPerDay)</f>
        <v/>
      </c>
      <c r="O34" s="13" t="str">
        <f aca="false">IF(AE34=0,"",AX34)</f>
        <v/>
      </c>
      <c r="P34" s="17"/>
      <c r="Q34" s="12"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IF(OR(AE34=0,W34=""),"",W34-U34+V34)</f>
        <v/>
      </c>
      <c r="U34" s="13" t="str">
        <f aca="false">IF(AE34=0,"",IF(NOT(LH_Ready),"",SUMIFS(INDEX(LH_Data,0,LH_ColAcc),INDEX(LH_Data,0,LH_ColFirst),$A34,INDEX(LH_Data,0,LH_ColSur),$B34,INDEX(LH_Data,0,LH_ColCat),BonusCat)*UnitFactor))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IF(AE34=0,"",X34-N(U34))</f>
        <v/>
      </c>
      <c r="Z34" s="12" t="str">
        <f aca="false">IF(AE34=0,"",IF(Y34&gt;0,"Yes","No"))</f>
        <v/>
      </c>
      <c r="AA34" s="12" t="str">
        <f aca="false">IF(AE34=0,"",IF(NOT(LH_Ready),"Paste Leave History export",IF(Y34&gt;0,"ACCRUE "&amp;TEXT(Y34,"0.##")&amp;" hrs ("&amp;TEXT(Y34/HoursPerDay,"0.##")&amp;" days)"&amp;IF(BA34=0," - no Bonus Leave line in EH yet",""),IF(Y34&lt;0,"CHECK - EH accrued "&amp;TEXT(-Y34,"0.##")&amp;" hrs more than policy",IF(AND(O34&gt;0,BA34=0),"CHECK - policy says "&amp;TEXT(N34,"0.##")&amp;" hrs to date but no Bonus Leave in EH",IF(O34&gt;0,"OK","-"))))))</f>
        <v/>
      </c>
      <c r="AB34" s="13" t="str">
        <f aca="false">IF(OR(AE34=0,T34=""),"",AY34*HoursPerDay-T34)</f>
        <v/>
      </c>
      <c r="AC34" s="12" t="str">
        <f aca="false">IF(AE34=0,"",BA34)</f>
        <v/>
      </c>
      <c r="AD34" s="12" t="str">
        <f aca="false">IF(AE34=0,"",TRIM(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IF(AE34=0,"",IF($J34&lt;&gt;"",$J34,$F34))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15"/>
      <c r="B35" s="15"/>
      <c r="C35" s="15"/>
      <c r="D35" s="16"/>
      <c r="E35" s="10" t="str">
        <f aca="false">IF(OR(AE35=0,$D35=""),"",DATE(YEAR(AsOfDate)+IF(DATE(YEAR(AsOfDate),MONTH($D35),DAY($D35))&lt;=AsOfDate,1,0),MONTH($D35),DAY($D35)))</f>
        <v/>
      </c>
      <c r="F35" s="16"/>
      <c r="G35" s="16"/>
      <c r="H35" s="16"/>
      <c r="I35" s="16"/>
      <c r="J35" s="16"/>
      <c r="K35" s="10" t="str">
        <f aca="false">IF(AE35=0,"",DATE(YEAR(AsOfDate)+IF(DATE(YEAR(AsOfDate),MONTH($F35),DAY($F35))&lt;=AsOfDate,1,0),MONTH($F35),DAY($F35)))</f>
        <v/>
      </c>
      <c r="L35" s="11" t="str">
        <f aca="false">IF(AE35=0,"",ROUND((AsOfDate-$F35)/365.25,1))</f>
        <v/>
      </c>
      <c r="M35" s="12" t="str">
        <f aca="false">IF(AE35=0,"",IF(AsOfDate&lt;AF35,"-",DATEDIF(AF35,AsOfDate,"y")&amp;"y "&amp;DATEDIF(AF35,AsOfDate,"ym")&amp;"m "&amp;DATEDIF(AF35,AsOfDate,"md")&amp;"d"))</f>
        <v/>
      </c>
      <c r="N35" s="13" t="str">
        <f aca="false">IF(AE35=0,"",O35*HoursPerDay)</f>
        <v/>
      </c>
      <c r="O35" s="13" t="str">
        <f aca="false">IF(AE35=0,"",AX35)</f>
        <v/>
      </c>
      <c r="P35" s="17"/>
      <c r="Q35" s="12"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IF(OR(AE35=0,W35=""),"",W35-U35+V35)</f>
        <v/>
      </c>
      <c r="U35" s="13" t="str">
        <f aca="false">IF(AE35=0,"",IF(NOT(LH_Ready),"",SUMIFS(INDEX(LH_Data,0,LH_ColAcc),INDEX(LH_Data,0,LH_ColFirst),$A35,INDEX(LH_Data,0,LH_ColSur),$B35,INDEX(LH_Data,0,LH_ColCat),BonusCat)*UnitFactor))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IF(AE35=0,"",X35-N(U35))</f>
        <v/>
      </c>
      <c r="Z35" s="12" t="str">
        <f aca="false">IF(AE35=0,"",IF(Y35&gt;0,"Yes","No"))</f>
        <v/>
      </c>
      <c r="AA35" s="12" t="str">
        <f aca="false">IF(AE35=0,"",IF(NOT(LH_Ready),"Paste Leave History export",IF(Y35&gt;0,"ACCRUE "&amp;TEXT(Y35,"0.##")&amp;" hrs ("&amp;TEXT(Y35/HoursPerDay,"0.##")&amp;" days)"&amp;IF(BA35=0," - no Bonus Leave line in EH yet",""),IF(Y35&lt;0,"CHECK - EH accrued "&amp;TEXT(-Y35,"0.##")&amp;" hrs more than policy",IF(AND(O35&gt;0,BA35=0),"CHECK - policy says "&amp;TEXT(N35,"0.##")&amp;" hrs to date but no Bonus Leave in EH",IF(O35&gt;0,"OK","-"))))))</f>
        <v/>
      </c>
      <c r="AB35" s="13" t="str">
        <f aca="false">IF(OR(AE35=0,T35=""),"",AY35*HoursPerDay-T35)</f>
        <v/>
      </c>
      <c r="AC35" s="12" t="str">
        <f aca="false">IF(AE35=0,"",BA35)</f>
        <v/>
      </c>
      <c r="AD35" s="12" t="str">
        <f aca="false">IF(AE35=0,"",TRIM(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IF(AE35=0,"",IF($J35&lt;&gt;"",$J35,$F35))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15"/>
      <c r="B36" s="15"/>
      <c r="C36" s="15"/>
      <c r="D36" s="16"/>
      <c r="E36" s="10" t="str">
        <f aca="false">IF(OR(AE36=0,$D36=""),"",DATE(YEAR(AsOfDate)+IF(DATE(YEAR(AsOfDate),MONTH($D36),DAY($D36))&lt;=AsOfDate,1,0),MONTH($D36),DAY($D36)))</f>
        <v/>
      </c>
      <c r="F36" s="16"/>
      <c r="G36" s="16"/>
      <c r="H36" s="16"/>
      <c r="I36" s="16"/>
      <c r="J36" s="16"/>
      <c r="K36" s="10" t="str">
        <f aca="false">IF(AE36=0,"",DATE(YEAR(AsOfDate)+IF(DATE(YEAR(AsOfDate),MONTH($F36),DAY($F36))&lt;=AsOfDate,1,0),MONTH($F36),DAY($F36)))</f>
        <v/>
      </c>
      <c r="L36" s="11" t="str">
        <f aca="false">IF(AE36=0,"",ROUND((AsOfDate-$F36)/365.25,1))</f>
        <v/>
      </c>
      <c r="M36" s="12" t="str">
        <f aca="false">IF(AE36=0,"",IF(AsOfDate&lt;AF36,"-",DATEDIF(AF36,AsOfDate,"y")&amp;"y "&amp;DATEDIF(AF36,AsOfDate,"ym")&amp;"m "&amp;DATEDIF(AF36,AsOfDate,"md")&amp;"d"))</f>
        <v/>
      </c>
      <c r="N36" s="13" t="str">
        <f aca="false">IF(AE36=0,"",O36*HoursPerDay)</f>
        <v/>
      </c>
      <c r="O36" s="13" t="str">
        <f aca="false">IF(AE36=0,"",AX36)</f>
        <v/>
      </c>
      <c r="P36" s="17"/>
      <c r="Q36" s="12"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IF(OR(AE36=0,W36=""),"",W36-U36+V36)</f>
        <v/>
      </c>
      <c r="U36" s="13" t="str">
        <f aca="false">IF(AE36=0,"",IF(NOT(LH_Ready),"",SUMIFS(INDEX(LH_Data,0,LH_ColAcc),INDEX(LH_Data,0,LH_ColFirst),$A36,INDEX(LH_Data,0,LH_ColSur),$B36,INDEX(LH_Data,0,LH_ColCat),BonusCat)*UnitFactor))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IF(AE36=0,"",X36-N(U36))</f>
        <v/>
      </c>
      <c r="Z36" s="12" t="str">
        <f aca="false">IF(AE36=0,"",IF(Y36&gt;0,"Yes","No"))</f>
        <v/>
      </c>
      <c r="AA36" s="12" t="str">
        <f aca="false">IF(AE36=0,"",IF(NOT(LH_Ready),"Paste Leave History export",IF(Y36&gt;0,"ACCRUE "&amp;TEXT(Y36,"0.##")&amp;" hrs ("&amp;TEXT(Y36/HoursPerDay,"0.##")&amp;" days)"&amp;IF(BA36=0," - no Bonus Leave line in EH yet",""),IF(Y36&lt;0,"CHECK - EH accrued "&amp;TEXT(-Y36,"0.##")&amp;" hrs more than policy",IF(AND(O36&gt;0,BA36=0),"CHECK - policy says "&amp;TEXT(N36,"0.##")&amp;" hrs to date but no Bonus Leave in EH",IF(O36&gt;0,"OK","-"))))))</f>
        <v/>
      </c>
      <c r="AB36" s="13" t="str">
        <f aca="false">IF(OR(AE36=0,T36=""),"",AY36*HoursPerDay-T36)</f>
        <v/>
      </c>
      <c r="AC36" s="12" t="str">
        <f aca="false">IF(AE36=0,"",BA36)</f>
        <v/>
      </c>
      <c r="AD36" s="12" t="str">
        <f aca="false">IF(AE36=0,"",TRIM(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IF(AE36=0,"",IF($J36&lt;&gt;"",$J36,$F36))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15"/>
      <c r="B37" s="15"/>
      <c r="C37" s="15"/>
      <c r="D37" s="16"/>
      <c r="E37" s="10" t="str">
        <f aca="false">IF(OR(AE37=0,$D37=""),"",DATE(YEAR(AsOfDate)+IF(DATE(YEAR(AsOfDate),MONTH($D37),DAY($D37))&lt;=AsOfDate,1,0),MONTH($D37),DAY($D37)))</f>
        <v/>
      </c>
      <c r="F37" s="16"/>
      <c r="G37" s="16"/>
      <c r="H37" s="16"/>
      <c r="I37" s="16"/>
      <c r="J37" s="16"/>
      <c r="K37" s="10" t="str">
        <f aca="false">IF(AE37=0,"",DATE(YEAR(AsOfDate)+IF(DATE(YEAR(AsOfDate),MONTH($F37),DAY($F37))&lt;=AsOfDate,1,0),MONTH($F37),DAY($F37)))</f>
        <v/>
      </c>
      <c r="L37" s="11" t="str">
        <f aca="false">IF(AE37=0,"",ROUND((AsOfDate-$F37)/365.25,1))</f>
        <v/>
      </c>
      <c r="M37" s="12" t="str">
        <f aca="false">IF(AE37=0,"",IF(AsOfDate&lt;AF37,"-",DATEDIF(AF37,AsOfDate,"y")&amp;"y "&amp;DATEDIF(AF37,AsOfDate,"ym")&amp;"m "&amp;DATEDIF(AF37,AsOfDate,"md")&amp;"d"))</f>
        <v/>
      </c>
      <c r="N37" s="13" t="str">
        <f aca="false">IF(AE37=0,"",O37*HoursPerDay)</f>
        <v/>
      </c>
      <c r="O37" s="13" t="str">
        <f aca="false">IF(AE37=0,"",AX37)</f>
        <v/>
      </c>
      <c r="P37" s="17"/>
      <c r="Q37" s="12"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IF(OR(AE37=0,W37=""),"",W37-U37+V37)</f>
        <v/>
      </c>
      <c r="U37" s="13" t="str">
        <f aca="false">IF(AE37=0,"",IF(NOT(LH_Ready),"",SUMIFS(INDEX(LH_Data,0,LH_ColAcc),INDEX(LH_Data,0,LH_ColFirst),$A37,INDEX(LH_Data,0,LH_ColSur),$B37,INDEX(LH_Data,0,LH_ColCat),BonusCat)*UnitFactor))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IF(AE37=0,"",X37-N(U37))</f>
        <v/>
      </c>
      <c r="Z37" s="12" t="str">
        <f aca="false">IF(AE37=0,"",IF(Y37&gt;0,"Yes","No"))</f>
        <v/>
      </c>
      <c r="AA37" s="12" t="str">
        <f aca="false">IF(AE37=0,"",IF(NOT(LH_Ready),"Paste Leave History export",IF(Y37&gt;0,"ACCRUE "&amp;TEXT(Y37,"0.##")&amp;" hrs ("&amp;TEXT(Y37/HoursPerDay,"0.##")&amp;" days)"&amp;IF(BA37=0," - no Bonus Leave line in EH yet",""),IF(Y37&lt;0,"CHECK - EH accrued "&amp;TEXT(-Y37,"0.##")&amp;" hrs more than policy",IF(AND(O37&gt;0,BA37=0),"CHECK - policy says "&amp;TEXT(N37,"0.##")&amp;" hrs to date but no Bonus Leave in EH",IF(O37&gt;0,"OK","-"))))))</f>
        <v/>
      </c>
      <c r="AB37" s="13" t="str">
        <f aca="false">IF(OR(AE37=0,T37=""),"",AY37*HoursPerDay-T37)</f>
        <v/>
      </c>
      <c r="AC37" s="12" t="str">
        <f aca="false">IF(AE37=0,"",BA37)</f>
        <v/>
      </c>
      <c r="AD37" s="12" t="str">
        <f aca="false">IF(AE37=0,"",TRIM(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IF(AE37=0,"",IF($J37&lt;&gt;"",$J37,$F37))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15"/>
      <c r="B38" s="15"/>
      <c r="C38" s="15"/>
      <c r="D38" s="16"/>
      <c r="E38" s="10" t="str">
        <f aca="false">IF(OR(AE38=0,$D38=""),"",DATE(YEAR(AsOfDate)+IF(DATE(YEAR(AsOfDate),MONTH($D38),DAY($D38))&lt;=AsOfDate,1,0),MONTH($D38),DAY($D38)))</f>
        <v/>
      </c>
      <c r="F38" s="16"/>
      <c r="G38" s="16"/>
      <c r="H38" s="16"/>
      <c r="I38" s="16"/>
      <c r="J38" s="16"/>
      <c r="K38" s="10" t="str">
        <f aca="false">IF(AE38=0,"",DATE(YEAR(AsOfDate)+IF(DATE(YEAR(AsOfDate),MONTH($F38),DAY($F38))&lt;=AsOfDate,1,0),MONTH($F38),DAY($F38)))</f>
        <v/>
      </c>
      <c r="L38" s="11" t="str">
        <f aca="false">IF(AE38=0,"",ROUND((AsOfDate-$F38)/365.25,1))</f>
        <v/>
      </c>
      <c r="M38" s="12" t="str">
        <f aca="false">IF(AE38=0,"",IF(AsOfDate&lt;AF38,"-",DATEDIF(AF38,AsOfDate,"y")&amp;"y "&amp;DATEDIF(AF38,AsOfDate,"ym")&amp;"m "&amp;DATEDIF(AF38,AsOfDate,"md")&amp;"d"))</f>
        <v/>
      </c>
      <c r="N38" s="13" t="str">
        <f aca="false">IF(AE38=0,"",O38*HoursPerDay)</f>
        <v/>
      </c>
      <c r="O38" s="13" t="str">
        <f aca="false">IF(AE38=0,"",AX38)</f>
        <v/>
      </c>
      <c r="P38" s="17"/>
      <c r="Q38" s="12"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IF(OR(AE38=0,W38=""),"",W38-U38+V38)</f>
        <v/>
      </c>
      <c r="U38" s="13" t="str">
        <f aca="false">IF(AE38=0,"",IF(NOT(LH_Ready),"",SUMIFS(INDEX(LH_Data,0,LH_ColAcc),INDEX(LH_Data,0,LH_ColFirst),$A38,INDEX(LH_Data,0,LH_ColSur),$B38,INDEX(LH_Data,0,LH_ColCat),BonusCat)*UnitFactor))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IF(AE38=0,"",X38-N(U38))</f>
        <v/>
      </c>
      <c r="Z38" s="12" t="str">
        <f aca="false">IF(AE38=0,"",IF(Y38&gt;0,"Yes","No"))</f>
        <v/>
      </c>
      <c r="AA38" s="12" t="str">
        <f aca="false">IF(AE38=0,"",IF(NOT(LH_Ready),"Paste Leave History export",IF(Y38&gt;0,"ACCRUE "&amp;TEXT(Y38,"0.##")&amp;" hrs ("&amp;TEXT(Y38/HoursPerDay,"0.##")&amp;" days)"&amp;IF(BA38=0," - no Bonus Leave line in EH yet",""),IF(Y38&lt;0,"CHECK - EH accrued "&amp;TEXT(-Y38,"0.##")&amp;" hrs more than policy",IF(AND(O38&gt;0,BA38=0),"CHECK - policy says "&amp;TEXT(N38,"0.##")&amp;" hrs to date but no Bonus Leave in EH",IF(O38&gt;0,"OK","-"))))))</f>
        <v/>
      </c>
      <c r="AB38" s="13" t="str">
        <f aca="false">IF(OR(AE38=0,T38=""),"",AY38*HoursPerDay-T38)</f>
        <v/>
      </c>
      <c r="AC38" s="12" t="str">
        <f aca="false">IF(AE38=0,"",BA38)</f>
        <v/>
      </c>
      <c r="AD38" s="12" t="str">
        <f aca="false">IF(AE38=0,"",TRIM(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IF(AE38=0,"",IF($J38&lt;&gt;"",$J38,$F38))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15"/>
      <c r="B39" s="15"/>
      <c r="C39" s="15"/>
      <c r="D39" s="16"/>
      <c r="E39" s="10" t="str">
        <f aca="false">IF(OR(AE39=0,$D39=""),"",DATE(YEAR(AsOfDate)+IF(DATE(YEAR(AsOfDate),MONTH($D39),DAY($D39))&lt;=AsOfDate,1,0),MONTH($D39),DAY($D39)))</f>
        <v/>
      </c>
      <c r="F39" s="16"/>
      <c r="G39" s="16"/>
      <c r="H39" s="16"/>
      <c r="I39" s="16"/>
      <c r="J39" s="16"/>
      <c r="K39" s="10" t="str">
        <f aca="false">IF(AE39=0,"",DATE(YEAR(AsOfDate)+IF(DATE(YEAR(AsOfDate),MONTH($F39),DAY($F39))&lt;=AsOfDate,1,0),MONTH($F39),DAY($F39)))</f>
        <v/>
      </c>
      <c r="L39" s="11" t="str">
        <f aca="false">IF(AE39=0,"",ROUND((AsOfDate-$F39)/365.25,1))</f>
        <v/>
      </c>
      <c r="M39" s="12" t="str">
        <f aca="false">IF(AE39=0,"",IF(AsOfDate&lt;AF39,"-",DATEDIF(AF39,AsOfDate,"y")&amp;"y "&amp;DATEDIF(AF39,AsOfDate,"ym")&amp;"m "&amp;DATEDIF(AF39,AsOfDate,"md")&amp;"d"))</f>
        <v/>
      </c>
      <c r="N39" s="13" t="str">
        <f aca="false">IF(AE39=0,"",O39*HoursPerDay)</f>
        <v/>
      </c>
      <c r="O39" s="13" t="str">
        <f aca="false">IF(AE39=0,"",AX39)</f>
        <v/>
      </c>
      <c r="P39" s="17"/>
      <c r="Q39" s="12"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IF(OR(AE39=0,W39=""),"",W39-U39+V39)</f>
        <v/>
      </c>
      <c r="U39" s="13" t="str">
        <f aca="false">IF(AE39=0,"",IF(NOT(LH_Ready),"",SUMIFS(INDEX(LH_Data,0,LH_ColAcc),INDEX(LH_Data,0,LH_ColFirst),$A39,INDEX(LH_Data,0,LH_ColSur),$B39,INDEX(LH_Data,0,LH_ColCat),BonusCat)*UnitFactor))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IF(AE39=0,"",X39-N(U39))</f>
        <v/>
      </c>
      <c r="Z39" s="12" t="str">
        <f aca="false">IF(AE39=0,"",IF(Y39&gt;0,"Yes","No"))</f>
        <v/>
      </c>
      <c r="AA39" s="12" t="str">
        <f aca="false">IF(AE39=0,"",IF(NOT(LH_Ready),"Paste Leave History export",IF(Y39&gt;0,"ACCRUE "&amp;TEXT(Y39,"0.##")&amp;" hrs ("&amp;TEXT(Y39/HoursPerDay,"0.##")&amp;" days)"&amp;IF(BA39=0," - no Bonus Leave line in EH yet",""),IF(Y39&lt;0,"CHECK - EH accrued "&amp;TEXT(-Y39,"0.##")&amp;" hrs more than policy",IF(AND(O39&gt;0,BA39=0),"CHECK - policy says "&amp;TEXT(N39,"0.##")&amp;" hrs to date but no Bonus Leave in EH",IF(O39&gt;0,"OK","-"))))))</f>
        <v/>
      </c>
      <c r="AB39" s="13" t="str">
        <f aca="false">IF(OR(AE39=0,T39=""),"",AY39*HoursPerDay-T39)</f>
        <v/>
      </c>
      <c r="AC39" s="12" t="str">
        <f aca="false">IF(AE39=0,"",BA39)</f>
        <v/>
      </c>
      <c r="AD39" s="12" t="str">
        <f aca="false">IF(AE39=0,"",TRIM(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IF(AE39=0,"",IF($J39&lt;&gt;"",$J39,$F39))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15"/>
      <c r="B40" s="15"/>
      <c r="C40" s="15"/>
      <c r="D40" s="16"/>
      <c r="E40" s="10" t="str">
        <f aca="false">IF(OR(AE40=0,$D40=""),"",DATE(YEAR(AsOfDate)+IF(DATE(YEAR(AsOfDate),MONTH($D40),DAY($D40))&lt;=AsOfDate,1,0),MONTH($D40),DAY($D40)))</f>
        <v/>
      </c>
      <c r="F40" s="16"/>
      <c r="G40" s="16"/>
      <c r="H40" s="16"/>
      <c r="I40" s="16"/>
      <c r="J40" s="16"/>
      <c r="K40" s="10" t="str">
        <f aca="false">IF(AE40=0,"",DATE(YEAR(AsOfDate)+IF(DATE(YEAR(AsOfDate),MONTH($F40),DAY($F40))&lt;=AsOfDate,1,0),MONTH($F40),DAY($F40)))</f>
        <v/>
      </c>
      <c r="L40" s="11" t="str">
        <f aca="false">IF(AE40=0,"",ROUND((AsOfDate-$F40)/365.25,1))</f>
        <v/>
      </c>
      <c r="M40" s="12" t="str">
        <f aca="false">IF(AE40=0,"",IF(AsOfDate&lt;AF40,"-",DATEDIF(AF40,AsOfDate,"y")&amp;"y "&amp;DATEDIF(AF40,AsOfDate,"ym")&amp;"m "&amp;DATEDIF(AF40,AsOfDate,"md")&amp;"d"))</f>
        <v/>
      </c>
      <c r="N40" s="13" t="str">
        <f aca="false">IF(AE40=0,"",O40*HoursPerDay)</f>
        <v/>
      </c>
      <c r="O40" s="13" t="str">
        <f aca="false">IF(AE40=0,"",AX40)</f>
        <v/>
      </c>
      <c r="P40" s="17"/>
      <c r="Q40" s="12"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IF(OR(AE40=0,W40=""),"",W40-U40+V40)</f>
        <v/>
      </c>
      <c r="U40" s="13" t="str">
        <f aca="false">IF(AE40=0,"",IF(NOT(LH_Ready),"",SUMIFS(INDEX(LH_Data,0,LH_ColAcc),INDEX(LH_Data,0,LH_ColFirst),$A40,INDEX(LH_Data,0,LH_ColSur),$B40,INDEX(LH_Data,0,LH_ColCat),BonusCat)*UnitFactor))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IF(AE40=0,"",X40-N(U40))</f>
        <v/>
      </c>
      <c r="Z40" s="12" t="str">
        <f aca="false">IF(AE40=0,"",IF(Y40&gt;0,"Yes","No"))</f>
        <v/>
      </c>
      <c r="AA40" s="12" t="str">
        <f aca="false">IF(AE40=0,"",IF(NOT(LH_Ready),"Paste Leave History export",IF(Y40&gt;0,"ACCRUE "&amp;TEXT(Y40,"0.##")&amp;" hrs ("&amp;TEXT(Y40/HoursPerDay,"0.##")&amp;" days)"&amp;IF(BA40=0," - no Bonus Leave line in EH yet",""),IF(Y40&lt;0,"CHECK - EH accrued "&amp;TEXT(-Y40,"0.##")&amp;" hrs more than policy",IF(AND(O40&gt;0,BA40=0),"CHECK - policy says "&amp;TEXT(N40,"0.##")&amp;" hrs to date but no Bonus Leave in EH",IF(O40&gt;0,"OK","-"))))))</f>
        <v/>
      </c>
      <c r="AB40" s="13" t="str">
        <f aca="false">IF(OR(AE40=0,T40=""),"",AY40*HoursPerDay-T40)</f>
        <v/>
      </c>
      <c r="AC40" s="12" t="str">
        <f aca="false">IF(AE40=0,"",BA40)</f>
        <v/>
      </c>
      <c r="AD40" s="12" t="str">
        <f aca="false">IF(AE40=0,"",TRIM(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IF(AE40=0,"",IF($J40&lt;&gt;"",$J40,$F40))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15"/>
      <c r="B41" s="15"/>
      <c r="C41" s="15"/>
      <c r="D41" s="16"/>
      <c r="E41" s="10" t="str">
        <f aca="false">IF(OR(AE41=0,$D41=""),"",DATE(YEAR(AsOfDate)+IF(DATE(YEAR(AsOfDate),MONTH($D41),DAY($D41))&lt;=AsOfDate,1,0),MONTH($D41),DAY($D41)))</f>
        <v/>
      </c>
      <c r="F41" s="16"/>
      <c r="G41" s="16"/>
      <c r="H41" s="16"/>
      <c r="I41" s="16"/>
      <c r="J41" s="16"/>
      <c r="K41" s="10" t="str">
        <f aca="false">IF(AE41=0,"",DATE(YEAR(AsOfDate)+IF(DATE(YEAR(AsOfDate),MONTH($F41),DAY($F41))&lt;=AsOfDate,1,0),MONTH($F41),DAY($F41)))</f>
        <v/>
      </c>
      <c r="L41" s="11" t="str">
        <f aca="false">IF(AE41=0,"",ROUND((AsOfDate-$F41)/365.25,1))</f>
        <v/>
      </c>
      <c r="M41" s="12" t="str">
        <f aca="false">IF(AE41=0,"",IF(AsOfDate&lt;AF41,"-",DATEDIF(AF41,AsOfDate,"y")&amp;"y "&amp;DATEDIF(AF41,AsOfDate,"ym")&amp;"m "&amp;DATEDIF(AF41,AsOfDate,"md")&amp;"d"))</f>
        <v/>
      </c>
      <c r="N41" s="13" t="str">
        <f aca="false">IF(AE41=0,"",O41*HoursPerDay)</f>
        <v/>
      </c>
      <c r="O41" s="13" t="str">
        <f aca="false">IF(AE41=0,"",AX41)</f>
        <v/>
      </c>
      <c r="P41" s="17"/>
      <c r="Q41" s="12"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IF(OR(AE41=0,W41=""),"",W41-U41+V41)</f>
        <v/>
      </c>
      <c r="U41" s="13" t="str">
        <f aca="false">IF(AE41=0,"",IF(NOT(LH_Ready),"",SUMIFS(INDEX(LH_Data,0,LH_ColAcc),INDEX(LH_Data,0,LH_ColFirst),$A41,INDEX(LH_Data,0,LH_ColSur),$B41,INDEX(LH_Data,0,LH_ColCat),BonusCat)*UnitFactor))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IF(AE41=0,"",X41-N(U41))</f>
        <v/>
      </c>
      <c r="Z41" s="12" t="str">
        <f aca="false">IF(AE41=0,"",IF(Y41&gt;0,"Yes","No"))</f>
        <v/>
      </c>
      <c r="AA41" s="12" t="str">
        <f aca="false">IF(AE41=0,"",IF(NOT(LH_Ready),"Paste Leave History export",IF(Y41&gt;0,"ACCRUE "&amp;TEXT(Y41,"0.##")&amp;" hrs ("&amp;TEXT(Y41/HoursPerDay,"0.##")&amp;" days)"&amp;IF(BA41=0," - no Bonus Leave line in EH yet",""),IF(Y41&lt;0,"CHECK - EH accrued "&amp;TEXT(-Y41,"0.##")&amp;" hrs more than policy",IF(AND(O41&gt;0,BA41=0),"CHECK - policy says "&amp;TEXT(N41,"0.##")&amp;" hrs to date but no Bonus Leave in EH",IF(O41&gt;0,"OK","-"))))))</f>
        <v/>
      </c>
      <c r="AB41" s="13" t="str">
        <f aca="false">IF(OR(AE41=0,T41=""),"",AY41*HoursPerDay-T41)</f>
        <v/>
      </c>
      <c r="AC41" s="12" t="str">
        <f aca="false">IF(AE41=0,"",BA41)</f>
        <v/>
      </c>
      <c r="AD41" s="12" t="str">
        <f aca="false">IF(AE41=0,"",TRIM(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IF(AE41=0,"",IF($J41&lt;&gt;"",$J41,$F41))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15"/>
      <c r="B42" s="15"/>
      <c r="C42" s="15"/>
      <c r="D42" s="16"/>
      <c r="E42" s="10" t="str">
        <f aca="false">IF(OR(AE42=0,$D42=""),"",DATE(YEAR(AsOfDate)+IF(DATE(YEAR(AsOfDate),MONTH($D42),DAY($D42))&lt;=AsOfDate,1,0),MONTH($D42),DAY($D42)))</f>
        <v/>
      </c>
      <c r="F42" s="16"/>
      <c r="G42" s="16"/>
      <c r="H42" s="16"/>
      <c r="I42" s="16"/>
      <c r="J42" s="16"/>
      <c r="K42" s="10" t="str">
        <f aca="false">IF(AE42=0,"",DATE(YEAR(AsOfDate)+IF(DATE(YEAR(AsOfDate),MONTH($F42),DAY($F42))&lt;=AsOfDate,1,0),MONTH($F42),DAY($F42)))</f>
        <v/>
      </c>
      <c r="L42" s="11" t="str">
        <f aca="false">IF(AE42=0,"",ROUND((AsOfDate-$F42)/365.25,1))</f>
        <v/>
      </c>
      <c r="M42" s="12" t="str">
        <f aca="false">IF(AE42=0,"",IF(AsOfDate&lt;AF42,"-",DATEDIF(AF42,AsOfDate,"y")&amp;"y "&amp;DATEDIF(AF42,AsOfDate,"ym")&amp;"m "&amp;DATEDIF(AF42,AsOfDate,"md")&amp;"d"))</f>
        <v/>
      </c>
      <c r="N42" s="13" t="str">
        <f aca="false">IF(AE42=0,"",O42*HoursPerDay)</f>
        <v/>
      </c>
      <c r="O42" s="13" t="str">
        <f aca="false">IF(AE42=0,"",AX42)</f>
        <v/>
      </c>
      <c r="P42" s="17"/>
      <c r="Q42" s="12"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IF(OR(AE42=0,W42=""),"",W42-U42+V42)</f>
        <v/>
      </c>
      <c r="U42" s="13" t="str">
        <f aca="false">IF(AE42=0,"",IF(NOT(LH_Ready),"",SUMIFS(INDEX(LH_Data,0,LH_ColAcc),INDEX(LH_Data,0,LH_ColFirst),$A42,INDEX(LH_Data,0,LH_ColSur),$B42,INDEX(LH_Data,0,LH_ColCat),BonusCat)*UnitFactor))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IF(AE42=0,"",X42-N(U42))</f>
        <v/>
      </c>
      <c r="Z42" s="12" t="str">
        <f aca="false">IF(AE42=0,"",IF(Y42&gt;0,"Yes","No"))</f>
        <v/>
      </c>
      <c r="AA42" s="12" t="str">
        <f aca="false">IF(AE42=0,"",IF(NOT(LH_Ready),"Paste Leave History export",IF(Y42&gt;0,"ACCRUE "&amp;TEXT(Y42,"0.##")&amp;" hrs ("&amp;TEXT(Y42/HoursPerDay,"0.##")&amp;" days)"&amp;IF(BA42=0," - no Bonus Leave line in EH yet",""),IF(Y42&lt;0,"CHECK - EH accrued "&amp;TEXT(-Y42,"0.##")&amp;" hrs more than policy",IF(AND(O42&gt;0,BA42=0),"CHECK - policy says "&amp;TEXT(N42,"0.##")&amp;" hrs to date but no Bonus Leave in EH",IF(O42&gt;0,"OK","-"))))))</f>
        <v/>
      </c>
      <c r="AB42" s="13" t="str">
        <f aca="false">IF(OR(AE42=0,T42=""),"",AY42*HoursPerDay-T42)</f>
        <v/>
      </c>
      <c r="AC42" s="12" t="str">
        <f aca="false">IF(AE42=0,"",BA42)</f>
        <v/>
      </c>
      <c r="AD42" s="12" t="str">
        <f aca="false">IF(AE42=0,"",TRIM(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IF(AE42=0,"",IF($J42&lt;&gt;"",$J42,$F42))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15"/>
      <c r="B43" s="15"/>
      <c r="C43" s="15"/>
      <c r="D43" s="16"/>
      <c r="E43" s="10" t="str">
        <f aca="false">IF(OR(AE43=0,$D43=""),"",DATE(YEAR(AsOfDate)+IF(DATE(YEAR(AsOfDate),MONTH($D43),DAY($D43))&lt;=AsOfDate,1,0),MONTH($D43),DAY($D43)))</f>
        <v/>
      </c>
      <c r="F43" s="16"/>
      <c r="G43" s="16"/>
      <c r="H43" s="16"/>
      <c r="I43" s="16"/>
      <c r="J43" s="16"/>
      <c r="K43" s="10" t="str">
        <f aca="false">IF(AE43=0,"",DATE(YEAR(AsOfDate)+IF(DATE(YEAR(AsOfDate),MONTH($F43),DAY($F43))&lt;=AsOfDate,1,0),MONTH($F43),DAY($F43)))</f>
        <v/>
      </c>
      <c r="L43" s="11" t="str">
        <f aca="false">IF(AE43=0,"",ROUND((AsOfDate-$F43)/365.25,1))</f>
        <v/>
      </c>
      <c r="M43" s="12" t="str">
        <f aca="false">IF(AE43=0,"",IF(AsOfDate&lt;AF43,"-",DATEDIF(AF43,AsOfDate,"y")&amp;"y "&amp;DATEDIF(AF43,AsOfDate,"ym")&amp;"m "&amp;DATEDIF(AF43,AsOfDate,"md")&amp;"d"))</f>
        <v/>
      </c>
      <c r="N43" s="13" t="str">
        <f aca="false">IF(AE43=0,"",O43*HoursPerDay)</f>
        <v/>
      </c>
      <c r="O43" s="13" t="str">
        <f aca="false">IF(AE43=0,"",AX43)</f>
        <v/>
      </c>
      <c r="P43" s="17"/>
      <c r="Q43" s="12"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IF(OR(AE43=0,W43=""),"",W43-U43+V43)</f>
        <v/>
      </c>
      <c r="U43" s="13" t="str">
        <f aca="false">IF(AE43=0,"",IF(NOT(LH_Ready),"",SUMIFS(INDEX(LH_Data,0,LH_ColAcc),INDEX(LH_Data,0,LH_ColFirst),$A43,INDEX(LH_Data,0,LH_ColSur),$B43,INDEX(LH_Data,0,LH_ColCat),BonusCat)*UnitFactor))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IF(AE43=0,"",X43-N(U43))</f>
        <v/>
      </c>
      <c r="Z43" s="12" t="str">
        <f aca="false">IF(AE43=0,"",IF(Y43&gt;0,"Yes","No"))</f>
        <v/>
      </c>
      <c r="AA43" s="12" t="str">
        <f aca="false">IF(AE43=0,"",IF(NOT(LH_Ready),"Paste Leave History export",IF(Y43&gt;0,"ACCRUE "&amp;TEXT(Y43,"0.##")&amp;" hrs ("&amp;TEXT(Y43/HoursPerDay,"0.##")&amp;" days)"&amp;IF(BA43=0," - no Bonus Leave line in EH yet",""),IF(Y43&lt;0,"CHECK - EH accrued "&amp;TEXT(-Y43,"0.##")&amp;" hrs more than policy",IF(AND(O43&gt;0,BA43=0),"CHECK - policy says "&amp;TEXT(N43,"0.##")&amp;" hrs to date but no Bonus Leave in EH",IF(O43&gt;0,"OK","-"))))))</f>
        <v/>
      </c>
      <c r="AB43" s="13" t="str">
        <f aca="false">IF(OR(AE43=0,T43=""),"",AY43*HoursPerDay-T43)</f>
        <v/>
      </c>
      <c r="AC43" s="12" t="str">
        <f aca="false">IF(AE43=0,"",BA43)</f>
        <v/>
      </c>
      <c r="AD43" s="12" t="str">
        <f aca="false">IF(AE43=0,"",TRIM(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IF(AE43=0,"",IF($J43&lt;&gt;"",$J43,$F43))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15"/>
      <c r="B44" s="15"/>
      <c r="C44" s="15"/>
      <c r="D44" s="16"/>
      <c r="E44" s="10" t="str">
        <f aca="false">IF(OR(AE44=0,$D44=""),"",DATE(YEAR(AsOfDate)+IF(DATE(YEAR(AsOfDate),MONTH($D44),DAY($D44))&lt;=AsOfDate,1,0),MONTH($D44),DAY($D44)))</f>
        <v/>
      </c>
      <c r="F44" s="16"/>
      <c r="G44" s="16"/>
      <c r="H44" s="16"/>
      <c r="I44" s="16"/>
      <c r="J44" s="16"/>
      <c r="K44" s="10" t="str">
        <f aca="false">IF(AE44=0,"",DATE(YEAR(AsOfDate)+IF(DATE(YEAR(AsOfDate),MONTH($F44),DAY($F44))&lt;=AsOfDate,1,0),MONTH($F44),DAY($F44)))</f>
        <v/>
      </c>
      <c r="L44" s="11" t="str">
        <f aca="false">IF(AE44=0,"",ROUND((AsOfDate-$F44)/365.25,1))</f>
        <v/>
      </c>
      <c r="M44" s="12" t="str">
        <f aca="false">IF(AE44=0,"",IF(AsOfDate&lt;AF44,"-",DATEDIF(AF44,AsOfDate,"y")&amp;"y "&amp;DATEDIF(AF44,AsOfDate,"ym")&amp;"m "&amp;DATEDIF(AF44,AsOfDate,"md")&amp;"d"))</f>
        <v/>
      </c>
      <c r="N44" s="13" t="str">
        <f aca="false">IF(AE44=0,"",O44*HoursPerDay)</f>
        <v/>
      </c>
      <c r="O44" s="13" t="str">
        <f aca="false">IF(AE44=0,"",AX44)</f>
        <v/>
      </c>
      <c r="P44" s="17"/>
      <c r="Q44" s="12"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IF(OR(AE44=0,W44=""),"",W44-U44+V44)</f>
        <v/>
      </c>
      <c r="U44" s="13" t="str">
        <f aca="false">IF(AE44=0,"",IF(NOT(LH_Ready),"",SUMIFS(INDEX(LH_Data,0,LH_ColAcc),INDEX(LH_Data,0,LH_ColFirst),$A44,INDEX(LH_Data,0,LH_ColSur),$B44,INDEX(LH_Data,0,LH_ColCat),BonusCat)*UnitFactor))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IF(AE44=0,"",X44-N(U44))</f>
        <v/>
      </c>
      <c r="Z44" s="12" t="str">
        <f aca="false">IF(AE44=0,"",IF(Y44&gt;0,"Yes","No"))</f>
        <v/>
      </c>
      <c r="AA44" s="12" t="str">
        <f aca="false">IF(AE44=0,"",IF(NOT(LH_Ready),"Paste Leave History export",IF(Y44&gt;0,"ACCRUE "&amp;TEXT(Y44,"0.##")&amp;" hrs ("&amp;TEXT(Y44/HoursPerDay,"0.##")&amp;" days)"&amp;IF(BA44=0," - no Bonus Leave line in EH yet",""),IF(Y44&lt;0,"CHECK - EH accrued "&amp;TEXT(-Y44,"0.##")&amp;" hrs more than policy",IF(AND(O44&gt;0,BA44=0),"CHECK - policy says "&amp;TEXT(N44,"0.##")&amp;" hrs to date but no Bonus Leave in EH",IF(O44&gt;0,"OK","-"))))))</f>
        <v/>
      </c>
      <c r="AB44" s="13" t="str">
        <f aca="false">IF(OR(AE44=0,T44=""),"",AY44*HoursPerDay-T44)</f>
        <v/>
      </c>
      <c r="AC44" s="12" t="str">
        <f aca="false">IF(AE44=0,"",BA44)</f>
        <v/>
      </c>
      <c r="AD44" s="12" t="str">
        <f aca="false">IF(AE44=0,"",TRIM(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IF(AE44=0,"",IF($J44&lt;&gt;"",$J44,$F44))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15"/>
      <c r="B45" s="15"/>
      <c r="C45" s="15"/>
      <c r="D45" s="16"/>
      <c r="E45" s="10" t="str">
        <f aca="false">IF(OR(AE45=0,$D45=""),"",DATE(YEAR(AsOfDate)+IF(DATE(YEAR(AsOfDate),MONTH($D45),DAY($D45))&lt;=AsOfDate,1,0),MONTH($D45),DAY($D45)))</f>
        <v/>
      </c>
      <c r="F45" s="16"/>
      <c r="G45" s="16"/>
      <c r="H45" s="16"/>
      <c r="I45" s="16"/>
      <c r="J45" s="16"/>
      <c r="K45" s="10" t="str">
        <f aca="false">IF(AE45=0,"",DATE(YEAR(AsOfDate)+IF(DATE(YEAR(AsOfDate),MONTH($F45),DAY($F45))&lt;=AsOfDate,1,0),MONTH($F45),DAY($F45)))</f>
        <v/>
      </c>
      <c r="L45" s="11" t="str">
        <f aca="false">IF(AE45=0,"",ROUND((AsOfDate-$F45)/365.25,1))</f>
        <v/>
      </c>
      <c r="M45" s="12" t="str">
        <f aca="false">IF(AE45=0,"",IF(AsOfDate&lt;AF45,"-",DATEDIF(AF45,AsOfDate,"y")&amp;"y "&amp;DATEDIF(AF45,AsOfDate,"ym")&amp;"m "&amp;DATEDIF(AF45,AsOfDate,"md")&amp;"d"))</f>
        <v/>
      </c>
      <c r="N45" s="13" t="str">
        <f aca="false">IF(AE45=0,"",O45*HoursPerDay)</f>
        <v/>
      </c>
      <c r="O45" s="13" t="str">
        <f aca="false">IF(AE45=0,"",AX45)</f>
        <v/>
      </c>
      <c r="P45" s="17"/>
      <c r="Q45" s="12"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IF(OR(AE45=0,W45=""),"",W45-U45+V45)</f>
        <v/>
      </c>
      <c r="U45" s="13" t="str">
        <f aca="false">IF(AE45=0,"",IF(NOT(LH_Ready),"",SUMIFS(INDEX(LH_Data,0,LH_ColAcc),INDEX(LH_Data,0,LH_ColFirst),$A45,INDEX(LH_Data,0,LH_ColSur),$B45,INDEX(LH_Data,0,LH_ColCat),BonusCat)*UnitFactor))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IF(AE45=0,"",X45-N(U45))</f>
        <v/>
      </c>
      <c r="Z45" s="12" t="str">
        <f aca="false">IF(AE45=0,"",IF(Y45&gt;0,"Yes","No"))</f>
        <v/>
      </c>
      <c r="AA45" s="12" t="str">
        <f aca="false">IF(AE45=0,"",IF(NOT(LH_Ready),"Paste Leave History export",IF(Y45&gt;0,"ACCRUE "&amp;TEXT(Y45,"0.##")&amp;" hrs ("&amp;TEXT(Y45/HoursPerDay,"0.##")&amp;" days)"&amp;IF(BA45=0," - no Bonus Leave line in EH yet",""),IF(Y45&lt;0,"CHECK - EH accrued "&amp;TEXT(-Y45,"0.##")&amp;" hrs more than policy",IF(AND(O45&gt;0,BA45=0),"CHECK - policy says "&amp;TEXT(N45,"0.##")&amp;" hrs to date but no Bonus Leave in EH",IF(O45&gt;0,"OK","-"))))))</f>
        <v/>
      </c>
      <c r="AB45" s="13" t="str">
        <f aca="false">IF(OR(AE45=0,T45=""),"",AY45*HoursPerDay-T45)</f>
        <v/>
      </c>
      <c r="AC45" s="12" t="str">
        <f aca="false">IF(AE45=0,"",BA45)</f>
        <v/>
      </c>
      <c r="AD45" s="12" t="str">
        <f aca="false">IF(AE45=0,"",TRIM(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IF(AE45=0,"",IF($J45&lt;&gt;"",$J45,$F45))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15"/>
      <c r="B46" s="15"/>
      <c r="C46" s="15"/>
      <c r="D46" s="16"/>
      <c r="E46" s="10" t="str">
        <f aca="false">IF(OR(AE46=0,$D46=""),"",DATE(YEAR(AsOfDate)+IF(DATE(YEAR(AsOfDate),MONTH($D46),DAY($D46))&lt;=AsOfDate,1,0),MONTH($D46),DAY($D46)))</f>
        <v/>
      </c>
      <c r="F46" s="16"/>
      <c r="G46" s="16"/>
      <c r="H46" s="16"/>
      <c r="I46" s="16"/>
      <c r="J46" s="16"/>
      <c r="K46" s="10" t="str">
        <f aca="false">IF(AE46=0,"",DATE(YEAR(AsOfDate)+IF(DATE(YEAR(AsOfDate),MONTH($F46),DAY($F46))&lt;=AsOfDate,1,0),MONTH($F46),DAY($F46)))</f>
        <v/>
      </c>
      <c r="L46" s="11" t="str">
        <f aca="false">IF(AE46=0,"",ROUND((AsOfDate-$F46)/365.25,1))</f>
        <v/>
      </c>
      <c r="M46" s="12" t="str">
        <f aca="false">IF(AE46=0,"",IF(AsOfDate&lt;AF46,"-",DATEDIF(AF46,AsOfDate,"y")&amp;"y "&amp;DATEDIF(AF46,AsOfDate,"ym")&amp;"m "&amp;DATEDIF(AF46,AsOfDate,"md")&amp;"d"))</f>
        <v/>
      </c>
      <c r="N46" s="13" t="str">
        <f aca="false">IF(AE46=0,"",O46*HoursPerDay)</f>
        <v/>
      </c>
      <c r="O46" s="13" t="str">
        <f aca="false">IF(AE46=0,"",AX46)</f>
        <v/>
      </c>
      <c r="P46" s="17"/>
      <c r="Q46" s="12"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IF(OR(AE46=0,W46=""),"",W46-U46+V46)</f>
        <v/>
      </c>
      <c r="U46" s="13" t="str">
        <f aca="false">IF(AE46=0,"",IF(NOT(LH_Ready),"",SUMIFS(INDEX(LH_Data,0,LH_ColAcc),INDEX(LH_Data,0,LH_ColFirst),$A46,INDEX(LH_Data,0,LH_ColSur),$B46,INDEX(LH_Data,0,LH_ColCat),BonusCat)*UnitFactor))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IF(AE46=0,"",X46-N(U46))</f>
        <v/>
      </c>
      <c r="Z46" s="12" t="str">
        <f aca="false">IF(AE46=0,"",IF(Y46&gt;0,"Yes","No"))</f>
        <v/>
      </c>
      <c r="AA46" s="12" t="str">
        <f aca="false">IF(AE46=0,"",IF(NOT(LH_Ready),"Paste Leave History export",IF(Y46&gt;0,"ACCRUE "&amp;TEXT(Y46,"0.##")&amp;" hrs ("&amp;TEXT(Y46/HoursPerDay,"0.##")&amp;" days)"&amp;IF(BA46=0," - no Bonus Leave line in EH yet",""),IF(Y46&lt;0,"CHECK - EH accrued "&amp;TEXT(-Y46,"0.##")&amp;" hrs more than policy",IF(AND(O46&gt;0,BA46=0),"CHECK - policy says "&amp;TEXT(N46,"0.##")&amp;" hrs to date but no Bonus Leave in EH",IF(O46&gt;0,"OK","-"))))))</f>
        <v/>
      </c>
      <c r="AB46" s="13" t="str">
        <f aca="false">IF(OR(AE46=0,T46=""),"",AY46*HoursPerDay-T46)</f>
        <v/>
      </c>
      <c r="AC46" s="12" t="str">
        <f aca="false">IF(AE46=0,"",BA46)</f>
        <v/>
      </c>
      <c r="AD46" s="12" t="str">
        <f aca="false">IF(AE46=0,"",TRIM(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IF(AE46=0,"",IF($J46&lt;&gt;"",$J46,$F46))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15"/>
      <c r="B47" s="15"/>
      <c r="C47" s="15"/>
      <c r="D47" s="16"/>
      <c r="E47" s="10" t="str">
        <f aca="false">IF(OR(AE47=0,$D47=""),"",DATE(YEAR(AsOfDate)+IF(DATE(YEAR(AsOfDate),MONTH($D47),DAY($D47))&lt;=AsOfDate,1,0),MONTH($D47),DAY($D47)))</f>
        <v/>
      </c>
      <c r="F47" s="16"/>
      <c r="G47" s="16"/>
      <c r="H47" s="16"/>
      <c r="I47" s="16"/>
      <c r="J47" s="16"/>
      <c r="K47" s="10" t="str">
        <f aca="false">IF(AE47=0,"",DATE(YEAR(AsOfDate)+IF(DATE(YEAR(AsOfDate),MONTH($F47),DAY($F47))&lt;=AsOfDate,1,0),MONTH($F47),DAY($F47)))</f>
        <v/>
      </c>
      <c r="L47" s="11" t="str">
        <f aca="false">IF(AE47=0,"",ROUND((AsOfDate-$F47)/365.25,1))</f>
        <v/>
      </c>
      <c r="M47" s="12" t="str">
        <f aca="false">IF(AE47=0,"",IF(AsOfDate&lt;AF47,"-",DATEDIF(AF47,AsOfDate,"y")&amp;"y "&amp;DATEDIF(AF47,AsOfDate,"ym")&amp;"m "&amp;DATEDIF(AF47,AsOfDate,"md")&amp;"d"))</f>
        <v/>
      </c>
      <c r="N47" s="13" t="str">
        <f aca="false">IF(AE47=0,"",O47*HoursPerDay)</f>
        <v/>
      </c>
      <c r="O47" s="13" t="str">
        <f aca="false">IF(AE47=0,"",AX47)</f>
        <v/>
      </c>
      <c r="P47" s="17"/>
      <c r="Q47" s="12"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IF(OR(AE47=0,W47=""),"",W47-U47+V47)</f>
        <v/>
      </c>
      <c r="U47" s="13" t="str">
        <f aca="false">IF(AE47=0,"",IF(NOT(LH_Ready),"",SUMIFS(INDEX(LH_Data,0,LH_ColAcc),INDEX(LH_Data,0,LH_ColFirst),$A47,INDEX(LH_Data,0,LH_ColSur),$B47,INDEX(LH_Data,0,LH_ColCat),BonusCat)*UnitFactor))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IF(AE47=0,"",X47-N(U47))</f>
        <v/>
      </c>
      <c r="Z47" s="12" t="str">
        <f aca="false">IF(AE47=0,"",IF(Y47&gt;0,"Yes","No"))</f>
        <v/>
      </c>
      <c r="AA47" s="12" t="str">
        <f aca="false">IF(AE47=0,"",IF(NOT(LH_Ready),"Paste Leave History export",IF(Y47&gt;0,"ACCRUE "&amp;TEXT(Y47,"0.##")&amp;" hrs ("&amp;TEXT(Y47/HoursPerDay,"0.##")&amp;" days)"&amp;IF(BA47=0," - no Bonus Leave line in EH yet",""),IF(Y47&lt;0,"CHECK - EH accrued "&amp;TEXT(-Y47,"0.##")&amp;" hrs more than policy",IF(AND(O47&gt;0,BA47=0),"CHECK - policy says "&amp;TEXT(N47,"0.##")&amp;" hrs to date but no Bonus Leave in EH",IF(O47&gt;0,"OK","-"))))))</f>
        <v/>
      </c>
      <c r="AB47" s="13" t="str">
        <f aca="false">IF(OR(AE47=0,T47=""),"",AY47*HoursPerDay-T47)</f>
        <v/>
      </c>
      <c r="AC47" s="12" t="str">
        <f aca="false">IF(AE47=0,"",BA47)</f>
        <v/>
      </c>
      <c r="AD47" s="12" t="str">
        <f aca="false">IF(AE47=0,"",TRIM(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IF(AE47=0,"",IF($J47&lt;&gt;"",$J47,$F47))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15"/>
      <c r="B48" s="15"/>
      <c r="C48" s="15"/>
      <c r="D48" s="16"/>
      <c r="E48" s="10" t="str">
        <f aca="false">IF(OR(AE48=0,$D48=""),"",DATE(YEAR(AsOfDate)+IF(DATE(YEAR(AsOfDate),MONTH($D48),DAY($D48))&lt;=AsOfDate,1,0),MONTH($D48),DAY($D48)))</f>
        <v/>
      </c>
      <c r="F48" s="16"/>
      <c r="G48" s="16"/>
      <c r="H48" s="16"/>
      <c r="I48" s="16"/>
      <c r="J48" s="16"/>
      <c r="K48" s="10" t="str">
        <f aca="false">IF(AE48=0,"",DATE(YEAR(AsOfDate)+IF(DATE(YEAR(AsOfDate),MONTH($F48),DAY($F48))&lt;=AsOfDate,1,0),MONTH($F48),DAY($F48)))</f>
        <v/>
      </c>
      <c r="L48" s="11" t="str">
        <f aca="false">IF(AE48=0,"",ROUND((AsOfDate-$F48)/365.25,1))</f>
        <v/>
      </c>
      <c r="M48" s="12" t="str">
        <f aca="false">IF(AE48=0,"",IF(AsOfDate&lt;AF48,"-",DATEDIF(AF48,AsOfDate,"y")&amp;"y "&amp;DATEDIF(AF48,AsOfDate,"ym")&amp;"m "&amp;DATEDIF(AF48,AsOfDate,"md")&amp;"d"))</f>
        <v/>
      </c>
      <c r="N48" s="13" t="str">
        <f aca="false">IF(AE48=0,"",O48*HoursPerDay)</f>
        <v/>
      </c>
      <c r="O48" s="13" t="str">
        <f aca="false">IF(AE48=0,"",AX48)</f>
        <v/>
      </c>
      <c r="P48" s="17"/>
      <c r="Q48" s="12"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IF(OR(AE48=0,W48=""),"",W48-U48+V48)</f>
        <v/>
      </c>
      <c r="U48" s="13" t="str">
        <f aca="false">IF(AE48=0,"",IF(NOT(LH_Ready),"",SUMIFS(INDEX(LH_Data,0,LH_ColAcc),INDEX(LH_Data,0,LH_ColFirst),$A48,INDEX(LH_Data,0,LH_ColSur),$B48,INDEX(LH_Data,0,LH_ColCat),BonusCat)*UnitFactor))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IF(AE48=0,"",X48-N(U48))</f>
        <v/>
      </c>
      <c r="Z48" s="12" t="str">
        <f aca="false">IF(AE48=0,"",IF(Y48&gt;0,"Yes","No"))</f>
        <v/>
      </c>
      <c r="AA48" s="12" t="str">
        <f aca="false">IF(AE48=0,"",IF(NOT(LH_Ready),"Paste Leave History export",IF(Y48&gt;0,"ACCRUE "&amp;TEXT(Y48,"0.##")&amp;" hrs ("&amp;TEXT(Y48/HoursPerDay,"0.##")&amp;" days)"&amp;IF(BA48=0," - no Bonus Leave line in EH yet",""),IF(Y48&lt;0,"CHECK - EH accrued "&amp;TEXT(-Y48,"0.##")&amp;" hrs more than policy",IF(AND(O48&gt;0,BA48=0),"CHECK - policy says "&amp;TEXT(N48,"0.##")&amp;" hrs to date but no Bonus Leave in EH",IF(O48&gt;0,"OK","-"))))))</f>
        <v/>
      </c>
      <c r="AB48" s="13" t="str">
        <f aca="false">IF(OR(AE48=0,T48=""),"",AY48*HoursPerDay-T48)</f>
        <v/>
      </c>
      <c r="AC48" s="12" t="str">
        <f aca="false">IF(AE48=0,"",BA48)</f>
        <v/>
      </c>
      <c r="AD48" s="12" t="str">
        <f aca="false">IF(AE48=0,"",TRIM(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IF(AE48=0,"",IF($J48&lt;&gt;"",$J48,$F48))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15"/>
      <c r="B49" s="15"/>
      <c r="C49" s="15"/>
      <c r="D49" s="16"/>
      <c r="E49" s="10" t="str">
        <f aca="false">IF(OR(AE49=0,$D49=""),"",DATE(YEAR(AsOfDate)+IF(DATE(YEAR(AsOfDate),MONTH($D49),DAY($D49))&lt;=AsOfDate,1,0),MONTH($D49),DAY($D49)))</f>
        <v/>
      </c>
      <c r="F49" s="16"/>
      <c r="G49" s="16"/>
      <c r="H49" s="16"/>
      <c r="I49" s="16"/>
      <c r="J49" s="16"/>
      <c r="K49" s="10" t="str">
        <f aca="false">IF(AE49=0,"",DATE(YEAR(AsOfDate)+IF(DATE(YEAR(AsOfDate),MONTH($F49),DAY($F49))&lt;=AsOfDate,1,0),MONTH($F49),DAY($F49)))</f>
        <v/>
      </c>
      <c r="L49" s="11" t="str">
        <f aca="false">IF(AE49=0,"",ROUND((AsOfDate-$F49)/365.25,1))</f>
        <v/>
      </c>
      <c r="M49" s="12" t="str">
        <f aca="false">IF(AE49=0,"",IF(AsOfDate&lt;AF49,"-",DATEDIF(AF49,AsOfDate,"y")&amp;"y "&amp;DATEDIF(AF49,AsOfDate,"ym")&amp;"m "&amp;DATEDIF(AF49,AsOfDate,"md")&amp;"d"))</f>
        <v/>
      </c>
      <c r="N49" s="13" t="str">
        <f aca="false">IF(AE49=0,"",O49*HoursPerDay)</f>
        <v/>
      </c>
      <c r="O49" s="13" t="str">
        <f aca="false">IF(AE49=0,"",AX49)</f>
        <v/>
      </c>
      <c r="P49" s="17"/>
      <c r="Q49" s="12"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IF(OR(AE49=0,W49=""),"",W49-U49+V49)</f>
        <v/>
      </c>
      <c r="U49" s="13" t="str">
        <f aca="false">IF(AE49=0,"",IF(NOT(LH_Ready),"",SUMIFS(INDEX(LH_Data,0,LH_ColAcc),INDEX(LH_Data,0,LH_ColFirst),$A49,INDEX(LH_Data,0,LH_ColSur),$B49,INDEX(LH_Data,0,LH_ColCat),BonusCat)*UnitFactor))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IF(AE49=0,"",X49-N(U49))</f>
        <v/>
      </c>
      <c r="Z49" s="12" t="str">
        <f aca="false">IF(AE49=0,"",IF(Y49&gt;0,"Yes","No"))</f>
        <v/>
      </c>
      <c r="AA49" s="12" t="str">
        <f aca="false">IF(AE49=0,"",IF(NOT(LH_Ready),"Paste Leave History export",IF(Y49&gt;0,"ACCRUE "&amp;TEXT(Y49,"0.##")&amp;" hrs ("&amp;TEXT(Y49/HoursPerDay,"0.##")&amp;" days)"&amp;IF(BA49=0," - no Bonus Leave line in EH yet",""),IF(Y49&lt;0,"CHECK - EH accrued "&amp;TEXT(-Y49,"0.##")&amp;" hrs more than policy",IF(AND(O49&gt;0,BA49=0),"CHECK - policy says "&amp;TEXT(N49,"0.##")&amp;" hrs to date but no Bonus Leave in EH",IF(O49&gt;0,"OK","-"))))))</f>
        <v/>
      </c>
      <c r="AB49" s="13" t="str">
        <f aca="false">IF(OR(AE49=0,T49=""),"",AY49*HoursPerDay-T49)</f>
        <v/>
      </c>
      <c r="AC49" s="12" t="str">
        <f aca="false">IF(AE49=0,"",BA49)</f>
        <v/>
      </c>
      <c r="AD49" s="12" t="str">
        <f aca="false">IF(AE49=0,"",TRIM(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IF(AE49=0,"",IF($J49&lt;&gt;"",$J49,$F49))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15"/>
      <c r="B50" s="15"/>
      <c r="C50" s="15"/>
      <c r="D50" s="16"/>
      <c r="E50" s="10" t="str">
        <f aca="false">IF(OR(AE50=0,$D50=""),"",DATE(YEAR(AsOfDate)+IF(DATE(YEAR(AsOfDate),MONTH($D50),DAY($D50))&lt;=AsOfDate,1,0),MONTH($D50),DAY($D50)))</f>
        <v/>
      </c>
      <c r="F50" s="16"/>
      <c r="G50" s="16"/>
      <c r="H50" s="16"/>
      <c r="I50" s="16"/>
      <c r="J50" s="16"/>
      <c r="K50" s="10" t="str">
        <f aca="false">IF(AE50=0,"",DATE(YEAR(AsOfDate)+IF(DATE(YEAR(AsOfDate),MONTH($F50),DAY($F50))&lt;=AsOfDate,1,0),MONTH($F50),DAY($F50)))</f>
        <v/>
      </c>
      <c r="L50" s="11" t="str">
        <f aca="false">IF(AE50=0,"",ROUND((AsOfDate-$F50)/365.25,1))</f>
        <v/>
      </c>
      <c r="M50" s="12" t="str">
        <f aca="false">IF(AE50=0,"",IF(AsOfDate&lt;AF50,"-",DATEDIF(AF50,AsOfDate,"y")&amp;"y "&amp;DATEDIF(AF50,AsOfDate,"ym")&amp;"m "&amp;DATEDIF(AF50,AsOfDate,"md")&amp;"d"))</f>
        <v/>
      </c>
      <c r="N50" s="13" t="str">
        <f aca="false">IF(AE50=0,"",O50*HoursPerDay)</f>
        <v/>
      </c>
      <c r="O50" s="13" t="str">
        <f aca="false">IF(AE50=0,"",AX50)</f>
        <v/>
      </c>
      <c r="P50" s="17"/>
      <c r="Q50" s="12"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IF(OR(AE50=0,W50=""),"",W50-U50+V50)</f>
        <v/>
      </c>
      <c r="U50" s="13" t="str">
        <f aca="false">IF(AE50=0,"",IF(NOT(LH_Ready),"",SUMIFS(INDEX(LH_Data,0,LH_ColAcc),INDEX(LH_Data,0,LH_ColFirst),$A50,INDEX(LH_Data,0,LH_ColSur),$B50,INDEX(LH_Data,0,LH_ColCat),BonusCat)*UnitFactor))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IF(AE50=0,"",X50-N(U50))</f>
        <v/>
      </c>
      <c r="Z50" s="12" t="str">
        <f aca="false">IF(AE50=0,"",IF(Y50&gt;0,"Yes","No"))</f>
        <v/>
      </c>
      <c r="AA50" s="12" t="str">
        <f aca="false">IF(AE50=0,"",IF(NOT(LH_Ready),"Paste Leave History export",IF(Y50&gt;0,"ACCRUE "&amp;TEXT(Y50,"0.##")&amp;" hrs ("&amp;TEXT(Y50/HoursPerDay,"0.##")&amp;" days)"&amp;IF(BA50=0," - no Bonus Leave line in EH yet",""),IF(Y50&lt;0,"CHECK - EH accrued "&amp;TEXT(-Y50,"0.##")&amp;" hrs more than policy",IF(AND(O50&gt;0,BA50=0),"CHECK - policy says "&amp;TEXT(N50,"0.##")&amp;" hrs to date but no Bonus Leave in EH",IF(O50&gt;0,"OK","-"))))))</f>
        <v/>
      </c>
      <c r="AB50" s="13" t="str">
        <f aca="false">IF(OR(AE50=0,T50=""),"",AY50*HoursPerDay-T50)</f>
        <v/>
      </c>
      <c r="AC50" s="12" t="str">
        <f aca="false">IF(AE50=0,"",BA50)</f>
        <v/>
      </c>
      <c r="AD50" s="12" t="str">
        <f aca="false">IF(AE50=0,"",TRIM(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IF(AE50=0,"",IF($J50&lt;&gt;"",$J50,$F50))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15"/>
      <c r="B51" s="15"/>
      <c r="C51" s="15"/>
      <c r="D51" s="16"/>
      <c r="E51" s="10" t="str">
        <f aca="false">IF(OR(AE51=0,$D51=""),"",DATE(YEAR(AsOfDate)+IF(DATE(YEAR(AsOfDate),MONTH($D51),DAY($D51))&lt;=AsOfDate,1,0),MONTH($D51),DAY($D51)))</f>
        <v/>
      </c>
      <c r="F51" s="16"/>
      <c r="G51" s="16"/>
      <c r="H51" s="16"/>
      <c r="I51" s="16"/>
      <c r="J51" s="16"/>
      <c r="K51" s="10" t="str">
        <f aca="false">IF(AE51=0,"",DATE(YEAR(AsOfDate)+IF(DATE(YEAR(AsOfDate),MONTH($F51),DAY($F51))&lt;=AsOfDate,1,0),MONTH($F51),DAY($F51)))</f>
        <v/>
      </c>
      <c r="L51" s="11" t="str">
        <f aca="false">IF(AE51=0,"",ROUND((AsOfDate-$F51)/365.25,1))</f>
        <v/>
      </c>
      <c r="M51" s="12" t="str">
        <f aca="false">IF(AE51=0,"",IF(AsOfDate&lt;AF51,"-",DATEDIF(AF51,AsOfDate,"y")&amp;"y "&amp;DATEDIF(AF51,AsOfDate,"ym")&amp;"m "&amp;DATEDIF(AF51,AsOfDate,"md")&amp;"d"))</f>
        <v/>
      </c>
      <c r="N51" s="13" t="str">
        <f aca="false">IF(AE51=0,"",O51*HoursPerDay)</f>
        <v/>
      </c>
      <c r="O51" s="13" t="str">
        <f aca="false">IF(AE51=0,"",AX51)</f>
        <v/>
      </c>
      <c r="P51" s="17"/>
      <c r="Q51" s="12"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IF(OR(AE51=0,W51=""),"",W51-U51+V51)</f>
        <v/>
      </c>
      <c r="U51" s="13" t="str">
        <f aca="false">IF(AE51=0,"",IF(NOT(LH_Ready),"",SUMIFS(INDEX(LH_Data,0,LH_ColAcc),INDEX(LH_Data,0,LH_ColFirst),$A51,INDEX(LH_Data,0,LH_ColSur),$B51,INDEX(LH_Data,0,LH_ColCat),BonusCat)*UnitFactor))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IF(AE51=0,"",X51-N(U51))</f>
        <v/>
      </c>
      <c r="Z51" s="12" t="str">
        <f aca="false">IF(AE51=0,"",IF(Y51&gt;0,"Yes","No"))</f>
        <v/>
      </c>
      <c r="AA51" s="12" t="str">
        <f aca="false">IF(AE51=0,"",IF(NOT(LH_Ready),"Paste Leave History export",IF(Y51&gt;0,"ACCRUE "&amp;TEXT(Y51,"0.##")&amp;" hrs ("&amp;TEXT(Y51/HoursPerDay,"0.##")&amp;" days)"&amp;IF(BA51=0," - no Bonus Leave line in EH yet",""),IF(Y51&lt;0,"CHECK - EH accrued "&amp;TEXT(-Y51,"0.##")&amp;" hrs more than policy",IF(AND(O51&gt;0,BA51=0),"CHECK - policy says "&amp;TEXT(N51,"0.##")&amp;" hrs to date but no Bonus Leave in EH",IF(O51&gt;0,"OK","-"))))))</f>
        <v/>
      </c>
      <c r="AB51" s="13" t="str">
        <f aca="false">IF(OR(AE51=0,T51=""),"",AY51*HoursPerDay-T51)</f>
        <v/>
      </c>
      <c r="AC51" s="12" t="str">
        <f aca="false">IF(AE51=0,"",BA51)</f>
        <v/>
      </c>
      <c r="AD51" s="12" t="str">
        <f aca="false">IF(AE51=0,"",TRIM(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IF(AE51=0,"",IF($J51&lt;&gt;"",$J51,$F51))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15"/>
      <c r="B52" s="15"/>
      <c r="C52" s="15"/>
      <c r="D52" s="16"/>
      <c r="E52" s="10" t="str">
        <f aca="false">IF(OR(AE52=0,$D52=""),"",DATE(YEAR(AsOfDate)+IF(DATE(YEAR(AsOfDate),MONTH($D52),DAY($D52))&lt;=AsOfDate,1,0),MONTH($D52),DAY($D52)))</f>
        <v/>
      </c>
      <c r="F52" s="16"/>
      <c r="G52" s="16"/>
      <c r="H52" s="16"/>
      <c r="I52" s="16"/>
      <c r="J52" s="16"/>
      <c r="K52" s="10" t="str">
        <f aca="false">IF(AE52=0,"",DATE(YEAR(AsOfDate)+IF(DATE(YEAR(AsOfDate),MONTH($F52),DAY($F52))&lt;=AsOfDate,1,0),MONTH($F52),DAY($F52)))</f>
        <v/>
      </c>
      <c r="L52" s="11" t="str">
        <f aca="false">IF(AE52=0,"",ROUND((AsOfDate-$F52)/365.25,1))</f>
        <v/>
      </c>
      <c r="M52" s="12" t="str">
        <f aca="false">IF(AE52=0,"",IF(AsOfDate&lt;AF52,"-",DATEDIF(AF52,AsOfDate,"y")&amp;"y "&amp;DATEDIF(AF52,AsOfDate,"ym")&amp;"m "&amp;DATEDIF(AF52,AsOfDate,"md")&amp;"d"))</f>
        <v/>
      </c>
      <c r="N52" s="13" t="str">
        <f aca="false">IF(AE52=0,"",O52*HoursPerDay)</f>
        <v/>
      </c>
      <c r="O52" s="13" t="str">
        <f aca="false">IF(AE52=0,"",AX52)</f>
        <v/>
      </c>
      <c r="P52" s="17"/>
      <c r="Q52" s="12"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IF(OR(AE52=0,W52=""),"",W52-U52+V52)</f>
        <v/>
      </c>
      <c r="U52" s="13" t="str">
        <f aca="false">IF(AE52=0,"",IF(NOT(LH_Ready),"",SUMIFS(INDEX(LH_Data,0,LH_ColAcc),INDEX(LH_Data,0,LH_ColFirst),$A52,INDEX(LH_Data,0,LH_ColSur),$B52,INDEX(LH_Data,0,LH_ColCat),BonusCat)*UnitFactor))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IF(AE52=0,"",X52-N(U52))</f>
        <v/>
      </c>
      <c r="Z52" s="12" t="str">
        <f aca="false">IF(AE52=0,"",IF(Y52&gt;0,"Yes","No"))</f>
        <v/>
      </c>
      <c r="AA52" s="12" t="str">
        <f aca="false">IF(AE52=0,"",IF(NOT(LH_Ready),"Paste Leave History export",IF(Y52&gt;0,"ACCRUE "&amp;TEXT(Y52,"0.##")&amp;" hrs ("&amp;TEXT(Y52/HoursPerDay,"0.##")&amp;" days)"&amp;IF(BA52=0," - no Bonus Leave line in EH yet",""),IF(Y52&lt;0,"CHECK - EH accrued "&amp;TEXT(-Y52,"0.##")&amp;" hrs more than policy",IF(AND(O52&gt;0,BA52=0),"CHECK - policy says "&amp;TEXT(N52,"0.##")&amp;" hrs to date but no Bonus Leave in EH",IF(O52&gt;0,"OK","-"))))))</f>
        <v/>
      </c>
      <c r="AB52" s="13" t="str">
        <f aca="false">IF(OR(AE52=0,T52=""),"",AY52*HoursPerDay-T52)</f>
        <v/>
      </c>
      <c r="AC52" s="12" t="str">
        <f aca="false">IF(AE52=0,"",BA52)</f>
        <v/>
      </c>
      <c r="AD52" s="12" t="str">
        <f aca="false">IF(AE52=0,"",TRIM(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IF(AE52=0,"",IF($J52&lt;&gt;"",$J52,$F52))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15"/>
      <c r="B53" s="15"/>
      <c r="C53" s="15"/>
      <c r="D53" s="16"/>
      <c r="E53" s="10" t="str">
        <f aca="false">IF(OR(AE53=0,$D53=""),"",DATE(YEAR(AsOfDate)+IF(DATE(YEAR(AsOfDate),MONTH($D53),DAY($D53))&lt;=AsOfDate,1,0),MONTH($D53),DAY($D53)))</f>
        <v/>
      </c>
      <c r="F53" s="16"/>
      <c r="G53" s="16"/>
      <c r="H53" s="16"/>
      <c r="I53" s="16"/>
      <c r="J53" s="16"/>
      <c r="K53" s="10" t="str">
        <f aca="false">IF(AE53=0,"",DATE(YEAR(AsOfDate)+IF(DATE(YEAR(AsOfDate),MONTH($F53),DAY($F53))&lt;=AsOfDate,1,0),MONTH($F53),DAY($F53)))</f>
        <v/>
      </c>
      <c r="L53" s="11" t="str">
        <f aca="false">IF(AE53=0,"",ROUND((AsOfDate-$F53)/365.25,1))</f>
        <v/>
      </c>
      <c r="M53" s="12" t="str">
        <f aca="false">IF(AE53=0,"",IF(AsOfDate&lt;AF53,"-",DATEDIF(AF53,AsOfDate,"y")&amp;"y "&amp;DATEDIF(AF53,AsOfDate,"ym")&amp;"m "&amp;DATEDIF(AF53,AsOfDate,"md")&amp;"d"))</f>
        <v/>
      </c>
      <c r="N53" s="13" t="str">
        <f aca="false">IF(AE53=0,"",O53*HoursPerDay)</f>
        <v/>
      </c>
      <c r="O53" s="13" t="str">
        <f aca="false">IF(AE53=0,"",AX53)</f>
        <v/>
      </c>
      <c r="P53" s="17"/>
      <c r="Q53" s="12"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IF(OR(AE53=0,W53=""),"",W53-U53+V53)</f>
        <v/>
      </c>
      <c r="U53" s="13" t="str">
        <f aca="false">IF(AE53=0,"",IF(NOT(LH_Ready),"",SUMIFS(INDEX(LH_Data,0,LH_ColAcc),INDEX(LH_Data,0,LH_ColFirst),$A53,INDEX(LH_Data,0,LH_ColSur),$B53,INDEX(LH_Data,0,LH_ColCat),BonusCat)*UnitFactor))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IF(AE53=0,"",X53-N(U53))</f>
        <v/>
      </c>
      <c r="Z53" s="12" t="str">
        <f aca="false">IF(AE53=0,"",IF(Y53&gt;0,"Yes","No"))</f>
        <v/>
      </c>
      <c r="AA53" s="12" t="str">
        <f aca="false">IF(AE53=0,"",IF(NOT(LH_Ready),"Paste Leave History export",IF(Y53&gt;0,"ACCRUE "&amp;TEXT(Y53,"0.##")&amp;" hrs ("&amp;TEXT(Y53/HoursPerDay,"0.##")&amp;" days)"&amp;IF(BA53=0," - no Bonus Leave line in EH yet",""),IF(Y53&lt;0,"CHECK - EH accrued "&amp;TEXT(-Y53,"0.##")&amp;" hrs more than policy",IF(AND(O53&gt;0,BA53=0),"CHECK - policy says "&amp;TEXT(N53,"0.##")&amp;" hrs to date but no Bonus Leave in EH",IF(O53&gt;0,"OK","-"))))))</f>
        <v/>
      </c>
      <c r="AB53" s="13" t="str">
        <f aca="false">IF(OR(AE53=0,T53=""),"",AY53*HoursPerDay-T53)</f>
        <v/>
      </c>
      <c r="AC53" s="12" t="str">
        <f aca="false">IF(AE53=0,"",BA53)</f>
        <v/>
      </c>
      <c r="AD53" s="12" t="str">
        <f aca="false">IF(AE53=0,"",TRIM(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IF(AE53=0,"",IF($J53&lt;&gt;"",$J53,$F53))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15"/>
      <c r="B54" s="15"/>
      <c r="C54" s="15"/>
      <c r="D54" s="16"/>
      <c r="E54" s="10" t="str">
        <f aca="false">IF(OR(AE54=0,$D54=""),"",DATE(YEAR(AsOfDate)+IF(DATE(YEAR(AsOfDate),MONTH($D54),DAY($D54))&lt;=AsOfDate,1,0),MONTH($D54),DAY($D54)))</f>
        <v/>
      </c>
      <c r="F54" s="16"/>
      <c r="G54" s="16"/>
      <c r="H54" s="16"/>
      <c r="I54" s="16"/>
      <c r="J54" s="16"/>
      <c r="K54" s="10" t="str">
        <f aca="false">IF(AE54=0,"",DATE(YEAR(AsOfDate)+IF(DATE(YEAR(AsOfDate),MONTH($F54),DAY($F54))&lt;=AsOfDate,1,0),MONTH($F54),DAY($F54)))</f>
        <v/>
      </c>
      <c r="L54" s="11" t="str">
        <f aca="false">IF(AE54=0,"",ROUND((AsOfDate-$F54)/365.25,1))</f>
        <v/>
      </c>
      <c r="M54" s="12" t="str">
        <f aca="false">IF(AE54=0,"",IF(AsOfDate&lt;AF54,"-",DATEDIF(AF54,AsOfDate,"y")&amp;"y "&amp;DATEDIF(AF54,AsOfDate,"ym")&amp;"m "&amp;DATEDIF(AF54,AsOfDate,"md")&amp;"d"))</f>
        <v/>
      </c>
      <c r="N54" s="13" t="str">
        <f aca="false">IF(AE54=0,"",O54*HoursPerDay)</f>
        <v/>
      </c>
      <c r="O54" s="13" t="str">
        <f aca="false">IF(AE54=0,"",AX54)</f>
        <v/>
      </c>
      <c r="P54" s="17"/>
      <c r="Q54" s="12"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IF(OR(AE54=0,W54=""),"",W54-U54+V54)</f>
        <v/>
      </c>
      <c r="U54" s="13" t="str">
        <f aca="false">IF(AE54=0,"",IF(NOT(LH_Ready),"",SUMIFS(INDEX(LH_Data,0,LH_ColAcc),INDEX(LH_Data,0,LH_ColFirst),$A54,INDEX(LH_Data,0,LH_ColSur),$B54,INDEX(LH_Data,0,LH_ColCat),BonusCat)*UnitFactor))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IF(AE54=0,"",X54-N(U54))</f>
        <v/>
      </c>
      <c r="Z54" s="12" t="str">
        <f aca="false">IF(AE54=0,"",IF(Y54&gt;0,"Yes","No"))</f>
        <v/>
      </c>
      <c r="AA54" s="12" t="str">
        <f aca="false">IF(AE54=0,"",IF(NOT(LH_Ready),"Paste Leave History export",IF(Y54&gt;0,"ACCRUE "&amp;TEXT(Y54,"0.##")&amp;" hrs ("&amp;TEXT(Y54/HoursPerDay,"0.##")&amp;" days)"&amp;IF(BA54=0," - no Bonus Leave line in EH yet",""),IF(Y54&lt;0,"CHECK - EH accrued "&amp;TEXT(-Y54,"0.##")&amp;" hrs more than policy",IF(AND(O54&gt;0,BA54=0),"CHECK - policy says "&amp;TEXT(N54,"0.##")&amp;" hrs to date but no Bonus Leave in EH",IF(O54&gt;0,"OK","-"))))))</f>
        <v/>
      </c>
      <c r="AB54" s="13" t="str">
        <f aca="false">IF(OR(AE54=0,T54=""),"",AY54*HoursPerDay-T54)</f>
        <v/>
      </c>
      <c r="AC54" s="12" t="str">
        <f aca="false">IF(AE54=0,"",BA54)</f>
        <v/>
      </c>
      <c r="AD54" s="12" t="str">
        <f aca="false">IF(AE54=0,"",TRIM(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IF(AE54=0,"",IF($J54&lt;&gt;"",$J54,$F54))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15"/>
      <c r="B55" s="15"/>
      <c r="C55" s="15"/>
      <c r="D55" s="16"/>
      <c r="E55" s="10" t="str">
        <f aca="false">IF(OR(AE55=0,$D55=""),"",DATE(YEAR(AsOfDate)+IF(DATE(YEAR(AsOfDate),MONTH($D55),DAY($D55))&lt;=AsOfDate,1,0),MONTH($D55),DAY($D55)))</f>
        <v/>
      </c>
      <c r="F55" s="16"/>
      <c r="G55" s="16"/>
      <c r="H55" s="16"/>
      <c r="I55" s="16"/>
      <c r="J55" s="16"/>
      <c r="K55" s="10" t="str">
        <f aca="false">IF(AE55=0,"",DATE(YEAR(AsOfDate)+IF(DATE(YEAR(AsOfDate),MONTH($F55),DAY($F55))&lt;=AsOfDate,1,0),MONTH($F55),DAY($F55)))</f>
        <v/>
      </c>
      <c r="L55" s="11" t="str">
        <f aca="false">IF(AE55=0,"",ROUND((AsOfDate-$F55)/365.25,1))</f>
        <v/>
      </c>
      <c r="M55" s="12" t="str">
        <f aca="false">IF(AE55=0,"",IF(AsOfDate&lt;AF55,"-",DATEDIF(AF55,AsOfDate,"y")&amp;"y "&amp;DATEDIF(AF55,AsOfDate,"ym")&amp;"m "&amp;DATEDIF(AF55,AsOfDate,"md")&amp;"d"))</f>
        <v/>
      </c>
      <c r="N55" s="13" t="str">
        <f aca="false">IF(AE55=0,"",O55*HoursPerDay)</f>
        <v/>
      </c>
      <c r="O55" s="13" t="str">
        <f aca="false">IF(AE55=0,"",AX55)</f>
        <v/>
      </c>
      <c r="P55" s="17"/>
      <c r="Q55" s="12"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IF(OR(AE55=0,W55=""),"",W55-U55+V55)</f>
        <v/>
      </c>
      <c r="U55" s="13" t="str">
        <f aca="false">IF(AE55=0,"",IF(NOT(LH_Ready),"",SUMIFS(INDEX(LH_Data,0,LH_ColAcc),INDEX(LH_Data,0,LH_ColFirst),$A55,INDEX(LH_Data,0,LH_ColSur),$B55,INDEX(LH_Data,0,LH_ColCat),BonusCat)*UnitFactor))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IF(AE55=0,"",X55-N(U55))</f>
        <v/>
      </c>
      <c r="Z55" s="12" t="str">
        <f aca="false">IF(AE55=0,"",IF(Y55&gt;0,"Yes","No"))</f>
        <v/>
      </c>
      <c r="AA55" s="12" t="str">
        <f aca="false">IF(AE55=0,"",IF(NOT(LH_Ready),"Paste Leave History export",IF(Y55&gt;0,"ACCRUE "&amp;TEXT(Y55,"0.##")&amp;" hrs ("&amp;TEXT(Y55/HoursPerDay,"0.##")&amp;" days)"&amp;IF(BA55=0," - no Bonus Leave line in EH yet",""),IF(Y55&lt;0,"CHECK - EH accrued "&amp;TEXT(-Y55,"0.##")&amp;" hrs more than policy",IF(AND(O55&gt;0,BA55=0),"CHECK - policy says "&amp;TEXT(N55,"0.##")&amp;" hrs to date but no Bonus Leave in EH",IF(O55&gt;0,"OK","-"))))))</f>
        <v/>
      </c>
      <c r="AB55" s="13" t="str">
        <f aca="false">IF(OR(AE55=0,T55=""),"",AY55*HoursPerDay-T55)</f>
        <v/>
      </c>
      <c r="AC55" s="12" t="str">
        <f aca="false">IF(AE55=0,"",BA55)</f>
        <v/>
      </c>
      <c r="AD55" s="12" t="str">
        <f aca="false">IF(AE55=0,"",TRIM(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IF(AE55=0,"",IF($J55&lt;&gt;"",$J55,$F55))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15"/>
      <c r="B56" s="15"/>
      <c r="C56" s="15"/>
      <c r="D56" s="16"/>
      <c r="E56" s="10" t="str">
        <f aca="false">IF(OR(AE56=0,$D56=""),"",DATE(YEAR(AsOfDate)+IF(DATE(YEAR(AsOfDate),MONTH($D56),DAY($D56))&lt;=AsOfDate,1,0),MONTH($D56),DAY($D56)))</f>
        <v/>
      </c>
      <c r="F56" s="16"/>
      <c r="G56" s="16"/>
      <c r="H56" s="16"/>
      <c r="I56" s="16"/>
      <c r="J56" s="16"/>
      <c r="K56" s="10" t="str">
        <f aca="false">IF(AE56=0,"",DATE(YEAR(AsOfDate)+IF(DATE(YEAR(AsOfDate),MONTH($F56),DAY($F56))&lt;=AsOfDate,1,0),MONTH($F56),DAY($F56)))</f>
        <v/>
      </c>
      <c r="L56" s="11" t="str">
        <f aca="false">IF(AE56=0,"",ROUND((AsOfDate-$F56)/365.25,1))</f>
        <v/>
      </c>
      <c r="M56" s="12" t="str">
        <f aca="false">IF(AE56=0,"",IF(AsOfDate&lt;AF56,"-",DATEDIF(AF56,AsOfDate,"y")&amp;"y "&amp;DATEDIF(AF56,AsOfDate,"ym")&amp;"m "&amp;DATEDIF(AF56,AsOfDate,"md")&amp;"d"))</f>
        <v/>
      </c>
      <c r="N56" s="13" t="str">
        <f aca="false">IF(AE56=0,"",O56*HoursPerDay)</f>
        <v/>
      </c>
      <c r="O56" s="13" t="str">
        <f aca="false">IF(AE56=0,"",AX56)</f>
        <v/>
      </c>
      <c r="P56" s="17"/>
      <c r="Q56" s="12"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IF(OR(AE56=0,W56=""),"",W56-U56+V56)</f>
        <v/>
      </c>
      <c r="U56" s="13" t="str">
        <f aca="false">IF(AE56=0,"",IF(NOT(LH_Ready),"",SUMIFS(INDEX(LH_Data,0,LH_ColAcc),INDEX(LH_Data,0,LH_ColFirst),$A56,INDEX(LH_Data,0,LH_ColSur),$B56,INDEX(LH_Data,0,LH_ColCat),BonusCat)*UnitFactor))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IF(AE56=0,"",X56-N(U56))</f>
        <v/>
      </c>
      <c r="Z56" s="12" t="str">
        <f aca="false">IF(AE56=0,"",IF(Y56&gt;0,"Yes","No"))</f>
        <v/>
      </c>
      <c r="AA56" s="12" t="str">
        <f aca="false">IF(AE56=0,"",IF(NOT(LH_Ready),"Paste Leave History export",IF(Y56&gt;0,"ACCRUE "&amp;TEXT(Y56,"0.##")&amp;" hrs ("&amp;TEXT(Y56/HoursPerDay,"0.##")&amp;" days)"&amp;IF(BA56=0," - no Bonus Leave line in EH yet",""),IF(Y56&lt;0,"CHECK - EH accrued "&amp;TEXT(-Y56,"0.##")&amp;" hrs more than policy",IF(AND(O56&gt;0,BA56=0),"CHECK - policy says "&amp;TEXT(N56,"0.##")&amp;" hrs to date but no Bonus Leave in EH",IF(O56&gt;0,"OK","-"))))))</f>
        <v/>
      </c>
      <c r="AB56" s="13" t="str">
        <f aca="false">IF(OR(AE56=0,T56=""),"",AY56*HoursPerDay-T56)</f>
        <v/>
      </c>
      <c r="AC56" s="12" t="str">
        <f aca="false">IF(AE56=0,"",BA56)</f>
        <v/>
      </c>
      <c r="AD56" s="12" t="str">
        <f aca="false">IF(AE56=0,"",TRIM(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IF(AE56=0,"",IF($J56&lt;&gt;"",$J56,$F56))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15"/>
      <c r="B57" s="15"/>
      <c r="C57" s="15"/>
      <c r="D57" s="16"/>
      <c r="E57" s="10" t="str">
        <f aca="false">IF(OR(AE57=0,$D57=""),"",DATE(YEAR(AsOfDate)+IF(DATE(YEAR(AsOfDate),MONTH($D57),DAY($D57))&lt;=AsOfDate,1,0),MONTH($D57),DAY($D57)))</f>
        <v/>
      </c>
      <c r="F57" s="16"/>
      <c r="G57" s="16"/>
      <c r="H57" s="16"/>
      <c r="I57" s="16"/>
      <c r="J57" s="16"/>
      <c r="K57" s="10" t="str">
        <f aca="false">IF(AE57=0,"",DATE(YEAR(AsOfDate)+IF(DATE(YEAR(AsOfDate),MONTH($F57),DAY($F57))&lt;=AsOfDate,1,0),MONTH($F57),DAY($F57)))</f>
        <v/>
      </c>
      <c r="L57" s="11" t="str">
        <f aca="false">IF(AE57=0,"",ROUND((AsOfDate-$F57)/365.25,1))</f>
        <v/>
      </c>
      <c r="M57" s="12" t="str">
        <f aca="false">IF(AE57=0,"",IF(AsOfDate&lt;AF57,"-",DATEDIF(AF57,AsOfDate,"y")&amp;"y "&amp;DATEDIF(AF57,AsOfDate,"ym")&amp;"m "&amp;DATEDIF(AF57,AsOfDate,"md")&amp;"d"))</f>
        <v/>
      </c>
      <c r="N57" s="13" t="str">
        <f aca="false">IF(AE57=0,"",O57*HoursPerDay)</f>
        <v/>
      </c>
      <c r="O57" s="13" t="str">
        <f aca="false">IF(AE57=0,"",AX57)</f>
        <v/>
      </c>
      <c r="P57" s="17"/>
      <c r="Q57" s="12"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IF(OR(AE57=0,W57=""),"",W57-U57+V57)</f>
        <v/>
      </c>
      <c r="U57" s="13" t="str">
        <f aca="false">IF(AE57=0,"",IF(NOT(LH_Ready),"",SUMIFS(INDEX(LH_Data,0,LH_ColAcc),INDEX(LH_Data,0,LH_ColFirst),$A57,INDEX(LH_Data,0,LH_ColSur),$B57,INDEX(LH_Data,0,LH_ColCat),BonusCat)*UnitFactor))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IF(AE57=0,"",X57-N(U57))</f>
        <v/>
      </c>
      <c r="Z57" s="12" t="str">
        <f aca="false">IF(AE57=0,"",IF(Y57&gt;0,"Yes","No"))</f>
        <v/>
      </c>
      <c r="AA57" s="12" t="str">
        <f aca="false">IF(AE57=0,"",IF(NOT(LH_Ready),"Paste Leave History export",IF(Y57&gt;0,"ACCRUE "&amp;TEXT(Y57,"0.##")&amp;" hrs ("&amp;TEXT(Y57/HoursPerDay,"0.##")&amp;" days)"&amp;IF(BA57=0," - no Bonus Leave line in EH yet",""),IF(Y57&lt;0,"CHECK - EH accrued "&amp;TEXT(-Y57,"0.##")&amp;" hrs more than policy",IF(AND(O57&gt;0,BA57=0),"CHECK - policy says "&amp;TEXT(N57,"0.##")&amp;" hrs to date but no Bonus Leave in EH",IF(O57&gt;0,"OK","-"))))))</f>
        <v/>
      </c>
      <c r="AB57" s="13" t="str">
        <f aca="false">IF(OR(AE57=0,T57=""),"",AY57*HoursPerDay-T57)</f>
        <v/>
      </c>
      <c r="AC57" s="12" t="str">
        <f aca="false">IF(AE57=0,"",BA57)</f>
        <v/>
      </c>
      <c r="AD57" s="12" t="str">
        <f aca="false">IF(AE57=0,"",TRIM(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IF(AE57=0,"",IF($J57&lt;&gt;"",$J57,$F57))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15"/>
      <c r="B58" s="15"/>
      <c r="C58" s="15"/>
      <c r="D58" s="16"/>
      <c r="E58" s="10" t="str">
        <f aca="false">IF(OR(AE58=0,$D58=""),"",DATE(YEAR(AsOfDate)+IF(DATE(YEAR(AsOfDate),MONTH($D58),DAY($D58))&lt;=AsOfDate,1,0),MONTH($D58),DAY($D58)))</f>
        <v/>
      </c>
      <c r="F58" s="16"/>
      <c r="G58" s="16"/>
      <c r="H58" s="16"/>
      <c r="I58" s="16"/>
      <c r="J58" s="16"/>
      <c r="K58" s="10" t="str">
        <f aca="false">IF(AE58=0,"",DATE(YEAR(AsOfDate)+IF(DATE(YEAR(AsOfDate),MONTH($F58),DAY($F58))&lt;=AsOfDate,1,0),MONTH($F58),DAY($F58)))</f>
        <v/>
      </c>
      <c r="L58" s="11" t="str">
        <f aca="false">IF(AE58=0,"",ROUND((AsOfDate-$F58)/365.25,1))</f>
        <v/>
      </c>
      <c r="M58" s="12" t="str">
        <f aca="false">IF(AE58=0,"",IF(AsOfDate&lt;AF58,"-",DATEDIF(AF58,AsOfDate,"y")&amp;"y "&amp;DATEDIF(AF58,AsOfDate,"ym")&amp;"m "&amp;DATEDIF(AF58,AsOfDate,"md")&amp;"d"))</f>
        <v/>
      </c>
      <c r="N58" s="13" t="str">
        <f aca="false">IF(AE58=0,"",O58*HoursPerDay)</f>
        <v/>
      </c>
      <c r="O58" s="13" t="str">
        <f aca="false">IF(AE58=0,"",AX58)</f>
        <v/>
      </c>
      <c r="P58" s="17"/>
      <c r="Q58" s="12"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IF(OR(AE58=0,W58=""),"",W58-U58+V58)</f>
        <v/>
      </c>
      <c r="U58" s="13" t="str">
        <f aca="false">IF(AE58=0,"",IF(NOT(LH_Ready),"",SUMIFS(INDEX(LH_Data,0,LH_ColAcc),INDEX(LH_Data,0,LH_ColFirst),$A58,INDEX(LH_Data,0,LH_ColSur),$B58,INDEX(LH_Data,0,LH_ColCat),BonusCat)*UnitFactor))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IF(AE58=0,"",X58-N(U58))</f>
        <v/>
      </c>
      <c r="Z58" s="12" t="str">
        <f aca="false">IF(AE58=0,"",IF(Y58&gt;0,"Yes","No"))</f>
        <v/>
      </c>
      <c r="AA58" s="12" t="str">
        <f aca="false">IF(AE58=0,"",IF(NOT(LH_Ready),"Paste Leave History export",IF(Y58&gt;0,"ACCRUE "&amp;TEXT(Y58,"0.##")&amp;" hrs ("&amp;TEXT(Y58/HoursPerDay,"0.##")&amp;" days)"&amp;IF(BA58=0," - no Bonus Leave line in EH yet",""),IF(Y58&lt;0,"CHECK - EH accrued "&amp;TEXT(-Y58,"0.##")&amp;" hrs more than policy",IF(AND(O58&gt;0,BA58=0),"CHECK - policy says "&amp;TEXT(N58,"0.##")&amp;" hrs to date but no Bonus Leave in EH",IF(O58&gt;0,"OK","-"))))))</f>
        <v/>
      </c>
      <c r="AB58" s="13" t="str">
        <f aca="false">IF(OR(AE58=0,T58=""),"",AY58*HoursPerDay-T58)</f>
        <v/>
      </c>
      <c r="AC58" s="12" t="str">
        <f aca="false">IF(AE58=0,"",BA58)</f>
        <v/>
      </c>
      <c r="AD58" s="12" t="str">
        <f aca="false">IF(AE58=0,"",TRIM(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IF(AE58=0,"",IF($J58&lt;&gt;"",$J58,$F58))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15"/>
      <c r="B59" s="15"/>
      <c r="C59" s="15"/>
      <c r="D59" s="16"/>
      <c r="E59" s="10" t="str">
        <f aca="false">IF(OR(AE59=0,$D59=""),"",DATE(YEAR(AsOfDate)+IF(DATE(YEAR(AsOfDate),MONTH($D59),DAY($D59))&lt;=AsOfDate,1,0),MONTH($D59),DAY($D59)))</f>
        <v/>
      </c>
      <c r="F59" s="16"/>
      <c r="G59" s="16"/>
      <c r="H59" s="16"/>
      <c r="I59" s="16"/>
      <c r="J59" s="16"/>
      <c r="K59" s="10" t="str">
        <f aca="false">IF(AE59=0,"",DATE(YEAR(AsOfDate)+IF(DATE(YEAR(AsOfDate),MONTH($F59),DAY($F59))&lt;=AsOfDate,1,0),MONTH($F59),DAY($F59)))</f>
        <v/>
      </c>
      <c r="L59" s="11" t="str">
        <f aca="false">IF(AE59=0,"",ROUND((AsOfDate-$F59)/365.25,1))</f>
        <v/>
      </c>
      <c r="M59" s="12" t="str">
        <f aca="false">IF(AE59=0,"",IF(AsOfDate&lt;AF59,"-",DATEDIF(AF59,AsOfDate,"y")&amp;"y "&amp;DATEDIF(AF59,AsOfDate,"ym")&amp;"m "&amp;DATEDIF(AF59,AsOfDate,"md")&amp;"d"))</f>
        <v/>
      </c>
      <c r="N59" s="13" t="str">
        <f aca="false">IF(AE59=0,"",O59*HoursPerDay)</f>
        <v/>
      </c>
      <c r="O59" s="13" t="str">
        <f aca="false">IF(AE59=0,"",AX59)</f>
        <v/>
      </c>
      <c r="P59" s="17"/>
      <c r="Q59" s="12"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IF(OR(AE59=0,W59=""),"",W59-U59+V59)</f>
        <v/>
      </c>
      <c r="U59" s="13" t="str">
        <f aca="false">IF(AE59=0,"",IF(NOT(LH_Ready),"",SUMIFS(INDEX(LH_Data,0,LH_ColAcc),INDEX(LH_Data,0,LH_ColFirst),$A59,INDEX(LH_Data,0,LH_ColSur),$B59,INDEX(LH_Data,0,LH_ColCat),BonusCat)*UnitFactor))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IF(AE59=0,"",X59-N(U59))</f>
        <v/>
      </c>
      <c r="Z59" s="12" t="str">
        <f aca="false">IF(AE59=0,"",IF(Y59&gt;0,"Yes","No"))</f>
        <v/>
      </c>
      <c r="AA59" s="12" t="str">
        <f aca="false">IF(AE59=0,"",IF(NOT(LH_Ready),"Paste Leave History export",IF(Y59&gt;0,"ACCRUE "&amp;TEXT(Y59,"0.##")&amp;" hrs ("&amp;TEXT(Y59/HoursPerDay,"0.##")&amp;" days)"&amp;IF(BA59=0," - no Bonus Leave line in EH yet",""),IF(Y59&lt;0,"CHECK - EH accrued "&amp;TEXT(-Y59,"0.##")&amp;" hrs more than policy",IF(AND(O59&gt;0,BA59=0),"CHECK - policy says "&amp;TEXT(N59,"0.##")&amp;" hrs to date but no Bonus Leave in EH",IF(O59&gt;0,"OK","-"))))))</f>
        <v/>
      </c>
      <c r="AB59" s="13" t="str">
        <f aca="false">IF(OR(AE59=0,T59=""),"",AY59*HoursPerDay-T59)</f>
        <v/>
      </c>
      <c r="AC59" s="12" t="str">
        <f aca="false">IF(AE59=0,"",BA59)</f>
        <v/>
      </c>
      <c r="AD59" s="12" t="str">
        <f aca="false">IF(AE59=0,"",TRIM(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IF(AE59=0,"",IF($J59&lt;&gt;"",$J59,$F59))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15"/>
      <c r="B60" s="15"/>
      <c r="C60" s="15"/>
      <c r="D60" s="16"/>
      <c r="E60" s="10" t="str">
        <f aca="false">IF(OR(AE60=0,$D60=""),"",DATE(YEAR(AsOfDate)+IF(DATE(YEAR(AsOfDate),MONTH($D60),DAY($D60))&lt;=AsOfDate,1,0),MONTH($D60),DAY($D60)))</f>
        <v/>
      </c>
      <c r="F60" s="16"/>
      <c r="G60" s="16"/>
      <c r="H60" s="16"/>
      <c r="I60" s="16"/>
      <c r="J60" s="16"/>
      <c r="K60" s="10" t="str">
        <f aca="false">IF(AE60=0,"",DATE(YEAR(AsOfDate)+IF(DATE(YEAR(AsOfDate),MONTH($F60),DAY($F60))&lt;=AsOfDate,1,0),MONTH($F60),DAY($F60)))</f>
        <v/>
      </c>
      <c r="L60" s="11" t="str">
        <f aca="false">IF(AE60=0,"",ROUND((AsOfDate-$F60)/365.25,1))</f>
        <v/>
      </c>
      <c r="M60" s="12" t="str">
        <f aca="false">IF(AE60=0,"",IF(AsOfDate&lt;AF60,"-",DATEDIF(AF60,AsOfDate,"y")&amp;"y "&amp;DATEDIF(AF60,AsOfDate,"ym")&amp;"m "&amp;DATEDIF(AF60,AsOfDate,"md")&amp;"d"))</f>
        <v/>
      </c>
      <c r="N60" s="13" t="str">
        <f aca="false">IF(AE60=0,"",O60*HoursPerDay)</f>
        <v/>
      </c>
      <c r="O60" s="13" t="str">
        <f aca="false">IF(AE60=0,"",AX60)</f>
        <v/>
      </c>
      <c r="P60" s="17"/>
      <c r="Q60" s="12"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IF(OR(AE60=0,W60=""),"",W60-U60+V60)</f>
        <v/>
      </c>
      <c r="U60" s="13" t="str">
        <f aca="false">IF(AE60=0,"",IF(NOT(LH_Ready),"",SUMIFS(INDEX(LH_Data,0,LH_ColAcc),INDEX(LH_Data,0,LH_ColFirst),$A60,INDEX(LH_Data,0,LH_ColSur),$B60,INDEX(LH_Data,0,LH_ColCat),BonusCat)*UnitFactor))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IF(AE60=0,"",X60-N(U60))</f>
        <v/>
      </c>
      <c r="Z60" s="12" t="str">
        <f aca="false">IF(AE60=0,"",IF(Y60&gt;0,"Yes","No"))</f>
        <v/>
      </c>
      <c r="AA60" s="12" t="str">
        <f aca="false">IF(AE60=0,"",IF(NOT(LH_Ready),"Paste Leave History export",IF(Y60&gt;0,"ACCRUE "&amp;TEXT(Y60,"0.##")&amp;" hrs ("&amp;TEXT(Y60/HoursPerDay,"0.##")&amp;" days)"&amp;IF(BA60=0," - no Bonus Leave line in EH yet",""),IF(Y60&lt;0,"CHECK - EH accrued "&amp;TEXT(-Y60,"0.##")&amp;" hrs more than policy",IF(AND(O60&gt;0,BA60=0),"CHECK - policy says "&amp;TEXT(N60,"0.##")&amp;" hrs to date but no Bonus Leave in EH",IF(O60&gt;0,"OK","-"))))))</f>
        <v/>
      </c>
      <c r="AB60" s="13" t="str">
        <f aca="false">IF(OR(AE60=0,T60=""),"",AY60*HoursPerDay-T60)</f>
        <v/>
      </c>
      <c r="AC60" s="12" t="str">
        <f aca="false">IF(AE60=0,"",BA60)</f>
        <v/>
      </c>
      <c r="AD60" s="12" t="str">
        <f aca="false">IF(AE60=0,"",TRIM(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IF(AE60=0,"",IF($J60&lt;&gt;"",$J60,$F60))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15"/>
      <c r="B61" s="15"/>
      <c r="C61" s="15"/>
      <c r="D61" s="16"/>
      <c r="E61" s="10" t="str">
        <f aca="false">IF(OR(AE61=0,$D61=""),"",DATE(YEAR(AsOfDate)+IF(DATE(YEAR(AsOfDate),MONTH($D61),DAY($D61))&lt;=AsOfDate,1,0),MONTH($D61),DAY($D61)))</f>
        <v/>
      </c>
      <c r="F61" s="16"/>
      <c r="G61" s="16"/>
      <c r="H61" s="16"/>
      <c r="I61" s="16"/>
      <c r="J61" s="16"/>
      <c r="K61" s="10" t="str">
        <f aca="false">IF(AE61=0,"",DATE(YEAR(AsOfDate)+IF(DATE(YEAR(AsOfDate),MONTH($F61),DAY($F61))&lt;=AsOfDate,1,0),MONTH($F61),DAY($F61)))</f>
        <v/>
      </c>
      <c r="L61" s="11" t="str">
        <f aca="false">IF(AE61=0,"",ROUND((AsOfDate-$F61)/365.25,1))</f>
        <v/>
      </c>
      <c r="M61" s="12" t="str">
        <f aca="false">IF(AE61=0,"",IF(AsOfDate&lt;AF61,"-",DATEDIF(AF61,AsOfDate,"y")&amp;"y "&amp;DATEDIF(AF61,AsOfDate,"ym")&amp;"m "&amp;DATEDIF(AF61,AsOfDate,"md")&amp;"d"))</f>
        <v/>
      </c>
      <c r="N61" s="13" t="str">
        <f aca="false">IF(AE61=0,"",O61*HoursPerDay)</f>
        <v/>
      </c>
      <c r="O61" s="13" t="str">
        <f aca="false">IF(AE61=0,"",AX61)</f>
        <v/>
      </c>
      <c r="P61" s="17"/>
      <c r="Q61" s="12"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IF(OR(AE61=0,W61=""),"",W61-U61+V61)</f>
        <v/>
      </c>
      <c r="U61" s="13" t="str">
        <f aca="false">IF(AE61=0,"",IF(NOT(LH_Ready),"",SUMIFS(INDEX(LH_Data,0,LH_ColAcc),INDEX(LH_Data,0,LH_ColFirst),$A61,INDEX(LH_Data,0,LH_ColSur),$B61,INDEX(LH_Data,0,LH_ColCat),BonusCat)*UnitFactor))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IF(AE61=0,"",X61-N(U61))</f>
        <v/>
      </c>
      <c r="Z61" s="12" t="str">
        <f aca="false">IF(AE61=0,"",IF(Y61&gt;0,"Yes","No"))</f>
        <v/>
      </c>
      <c r="AA61" s="12" t="str">
        <f aca="false">IF(AE61=0,"",IF(NOT(LH_Ready),"Paste Leave History export",IF(Y61&gt;0,"ACCRUE "&amp;TEXT(Y61,"0.##")&amp;" hrs ("&amp;TEXT(Y61/HoursPerDay,"0.##")&amp;" days)"&amp;IF(BA61=0," - no Bonus Leave line in EH yet",""),IF(Y61&lt;0,"CHECK - EH accrued "&amp;TEXT(-Y61,"0.##")&amp;" hrs more than policy",IF(AND(O61&gt;0,BA61=0),"CHECK - policy says "&amp;TEXT(N61,"0.##")&amp;" hrs to date but no Bonus Leave in EH",IF(O61&gt;0,"OK","-"))))))</f>
        <v/>
      </c>
      <c r="AB61" s="13" t="str">
        <f aca="false">IF(OR(AE61=0,T61=""),"",AY61*HoursPerDay-T61)</f>
        <v/>
      </c>
      <c r="AC61" s="12" t="str">
        <f aca="false">IF(AE61=0,"",BA61)</f>
        <v/>
      </c>
      <c r="AD61" s="12" t="str">
        <f aca="false">IF(AE61=0,"",TRIM(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IF(AE61=0,"",IF($J61&lt;&gt;"",$J61,$F61))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15"/>
      <c r="B62" s="15"/>
      <c r="C62" s="15"/>
      <c r="D62" s="16"/>
      <c r="E62" s="10" t="str">
        <f aca="false">IF(OR(AE62=0,$D62=""),"",DATE(YEAR(AsOfDate)+IF(DATE(YEAR(AsOfDate),MONTH($D62),DAY($D62))&lt;=AsOfDate,1,0),MONTH($D62),DAY($D62)))</f>
        <v/>
      </c>
      <c r="F62" s="16"/>
      <c r="G62" s="16"/>
      <c r="H62" s="16"/>
      <c r="I62" s="16"/>
      <c r="J62" s="16"/>
      <c r="K62" s="10" t="str">
        <f aca="false">IF(AE62=0,"",DATE(YEAR(AsOfDate)+IF(DATE(YEAR(AsOfDate),MONTH($F62),DAY($F62))&lt;=AsOfDate,1,0),MONTH($F62),DAY($F62)))</f>
        <v/>
      </c>
      <c r="L62" s="11" t="str">
        <f aca="false">IF(AE62=0,"",ROUND((AsOfDate-$F62)/365.25,1))</f>
        <v/>
      </c>
      <c r="M62" s="12" t="str">
        <f aca="false">IF(AE62=0,"",IF(AsOfDate&lt;AF62,"-",DATEDIF(AF62,AsOfDate,"y")&amp;"y "&amp;DATEDIF(AF62,AsOfDate,"ym")&amp;"m "&amp;DATEDIF(AF62,AsOfDate,"md")&amp;"d"))</f>
        <v/>
      </c>
      <c r="N62" s="13" t="str">
        <f aca="false">IF(AE62=0,"",O62*HoursPerDay)</f>
        <v/>
      </c>
      <c r="O62" s="13" t="str">
        <f aca="false">IF(AE62=0,"",AX62)</f>
        <v/>
      </c>
      <c r="P62" s="17"/>
      <c r="Q62" s="12"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IF(OR(AE62=0,W62=""),"",W62-U62+V62)</f>
        <v/>
      </c>
      <c r="U62" s="13" t="str">
        <f aca="false">IF(AE62=0,"",IF(NOT(LH_Ready),"",SUMIFS(INDEX(LH_Data,0,LH_ColAcc),INDEX(LH_Data,0,LH_ColFirst),$A62,INDEX(LH_Data,0,LH_ColSur),$B62,INDEX(LH_Data,0,LH_ColCat),BonusCat)*UnitFactor))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IF(AE62=0,"",X62-N(U62))</f>
        <v/>
      </c>
      <c r="Z62" s="12" t="str">
        <f aca="false">IF(AE62=0,"",IF(Y62&gt;0,"Yes","No"))</f>
        <v/>
      </c>
      <c r="AA62" s="12" t="str">
        <f aca="false">IF(AE62=0,"",IF(NOT(LH_Ready),"Paste Leave History export",IF(Y62&gt;0,"ACCRUE "&amp;TEXT(Y62,"0.##")&amp;" hrs ("&amp;TEXT(Y62/HoursPerDay,"0.##")&amp;" days)"&amp;IF(BA62=0," - no Bonus Leave line in EH yet",""),IF(Y62&lt;0,"CHECK - EH accrued "&amp;TEXT(-Y62,"0.##")&amp;" hrs more than policy",IF(AND(O62&gt;0,BA62=0),"CHECK - policy says "&amp;TEXT(N62,"0.##")&amp;" hrs to date but no Bonus Leave in EH",IF(O62&gt;0,"OK","-"))))))</f>
        <v/>
      </c>
      <c r="AB62" s="13" t="str">
        <f aca="false">IF(OR(AE62=0,T62=""),"",AY62*HoursPerDay-T62)</f>
        <v/>
      </c>
      <c r="AC62" s="12" t="str">
        <f aca="false">IF(AE62=0,"",BA62)</f>
        <v/>
      </c>
      <c r="AD62" s="12" t="str">
        <f aca="false">IF(AE62=0,"",TRIM(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IF(AE62=0,"",IF($J62&lt;&gt;"",$J62,$F62))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15"/>
      <c r="B63" s="15"/>
      <c r="C63" s="15"/>
      <c r="D63" s="16"/>
      <c r="E63" s="10" t="str">
        <f aca="false">IF(OR(AE63=0,$D63=""),"",DATE(YEAR(AsOfDate)+IF(DATE(YEAR(AsOfDate),MONTH($D63),DAY($D63))&lt;=AsOfDate,1,0),MONTH($D63),DAY($D63)))</f>
        <v/>
      </c>
      <c r="F63" s="16"/>
      <c r="G63" s="16"/>
      <c r="H63" s="16"/>
      <c r="I63" s="16"/>
      <c r="J63" s="16"/>
      <c r="K63" s="10" t="str">
        <f aca="false">IF(AE63=0,"",DATE(YEAR(AsOfDate)+IF(DATE(YEAR(AsOfDate),MONTH($F63),DAY($F63))&lt;=AsOfDate,1,0),MONTH($F63),DAY($F63)))</f>
        <v/>
      </c>
      <c r="L63" s="11" t="str">
        <f aca="false">IF(AE63=0,"",ROUND((AsOfDate-$F63)/365.25,1))</f>
        <v/>
      </c>
      <c r="M63" s="12" t="str">
        <f aca="false">IF(AE63=0,"",IF(AsOfDate&lt;AF63,"-",DATEDIF(AF63,AsOfDate,"y")&amp;"y "&amp;DATEDIF(AF63,AsOfDate,"ym")&amp;"m "&amp;DATEDIF(AF63,AsOfDate,"md")&amp;"d"))</f>
        <v/>
      </c>
      <c r="N63" s="13" t="str">
        <f aca="false">IF(AE63=0,"",O63*HoursPerDay)</f>
        <v/>
      </c>
      <c r="O63" s="13" t="str">
        <f aca="false">IF(AE63=0,"",AX63)</f>
        <v/>
      </c>
      <c r="P63" s="17"/>
      <c r="Q63" s="12"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IF(OR(AE63=0,W63=""),"",W63-U63+V63)</f>
        <v/>
      </c>
      <c r="U63" s="13" t="str">
        <f aca="false">IF(AE63=0,"",IF(NOT(LH_Ready),"",SUMIFS(INDEX(LH_Data,0,LH_ColAcc),INDEX(LH_Data,0,LH_ColFirst),$A63,INDEX(LH_Data,0,LH_ColSur),$B63,INDEX(LH_Data,0,LH_ColCat),BonusCat)*UnitFactor))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IF(AE63=0,"",X63-N(U63))</f>
        <v/>
      </c>
      <c r="Z63" s="12" t="str">
        <f aca="false">IF(AE63=0,"",IF(Y63&gt;0,"Yes","No"))</f>
        <v/>
      </c>
      <c r="AA63" s="12" t="str">
        <f aca="false">IF(AE63=0,"",IF(NOT(LH_Ready),"Paste Leave History export",IF(Y63&gt;0,"ACCRUE "&amp;TEXT(Y63,"0.##")&amp;" hrs ("&amp;TEXT(Y63/HoursPerDay,"0.##")&amp;" days)"&amp;IF(BA63=0," - no Bonus Leave line in EH yet",""),IF(Y63&lt;0,"CHECK - EH accrued "&amp;TEXT(-Y63,"0.##")&amp;" hrs more than policy",IF(AND(O63&gt;0,BA63=0),"CHECK - policy says "&amp;TEXT(N63,"0.##")&amp;" hrs to date but no Bonus Leave in EH",IF(O63&gt;0,"OK","-"))))))</f>
        <v/>
      </c>
      <c r="AB63" s="13" t="str">
        <f aca="false">IF(OR(AE63=0,T63=""),"",AY63*HoursPerDay-T63)</f>
        <v/>
      </c>
      <c r="AC63" s="12" t="str">
        <f aca="false">IF(AE63=0,"",BA63)</f>
        <v/>
      </c>
      <c r="AD63" s="12" t="str">
        <f aca="false">IF(AE63=0,"",TRIM(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IF(AE63=0,"",IF($J63&lt;&gt;"",$J63,$F63))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15"/>
      <c r="B64" s="15"/>
      <c r="C64" s="15"/>
      <c r="D64" s="16"/>
      <c r="E64" s="10" t="str">
        <f aca="false">IF(OR(AE64=0,$D64=""),"",DATE(YEAR(AsOfDate)+IF(DATE(YEAR(AsOfDate),MONTH($D64),DAY($D64))&lt;=AsOfDate,1,0),MONTH($D64),DAY($D64)))</f>
        <v/>
      </c>
      <c r="F64" s="16"/>
      <c r="G64" s="16"/>
      <c r="H64" s="16"/>
      <c r="I64" s="16"/>
      <c r="J64" s="16"/>
      <c r="K64" s="10" t="str">
        <f aca="false">IF(AE64=0,"",DATE(YEAR(AsOfDate)+IF(DATE(YEAR(AsOfDate),MONTH($F64),DAY($F64))&lt;=AsOfDate,1,0),MONTH($F64),DAY($F64)))</f>
        <v/>
      </c>
      <c r="L64" s="11" t="str">
        <f aca="false">IF(AE64=0,"",ROUND((AsOfDate-$F64)/365.25,1))</f>
        <v/>
      </c>
      <c r="M64" s="12" t="str">
        <f aca="false">IF(AE64=0,"",IF(AsOfDate&lt;AF64,"-",DATEDIF(AF64,AsOfDate,"y")&amp;"y "&amp;DATEDIF(AF64,AsOfDate,"ym")&amp;"m "&amp;DATEDIF(AF64,AsOfDate,"md")&amp;"d"))</f>
        <v/>
      </c>
      <c r="N64" s="13" t="str">
        <f aca="false">IF(AE64=0,"",O64*HoursPerDay)</f>
        <v/>
      </c>
      <c r="O64" s="13" t="str">
        <f aca="false">IF(AE64=0,"",AX64)</f>
        <v/>
      </c>
      <c r="P64" s="17"/>
      <c r="Q64" s="12"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IF(OR(AE64=0,W64=""),"",W64-U64+V64)</f>
        <v/>
      </c>
      <c r="U64" s="13" t="str">
        <f aca="false">IF(AE64=0,"",IF(NOT(LH_Ready),"",SUMIFS(INDEX(LH_Data,0,LH_ColAcc),INDEX(LH_Data,0,LH_ColFirst),$A64,INDEX(LH_Data,0,LH_ColSur),$B64,INDEX(LH_Data,0,LH_ColCat),BonusCat)*UnitFactor))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IF(AE64=0,"",X64-N(U64))</f>
        <v/>
      </c>
      <c r="Z64" s="12" t="str">
        <f aca="false">IF(AE64=0,"",IF(Y64&gt;0,"Yes","No"))</f>
        <v/>
      </c>
      <c r="AA64" s="12" t="str">
        <f aca="false">IF(AE64=0,"",IF(NOT(LH_Ready),"Paste Leave History export",IF(Y64&gt;0,"ACCRUE "&amp;TEXT(Y64,"0.##")&amp;" hrs ("&amp;TEXT(Y64/HoursPerDay,"0.##")&amp;" days)"&amp;IF(BA64=0," - no Bonus Leave line in EH yet",""),IF(Y64&lt;0,"CHECK - EH accrued "&amp;TEXT(-Y64,"0.##")&amp;" hrs more than policy",IF(AND(O64&gt;0,BA64=0),"CHECK - policy says "&amp;TEXT(N64,"0.##")&amp;" hrs to date but no Bonus Leave in EH",IF(O64&gt;0,"OK","-"))))))</f>
        <v/>
      </c>
      <c r="AB64" s="13" t="str">
        <f aca="false">IF(OR(AE64=0,T64=""),"",AY64*HoursPerDay-T64)</f>
        <v/>
      </c>
      <c r="AC64" s="12" t="str">
        <f aca="false">IF(AE64=0,"",BA64)</f>
        <v/>
      </c>
      <c r="AD64" s="12" t="str">
        <f aca="false">IF(AE64=0,"",TRIM(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IF(AE64=0,"",IF($J64&lt;&gt;"",$J64,$F64))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15"/>
      <c r="B65" s="15"/>
      <c r="C65" s="15"/>
      <c r="D65" s="16"/>
      <c r="E65" s="10" t="str">
        <f aca="false">IF(OR(AE65=0,$D65=""),"",DATE(YEAR(AsOfDate)+IF(DATE(YEAR(AsOfDate),MONTH($D65),DAY($D65))&lt;=AsOfDate,1,0),MONTH($D65),DAY($D65)))</f>
        <v/>
      </c>
      <c r="F65" s="16"/>
      <c r="G65" s="16"/>
      <c r="H65" s="16"/>
      <c r="I65" s="16"/>
      <c r="J65" s="16"/>
      <c r="K65" s="10" t="str">
        <f aca="false">IF(AE65=0,"",DATE(YEAR(AsOfDate)+IF(DATE(YEAR(AsOfDate),MONTH($F65),DAY($F65))&lt;=AsOfDate,1,0),MONTH($F65),DAY($F65)))</f>
        <v/>
      </c>
      <c r="L65" s="11" t="str">
        <f aca="false">IF(AE65=0,"",ROUND((AsOfDate-$F65)/365.25,1))</f>
        <v/>
      </c>
      <c r="M65" s="12" t="str">
        <f aca="false">IF(AE65=0,"",IF(AsOfDate&lt;AF65,"-",DATEDIF(AF65,AsOfDate,"y")&amp;"y "&amp;DATEDIF(AF65,AsOfDate,"ym")&amp;"m "&amp;DATEDIF(AF65,AsOfDate,"md")&amp;"d"))</f>
        <v/>
      </c>
      <c r="N65" s="13" t="str">
        <f aca="false">IF(AE65=0,"",O65*HoursPerDay)</f>
        <v/>
      </c>
      <c r="O65" s="13" t="str">
        <f aca="false">IF(AE65=0,"",AX65)</f>
        <v/>
      </c>
      <c r="P65" s="17"/>
      <c r="Q65" s="12"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IF(OR(AE65=0,W65=""),"",W65-U65+V65)</f>
        <v/>
      </c>
      <c r="U65" s="13" t="str">
        <f aca="false">IF(AE65=0,"",IF(NOT(LH_Ready),"",SUMIFS(INDEX(LH_Data,0,LH_ColAcc),INDEX(LH_Data,0,LH_ColFirst),$A65,INDEX(LH_Data,0,LH_ColSur),$B65,INDEX(LH_Data,0,LH_ColCat),BonusCat)*UnitFactor))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IF(AE65=0,"",X65-N(U65))</f>
        <v/>
      </c>
      <c r="Z65" s="12" t="str">
        <f aca="false">IF(AE65=0,"",IF(Y65&gt;0,"Yes","No"))</f>
        <v/>
      </c>
      <c r="AA65" s="12" t="str">
        <f aca="false">IF(AE65=0,"",IF(NOT(LH_Ready),"Paste Leave History export",IF(Y65&gt;0,"ACCRUE "&amp;TEXT(Y65,"0.##")&amp;" hrs ("&amp;TEXT(Y65/HoursPerDay,"0.##")&amp;" days)"&amp;IF(BA65=0," - no Bonus Leave line in EH yet",""),IF(Y65&lt;0,"CHECK - EH accrued "&amp;TEXT(-Y65,"0.##")&amp;" hrs more than policy",IF(AND(O65&gt;0,BA65=0),"CHECK - policy says "&amp;TEXT(N65,"0.##")&amp;" hrs to date but no Bonus Leave in EH",IF(O65&gt;0,"OK","-"))))))</f>
        <v/>
      </c>
      <c r="AB65" s="13" t="str">
        <f aca="false">IF(OR(AE65=0,T65=""),"",AY65*HoursPerDay-T65)</f>
        <v/>
      </c>
      <c r="AC65" s="12" t="str">
        <f aca="false">IF(AE65=0,"",BA65)</f>
        <v/>
      </c>
      <c r="AD65" s="12" t="str">
        <f aca="false">IF(AE65=0,"",TRIM(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IF(AE65=0,"",IF($J65&lt;&gt;"",$J65,$F65))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15"/>
      <c r="B66" s="15"/>
      <c r="C66" s="15"/>
      <c r="D66" s="16"/>
      <c r="E66" s="10" t="str">
        <f aca="false">IF(OR(AE66=0,$D66=""),"",DATE(YEAR(AsOfDate)+IF(DATE(YEAR(AsOfDate),MONTH($D66),DAY($D66))&lt;=AsOfDate,1,0),MONTH($D66),DAY($D66)))</f>
        <v/>
      </c>
      <c r="F66" s="16"/>
      <c r="G66" s="16"/>
      <c r="H66" s="16"/>
      <c r="I66" s="16"/>
      <c r="J66" s="16"/>
      <c r="K66" s="10" t="str">
        <f aca="false">IF(AE66=0,"",DATE(YEAR(AsOfDate)+IF(DATE(YEAR(AsOfDate),MONTH($F66),DAY($F66))&lt;=AsOfDate,1,0),MONTH($F66),DAY($F66)))</f>
        <v/>
      </c>
      <c r="L66" s="11" t="str">
        <f aca="false">IF(AE66=0,"",ROUND((AsOfDate-$F66)/365.25,1))</f>
        <v/>
      </c>
      <c r="M66" s="12" t="str">
        <f aca="false">IF(AE66=0,"",IF(AsOfDate&lt;AF66,"-",DATEDIF(AF66,AsOfDate,"y")&amp;"y "&amp;DATEDIF(AF66,AsOfDate,"ym")&amp;"m "&amp;DATEDIF(AF66,AsOfDate,"md")&amp;"d"))</f>
        <v/>
      </c>
      <c r="N66" s="13" t="str">
        <f aca="false">IF(AE66=0,"",O66*HoursPerDay)</f>
        <v/>
      </c>
      <c r="O66" s="13" t="str">
        <f aca="false">IF(AE66=0,"",AX66)</f>
        <v/>
      </c>
      <c r="P66" s="17"/>
      <c r="Q66" s="12"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IF(OR(AE66=0,W66=""),"",W66-U66+V66)</f>
        <v/>
      </c>
      <c r="U66" s="13" t="str">
        <f aca="false">IF(AE66=0,"",IF(NOT(LH_Ready),"",SUMIFS(INDEX(LH_Data,0,LH_ColAcc),INDEX(LH_Data,0,LH_ColFirst),$A66,INDEX(LH_Data,0,LH_ColSur),$B66,INDEX(LH_Data,0,LH_ColCat),BonusCat)*UnitFactor))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IF(AE66=0,"",X66-N(U66))</f>
        <v/>
      </c>
      <c r="Z66" s="12" t="str">
        <f aca="false">IF(AE66=0,"",IF(Y66&gt;0,"Yes","No"))</f>
        <v/>
      </c>
      <c r="AA66" s="12" t="str">
        <f aca="false">IF(AE66=0,"",IF(NOT(LH_Ready),"Paste Leave History export",IF(Y66&gt;0,"ACCRUE "&amp;TEXT(Y66,"0.##")&amp;" hrs ("&amp;TEXT(Y66/HoursPerDay,"0.##")&amp;" days)"&amp;IF(BA66=0," - no Bonus Leave line in EH yet",""),IF(Y66&lt;0,"CHECK - EH accrued "&amp;TEXT(-Y66,"0.##")&amp;" hrs more than policy",IF(AND(O66&gt;0,BA66=0),"CHECK - policy says "&amp;TEXT(N66,"0.##")&amp;" hrs to date but no Bonus Leave in EH",IF(O66&gt;0,"OK","-"))))))</f>
        <v/>
      </c>
      <c r="AB66" s="13" t="str">
        <f aca="false">IF(OR(AE66=0,T66=""),"",AY66*HoursPerDay-T66)</f>
        <v/>
      </c>
      <c r="AC66" s="12" t="str">
        <f aca="false">IF(AE66=0,"",BA66)</f>
        <v/>
      </c>
      <c r="AD66" s="12" t="str">
        <f aca="false">IF(AE66=0,"",TRIM(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IF(AE66=0,"",IF($J66&lt;&gt;"",$J66,$F66))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15"/>
      <c r="B67" s="15"/>
      <c r="C67" s="15"/>
      <c r="D67" s="16"/>
      <c r="E67" s="10" t="str">
        <f aca="false">IF(OR(AE67=0,$D67=""),"",DATE(YEAR(AsOfDate)+IF(DATE(YEAR(AsOfDate),MONTH($D67),DAY($D67))&lt;=AsOfDate,1,0),MONTH($D67),DAY($D67)))</f>
        <v/>
      </c>
      <c r="F67" s="16"/>
      <c r="G67" s="16"/>
      <c r="H67" s="16"/>
      <c r="I67" s="16"/>
      <c r="J67" s="16"/>
      <c r="K67" s="10" t="str">
        <f aca="false">IF(AE67=0,"",DATE(YEAR(AsOfDate)+IF(DATE(YEAR(AsOfDate),MONTH($F67),DAY($F67))&lt;=AsOfDate,1,0),MONTH($F67),DAY($F67)))</f>
        <v/>
      </c>
      <c r="L67" s="11" t="str">
        <f aca="false">IF(AE67=0,"",ROUND((AsOfDate-$F67)/365.25,1))</f>
        <v/>
      </c>
      <c r="M67" s="12" t="str">
        <f aca="false">IF(AE67=0,"",IF(AsOfDate&lt;AF67,"-",DATEDIF(AF67,AsOfDate,"y")&amp;"y "&amp;DATEDIF(AF67,AsOfDate,"ym")&amp;"m "&amp;DATEDIF(AF67,AsOfDate,"md")&amp;"d"))</f>
        <v/>
      </c>
      <c r="N67" s="13" t="str">
        <f aca="false">IF(AE67=0,"",O67*HoursPerDay)</f>
        <v/>
      </c>
      <c r="O67" s="13" t="str">
        <f aca="false">IF(AE67=0,"",AX67)</f>
        <v/>
      </c>
      <c r="P67" s="17"/>
      <c r="Q67" s="12"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IF(OR(AE67=0,W67=""),"",W67-U67+V67)</f>
        <v/>
      </c>
      <c r="U67" s="13" t="str">
        <f aca="false">IF(AE67=0,"",IF(NOT(LH_Ready),"",SUMIFS(INDEX(LH_Data,0,LH_ColAcc),INDEX(LH_Data,0,LH_ColFirst),$A67,INDEX(LH_Data,0,LH_ColSur),$B67,INDEX(LH_Data,0,LH_ColCat),BonusCat)*UnitFactor))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IF(AE67=0,"",X67-N(U67))</f>
        <v/>
      </c>
      <c r="Z67" s="12" t="str">
        <f aca="false">IF(AE67=0,"",IF(Y67&gt;0,"Yes","No"))</f>
        <v/>
      </c>
      <c r="AA67" s="12" t="str">
        <f aca="false">IF(AE67=0,"",IF(NOT(LH_Ready),"Paste Leave History export",IF(Y67&gt;0,"ACCRUE "&amp;TEXT(Y67,"0.##")&amp;" hrs ("&amp;TEXT(Y67/HoursPerDay,"0.##")&amp;" days)"&amp;IF(BA67=0," - no Bonus Leave line in EH yet",""),IF(Y67&lt;0,"CHECK - EH accrued "&amp;TEXT(-Y67,"0.##")&amp;" hrs more than policy",IF(AND(O67&gt;0,BA67=0),"CHECK - policy says "&amp;TEXT(N67,"0.##")&amp;" hrs to date but no Bonus Leave in EH",IF(O67&gt;0,"OK","-"))))))</f>
        <v/>
      </c>
      <c r="AB67" s="13" t="str">
        <f aca="false">IF(OR(AE67=0,T67=""),"",AY67*HoursPerDay-T67)</f>
        <v/>
      </c>
      <c r="AC67" s="12" t="str">
        <f aca="false">IF(AE67=0,"",BA67)</f>
        <v/>
      </c>
      <c r="AD67" s="12" t="str">
        <f aca="false">IF(AE67=0,"",TRIM(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IF(AE67=0,"",IF($J67&lt;&gt;"",$J67,$F67))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15"/>
      <c r="B68" s="15"/>
      <c r="C68" s="15"/>
      <c r="D68" s="16"/>
      <c r="E68" s="10" t="str">
        <f aca="false">IF(OR(AE68=0,$D68=""),"",DATE(YEAR(AsOfDate)+IF(DATE(YEAR(AsOfDate),MONTH($D68),DAY($D68))&lt;=AsOfDate,1,0),MONTH($D68),DAY($D68)))</f>
        <v/>
      </c>
      <c r="F68" s="16"/>
      <c r="G68" s="16"/>
      <c r="H68" s="16"/>
      <c r="I68" s="16"/>
      <c r="J68" s="16"/>
      <c r="K68" s="10" t="str">
        <f aca="false">IF(AE68=0,"",DATE(YEAR(AsOfDate)+IF(DATE(YEAR(AsOfDate),MONTH($F68),DAY($F68))&lt;=AsOfDate,1,0),MONTH($F68),DAY($F68)))</f>
        <v/>
      </c>
      <c r="L68" s="11" t="str">
        <f aca="false">IF(AE68=0,"",ROUND((AsOfDate-$F68)/365.25,1))</f>
        <v/>
      </c>
      <c r="M68" s="12" t="str">
        <f aca="false">IF(AE68=0,"",IF(AsOfDate&lt;AF68,"-",DATEDIF(AF68,AsOfDate,"y")&amp;"y "&amp;DATEDIF(AF68,AsOfDate,"ym")&amp;"m "&amp;DATEDIF(AF68,AsOfDate,"md")&amp;"d"))</f>
        <v/>
      </c>
      <c r="N68" s="13" t="str">
        <f aca="false">IF(AE68=0,"",O68*HoursPerDay)</f>
        <v/>
      </c>
      <c r="O68" s="13" t="str">
        <f aca="false">IF(AE68=0,"",AX68)</f>
        <v/>
      </c>
      <c r="P68" s="17"/>
      <c r="Q68" s="12"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IF(OR(AE68=0,W68=""),"",W68-U68+V68)</f>
        <v/>
      </c>
      <c r="U68" s="13" t="str">
        <f aca="false">IF(AE68=0,"",IF(NOT(LH_Ready),"",SUMIFS(INDEX(LH_Data,0,LH_ColAcc),INDEX(LH_Data,0,LH_ColFirst),$A68,INDEX(LH_Data,0,LH_ColSur),$B68,INDEX(LH_Data,0,LH_ColCat),BonusCat)*UnitFactor))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IF(AE68=0,"",X68-N(U68))</f>
        <v/>
      </c>
      <c r="Z68" s="12" t="str">
        <f aca="false">IF(AE68=0,"",IF(Y68&gt;0,"Yes","No"))</f>
        <v/>
      </c>
      <c r="AA68" s="12" t="str">
        <f aca="false">IF(AE68=0,"",IF(NOT(LH_Ready),"Paste Leave History export",IF(Y68&gt;0,"ACCRUE "&amp;TEXT(Y68,"0.##")&amp;" hrs ("&amp;TEXT(Y68/HoursPerDay,"0.##")&amp;" days)"&amp;IF(BA68=0," - no Bonus Leave line in EH yet",""),IF(Y68&lt;0,"CHECK - EH accrued "&amp;TEXT(-Y68,"0.##")&amp;" hrs more than policy",IF(AND(O68&gt;0,BA68=0),"CHECK - policy says "&amp;TEXT(N68,"0.##")&amp;" hrs to date but no Bonus Leave in EH",IF(O68&gt;0,"OK","-"))))))</f>
        <v/>
      </c>
      <c r="AB68" s="13" t="str">
        <f aca="false">IF(OR(AE68=0,T68=""),"",AY68*HoursPerDay-T68)</f>
        <v/>
      </c>
      <c r="AC68" s="12" t="str">
        <f aca="false">IF(AE68=0,"",BA68)</f>
        <v/>
      </c>
      <c r="AD68" s="12" t="str">
        <f aca="false">IF(AE68=0,"",TRIM(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IF(AE68=0,"",IF($J68&lt;&gt;"",$J68,$F68))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15"/>
      <c r="B69" s="15"/>
      <c r="C69" s="15"/>
      <c r="D69" s="16"/>
      <c r="E69" s="10" t="str">
        <f aca="false">IF(OR(AE69=0,$D69=""),"",DATE(YEAR(AsOfDate)+IF(DATE(YEAR(AsOfDate),MONTH($D69),DAY($D69))&lt;=AsOfDate,1,0),MONTH($D69),DAY($D69)))</f>
        <v/>
      </c>
      <c r="F69" s="16"/>
      <c r="G69" s="16"/>
      <c r="H69" s="16"/>
      <c r="I69" s="16"/>
      <c r="J69" s="16"/>
      <c r="K69" s="10" t="str">
        <f aca="false">IF(AE69=0,"",DATE(YEAR(AsOfDate)+IF(DATE(YEAR(AsOfDate),MONTH($F69),DAY($F69))&lt;=AsOfDate,1,0),MONTH($F69),DAY($F69)))</f>
        <v/>
      </c>
      <c r="L69" s="11" t="str">
        <f aca="false">IF(AE69=0,"",ROUND((AsOfDate-$F69)/365.25,1))</f>
        <v/>
      </c>
      <c r="M69" s="12" t="str">
        <f aca="false">IF(AE69=0,"",IF(AsOfDate&lt;AF69,"-",DATEDIF(AF69,AsOfDate,"y")&amp;"y "&amp;DATEDIF(AF69,AsOfDate,"ym")&amp;"m "&amp;DATEDIF(AF69,AsOfDate,"md")&amp;"d"))</f>
        <v/>
      </c>
      <c r="N69" s="13" t="str">
        <f aca="false">IF(AE69=0,"",O69*HoursPerDay)</f>
        <v/>
      </c>
      <c r="O69" s="13" t="str">
        <f aca="false">IF(AE69=0,"",AX69)</f>
        <v/>
      </c>
      <c r="P69" s="17"/>
      <c r="Q69" s="12"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IF(OR(AE69=0,W69=""),"",W69-U69+V69)</f>
        <v/>
      </c>
      <c r="U69" s="13" t="str">
        <f aca="false">IF(AE69=0,"",IF(NOT(LH_Ready),"",SUMIFS(INDEX(LH_Data,0,LH_ColAcc),INDEX(LH_Data,0,LH_ColFirst),$A69,INDEX(LH_Data,0,LH_ColSur),$B69,INDEX(LH_Data,0,LH_ColCat),BonusCat)*UnitFactor))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IF(AE69=0,"",X69-N(U69))</f>
        <v/>
      </c>
      <c r="Z69" s="12" t="str">
        <f aca="false">IF(AE69=0,"",IF(Y69&gt;0,"Yes","No"))</f>
        <v/>
      </c>
      <c r="AA69" s="12" t="str">
        <f aca="false">IF(AE69=0,"",IF(NOT(LH_Ready),"Paste Leave History export",IF(Y69&gt;0,"ACCRUE "&amp;TEXT(Y69,"0.##")&amp;" hrs ("&amp;TEXT(Y69/HoursPerDay,"0.##")&amp;" days)"&amp;IF(BA69=0," - no Bonus Leave line in EH yet",""),IF(Y69&lt;0,"CHECK - EH accrued "&amp;TEXT(-Y69,"0.##")&amp;" hrs more than policy",IF(AND(O69&gt;0,BA69=0),"CHECK - policy says "&amp;TEXT(N69,"0.##")&amp;" hrs to date but no Bonus Leave in EH",IF(O69&gt;0,"OK","-"))))))</f>
        <v/>
      </c>
      <c r="AB69" s="13" t="str">
        <f aca="false">IF(OR(AE69=0,T69=""),"",AY69*HoursPerDay-T69)</f>
        <v/>
      </c>
      <c r="AC69" s="12" t="str">
        <f aca="false">IF(AE69=0,"",BA69)</f>
        <v/>
      </c>
      <c r="AD69" s="12" t="str">
        <f aca="false">IF(AE69=0,"",TRIM(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IF(AE69=0,"",IF($J69&lt;&gt;"",$J69,$F69))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15"/>
      <c r="B70" s="15"/>
      <c r="C70" s="15"/>
      <c r="D70" s="16"/>
      <c r="E70" s="10" t="str">
        <f aca="false">IF(OR(AE70=0,$D70=""),"",DATE(YEAR(AsOfDate)+IF(DATE(YEAR(AsOfDate),MONTH($D70),DAY($D70))&lt;=AsOfDate,1,0),MONTH($D70),DAY($D70)))</f>
        <v/>
      </c>
      <c r="F70" s="16"/>
      <c r="G70" s="16"/>
      <c r="H70" s="16"/>
      <c r="I70" s="16"/>
      <c r="J70" s="16"/>
      <c r="K70" s="10" t="str">
        <f aca="false">IF(AE70=0,"",DATE(YEAR(AsOfDate)+IF(DATE(YEAR(AsOfDate),MONTH($F70),DAY($F70))&lt;=AsOfDate,1,0),MONTH($F70),DAY($F70)))</f>
        <v/>
      </c>
      <c r="L70" s="11" t="str">
        <f aca="false">IF(AE70=0,"",ROUND((AsOfDate-$F70)/365.25,1))</f>
        <v/>
      </c>
      <c r="M70" s="12" t="str">
        <f aca="false">IF(AE70=0,"",IF(AsOfDate&lt;AF70,"-",DATEDIF(AF70,AsOfDate,"y")&amp;"y "&amp;DATEDIF(AF70,AsOfDate,"ym")&amp;"m "&amp;DATEDIF(AF70,AsOfDate,"md")&amp;"d"))</f>
        <v/>
      </c>
      <c r="N70" s="13" t="str">
        <f aca="false">IF(AE70=0,"",O70*HoursPerDay)</f>
        <v/>
      </c>
      <c r="O70" s="13" t="str">
        <f aca="false">IF(AE70=0,"",AX70)</f>
        <v/>
      </c>
      <c r="P70" s="17"/>
      <c r="Q70" s="12"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IF(OR(AE70=0,W70=""),"",W70-U70+V70)</f>
        <v/>
      </c>
      <c r="U70" s="13" t="str">
        <f aca="false">IF(AE70=0,"",IF(NOT(LH_Ready),"",SUMIFS(INDEX(LH_Data,0,LH_ColAcc),INDEX(LH_Data,0,LH_ColFirst),$A70,INDEX(LH_Data,0,LH_ColSur),$B70,INDEX(LH_Data,0,LH_ColCat),BonusCat)*UnitFactor))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IF(AE70=0,"",X70-N(U70))</f>
        <v/>
      </c>
      <c r="Z70" s="12" t="str">
        <f aca="false">IF(AE70=0,"",IF(Y70&gt;0,"Yes","No"))</f>
        <v/>
      </c>
      <c r="AA70" s="12" t="str">
        <f aca="false">IF(AE70=0,"",IF(NOT(LH_Ready),"Paste Leave History export",IF(Y70&gt;0,"ACCRUE "&amp;TEXT(Y70,"0.##")&amp;" hrs ("&amp;TEXT(Y70/HoursPerDay,"0.##")&amp;" days)"&amp;IF(BA70=0," - no Bonus Leave line in EH yet",""),IF(Y70&lt;0,"CHECK - EH accrued "&amp;TEXT(-Y70,"0.##")&amp;" hrs more than policy",IF(AND(O70&gt;0,BA70=0),"CHECK - policy says "&amp;TEXT(N70,"0.##")&amp;" hrs to date but no Bonus Leave in EH",IF(O70&gt;0,"OK","-"))))))</f>
        <v/>
      </c>
      <c r="AB70" s="13" t="str">
        <f aca="false">IF(OR(AE70=0,T70=""),"",AY70*HoursPerDay-T70)</f>
        <v/>
      </c>
      <c r="AC70" s="12" t="str">
        <f aca="false">IF(AE70=0,"",BA70)</f>
        <v/>
      </c>
      <c r="AD70" s="12" t="str">
        <f aca="false">IF(AE70=0,"",TRIM(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IF(AE70=0,"",IF($J70&lt;&gt;"",$J70,$F70))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15"/>
      <c r="B71" s="15"/>
      <c r="C71" s="15"/>
      <c r="D71" s="16"/>
      <c r="E71" s="10" t="str">
        <f aca="false">IF(OR(AE71=0,$D71=""),"",DATE(YEAR(AsOfDate)+IF(DATE(YEAR(AsOfDate),MONTH($D71),DAY($D71))&lt;=AsOfDate,1,0),MONTH($D71),DAY($D71)))</f>
        <v/>
      </c>
      <c r="F71" s="16"/>
      <c r="G71" s="16"/>
      <c r="H71" s="16"/>
      <c r="I71" s="16"/>
      <c r="J71" s="16"/>
      <c r="K71" s="10" t="str">
        <f aca="false">IF(AE71=0,"",DATE(YEAR(AsOfDate)+IF(DATE(YEAR(AsOfDate),MONTH($F71),DAY($F71))&lt;=AsOfDate,1,0),MONTH($F71),DAY($F71)))</f>
        <v/>
      </c>
      <c r="L71" s="11" t="str">
        <f aca="false">IF(AE71=0,"",ROUND((AsOfDate-$F71)/365.25,1))</f>
        <v/>
      </c>
      <c r="M71" s="12" t="str">
        <f aca="false">IF(AE71=0,"",IF(AsOfDate&lt;AF71,"-",DATEDIF(AF71,AsOfDate,"y")&amp;"y "&amp;DATEDIF(AF71,AsOfDate,"ym")&amp;"m "&amp;DATEDIF(AF71,AsOfDate,"md")&amp;"d"))</f>
        <v/>
      </c>
      <c r="N71" s="13" t="str">
        <f aca="false">IF(AE71=0,"",O71*HoursPerDay)</f>
        <v/>
      </c>
      <c r="O71" s="13" t="str">
        <f aca="false">IF(AE71=0,"",AX71)</f>
        <v/>
      </c>
      <c r="P71" s="17"/>
      <c r="Q71" s="12"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IF(OR(AE71=0,W71=""),"",W71-U71+V71)</f>
        <v/>
      </c>
      <c r="U71" s="13" t="str">
        <f aca="false">IF(AE71=0,"",IF(NOT(LH_Ready),"",SUMIFS(INDEX(LH_Data,0,LH_ColAcc),INDEX(LH_Data,0,LH_ColFirst),$A71,INDEX(LH_Data,0,LH_ColSur),$B71,INDEX(LH_Data,0,LH_ColCat),BonusCat)*UnitFactor))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IF(AE71=0,"",X71-N(U71))</f>
        <v/>
      </c>
      <c r="Z71" s="12" t="str">
        <f aca="false">IF(AE71=0,"",IF(Y71&gt;0,"Yes","No"))</f>
        <v/>
      </c>
      <c r="AA71" s="12" t="str">
        <f aca="false">IF(AE71=0,"",IF(NOT(LH_Ready),"Paste Leave History export",IF(Y71&gt;0,"ACCRUE "&amp;TEXT(Y71,"0.##")&amp;" hrs ("&amp;TEXT(Y71/HoursPerDay,"0.##")&amp;" days)"&amp;IF(BA71=0," - no Bonus Leave line in EH yet",""),IF(Y71&lt;0,"CHECK - EH accrued "&amp;TEXT(-Y71,"0.##")&amp;" hrs more than policy",IF(AND(O71&gt;0,BA71=0),"CHECK - policy says "&amp;TEXT(N71,"0.##")&amp;" hrs to date but no Bonus Leave in EH",IF(O71&gt;0,"OK","-"))))))</f>
        <v/>
      </c>
      <c r="AB71" s="13" t="str">
        <f aca="false">IF(OR(AE71=0,T71=""),"",AY71*HoursPerDay-T71)</f>
        <v/>
      </c>
      <c r="AC71" s="12" t="str">
        <f aca="false">IF(AE71=0,"",BA71)</f>
        <v/>
      </c>
      <c r="AD71" s="12" t="str">
        <f aca="false">IF(AE71=0,"",TRIM(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IF(AE71=0,"",IF($J71&lt;&gt;"",$J71,$F71))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15"/>
      <c r="B72" s="15"/>
      <c r="C72" s="15"/>
      <c r="D72" s="16"/>
      <c r="E72" s="10" t="str">
        <f aca="false">IF(OR(AE72=0,$D72=""),"",DATE(YEAR(AsOfDate)+IF(DATE(YEAR(AsOfDate),MONTH($D72),DAY($D72))&lt;=AsOfDate,1,0),MONTH($D72),DAY($D72)))</f>
        <v/>
      </c>
      <c r="F72" s="16"/>
      <c r="G72" s="16"/>
      <c r="H72" s="16"/>
      <c r="I72" s="16"/>
      <c r="J72" s="16"/>
      <c r="K72" s="10" t="str">
        <f aca="false">IF(AE72=0,"",DATE(YEAR(AsOfDate)+IF(DATE(YEAR(AsOfDate),MONTH($F72),DAY($F72))&lt;=AsOfDate,1,0),MONTH($F72),DAY($F72)))</f>
        <v/>
      </c>
      <c r="L72" s="11" t="str">
        <f aca="false">IF(AE72=0,"",ROUND((AsOfDate-$F72)/365.25,1))</f>
        <v/>
      </c>
      <c r="M72" s="12" t="str">
        <f aca="false">IF(AE72=0,"",IF(AsOfDate&lt;AF72,"-",DATEDIF(AF72,AsOfDate,"y")&amp;"y "&amp;DATEDIF(AF72,AsOfDate,"ym")&amp;"m "&amp;DATEDIF(AF72,AsOfDate,"md")&amp;"d"))</f>
        <v/>
      </c>
      <c r="N72" s="13" t="str">
        <f aca="false">IF(AE72=0,"",O72*HoursPerDay)</f>
        <v/>
      </c>
      <c r="O72" s="13" t="str">
        <f aca="false">IF(AE72=0,"",AX72)</f>
        <v/>
      </c>
      <c r="P72" s="17"/>
      <c r="Q72" s="12"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IF(OR(AE72=0,W72=""),"",W72-U72+V72)</f>
        <v/>
      </c>
      <c r="U72" s="13" t="str">
        <f aca="false">IF(AE72=0,"",IF(NOT(LH_Ready),"",SUMIFS(INDEX(LH_Data,0,LH_ColAcc),INDEX(LH_Data,0,LH_ColFirst),$A72,INDEX(LH_Data,0,LH_ColSur),$B72,INDEX(LH_Data,0,LH_ColCat),BonusCat)*UnitFactor))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IF(AE72=0,"",X72-N(U72))</f>
        <v/>
      </c>
      <c r="Z72" s="12" t="str">
        <f aca="false">IF(AE72=0,"",IF(Y72&gt;0,"Yes","No"))</f>
        <v/>
      </c>
      <c r="AA72" s="12" t="str">
        <f aca="false">IF(AE72=0,"",IF(NOT(LH_Ready),"Paste Leave History export",IF(Y72&gt;0,"ACCRUE "&amp;TEXT(Y72,"0.##")&amp;" hrs ("&amp;TEXT(Y72/HoursPerDay,"0.##")&amp;" days)"&amp;IF(BA72=0," - no Bonus Leave line in EH yet",""),IF(Y72&lt;0,"CHECK - EH accrued "&amp;TEXT(-Y72,"0.##")&amp;" hrs more than policy",IF(AND(O72&gt;0,BA72=0),"CHECK - policy says "&amp;TEXT(N72,"0.##")&amp;" hrs to date but no Bonus Leave in EH",IF(O72&gt;0,"OK","-"))))))</f>
        <v/>
      </c>
      <c r="AB72" s="13" t="str">
        <f aca="false">IF(OR(AE72=0,T72=""),"",AY72*HoursPerDay-T72)</f>
        <v/>
      </c>
      <c r="AC72" s="12" t="str">
        <f aca="false">IF(AE72=0,"",BA72)</f>
        <v/>
      </c>
      <c r="AD72" s="12" t="str">
        <f aca="false">IF(AE72=0,"",TRIM(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IF(AE72=0,"",IF($J72&lt;&gt;"",$J72,$F72))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15"/>
      <c r="B73" s="15"/>
      <c r="C73" s="15"/>
      <c r="D73" s="16"/>
      <c r="E73" s="10" t="str">
        <f aca="false">IF(OR(AE73=0,$D73=""),"",DATE(YEAR(AsOfDate)+IF(DATE(YEAR(AsOfDate),MONTH($D73),DAY($D73))&lt;=AsOfDate,1,0),MONTH($D73),DAY($D73)))</f>
        <v/>
      </c>
      <c r="F73" s="16"/>
      <c r="G73" s="16"/>
      <c r="H73" s="16"/>
      <c r="I73" s="16"/>
      <c r="J73" s="16"/>
      <c r="K73" s="10" t="str">
        <f aca="false">IF(AE73=0,"",DATE(YEAR(AsOfDate)+IF(DATE(YEAR(AsOfDate),MONTH($F73),DAY($F73))&lt;=AsOfDate,1,0),MONTH($F73),DAY($F73)))</f>
        <v/>
      </c>
      <c r="L73" s="11" t="str">
        <f aca="false">IF(AE73=0,"",ROUND((AsOfDate-$F73)/365.25,1))</f>
        <v/>
      </c>
      <c r="M73" s="12" t="str">
        <f aca="false">IF(AE73=0,"",IF(AsOfDate&lt;AF73,"-",DATEDIF(AF73,AsOfDate,"y")&amp;"y "&amp;DATEDIF(AF73,AsOfDate,"ym")&amp;"m "&amp;DATEDIF(AF73,AsOfDate,"md")&amp;"d"))</f>
        <v/>
      </c>
      <c r="N73" s="13" t="str">
        <f aca="false">IF(AE73=0,"",O73*HoursPerDay)</f>
        <v/>
      </c>
      <c r="O73" s="13" t="str">
        <f aca="false">IF(AE73=0,"",AX73)</f>
        <v/>
      </c>
      <c r="P73" s="17"/>
      <c r="Q73" s="12"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IF(OR(AE73=0,W73=""),"",W73-U73+V73)</f>
        <v/>
      </c>
      <c r="U73" s="13" t="str">
        <f aca="false">IF(AE73=0,"",IF(NOT(LH_Ready),"",SUMIFS(INDEX(LH_Data,0,LH_ColAcc),INDEX(LH_Data,0,LH_ColFirst),$A73,INDEX(LH_Data,0,LH_ColSur),$B73,INDEX(LH_Data,0,LH_ColCat),BonusCat)*UnitFactor))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IF(AE73=0,"",X73-N(U73))</f>
        <v/>
      </c>
      <c r="Z73" s="12" t="str">
        <f aca="false">IF(AE73=0,"",IF(Y73&gt;0,"Yes","No"))</f>
        <v/>
      </c>
      <c r="AA73" s="12" t="str">
        <f aca="false">IF(AE73=0,"",IF(NOT(LH_Ready),"Paste Leave History export",IF(Y73&gt;0,"ACCRUE "&amp;TEXT(Y73,"0.##")&amp;" hrs ("&amp;TEXT(Y73/HoursPerDay,"0.##")&amp;" days)"&amp;IF(BA73=0," - no Bonus Leave line in EH yet",""),IF(Y73&lt;0,"CHECK - EH accrued "&amp;TEXT(-Y73,"0.##")&amp;" hrs more than policy",IF(AND(O73&gt;0,BA73=0),"CHECK - policy says "&amp;TEXT(N73,"0.##")&amp;" hrs to date but no Bonus Leave in EH",IF(O73&gt;0,"OK","-"))))))</f>
        <v/>
      </c>
      <c r="AB73" s="13" t="str">
        <f aca="false">IF(OR(AE73=0,T73=""),"",AY73*HoursPerDay-T73)</f>
        <v/>
      </c>
      <c r="AC73" s="12" t="str">
        <f aca="false">IF(AE73=0,"",BA73)</f>
        <v/>
      </c>
      <c r="AD73" s="12" t="str">
        <f aca="false">IF(AE73=0,"",TRIM(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IF(AE73=0,"",IF($J73&lt;&gt;"",$J73,$F73))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15"/>
      <c r="B74" s="15"/>
      <c r="C74" s="15"/>
      <c r="D74" s="16"/>
      <c r="E74" s="10" t="str">
        <f aca="false">IF(OR(AE74=0,$D74=""),"",DATE(YEAR(AsOfDate)+IF(DATE(YEAR(AsOfDate),MONTH($D74),DAY($D74))&lt;=AsOfDate,1,0),MONTH($D74),DAY($D74)))</f>
        <v/>
      </c>
      <c r="F74" s="16"/>
      <c r="G74" s="16"/>
      <c r="H74" s="16"/>
      <c r="I74" s="16"/>
      <c r="J74" s="16"/>
      <c r="K74" s="10" t="str">
        <f aca="false">IF(AE74=0,"",DATE(YEAR(AsOfDate)+IF(DATE(YEAR(AsOfDate),MONTH($F74),DAY($F74))&lt;=AsOfDate,1,0),MONTH($F74),DAY($F74)))</f>
        <v/>
      </c>
      <c r="L74" s="11" t="str">
        <f aca="false">IF(AE74=0,"",ROUND((AsOfDate-$F74)/365.25,1))</f>
        <v/>
      </c>
      <c r="M74" s="12" t="str">
        <f aca="false">IF(AE74=0,"",IF(AsOfDate&lt;AF74,"-",DATEDIF(AF74,AsOfDate,"y")&amp;"y "&amp;DATEDIF(AF74,AsOfDate,"ym")&amp;"m "&amp;DATEDIF(AF74,AsOfDate,"md")&amp;"d"))</f>
        <v/>
      </c>
      <c r="N74" s="13" t="str">
        <f aca="false">IF(AE74=0,"",O74*HoursPerDay)</f>
        <v/>
      </c>
      <c r="O74" s="13" t="str">
        <f aca="false">IF(AE74=0,"",AX74)</f>
        <v/>
      </c>
      <c r="P74" s="17"/>
      <c r="Q74" s="12"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IF(OR(AE74=0,W74=""),"",W74-U74+V74)</f>
        <v/>
      </c>
      <c r="U74" s="13" t="str">
        <f aca="false">IF(AE74=0,"",IF(NOT(LH_Ready),"",SUMIFS(INDEX(LH_Data,0,LH_ColAcc),INDEX(LH_Data,0,LH_ColFirst),$A74,INDEX(LH_Data,0,LH_ColSur),$B74,INDEX(LH_Data,0,LH_ColCat),BonusCat)*UnitFactor))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IF(AE74=0,"",X74-N(U74))</f>
        <v/>
      </c>
      <c r="Z74" s="12" t="str">
        <f aca="false">IF(AE74=0,"",IF(Y74&gt;0,"Yes","No"))</f>
        <v/>
      </c>
      <c r="AA74" s="12" t="str">
        <f aca="false">IF(AE74=0,"",IF(NOT(LH_Ready),"Paste Leave History export",IF(Y74&gt;0,"ACCRUE "&amp;TEXT(Y74,"0.##")&amp;" hrs ("&amp;TEXT(Y74/HoursPerDay,"0.##")&amp;" days)"&amp;IF(BA74=0," - no Bonus Leave line in EH yet",""),IF(Y74&lt;0,"CHECK - EH accrued "&amp;TEXT(-Y74,"0.##")&amp;" hrs more than policy",IF(AND(O74&gt;0,BA74=0),"CHECK - policy says "&amp;TEXT(N74,"0.##")&amp;" hrs to date but no Bonus Leave in EH",IF(O74&gt;0,"OK","-"))))))</f>
        <v/>
      </c>
      <c r="AB74" s="13" t="str">
        <f aca="false">IF(OR(AE74=0,T74=""),"",AY74*HoursPerDay-T74)</f>
        <v/>
      </c>
      <c r="AC74" s="12" t="str">
        <f aca="false">IF(AE74=0,"",BA74)</f>
        <v/>
      </c>
      <c r="AD74" s="12" t="str">
        <f aca="false">IF(AE74=0,"",TRIM(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IF(AE74=0,"",IF($J74&lt;&gt;"",$J74,$F74))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15"/>
      <c r="B75" s="15"/>
      <c r="C75" s="15"/>
      <c r="D75" s="16"/>
      <c r="E75" s="10" t="str">
        <f aca="false">IF(OR(AE75=0,$D75=""),"",DATE(YEAR(AsOfDate)+IF(DATE(YEAR(AsOfDate),MONTH($D75),DAY($D75))&lt;=AsOfDate,1,0),MONTH($D75),DAY($D75)))</f>
        <v/>
      </c>
      <c r="F75" s="16"/>
      <c r="G75" s="16"/>
      <c r="H75" s="16"/>
      <c r="I75" s="16"/>
      <c r="J75" s="16"/>
      <c r="K75" s="10" t="str">
        <f aca="false">IF(AE75=0,"",DATE(YEAR(AsOfDate)+IF(DATE(YEAR(AsOfDate),MONTH($F75),DAY($F75))&lt;=AsOfDate,1,0),MONTH($F75),DAY($F75)))</f>
        <v/>
      </c>
      <c r="L75" s="11" t="str">
        <f aca="false">IF(AE75=0,"",ROUND((AsOfDate-$F75)/365.25,1))</f>
        <v/>
      </c>
      <c r="M75" s="12" t="str">
        <f aca="false">IF(AE75=0,"",IF(AsOfDate&lt;AF75,"-",DATEDIF(AF75,AsOfDate,"y")&amp;"y "&amp;DATEDIF(AF75,AsOfDate,"ym")&amp;"m "&amp;DATEDIF(AF75,AsOfDate,"md")&amp;"d"))</f>
        <v/>
      </c>
      <c r="N75" s="13" t="str">
        <f aca="false">IF(AE75=0,"",O75*HoursPerDay)</f>
        <v/>
      </c>
      <c r="O75" s="13" t="str">
        <f aca="false">IF(AE75=0,"",AX75)</f>
        <v/>
      </c>
      <c r="P75" s="17"/>
      <c r="Q75" s="12"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IF(OR(AE75=0,W75=""),"",W75-U75+V75)</f>
        <v/>
      </c>
      <c r="U75" s="13" t="str">
        <f aca="false">IF(AE75=0,"",IF(NOT(LH_Ready),"",SUMIFS(INDEX(LH_Data,0,LH_ColAcc),INDEX(LH_Data,0,LH_ColFirst),$A75,INDEX(LH_Data,0,LH_ColSur),$B75,INDEX(LH_Data,0,LH_ColCat),BonusCat)*UnitFactor))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IF(AE75=0,"",X75-N(U75))</f>
        <v/>
      </c>
      <c r="Z75" s="12" t="str">
        <f aca="false">IF(AE75=0,"",IF(Y75&gt;0,"Yes","No"))</f>
        <v/>
      </c>
      <c r="AA75" s="12" t="str">
        <f aca="false">IF(AE75=0,"",IF(NOT(LH_Ready),"Paste Leave History export",IF(Y75&gt;0,"ACCRUE "&amp;TEXT(Y75,"0.##")&amp;" hrs ("&amp;TEXT(Y75/HoursPerDay,"0.##")&amp;" days)"&amp;IF(BA75=0," - no Bonus Leave line in EH yet",""),IF(Y75&lt;0,"CHECK - EH accrued "&amp;TEXT(-Y75,"0.##")&amp;" hrs more than policy",IF(AND(O75&gt;0,BA75=0),"CHECK - policy says "&amp;TEXT(N75,"0.##")&amp;" hrs to date but no Bonus Leave in EH",IF(O75&gt;0,"OK","-"))))))</f>
        <v/>
      </c>
      <c r="AB75" s="13" t="str">
        <f aca="false">IF(OR(AE75=0,T75=""),"",AY75*HoursPerDay-T75)</f>
        <v/>
      </c>
      <c r="AC75" s="12" t="str">
        <f aca="false">IF(AE75=0,"",BA75)</f>
        <v/>
      </c>
      <c r="AD75" s="12" t="str">
        <f aca="false">IF(AE75=0,"",TRIM(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IF(AE75=0,"",IF($J75&lt;&gt;"",$J75,$F75))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15"/>
      <c r="B76" s="15"/>
      <c r="C76" s="15"/>
      <c r="D76" s="16"/>
      <c r="E76" s="10" t="str">
        <f aca="false">IF(OR(AE76=0,$D76=""),"",DATE(YEAR(AsOfDate)+IF(DATE(YEAR(AsOfDate),MONTH($D76),DAY($D76))&lt;=AsOfDate,1,0),MONTH($D76),DAY($D76)))</f>
        <v/>
      </c>
      <c r="F76" s="16"/>
      <c r="G76" s="16"/>
      <c r="H76" s="16"/>
      <c r="I76" s="16"/>
      <c r="J76" s="16"/>
      <c r="K76" s="10" t="str">
        <f aca="false">IF(AE76=0,"",DATE(YEAR(AsOfDate)+IF(DATE(YEAR(AsOfDate),MONTH($F76),DAY($F76))&lt;=AsOfDate,1,0),MONTH($F76),DAY($F76)))</f>
        <v/>
      </c>
      <c r="L76" s="11" t="str">
        <f aca="false">IF(AE76=0,"",ROUND((AsOfDate-$F76)/365.25,1))</f>
        <v/>
      </c>
      <c r="M76" s="12" t="str">
        <f aca="false">IF(AE76=0,"",IF(AsOfDate&lt;AF76,"-",DATEDIF(AF76,AsOfDate,"y")&amp;"y "&amp;DATEDIF(AF76,AsOfDate,"ym")&amp;"m "&amp;DATEDIF(AF76,AsOfDate,"md")&amp;"d"))</f>
        <v/>
      </c>
      <c r="N76" s="13" t="str">
        <f aca="false">IF(AE76=0,"",O76*HoursPerDay)</f>
        <v/>
      </c>
      <c r="O76" s="13" t="str">
        <f aca="false">IF(AE76=0,"",AX76)</f>
        <v/>
      </c>
      <c r="P76" s="17"/>
      <c r="Q76" s="12"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IF(OR(AE76=0,W76=""),"",W76-U76+V76)</f>
        <v/>
      </c>
      <c r="U76" s="13" t="str">
        <f aca="false">IF(AE76=0,"",IF(NOT(LH_Ready),"",SUMIFS(INDEX(LH_Data,0,LH_ColAcc),INDEX(LH_Data,0,LH_ColFirst),$A76,INDEX(LH_Data,0,LH_ColSur),$B76,INDEX(LH_Data,0,LH_ColCat),BonusCat)*UnitFactor))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IF(AE76=0,"",X76-N(U76))</f>
        <v/>
      </c>
      <c r="Z76" s="12" t="str">
        <f aca="false">IF(AE76=0,"",IF(Y76&gt;0,"Yes","No"))</f>
        <v/>
      </c>
      <c r="AA76" s="12" t="str">
        <f aca="false">IF(AE76=0,"",IF(NOT(LH_Ready),"Paste Leave History export",IF(Y76&gt;0,"ACCRUE "&amp;TEXT(Y76,"0.##")&amp;" hrs ("&amp;TEXT(Y76/HoursPerDay,"0.##")&amp;" days)"&amp;IF(BA76=0," - no Bonus Leave line in EH yet",""),IF(Y76&lt;0,"CHECK - EH accrued "&amp;TEXT(-Y76,"0.##")&amp;" hrs more than policy",IF(AND(O76&gt;0,BA76=0),"CHECK - policy says "&amp;TEXT(N76,"0.##")&amp;" hrs to date but no Bonus Leave in EH",IF(O76&gt;0,"OK","-"))))))</f>
        <v/>
      </c>
      <c r="AB76" s="13" t="str">
        <f aca="false">IF(OR(AE76=0,T76=""),"",AY76*HoursPerDay-T76)</f>
        <v/>
      </c>
      <c r="AC76" s="12" t="str">
        <f aca="false">IF(AE76=0,"",BA76)</f>
        <v/>
      </c>
      <c r="AD76" s="12" t="str">
        <f aca="false">IF(AE76=0,"",TRIM(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IF(AE76=0,"",IF($J76&lt;&gt;"",$J76,$F76))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15"/>
      <c r="B77" s="15"/>
      <c r="C77" s="15"/>
      <c r="D77" s="16"/>
      <c r="E77" s="10" t="str">
        <f aca="false">IF(OR(AE77=0,$D77=""),"",DATE(YEAR(AsOfDate)+IF(DATE(YEAR(AsOfDate),MONTH($D77),DAY($D77))&lt;=AsOfDate,1,0),MONTH($D77),DAY($D77)))</f>
        <v/>
      </c>
      <c r="F77" s="16"/>
      <c r="G77" s="16"/>
      <c r="H77" s="16"/>
      <c r="I77" s="16"/>
      <c r="J77" s="16"/>
      <c r="K77" s="10" t="str">
        <f aca="false">IF(AE77=0,"",DATE(YEAR(AsOfDate)+IF(DATE(YEAR(AsOfDate),MONTH($F77),DAY($F77))&lt;=AsOfDate,1,0),MONTH($F77),DAY($F77)))</f>
        <v/>
      </c>
      <c r="L77" s="11" t="str">
        <f aca="false">IF(AE77=0,"",ROUND((AsOfDate-$F77)/365.25,1))</f>
        <v/>
      </c>
      <c r="M77" s="12" t="str">
        <f aca="false">IF(AE77=0,"",IF(AsOfDate&lt;AF77,"-",DATEDIF(AF77,AsOfDate,"y")&amp;"y "&amp;DATEDIF(AF77,AsOfDate,"ym")&amp;"m "&amp;DATEDIF(AF77,AsOfDate,"md")&amp;"d"))</f>
        <v/>
      </c>
      <c r="N77" s="13" t="str">
        <f aca="false">IF(AE77=0,"",O77*HoursPerDay)</f>
        <v/>
      </c>
      <c r="O77" s="13" t="str">
        <f aca="false">IF(AE77=0,"",AX77)</f>
        <v/>
      </c>
      <c r="P77" s="17"/>
      <c r="Q77" s="12"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IF(OR(AE77=0,W77=""),"",W77-U77+V77)</f>
        <v/>
      </c>
      <c r="U77" s="13" t="str">
        <f aca="false">IF(AE77=0,"",IF(NOT(LH_Ready),"",SUMIFS(INDEX(LH_Data,0,LH_ColAcc),INDEX(LH_Data,0,LH_ColFirst),$A77,INDEX(LH_Data,0,LH_ColSur),$B77,INDEX(LH_Data,0,LH_ColCat),BonusCat)*UnitFactor))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IF(AE77=0,"",X77-N(U77))</f>
        <v/>
      </c>
      <c r="Z77" s="12" t="str">
        <f aca="false">IF(AE77=0,"",IF(Y77&gt;0,"Yes","No"))</f>
        <v/>
      </c>
      <c r="AA77" s="12" t="str">
        <f aca="false">IF(AE77=0,"",IF(NOT(LH_Ready),"Paste Leave History export",IF(Y77&gt;0,"ACCRUE "&amp;TEXT(Y77,"0.##")&amp;" hrs ("&amp;TEXT(Y77/HoursPerDay,"0.##")&amp;" days)"&amp;IF(BA77=0," - no Bonus Leave line in EH yet",""),IF(Y77&lt;0,"CHECK - EH accrued "&amp;TEXT(-Y77,"0.##")&amp;" hrs more than policy",IF(AND(O77&gt;0,BA77=0),"CHECK - policy says "&amp;TEXT(N77,"0.##")&amp;" hrs to date but no Bonus Leave in EH",IF(O77&gt;0,"OK","-"))))))</f>
        <v/>
      </c>
      <c r="AB77" s="13" t="str">
        <f aca="false">IF(OR(AE77=0,T77=""),"",AY77*HoursPerDay-T77)</f>
        <v/>
      </c>
      <c r="AC77" s="12" t="str">
        <f aca="false">IF(AE77=0,"",BA77)</f>
        <v/>
      </c>
      <c r="AD77" s="12" t="str">
        <f aca="false">IF(AE77=0,"",TRIM(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IF(AE77=0,"",IF($J77&lt;&gt;"",$J77,$F77))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15"/>
      <c r="B78" s="15"/>
      <c r="C78" s="15"/>
      <c r="D78" s="16"/>
      <c r="E78" s="10" t="str">
        <f aca="false">IF(OR(AE78=0,$D78=""),"",DATE(YEAR(AsOfDate)+IF(DATE(YEAR(AsOfDate),MONTH($D78),DAY($D78))&lt;=AsOfDate,1,0),MONTH($D78),DAY($D78)))</f>
        <v/>
      </c>
      <c r="F78" s="16"/>
      <c r="G78" s="16"/>
      <c r="H78" s="16"/>
      <c r="I78" s="16"/>
      <c r="J78" s="16"/>
      <c r="K78" s="10" t="str">
        <f aca="false">IF(AE78=0,"",DATE(YEAR(AsOfDate)+IF(DATE(YEAR(AsOfDate),MONTH($F78),DAY($F78))&lt;=AsOfDate,1,0),MONTH($F78),DAY($F78)))</f>
        <v/>
      </c>
      <c r="L78" s="11" t="str">
        <f aca="false">IF(AE78=0,"",ROUND((AsOfDate-$F78)/365.25,1))</f>
        <v/>
      </c>
      <c r="M78" s="12" t="str">
        <f aca="false">IF(AE78=0,"",IF(AsOfDate&lt;AF78,"-",DATEDIF(AF78,AsOfDate,"y")&amp;"y "&amp;DATEDIF(AF78,AsOfDate,"ym")&amp;"m "&amp;DATEDIF(AF78,AsOfDate,"md")&amp;"d"))</f>
        <v/>
      </c>
      <c r="N78" s="13" t="str">
        <f aca="false">IF(AE78=0,"",O78*HoursPerDay)</f>
        <v/>
      </c>
      <c r="O78" s="13" t="str">
        <f aca="false">IF(AE78=0,"",AX78)</f>
        <v/>
      </c>
      <c r="P78" s="17"/>
      <c r="Q78" s="12"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IF(OR(AE78=0,W78=""),"",W78-U78+V78)</f>
        <v/>
      </c>
      <c r="U78" s="13" t="str">
        <f aca="false">IF(AE78=0,"",IF(NOT(LH_Ready),"",SUMIFS(INDEX(LH_Data,0,LH_ColAcc),INDEX(LH_Data,0,LH_ColFirst),$A78,INDEX(LH_Data,0,LH_ColSur),$B78,INDEX(LH_Data,0,LH_ColCat),BonusCat)*UnitFactor))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IF(AE78=0,"",X78-N(U78))</f>
        <v/>
      </c>
      <c r="Z78" s="12" t="str">
        <f aca="false">IF(AE78=0,"",IF(Y78&gt;0,"Yes","No"))</f>
        <v/>
      </c>
      <c r="AA78" s="12" t="str">
        <f aca="false">IF(AE78=0,"",IF(NOT(LH_Ready),"Paste Leave History export",IF(Y78&gt;0,"ACCRUE "&amp;TEXT(Y78,"0.##")&amp;" hrs ("&amp;TEXT(Y78/HoursPerDay,"0.##")&amp;" days)"&amp;IF(BA78=0," - no Bonus Leave line in EH yet",""),IF(Y78&lt;0,"CHECK - EH accrued "&amp;TEXT(-Y78,"0.##")&amp;" hrs more than policy",IF(AND(O78&gt;0,BA78=0),"CHECK - policy says "&amp;TEXT(N78,"0.##")&amp;" hrs to date but no Bonus Leave in EH",IF(O78&gt;0,"OK","-"))))))</f>
        <v/>
      </c>
      <c r="AB78" s="13" t="str">
        <f aca="false">IF(OR(AE78=0,T78=""),"",AY78*HoursPerDay-T78)</f>
        <v/>
      </c>
      <c r="AC78" s="12" t="str">
        <f aca="false">IF(AE78=0,"",BA78)</f>
        <v/>
      </c>
      <c r="AD78" s="12" t="str">
        <f aca="false">IF(AE78=0,"",TRIM(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IF(AE78=0,"",IF($J78&lt;&gt;"",$J78,$F78))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15"/>
      <c r="B79" s="15"/>
      <c r="C79" s="15"/>
      <c r="D79" s="16"/>
      <c r="E79" s="10" t="str">
        <f aca="false">IF(OR(AE79=0,$D79=""),"",DATE(YEAR(AsOfDate)+IF(DATE(YEAR(AsOfDate),MONTH($D79),DAY($D79))&lt;=AsOfDate,1,0),MONTH($D79),DAY($D79)))</f>
        <v/>
      </c>
      <c r="F79" s="16"/>
      <c r="G79" s="16"/>
      <c r="H79" s="16"/>
      <c r="I79" s="16"/>
      <c r="J79" s="16"/>
      <c r="K79" s="10" t="str">
        <f aca="false">IF(AE79=0,"",DATE(YEAR(AsOfDate)+IF(DATE(YEAR(AsOfDate),MONTH($F79),DAY($F79))&lt;=AsOfDate,1,0),MONTH($F79),DAY($F79)))</f>
        <v/>
      </c>
      <c r="L79" s="11" t="str">
        <f aca="false">IF(AE79=0,"",ROUND((AsOfDate-$F79)/365.25,1))</f>
        <v/>
      </c>
      <c r="M79" s="12" t="str">
        <f aca="false">IF(AE79=0,"",IF(AsOfDate&lt;AF79,"-",DATEDIF(AF79,AsOfDate,"y")&amp;"y "&amp;DATEDIF(AF79,AsOfDate,"ym")&amp;"m "&amp;DATEDIF(AF79,AsOfDate,"md")&amp;"d"))</f>
        <v/>
      </c>
      <c r="N79" s="13" t="str">
        <f aca="false">IF(AE79=0,"",O79*HoursPerDay)</f>
        <v/>
      </c>
      <c r="O79" s="13" t="str">
        <f aca="false">IF(AE79=0,"",AX79)</f>
        <v/>
      </c>
      <c r="P79" s="17"/>
      <c r="Q79" s="12"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IF(OR(AE79=0,W79=""),"",W79-U79+V79)</f>
        <v/>
      </c>
      <c r="U79" s="13" t="str">
        <f aca="false">IF(AE79=0,"",IF(NOT(LH_Ready),"",SUMIFS(INDEX(LH_Data,0,LH_ColAcc),INDEX(LH_Data,0,LH_ColFirst),$A79,INDEX(LH_Data,0,LH_ColSur),$B79,INDEX(LH_Data,0,LH_ColCat),BonusCat)*UnitFactor))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IF(AE79=0,"",X79-N(U79))</f>
        <v/>
      </c>
      <c r="Z79" s="12" t="str">
        <f aca="false">IF(AE79=0,"",IF(Y79&gt;0,"Yes","No"))</f>
        <v/>
      </c>
      <c r="AA79" s="12" t="str">
        <f aca="false">IF(AE79=0,"",IF(NOT(LH_Ready),"Paste Leave History export",IF(Y79&gt;0,"ACCRUE "&amp;TEXT(Y79,"0.##")&amp;" hrs ("&amp;TEXT(Y79/HoursPerDay,"0.##")&amp;" days)"&amp;IF(BA79=0," - no Bonus Leave line in EH yet",""),IF(Y79&lt;0,"CHECK - EH accrued "&amp;TEXT(-Y79,"0.##")&amp;" hrs more than policy",IF(AND(O79&gt;0,BA79=0),"CHECK - policy says "&amp;TEXT(N79,"0.##")&amp;" hrs to date but no Bonus Leave in EH",IF(O79&gt;0,"OK","-"))))))</f>
        <v/>
      </c>
      <c r="AB79" s="13" t="str">
        <f aca="false">IF(OR(AE79=0,T79=""),"",AY79*HoursPerDay-T79)</f>
        <v/>
      </c>
      <c r="AC79" s="12" t="str">
        <f aca="false">IF(AE79=0,"",BA79)</f>
        <v/>
      </c>
      <c r="AD79" s="12" t="str">
        <f aca="false">IF(AE79=0,"",TRIM(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IF(AE79=0,"",IF($J79&lt;&gt;"",$J79,$F79))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15"/>
      <c r="B80" s="15"/>
      <c r="C80" s="15"/>
      <c r="D80" s="16"/>
      <c r="E80" s="10" t="str">
        <f aca="false">IF(OR(AE80=0,$D80=""),"",DATE(YEAR(AsOfDate)+IF(DATE(YEAR(AsOfDate),MONTH($D80),DAY($D80))&lt;=AsOfDate,1,0),MONTH($D80),DAY($D80)))</f>
        <v/>
      </c>
      <c r="F80" s="16"/>
      <c r="G80" s="16"/>
      <c r="H80" s="16"/>
      <c r="I80" s="16"/>
      <c r="J80" s="16"/>
      <c r="K80" s="10" t="str">
        <f aca="false">IF(AE80=0,"",DATE(YEAR(AsOfDate)+IF(DATE(YEAR(AsOfDate),MONTH($F80),DAY($F80))&lt;=AsOfDate,1,0),MONTH($F80),DAY($F80)))</f>
        <v/>
      </c>
      <c r="L80" s="11" t="str">
        <f aca="false">IF(AE80=0,"",ROUND((AsOfDate-$F80)/365.25,1))</f>
        <v/>
      </c>
      <c r="M80" s="12" t="str">
        <f aca="false">IF(AE80=0,"",IF(AsOfDate&lt;AF80,"-",DATEDIF(AF80,AsOfDate,"y")&amp;"y "&amp;DATEDIF(AF80,AsOfDate,"ym")&amp;"m "&amp;DATEDIF(AF80,AsOfDate,"md")&amp;"d"))</f>
        <v/>
      </c>
      <c r="N80" s="13" t="str">
        <f aca="false">IF(AE80=0,"",O80*HoursPerDay)</f>
        <v/>
      </c>
      <c r="O80" s="13" t="str">
        <f aca="false">IF(AE80=0,"",AX80)</f>
        <v/>
      </c>
      <c r="P80" s="17"/>
      <c r="Q80" s="12"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IF(OR(AE80=0,W80=""),"",W80-U80+V80)</f>
        <v/>
      </c>
      <c r="U80" s="13" t="str">
        <f aca="false">IF(AE80=0,"",IF(NOT(LH_Ready),"",SUMIFS(INDEX(LH_Data,0,LH_ColAcc),INDEX(LH_Data,0,LH_ColFirst),$A80,INDEX(LH_Data,0,LH_ColSur),$B80,INDEX(LH_Data,0,LH_ColCat),BonusCat)*UnitFactor))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IF(AE80=0,"",X80-N(U80))</f>
        <v/>
      </c>
      <c r="Z80" s="12" t="str">
        <f aca="false">IF(AE80=0,"",IF(Y80&gt;0,"Yes","No"))</f>
        <v/>
      </c>
      <c r="AA80" s="12" t="str">
        <f aca="false">IF(AE80=0,"",IF(NOT(LH_Ready),"Paste Leave History export",IF(Y80&gt;0,"ACCRUE "&amp;TEXT(Y80,"0.##")&amp;" hrs ("&amp;TEXT(Y80/HoursPerDay,"0.##")&amp;" days)"&amp;IF(BA80=0," - no Bonus Leave line in EH yet",""),IF(Y80&lt;0,"CHECK - EH accrued "&amp;TEXT(-Y80,"0.##")&amp;" hrs more than policy",IF(AND(O80&gt;0,BA80=0),"CHECK - policy says "&amp;TEXT(N80,"0.##")&amp;" hrs to date but no Bonus Leave in EH",IF(O80&gt;0,"OK","-"))))))</f>
        <v/>
      </c>
      <c r="AB80" s="13" t="str">
        <f aca="false">IF(OR(AE80=0,T80=""),"",AY80*HoursPerDay-T80)</f>
        <v/>
      </c>
      <c r="AC80" s="12" t="str">
        <f aca="false">IF(AE80=0,"",BA80)</f>
        <v/>
      </c>
      <c r="AD80" s="12" t="str">
        <f aca="false">IF(AE80=0,"",TRIM(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IF(AE80=0,"",IF($J80&lt;&gt;"",$J80,$F80))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15"/>
      <c r="B81" s="15"/>
      <c r="C81" s="15"/>
      <c r="D81" s="16"/>
      <c r="E81" s="10" t="str">
        <f aca="false">IF(OR(AE81=0,$D81=""),"",DATE(YEAR(AsOfDate)+IF(DATE(YEAR(AsOfDate),MONTH($D81),DAY($D81))&lt;=AsOfDate,1,0),MONTH($D81),DAY($D81)))</f>
        <v/>
      </c>
      <c r="F81" s="16"/>
      <c r="G81" s="16"/>
      <c r="H81" s="16"/>
      <c r="I81" s="16"/>
      <c r="J81" s="16"/>
      <c r="K81" s="10" t="str">
        <f aca="false">IF(AE81=0,"",DATE(YEAR(AsOfDate)+IF(DATE(YEAR(AsOfDate),MONTH($F81),DAY($F81))&lt;=AsOfDate,1,0),MONTH($F81),DAY($F81)))</f>
        <v/>
      </c>
      <c r="L81" s="11" t="str">
        <f aca="false">IF(AE81=0,"",ROUND((AsOfDate-$F81)/365.25,1))</f>
        <v/>
      </c>
      <c r="M81" s="12" t="str">
        <f aca="false">IF(AE81=0,"",IF(AsOfDate&lt;AF81,"-",DATEDIF(AF81,AsOfDate,"y")&amp;"y "&amp;DATEDIF(AF81,AsOfDate,"ym")&amp;"m "&amp;DATEDIF(AF81,AsOfDate,"md")&amp;"d"))</f>
        <v/>
      </c>
      <c r="N81" s="13" t="str">
        <f aca="false">IF(AE81=0,"",O81*HoursPerDay)</f>
        <v/>
      </c>
      <c r="O81" s="13" t="str">
        <f aca="false">IF(AE81=0,"",AX81)</f>
        <v/>
      </c>
      <c r="P81" s="17"/>
      <c r="Q81" s="12"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IF(OR(AE81=0,W81=""),"",W81-U81+V81)</f>
        <v/>
      </c>
      <c r="U81" s="13" t="str">
        <f aca="false">IF(AE81=0,"",IF(NOT(LH_Ready),"",SUMIFS(INDEX(LH_Data,0,LH_ColAcc),INDEX(LH_Data,0,LH_ColFirst),$A81,INDEX(LH_Data,0,LH_ColSur),$B81,INDEX(LH_Data,0,LH_ColCat),BonusCat)*UnitFactor))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IF(AE81=0,"",X81-N(U81))</f>
        <v/>
      </c>
      <c r="Z81" s="12" t="str">
        <f aca="false">IF(AE81=0,"",IF(Y81&gt;0,"Yes","No"))</f>
        <v/>
      </c>
      <c r="AA81" s="12" t="str">
        <f aca="false">IF(AE81=0,"",IF(NOT(LH_Ready),"Paste Leave History export",IF(Y81&gt;0,"ACCRUE "&amp;TEXT(Y81,"0.##")&amp;" hrs ("&amp;TEXT(Y81/HoursPerDay,"0.##")&amp;" days)"&amp;IF(BA81=0," - no Bonus Leave line in EH yet",""),IF(Y81&lt;0,"CHECK - EH accrued "&amp;TEXT(-Y81,"0.##")&amp;" hrs more than policy",IF(AND(O81&gt;0,BA81=0),"CHECK - policy says "&amp;TEXT(N81,"0.##")&amp;" hrs to date but no Bonus Leave in EH",IF(O81&gt;0,"OK","-"))))))</f>
        <v/>
      </c>
      <c r="AB81" s="13" t="str">
        <f aca="false">IF(OR(AE81=0,T81=""),"",AY81*HoursPerDay-T81)</f>
        <v/>
      </c>
      <c r="AC81" s="12" t="str">
        <f aca="false">IF(AE81=0,"",BA81)</f>
        <v/>
      </c>
      <c r="AD81" s="12" t="str">
        <f aca="false">IF(AE81=0,"",TRIM(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IF(AE81=0,"",IF($J81&lt;&gt;"",$J81,$F81))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15"/>
      <c r="B82" s="15"/>
      <c r="C82" s="15"/>
      <c r="D82" s="16"/>
      <c r="E82" s="10" t="str">
        <f aca="false">IF(OR(AE82=0,$D82=""),"",DATE(YEAR(AsOfDate)+IF(DATE(YEAR(AsOfDate),MONTH($D82),DAY($D82))&lt;=AsOfDate,1,0),MONTH($D82),DAY($D82)))</f>
        <v/>
      </c>
      <c r="F82" s="16"/>
      <c r="G82" s="16"/>
      <c r="H82" s="16"/>
      <c r="I82" s="16"/>
      <c r="J82" s="16"/>
      <c r="K82" s="10" t="str">
        <f aca="false">IF(AE82=0,"",DATE(YEAR(AsOfDate)+IF(DATE(YEAR(AsOfDate),MONTH($F82),DAY($F82))&lt;=AsOfDate,1,0),MONTH($F82),DAY($F82)))</f>
        <v/>
      </c>
      <c r="L82" s="11" t="str">
        <f aca="false">IF(AE82=0,"",ROUND((AsOfDate-$F82)/365.25,1))</f>
        <v/>
      </c>
      <c r="M82" s="12" t="str">
        <f aca="false">IF(AE82=0,"",IF(AsOfDate&lt;AF82,"-",DATEDIF(AF82,AsOfDate,"y")&amp;"y "&amp;DATEDIF(AF82,AsOfDate,"ym")&amp;"m "&amp;DATEDIF(AF82,AsOfDate,"md")&amp;"d"))</f>
        <v/>
      </c>
      <c r="N82" s="13" t="str">
        <f aca="false">IF(AE82=0,"",O82*HoursPerDay)</f>
        <v/>
      </c>
      <c r="O82" s="13" t="str">
        <f aca="false">IF(AE82=0,"",AX82)</f>
        <v/>
      </c>
      <c r="P82" s="17"/>
      <c r="Q82" s="12"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IF(OR(AE82=0,W82=""),"",W82-U82+V82)</f>
        <v/>
      </c>
      <c r="U82" s="13" t="str">
        <f aca="false">IF(AE82=0,"",IF(NOT(LH_Ready),"",SUMIFS(INDEX(LH_Data,0,LH_ColAcc),INDEX(LH_Data,0,LH_ColFirst),$A82,INDEX(LH_Data,0,LH_ColSur),$B82,INDEX(LH_Data,0,LH_ColCat),BonusCat)*UnitFactor))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IF(AE82=0,"",X82-N(U82))</f>
        <v/>
      </c>
      <c r="Z82" s="12" t="str">
        <f aca="false">IF(AE82=0,"",IF(Y82&gt;0,"Yes","No"))</f>
        <v/>
      </c>
      <c r="AA82" s="12" t="str">
        <f aca="false">IF(AE82=0,"",IF(NOT(LH_Ready),"Paste Leave History export",IF(Y82&gt;0,"ACCRUE "&amp;TEXT(Y82,"0.##")&amp;" hrs ("&amp;TEXT(Y82/HoursPerDay,"0.##")&amp;" days)"&amp;IF(BA82=0," - no Bonus Leave line in EH yet",""),IF(Y82&lt;0,"CHECK - EH accrued "&amp;TEXT(-Y82,"0.##")&amp;" hrs more than policy",IF(AND(O82&gt;0,BA82=0),"CHECK - policy says "&amp;TEXT(N82,"0.##")&amp;" hrs to date but no Bonus Leave in EH",IF(O82&gt;0,"OK","-"))))))</f>
        <v/>
      </c>
      <c r="AB82" s="13" t="str">
        <f aca="false">IF(OR(AE82=0,T82=""),"",AY82*HoursPerDay-T82)</f>
        <v/>
      </c>
      <c r="AC82" s="12" t="str">
        <f aca="false">IF(AE82=0,"",BA82)</f>
        <v/>
      </c>
      <c r="AD82" s="12" t="str">
        <f aca="false">IF(AE82=0,"",TRIM(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IF(AE82=0,"",IF($J82&lt;&gt;"",$J82,$F82))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15"/>
      <c r="B83" s="15"/>
      <c r="C83" s="15"/>
      <c r="D83" s="16"/>
      <c r="E83" s="10" t="str">
        <f aca="false">IF(OR(AE83=0,$D83=""),"",DATE(YEAR(AsOfDate)+IF(DATE(YEAR(AsOfDate),MONTH($D83),DAY($D83))&lt;=AsOfDate,1,0),MONTH($D83),DAY($D83)))</f>
        <v/>
      </c>
      <c r="F83" s="16"/>
      <c r="G83" s="16"/>
      <c r="H83" s="16"/>
      <c r="I83" s="16"/>
      <c r="J83" s="16"/>
      <c r="K83" s="10" t="str">
        <f aca="false">IF(AE83=0,"",DATE(YEAR(AsOfDate)+IF(DATE(YEAR(AsOfDate),MONTH($F83),DAY($F83))&lt;=AsOfDate,1,0),MONTH($F83),DAY($F83)))</f>
        <v/>
      </c>
      <c r="L83" s="11" t="str">
        <f aca="false">IF(AE83=0,"",ROUND((AsOfDate-$F83)/365.25,1))</f>
        <v/>
      </c>
      <c r="M83" s="12" t="str">
        <f aca="false">IF(AE83=0,"",IF(AsOfDate&lt;AF83,"-",DATEDIF(AF83,AsOfDate,"y")&amp;"y "&amp;DATEDIF(AF83,AsOfDate,"ym")&amp;"m "&amp;DATEDIF(AF83,AsOfDate,"md")&amp;"d"))</f>
        <v/>
      </c>
      <c r="N83" s="13" t="str">
        <f aca="false">IF(AE83=0,"",O83*HoursPerDay)</f>
        <v/>
      </c>
      <c r="O83" s="13" t="str">
        <f aca="false">IF(AE83=0,"",AX83)</f>
        <v/>
      </c>
      <c r="P83" s="17"/>
      <c r="Q83" s="12"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IF(OR(AE83=0,W83=""),"",W83-U83+V83)</f>
        <v/>
      </c>
      <c r="U83" s="13" t="str">
        <f aca="false">IF(AE83=0,"",IF(NOT(LH_Ready),"",SUMIFS(INDEX(LH_Data,0,LH_ColAcc),INDEX(LH_Data,0,LH_ColFirst),$A83,INDEX(LH_Data,0,LH_ColSur),$B83,INDEX(LH_Data,0,LH_ColCat),BonusCat)*UnitFactor))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IF(AE83=0,"",X83-N(U83))</f>
        <v/>
      </c>
      <c r="Z83" s="12" t="str">
        <f aca="false">IF(AE83=0,"",IF(Y83&gt;0,"Yes","No"))</f>
        <v/>
      </c>
      <c r="AA83" s="12" t="str">
        <f aca="false">IF(AE83=0,"",IF(NOT(LH_Ready),"Paste Leave History export",IF(Y83&gt;0,"ACCRUE "&amp;TEXT(Y83,"0.##")&amp;" hrs ("&amp;TEXT(Y83/HoursPerDay,"0.##")&amp;" days)"&amp;IF(BA83=0," - no Bonus Leave line in EH yet",""),IF(Y83&lt;0,"CHECK - EH accrued "&amp;TEXT(-Y83,"0.##")&amp;" hrs more than policy",IF(AND(O83&gt;0,BA83=0),"CHECK - policy says "&amp;TEXT(N83,"0.##")&amp;" hrs to date but no Bonus Leave in EH",IF(O83&gt;0,"OK","-"))))))</f>
        <v/>
      </c>
      <c r="AB83" s="13" t="str">
        <f aca="false">IF(OR(AE83=0,T83=""),"",AY83*HoursPerDay-T83)</f>
        <v/>
      </c>
      <c r="AC83" s="12" t="str">
        <f aca="false">IF(AE83=0,"",BA83)</f>
        <v/>
      </c>
      <c r="AD83" s="12" t="str">
        <f aca="false">IF(AE83=0,"",TRIM(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IF(AE83=0,"",IF($J83&lt;&gt;"",$J83,$F83))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15"/>
      <c r="B84" s="15"/>
      <c r="C84" s="15"/>
      <c r="D84" s="16"/>
      <c r="E84" s="10" t="str">
        <f aca="false">IF(OR(AE84=0,$D84=""),"",DATE(YEAR(AsOfDate)+IF(DATE(YEAR(AsOfDate),MONTH($D84),DAY($D84))&lt;=AsOfDate,1,0),MONTH($D84),DAY($D84)))</f>
        <v/>
      </c>
      <c r="F84" s="16"/>
      <c r="G84" s="16"/>
      <c r="H84" s="16"/>
      <c r="I84" s="16"/>
      <c r="J84" s="16"/>
      <c r="K84" s="10" t="str">
        <f aca="false">IF(AE84=0,"",DATE(YEAR(AsOfDate)+IF(DATE(YEAR(AsOfDate),MONTH($F84),DAY($F84))&lt;=AsOfDate,1,0),MONTH($F84),DAY($F84)))</f>
        <v/>
      </c>
      <c r="L84" s="11" t="str">
        <f aca="false">IF(AE84=0,"",ROUND((AsOfDate-$F84)/365.25,1))</f>
        <v/>
      </c>
      <c r="M84" s="12" t="str">
        <f aca="false">IF(AE84=0,"",IF(AsOfDate&lt;AF84,"-",DATEDIF(AF84,AsOfDate,"y")&amp;"y "&amp;DATEDIF(AF84,AsOfDate,"ym")&amp;"m "&amp;DATEDIF(AF84,AsOfDate,"md")&amp;"d"))</f>
        <v/>
      </c>
      <c r="N84" s="13" t="str">
        <f aca="false">IF(AE84=0,"",O84*HoursPerDay)</f>
        <v/>
      </c>
      <c r="O84" s="13" t="str">
        <f aca="false">IF(AE84=0,"",AX84)</f>
        <v/>
      </c>
      <c r="P84" s="17"/>
      <c r="Q84" s="12"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IF(OR(AE84=0,W84=""),"",W84-U84+V84)</f>
        <v/>
      </c>
      <c r="U84" s="13" t="str">
        <f aca="false">IF(AE84=0,"",IF(NOT(LH_Ready),"",SUMIFS(INDEX(LH_Data,0,LH_ColAcc),INDEX(LH_Data,0,LH_ColFirst),$A84,INDEX(LH_Data,0,LH_ColSur),$B84,INDEX(LH_Data,0,LH_ColCat),BonusCat)*UnitFactor))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IF(AE84=0,"",X84-N(U84))</f>
        <v/>
      </c>
      <c r="Z84" s="12" t="str">
        <f aca="false">IF(AE84=0,"",IF(Y84&gt;0,"Yes","No"))</f>
        <v/>
      </c>
      <c r="AA84" s="12" t="str">
        <f aca="false">IF(AE84=0,"",IF(NOT(LH_Ready),"Paste Leave History export",IF(Y84&gt;0,"ACCRUE "&amp;TEXT(Y84,"0.##")&amp;" hrs ("&amp;TEXT(Y84/HoursPerDay,"0.##")&amp;" days)"&amp;IF(BA84=0," - no Bonus Leave line in EH yet",""),IF(Y84&lt;0,"CHECK - EH accrued "&amp;TEXT(-Y84,"0.##")&amp;" hrs more than policy",IF(AND(O84&gt;0,BA84=0),"CHECK - policy says "&amp;TEXT(N84,"0.##")&amp;" hrs to date but no Bonus Leave in EH",IF(O84&gt;0,"OK","-"))))))</f>
        <v/>
      </c>
      <c r="AB84" s="13" t="str">
        <f aca="false">IF(OR(AE84=0,T84=""),"",AY84*HoursPerDay-T84)</f>
        <v/>
      </c>
      <c r="AC84" s="12" t="str">
        <f aca="false">IF(AE84=0,"",BA84)</f>
        <v/>
      </c>
      <c r="AD84" s="12" t="str">
        <f aca="false">IF(AE84=0,"",TRIM(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IF(AE84=0,"",IF($J84&lt;&gt;"",$J84,$F84))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15"/>
      <c r="B85" s="15"/>
      <c r="C85" s="15"/>
      <c r="D85" s="16"/>
      <c r="E85" s="10" t="str">
        <f aca="false">IF(OR(AE85=0,$D85=""),"",DATE(YEAR(AsOfDate)+IF(DATE(YEAR(AsOfDate),MONTH($D85),DAY($D85))&lt;=AsOfDate,1,0),MONTH($D85),DAY($D85)))</f>
        <v/>
      </c>
      <c r="F85" s="16"/>
      <c r="G85" s="16"/>
      <c r="H85" s="16"/>
      <c r="I85" s="16"/>
      <c r="J85" s="16"/>
      <c r="K85" s="10" t="str">
        <f aca="false">IF(AE85=0,"",DATE(YEAR(AsOfDate)+IF(DATE(YEAR(AsOfDate),MONTH($F85),DAY($F85))&lt;=AsOfDate,1,0),MONTH($F85),DAY($F85)))</f>
        <v/>
      </c>
      <c r="L85" s="11" t="str">
        <f aca="false">IF(AE85=0,"",ROUND((AsOfDate-$F85)/365.25,1))</f>
        <v/>
      </c>
      <c r="M85" s="12" t="str">
        <f aca="false">IF(AE85=0,"",IF(AsOfDate&lt;AF85,"-",DATEDIF(AF85,AsOfDate,"y")&amp;"y "&amp;DATEDIF(AF85,AsOfDate,"ym")&amp;"m "&amp;DATEDIF(AF85,AsOfDate,"md")&amp;"d"))</f>
        <v/>
      </c>
      <c r="N85" s="13" t="str">
        <f aca="false">IF(AE85=0,"",O85*HoursPerDay)</f>
        <v/>
      </c>
      <c r="O85" s="13" t="str">
        <f aca="false">IF(AE85=0,"",AX85)</f>
        <v/>
      </c>
      <c r="P85" s="17"/>
      <c r="Q85" s="12"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IF(OR(AE85=0,W85=""),"",W85-U85+V85)</f>
        <v/>
      </c>
      <c r="U85" s="13" t="str">
        <f aca="false">IF(AE85=0,"",IF(NOT(LH_Ready),"",SUMIFS(INDEX(LH_Data,0,LH_ColAcc),INDEX(LH_Data,0,LH_ColFirst),$A85,INDEX(LH_Data,0,LH_ColSur),$B85,INDEX(LH_Data,0,LH_ColCat),BonusCat)*UnitFactor))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IF(AE85=0,"",X85-N(U85))</f>
        <v/>
      </c>
      <c r="Z85" s="12" t="str">
        <f aca="false">IF(AE85=0,"",IF(Y85&gt;0,"Yes","No"))</f>
        <v/>
      </c>
      <c r="AA85" s="12" t="str">
        <f aca="false">IF(AE85=0,"",IF(NOT(LH_Ready),"Paste Leave History export",IF(Y85&gt;0,"ACCRUE "&amp;TEXT(Y85,"0.##")&amp;" hrs ("&amp;TEXT(Y85/HoursPerDay,"0.##")&amp;" days)"&amp;IF(BA85=0," - no Bonus Leave line in EH yet",""),IF(Y85&lt;0,"CHECK - EH accrued "&amp;TEXT(-Y85,"0.##")&amp;" hrs more than policy",IF(AND(O85&gt;0,BA85=0),"CHECK - policy says "&amp;TEXT(N85,"0.##")&amp;" hrs to date but no Bonus Leave in EH",IF(O85&gt;0,"OK","-"))))))</f>
        <v/>
      </c>
      <c r="AB85" s="13" t="str">
        <f aca="false">IF(OR(AE85=0,T85=""),"",AY85*HoursPerDay-T85)</f>
        <v/>
      </c>
      <c r="AC85" s="12" t="str">
        <f aca="false">IF(AE85=0,"",BA85)</f>
        <v/>
      </c>
      <c r="AD85" s="12" t="str">
        <f aca="false">IF(AE85=0,"",TRIM(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IF(AE85=0,"",IF($J85&lt;&gt;"",$J85,$F85))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15"/>
      <c r="B86" s="15"/>
      <c r="C86" s="15"/>
      <c r="D86" s="16"/>
      <c r="E86" s="10" t="str">
        <f aca="false">IF(OR(AE86=0,$D86=""),"",DATE(YEAR(AsOfDate)+IF(DATE(YEAR(AsOfDate),MONTH($D86),DAY($D86))&lt;=AsOfDate,1,0),MONTH($D86),DAY($D86)))</f>
        <v/>
      </c>
      <c r="F86" s="16"/>
      <c r="G86" s="16"/>
      <c r="H86" s="16"/>
      <c r="I86" s="16"/>
      <c r="J86" s="16"/>
      <c r="K86" s="10" t="str">
        <f aca="false">IF(AE86=0,"",DATE(YEAR(AsOfDate)+IF(DATE(YEAR(AsOfDate),MONTH($F86),DAY($F86))&lt;=AsOfDate,1,0),MONTH($F86),DAY($F86)))</f>
        <v/>
      </c>
      <c r="L86" s="11" t="str">
        <f aca="false">IF(AE86=0,"",ROUND((AsOfDate-$F86)/365.25,1))</f>
        <v/>
      </c>
      <c r="M86" s="12" t="str">
        <f aca="false">IF(AE86=0,"",IF(AsOfDate&lt;AF86,"-",DATEDIF(AF86,AsOfDate,"y")&amp;"y "&amp;DATEDIF(AF86,AsOfDate,"ym")&amp;"m "&amp;DATEDIF(AF86,AsOfDate,"md")&amp;"d"))</f>
        <v/>
      </c>
      <c r="N86" s="13" t="str">
        <f aca="false">IF(AE86=0,"",O86*HoursPerDay)</f>
        <v/>
      </c>
      <c r="O86" s="13" t="str">
        <f aca="false">IF(AE86=0,"",AX86)</f>
        <v/>
      </c>
      <c r="P86" s="17"/>
      <c r="Q86" s="12"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IF(OR(AE86=0,W86=""),"",W86-U86+V86)</f>
        <v/>
      </c>
      <c r="U86" s="13" t="str">
        <f aca="false">IF(AE86=0,"",IF(NOT(LH_Ready),"",SUMIFS(INDEX(LH_Data,0,LH_ColAcc),INDEX(LH_Data,0,LH_ColFirst),$A86,INDEX(LH_Data,0,LH_ColSur),$B86,INDEX(LH_Data,0,LH_ColCat),BonusCat)*UnitFactor))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IF(AE86=0,"",X86-N(U86))</f>
        <v/>
      </c>
      <c r="Z86" s="12" t="str">
        <f aca="false">IF(AE86=0,"",IF(Y86&gt;0,"Yes","No"))</f>
        <v/>
      </c>
      <c r="AA86" s="12" t="str">
        <f aca="false">IF(AE86=0,"",IF(NOT(LH_Ready),"Paste Leave History export",IF(Y86&gt;0,"ACCRUE "&amp;TEXT(Y86,"0.##")&amp;" hrs ("&amp;TEXT(Y86/HoursPerDay,"0.##")&amp;" days)"&amp;IF(BA86=0," - no Bonus Leave line in EH yet",""),IF(Y86&lt;0,"CHECK - EH accrued "&amp;TEXT(-Y86,"0.##")&amp;" hrs more than policy",IF(AND(O86&gt;0,BA86=0),"CHECK - policy says "&amp;TEXT(N86,"0.##")&amp;" hrs to date but no Bonus Leave in EH",IF(O86&gt;0,"OK","-"))))))</f>
        <v/>
      </c>
      <c r="AB86" s="13" t="str">
        <f aca="false">IF(OR(AE86=0,T86=""),"",AY86*HoursPerDay-T86)</f>
        <v/>
      </c>
      <c r="AC86" s="12" t="str">
        <f aca="false">IF(AE86=0,"",BA86)</f>
        <v/>
      </c>
      <c r="AD86" s="12" t="str">
        <f aca="false">IF(AE86=0,"",TRIM(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IF(AE86=0,"",IF($J86&lt;&gt;"",$J86,$F86))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15"/>
      <c r="B87" s="15"/>
      <c r="C87" s="15"/>
      <c r="D87" s="16"/>
      <c r="E87" s="10" t="str">
        <f aca="false">IF(OR(AE87=0,$D87=""),"",DATE(YEAR(AsOfDate)+IF(DATE(YEAR(AsOfDate),MONTH($D87),DAY($D87))&lt;=AsOfDate,1,0),MONTH($D87),DAY($D87)))</f>
        <v/>
      </c>
      <c r="F87" s="16"/>
      <c r="G87" s="16"/>
      <c r="H87" s="16"/>
      <c r="I87" s="16"/>
      <c r="J87" s="16"/>
      <c r="K87" s="10" t="str">
        <f aca="false">IF(AE87=0,"",DATE(YEAR(AsOfDate)+IF(DATE(YEAR(AsOfDate),MONTH($F87),DAY($F87))&lt;=AsOfDate,1,0),MONTH($F87),DAY($F87)))</f>
        <v/>
      </c>
      <c r="L87" s="11" t="str">
        <f aca="false">IF(AE87=0,"",ROUND((AsOfDate-$F87)/365.25,1))</f>
        <v/>
      </c>
      <c r="M87" s="12" t="str">
        <f aca="false">IF(AE87=0,"",IF(AsOfDate&lt;AF87,"-",DATEDIF(AF87,AsOfDate,"y")&amp;"y "&amp;DATEDIF(AF87,AsOfDate,"ym")&amp;"m "&amp;DATEDIF(AF87,AsOfDate,"md")&amp;"d"))</f>
        <v/>
      </c>
      <c r="N87" s="13" t="str">
        <f aca="false">IF(AE87=0,"",O87*HoursPerDay)</f>
        <v/>
      </c>
      <c r="O87" s="13" t="str">
        <f aca="false">IF(AE87=0,"",AX87)</f>
        <v/>
      </c>
      <c r="P87" s="17"/>
      <c r="Q87" s="12"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IF(OR(AE87=0,W87=""),"",W87-U87+V87)</f>
        <v/>
      </c>
      <c r="U87" s="13" t="str">
        <f aca="false">IF(AE87=0,"",IF(NOT(LH_Ready),"",SUMIFS(INDEX(LH_Data,0,LH_ColAcc),INDEX(LH_Data,0,LH_ColFirst),$A87,INDEX(LH_Data,0,LH_ColSur),$B87,INDEX(LH_Data,0,LH_ColCat),BonusCat)*UnitFactor))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IF(AE87=0,"",X87-N(U87))</f>
        <v/>
      </c>
      <c r="Z87" s="12" t="str">
        <f aca="false">IF(AE87=0,"",IF(Y87&gt;0,"Yes","No"))</f>
        <v/>
      </c>
      <c r="AA87" s="12" t="str">
        <f aca="false">IF(AE87=0,"",IF(NOT(LH_Ready),"Paste Leave History export",IF(Y87&gt;0,"ACCRUE "&amp;TEXT(Y87,"0.##")&amp;" hrs ("&amp;TEXT(Y87/HoursPerDay,"0.##")&amp;" days)"&amp;IF(BA87=0," - no Bonus Leave line in EH yet",""),IF(Y87&lt;0,"CHECK - EH accrued "&amp;TEXT(-Y87,"0.##")&amp;" hrs more than policy",IF(AND(O87&gt;0,BA87=0),"CHECK - policy says "&amp;TEXT(N87,"0.##")&amp;" hrs to date but no Bonus Leave in EH",IF(O87&gt;0,"OK","-"))))))</f>
        <v/>
      </c>
      <c r="AB87" s="13" t="str">
        <f aca="false">IF(OR(AE87=0,T87=""),"",AY87*HoursPerDay-T87)</f>
        <v/>
      </c>
      <c r="AC87" s="12" t="str">
        <f aca="false">IF(AE87=0,"",BA87)</f>
        <v/>
      </c>
      <c r="AD87" s="12" t="str">
        <f aca="false">IF(AE87=0,"",TRIM(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IF(AE87=0,"",IF($J87&lt;&gt;"",$J87,$F87))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15"/>
      <c r="B88" s="15"/>
      <c r="C88" s="15"/>
      <c r="D88" s="16"/>
      <c r="E88" s="10" t="str">
        <f aca="false">IF(OR(AE88=0,$D88=""),"",DATE(YEAR(AsOfDate)+IF(DATE(YEAR(AsOfDate),MONTH($D88),DAY($D88))&lt;=AsOfDate,1,0),MONTH($D88),DAY($D88)))</f>
        <v/>
      </c>
      <c r="F88" s="16"/>
      <c r="G88" s="16"/>
      <c r="H88" s="16"/>
      <c r="I88" s="16"/>
      <c r="J88" s="16"/>
      <c r="K88" s="10" t="str">
        <f aca="false">IF(AE88=0,"",DATE(YEAR(AsOfDate)+IF(DATE(YEAR(AsOfDate),MONTH($F88),DAY($F88))&lt;=AsOfDate,1,0),MONTH($F88),DAY($F88)))</f>
        <v/>
      </c>
      <c r="L88" s="11" t="str">
        <f aca="false">IF(AE88=0,"",ROUND((AsOfDate-$F88)/365.25,1))</f>
        <v/>
      </c>
      <c r="M88" s="12" t="str">
        <f aca="false">IF(AE88=0,"",IF(AsOfDate&lt;AF88,"-",DATEDIF(AF88,AsOfDate,"y")&amp;"y "&amp;DATEDIF(AF88,AsOfDate,"ym")&amp;"m "&amp;DATEDIF(AF88,AsOfDate,"md")&amp;"d"))</f>
        <v/>
      </c>
      <c r="N88" s="13" t="str">
        <f aca="false">IF(AE88=0,"",O88*HoursPerDay)</f>
        <v/>
      </c>
      <c r="O88" s="13" t="str">
        <f aca="false">IF(AE88=0,"",AX88)</f>
        <v/>
      </c>
      <c r="P88" s="17"/>
      <c r="Q88" s="12"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IF(OR(AE88=0,W88=""),"",W88-U88+V88)</f>
        <v/>
      </c>
      <c r="U88" s="13" t="str">
        <f aca="false">IF(AE88=0,"",IF(NOT(LH_Ready),"",SUMIFS(INDEX(LH_Data,0,LH_ColAcc),INDEX(LH_Data,0,LH_ColFirst),$A88,INDEX(LH_Data,0,LH_ColSur),$B88,INDEX(LH_Data,0,LH_ColCat),BonusCat)*UnitFactor))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IF(AE88=0,"",X88-N(U88))</f>
        <v/>
      </c>
      <c r="Z88" s="12" t="str">
        <f aca="false">IF(AE88=0,"",IF(Y88&gt;0,"Yes","No"))</f>
        <v/>
      </c>
      <c r="AA88" s="12" t="str">
        <f aca="false">IF(AE88=0,"",IF(NOT(LH_Ready),"Paste Leave History export",IF(Y88&gt;0,"ACCRUE "&amp;TEXT(Y88,"0.##")&amp;" hrs ("&amp;TEXT(Y88/HoursPerDay,"0.##")&amp;" days)"&amp;IF(BA88=0," - no Bonus Leave line in EH yet",""),IF(Y88&lt;0,"CHECK - EH accrued "&amp;TEXT(-Y88,"0.##")&amp;" hrs more than policy",IF(AND(O88&gt;0,BA88=0),"CHECK - policy says "&amp;TEXT(N88,"0.##")&amp;" hrs to date but no Bonus Leave in EH",IF(O88&gt;0,"OK","-"))))))</f>
        <v/>
      </c>
      <c r="AB88" s="13" t="str">
        <f aca="false">IF(OR(AE88=0,T88=""),"",AY88*HoursPerDay-T88)</f>
        <v/>
      </c>
      <c r="AC88" s="12" t="str">
        <f aca="false">IF(AE88=0,"",BA88)</f>
        <v/>
      </c>
      <c r="AD88" s="12" t="str">
        <f aca="false">IF(AE88=0,"",TRIM(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IF(AE88=0,"",IF($J88&lt;&gt;"",$J88,$F88))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15"/>
      <c r="B89" s="15"/>
      <c r="C89" s="15"/>
      <c r="D89" s="16"/>
      <c r="E89" s="10" t="str">
        <f aca="false">IF(OR(AE89=0,$D89=""),"",DATE(YEAR(AsOfDate)+IF(DATE(YEAR(AsOfDate),MONTH($D89),DAY($D89))&lt;=AsOfDate,1,0),MONTH($D89),DAY($D89)))</f>
        <v/>
      </c>
      <c r="F89" s="16"/>
      <c r="G89" s="16"/>
      <c r="H89" s="16"/>
      <c r="I89" s="16"/>
      <c r="J89" s="16"/>
      <c r="K89" s="10" t="str">
        <f aca="false">IF(AE89=0,"",DATE(YEAR(AsOfDate)+IF(DATE(YEAR(AsOfDate),MONTH($F89),DAY($F89))&lt;=AsOfDate,1,0),MONTH($F89),DAY($F89)))</f>
        <v/>
      </c>
      <c r="L89" s="11" t="str">
        <f aca="false">IF(AE89=0,"",ROUND((AsOfDate-$F89)/365.25,1))</f>
        <v/>
      </c>
      <c r="M89" s="12" t="str">
        <f aca="false">IF(AE89=0,"",IF(AsOfDate&lt;AF89,"-",DATEDIF(AF89,AsOfDate,"y")&amp;"y "&amp;DATEDIF(AF89,AsOfDate,"ym")&amp;"m "&amp;DATEDIF(AF89,AsOfDate,"md")&amp;"d"))</f>
        <v/>
      </c>
      <c r="N89" s="13" t="str">
        <f aca="false">IF(AE89=0,"",O89*HoursPerDay)</f>
        <v/>
      </c>
      <c r="O89" s="13" t="str">
        <f aca="false">IF(AE89=0,"",AX89)</f>
        <v/>
      </c>
      <c r="P89" s="17"/>
      <c r="Q89" s="12"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IF(OR(AE89=0,W89=""),"",W89-U89+V89)</f>
        <v/>
      </c>
      <c r="U89" s="13" t="str">
        <f aca="false">IF(AE89=0,"",IF(NOT(LH_Ready),"",SUMIFS(INDEX(LH_Data,0,LH_ColAcc),INDEX(LH_Data,0,LH_ColFirst),$A89,INDEX(LH_Data,0,LH_ColSur),$B89,INDEX(LH_Data,0,LH_ColCat),BonusCat)*UnitFactor))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IF(AE89=0,"",X89-N(U89))</f>
        <v/>
      </c>
      <c r="Z89" s="12" t="str">
        <f aca="false">IF(AE89=0,"",IF(Y89&gt;0,"Yes","No"))</f>
        <v/>
      </c>
      <c r="AA89" s="12" t="str">
        <f aca="false">IF(AE89=0,"",IF(NOT(LH_Ready),"Paste Leave History export",IF(Y89&gt;0,"ACCRUE "&amp;TEXT(Y89,"0.##")&amp;" hrs ("&amp;TEXT(Y89/HoursPerDay,"0.##")&amp;" days)"&amp;IF(BA89=0," - no Bonus Leave line in EH yet",""),IF(Y89&lt;0,"CHECK - EH accrued "&amp;TEXT(-Y89,"0.##")&amp;" hrs more than policy",IF(AND(O89&gt;0,BA89=0),"CHECK - policy says "&amp;TEXT(N89,"0.##")&amp;" hrs to date but no Bonus Leave in EH",IF(O89&gt;0,"OK","-"))))))</f>
        <v/>
      </c>
      <c r="AB89" s="13" t="str">
        <f aca="false">IF(OR(AE89=0,T89=""),"",AY89*HoursPerDay-T89)</f>
        <v/>
      </c>
      <c r="AC89" s="12" t="str">
        <f aca="false">IF(AE89=0,"",BA89)</f>
        <v/>
      </c>
      <c r="AD89" s="12" t="str">
        <f aca="false">IF(AE89=0,"",TRIM(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IF(AE89=0,"",IF($J89&lt;&gt;"",$J89,$F89))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15"/>
      <c r="B90" s="15"/>
      <c r="C90" s="15"/>
      <c r="D90" s="16"/>
      <c r="E90" s="10" t="str">
        <f aca="false">IF(OR(AE90=0,$D90=""),"",DATE(YEAR(AsOfDate)+IF(DATE(YEAR(AsOfDate),MONTH($D90),DAY($D90))&lt;=AsOfDate,1,0),MONTH($D90),DAY($D90)))</f>
        <v/>
      </c>
      <c r="F90" s="16"/>
      <c r="G90" s="16"/>
      <c r="H90" s="16"/>
      <c r="I90" s="16"/>
      <c r="J90" s="16"/>
      <c r="K90" s="10" t="str">
        <f aca="false">IF(AE90=0,"",DATE(YEAR(AsOfDate)+IF(DATE(YEAR(AsOfDate),MONTH($F90),DAY($F90))&lt;=AsOfDate,1,0),MONTH($F90),DAY($F90)))</f>
        <v/>
      </c>
      <c r="L90" s="11" t="str">
        <f aca="false">IF(AE90=0,"",ROUND((AsOfDate-$F90)/365.25,1))</f>
        <v/>
      </c>
      <c r="M90" s="12" t="str">
        <f aca="false">IF(AE90=0,"",IF(AsOfDate&lt;AF90,"-",DATEDIF(AF90,AsOfDate,"y")&amp;"y "&amp;DATEDIF(AF90,AsOfDate,"ym")&amp;"m "&amp;DATEDIF(AF90,AsOfDate,"md")&amp;"d"))</f>
        <v/>
      </c>
      <c r="N90" s="13" t="str">
        <f aca="false">IF(AE90=0,"",O90*HoursPerDay)</f>
        <v/>
      </c>
      <c r="O90" s="13" t="str">
        <f aca="false">IF(AE90=0,"",AX90)</f>
        <v/>
      </c>
      <c r="P90" s="17"/>
      <c r="Q90" s="12"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IF(OR(AE90=0,W90=""),"",W90-U90+V90)</f>
        <v/>
      </c>
      <c r="U90" s="13" t="str">
        <f aca="false">IF(AE90=0,"",IF(NOT(LH_Ready),"",SUMIFS(INDEX(LH_Data,0,LH_ColAcc),INDEX(LH_Data,0,LH_ColFirst),$A90,INDEX(LH_Data,0,LH_ColSur),$B90,INDEX(LH_Data,0,LH_ColCat),BonusCat)*UnitFactor))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IF(AE90=0,"",X90-N(U90))</f>
        <v/>
      </c>
      <c r="Z90" s="12" t="str">
        <f aca="false">IF(AE90=0,"",IF(Y90&gt;0,"Yes","No"))</f>
        <v/>
      </c>
      <c r="AA90" s="12" t="str">
        <f aca="false">IF(AE90=0,"",IF(NOT(LH_Ready),"Paste Leave History export",IF(Y90&gt;0,"ACCRUE "&amp;TEXT(Y90,"0.##")&amp;" hrs ("&amp;TEXT(Y90/HoursPerDay,"0.##")&amp;" days)"&amp;IF(BA90=0," - no Bonus Leave line in EH yet",""),IF(Y90&lt;0,"CHECK - EH accrued "&amp;TEXT(-Y90,"0.##")&amp;" hrs more than policy",IF(AND(O90&gt;0,BA90=0),"CHECK - policy says "&amp;TEXT(N90,"0.##")&amp;" hrs to date but no Bonus Leave in EH",IF(O90&gt;0,"OK","-"))))))</f>
        <v/>
      </c>
      <c r="AB90" s="13" t="str">
        <f aca="false">IF(OR(AE90=0,T90=""),"",AY90*HoursPerDay-T90)</f>
        <v/>
      </c>
      <c r="AC90" s="12" t="str">
        <f aca="false">IF(AE90=0,"",BA90)</f>
        <v/>
      </c>
      <c r="AD90" s="12" t="str">
        <f aca="false">IF(AE90=0,"",TRIM(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IF(AE90=0,"",IF($J90&lt;&gt;"",$J90,$F90))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15"/>
      <c r="B91" s="15"/>
      <c r="C91" s="15"/>
      <c r="D91" s="16"/>
      <c r="E91" s="10" t="str">
        <f aca="false">IF(OR(AE91=0,$D91=""),"",DATE(YEAR(AsOfDate)+IF(DATE(YEAR(AsOfDate),MONTH($D91),DAY($D91))&lt;=AsOfDate,1,0),MONTH($D91),DAY($D91)))</f>
        <v/>
      </c>
      <c r="F91" s="16"/>
      <c r="G91" s="16"/>
      <c r="H91" s="16"/>
      <c r="I91" s="16"/>
      <c r="J91" s="16"/>
      <c r="K91" s="10" t="str">
        <f aca="false">IF(AE91=0,"",DATE(YEAR(AsOfDate)+IF(DATE(YEAR(AsOfDate),MONTH($F91),DAY($F91))&lt;=AsOfDate,1,0),MONTH($F91),DAY($F91)))</f>
        <v/>
      </c>
      <c r="L91" s="11" t="str">
        <f aca="false">IF(AE91=0,"",ROUND((AsOfDate-$F91)/365.25,1))</f>
        <v/>
      </c>
      <c r="M91" s="12" t="str">
        <f aca="false">IF(AE91=0,"",IF(AsOfDate&lt;AF91,"-",DATEDIF(AF91,AsOfDate,"y")&amp;"y "&amp;DATEDIF(AF91,AsOfDate,"ym")&amp;"m "&amp;DATEDIF(AF91,AsOfDate,"md")&amp;"d"))</f>
        <v/>
      </c>
      <c r="N91" s="13" t="str">
        <f aca="false">IF(AE91=0,"",O91*HoursPerDay)</f>
        <v/>
      </c>
      <c r="O91" s="13" t="str">
        <f aca="false">IF(AE91=0,"",AX91)</f>
        <v/>
      </c>
      <c r="P91" s="17"/>
      <c r="Q91" s="12"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IF(OR(AE91=0,W91=""),"",W91-U91+V91)</f>
        <v/>
      </c>
      <c r="U91" s="13" t="str">
        <f aca="false">IF(AE91=0,"",IF(NOT(LH_Ready),"",SUMIFS(INDEX(LH_Data,0,LH_ColAcc),INDEX(LH_Data,0,LH_ColFirst),$A91,INDEX(LH_Data,0,LH_ColSur),$B91,INDEX(LH_Data,0,LH_ColCat),BonusCat)*UnitFactor))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IF(AE91=0,"",X91-N(U91))</f>
        <v/>
      </c>
      <c r="Z91" s="12" t="str">
        <f aca="false">IF(AE91=0,"",IF(Y91&gt;0,"Yes","No"))</f>
        <v/>
      </c>
      <c r="AA91" s="12" t="str">
        <f aca="false">IF(AE91=0,"",IF(NOT(LH_Ready),"Paste Leave History export",IF(Y91&gt;0,"ACCRUE "&amp;TEXT(Y91,"0.##")&amp;" hrs ("&amp;TEXT(Y91/HoursPerDay,"0.##")&amp;" days)"&amp;IF(BA91=0," - no Bonus Leave line in EH yet",""),IF(Y91&lt;0,"CHECK - EH accrued "&amp;TEXT(-Y91,"0.##")&amp;" hrs more than policy",IF(AND(O91&gt;0,BA91=0),"CHECK - policy says "&amp;TEXT(N91,"0.##")&amp;" hrs to date but no Bonus Leave in EH",IF(O91&gt;0,"OK","-"))))))</f>
        <v/>
      </c>
      <c r="AB91" s="13" t="str">
        <f aca="false">IF(OR(AE91=0,T91=""),"",AY91*HoursPerDay-T91)</f>
        <v/>
      </c>
      <c r="AC91" s="12" t="str">
        <f aca="false">IF(AE91=0,"",BA91)</f>
        <v/>
      </c>
      <c r="AD91" s="12" t="str">
        <f aca="false">IF(AE91=0,"",TRIM(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IF(AE91=0,"",IF($J91&lt;&gt;"",$J91,$F91))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15"/>
      <c r="B92" s="15"/>
      <c r="C92" s="15"/>
      <c r="D92" s="16"/>
      <c r="E92" s="10" t="str">
        <f aca="false">IF(OR(AE92=0,$D92=""),"",DATE(YEAR(AsOfDate)+IF(DATE(YEAR(AsOfDate),MONTH($D92),DAY($D92))&lt;=AsOfDate,1,0),MONTH($D92),DAY($D92)))</f>
        <v/>
      </c>
      <c r="F92" s="16"/>
      <c r="G92" s="16"/>
      <c r="H92" s="16"/>
      <c r="I92" s="16"/>
      <c r="J92" s="16"/>
      <c r="K92" s="10" t="str">
        <f aca="false">IF(AE92=0,"",DATE(YEAR(AsOfDate)+IF(DATE(YEAR(AsOfDate),MONTH($F92),DAY($F92))&lt;=AsOfDate,1,0),MONTH($F92),DAY($F92)))</f>
        <v/>
      </c>
      <c r="L92" s="11" t="str">
        <f aca="false">IF(AE92=0,"",ROUND((AsOfDate-$F92)/365.25,1))</f>
        <v/>
      </c>
      <c r="M92" s="12" t="str">
        <f aca="false">IF(AE92=0,"",IF(AsOfDate&lt;AF92,"-",DATEDIF(AF92,AsOfDate,"y")&amp;"y "&amp;DATEDIF(AF92,AsOfDate,"ym")&amp;"m "&amp;DATEDIF(AF92,AsOfDate,"md")&amp;"d"))</f>
        <v/>
      </c>
      <c r="N92" s="13" t="str">
        <f aca="false">IF(AE92=0,"",O92*HoursPerDay)</f>
        <v/>
      </c>
      <c r="O92" s="13" t="str">
        <f aca="false">IF(AE92=0,"",AX92)</f>
        <v/>
      </c>
      <c r="P92" s="17"/>
      <c r="Q92" s="12"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IF(OR(AE92=0,W92=""),"",W92-U92+V92)</f>
        <v/>
      </c>
      <c r="U92" s="13" t="str">
        <f aca="false">IF(AE92=0,"",IF(NOT(LH_Ready),"",SUMIFS(INDEX(LH_Data,0,LH_ColAcc),INDEX(LH_Data,0,LH_ColFirst),$A92,INDEX(LH_Data,0,LH_ColSur),$B92,INDEX(LH_Data,0,LH_ColCat),BonusCat)*UnitFactor))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IF(AE92=0,"",X92-N(U92))</f>
        <v/>
      </c>
      <c r="Z92" s="12" t="str">
        <f aca="false">IF(AE92=0,"",IF(Y92&gt;0,"Yes","No"))</f>
        <v/>
      </c>
      <c r="AA92" s="12" t="str">
        <f aca="false">IF(AE92=0,"",IF(NOT(LH_Ready),"Paste Leave History export",IF(Y92&gt;0,"ACCRUE "&amp;TEXT(Y92,"0.##")&amp;" hrs ("&amp;TEXT(Y92/HoursPerDay,"0.##")&amp;" days)"&amp;IF(BA92=0," - no Bonus Leave line in EH yet",""),IF(Y92&lt;0,"CHECK - EH accrued "&amp;TEXT(-Y92,"0.##")&amp;" hrs more than policy",IF(AND(O92&gt;0,BA92=0),"CHECK - policy says "&amp;TEXT(N92,"0.##")&amp;" hrs to date but no Bonus Leave in EH",IF(O92&gt;0,"OK","-"))))))</f>
        <v/>
      </c>
      <c r="AB92" s="13" t="str">
        <f aca="false">IF(OR(AE92=0,T92=""),"",AY92*HoursPerDay-T92)</f>
        <v/>
      </c>
      <c r="AC92" s="12" t="str">
        <f aca="false">IF(AE92=0,"",BA92)</f>
        <v/>
      </c>
      <c r="AD92" s="12" t="str">
        <f aca="false">IF(AE92=0,"",TRIM(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IF(AE92=0,"",IF($J92&lt;&gt;"",$J92,$F92))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15"/>
      <c r="B93" s="15"/>
      <c r="C93" s="15"/>
      <c r="D93" s="16"/>
      <c r="E93" s="10" t="str">
        <f aca="false">IF(OR(AE93=0,$D93=""),"",DATE(YEAR(AsOfDate)+IF(DATE(YEAR(AsOfDate),MONTH($D93),DAY($D93))&lt;=AsOfDate,1,0),MONTH($D93),DAY($D93)))</f>
        <v/>
      </c>
      <c r="F93" s="16"/>
      <c r="G93" s="16"/>
      <c r="H93" s="16"/>
      <c r="I93" s="16"/>
      <c r="J93" s="16"/>
      <c r="K93" s="10" t="str">
        <f aca="false">IF(AE93=0,"",DATE(YEAR(AsOfDate)+IF(DATE(YEAR(AsOfDate),MONTH($F93),DAY($F93))&lt;=AsOfDate,1,0),MONTH($F93),DAY($F93)))</f>
        <v/>
      </c>
      <c r="L93" s="11" t="str">
        <f aca="false">IF(AE93=0,"",ROUND((AsOfDate-$F93)/365.25,1))</f>
        <v/>
      </c>
      <c r="M93" s="12" t="str">
        <f aca="false">IF(AE93=0,"",IF(AsOfDate&lt;AF93,"-",DATEDIF(AF93,AsOfDate,"y")&amp;"y "&amp;DATEDIF(AF93,AsOfDate,"ym")&amp;"m "&amp;DATEDIF(AF93,AsOfDate,"md")&amp;"d"))</f>
        <v/>
      </c>
      <c r="N93" s="13" t="str">
        <f aca="false">IF(AE93=0,"",O93*HoursPerDay)</f>
        <v/>
      </c>
      <c r="O93" s="13" t="str">
        <f aca="false">IF(AE93=0,"",AX93)</f>
        <v/>
      </c>
      <c r="P93" s="17"/>
      <c r="Q93" s="12"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IF(OR(AE93=0,W93=""),"",W93-U93+V93)</f>
        <v/>
      </c>
      <c r="U93" s="13" t="str">
        <f aca="false">IF(AE93=0,"",IF(NOT(LH_Ready),"",SUMIFS(INDEX(LH_Data,0,LH_ColAcc),INDEX(LH_Data,0,LH_ColFirst),$A93,INDEX(LH_Data,0,LH_ColSur),$B93,INDEX(LH_Data,0,LH_ColCat),BonusCat)*UnitFactor))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IF(AE93=0,"",X93-N(U93))</f>
        <v/>
      </c>
      <c r="Z93" s="12" t="str">
        <f aca="false">IF(AE93=0,"",IF(Y93&gt;0,"Yes","No"))</f>
        <v/>
      </c>
      <c r="AA93" s="12" t="str">
        <f aca="false">IF(AE93=0,"",IF(NOT(LH_Ready),"Paste Leave History export",IF(Y93&gt;0,"ACCRUE "&amp;TEXT(Y93,"0.##")&amp;" hrs ("&amp;TEXT(Y93/HoursPerDay,"0.##")&amp;" days)"&amp;IF(BA93=0," - no Bonus Leave line in EH yet",""),IF(Y93&lt;0,"CHECK - EH accrued "&amp;TEXT(-Y93,"0.##")&amp;" hrs more than policy",IF(AND(O93&gt;0,BA93=0),"CHECK - policy says "&amp;TEXT(N93,"0.##")&amp;" hrs to date but no Bonus Leave in EH",IF(O93&gt;0,"OK","-"))))))</f>
        <v/>
      </c>
      <c r="AB93" s="13" t="str">
        <f aca="false">IF(OR(AE93=0,T93=""),"",AY93*HoursPerDay-T93)</f>
        <v/>
      </c>
      <c r="AC93" s="12" t="str">
        <f aca="false">IF(AE93=0,"",BA93)</f>
        <v/>
      </c>
      <c r="AD93" s="12" t="str">
        <f aca="false">IF(AE93=0,"",TRIM(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IF(AE93=0,"",IF($J93&lt;&gt;"",$J93,$F93))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15"/>
      <c r="B94" s="15"/>
      <c r="C94" s="15"/>
      <c r="D94" s="16"/>
      <c r="E94" s="10" t="str">
        <f aca="false">IF(OR(AE94=0,$D94=""),"",DATE(YEAR(AsOfDate)+IF(DATE(YEAR(AsOfDate),MONTH($D94),DAY($D94))&lt;=AsOfDate,1,0),MONTH($D94),DAY($D94)))</f>
        <v/>
      </c>
      <c r="F94" s="16"/>
      <c r="G94" s="16"/>
      <c r="H94" s="16"/>
      <c r="I94" s="16"/>
      <c r="J94" s="16"/>
      <c r="K94" s="10" t="str">
        <f aca="false">IF(AE94=0,"",DATE(YEAR(AsOfDate)+IF(DATE(YEAR(AsOfDate),MONTH($F94),DAY($F94))&lt;=AsOfDate,1,0),MONTH($F94),DAY($F94)))</f>
        <v/>
      </c>
      <c r="L94" s="11" t="str">
        <f aca="false">IF(AE94=0,"",ROUND((AsOfDate-$F94)/365.25,1))</f>
        <v/>
      </c>
      <c r="M94" s="12" t="str">
        <f aca="false">IF(AE94=0,"",IF(AsOfDate&lt;AF94,"-",DATEDIF(AF94,AsOfDate,"y")&amp;"y "&amp;DATEDIF(AF94,AsOfDate,"ym")&amp;"m "&amp;DATEDIF(AF94,AsOfDate,"md")&amp;"d"))</f>
        <v/>
      </c>
      <c r="N94" s="13" t="str">
        <f aca="false">IF(AE94=0,"",O94*HoursPerDay)</f>
        <v/>
      </c>
      <c r="O94" s="13" t="str">
        <f aca="false">IF(AE94=0,"",AX94)</f>
        <v/>
      </c>
      <c r="P94" s="17"/>
      <c r="Q94" s="12"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IF(OR(AE94=0,W94=""),"",W94-U94+V94)</f>
        <v/>
      </c>
      <c r="U94" s="13" t="str">
        <f aca="false">IF(AE94=0,"",IF(NOT(LH_Ready),"",SUMIFS(INDEX(LH_Data,0,LH_ColAcc),INDEX(LH_Data,0,LH_ColFirst),$A94,INDEX(LH_Data,0,LH_ColSur),$B94,INDEX(LH_Data,0,LH_ColCat),BonusCat)*UnitFactor))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IF(AE94=0,"",X94-N(U94))</f>
        <v/>
      </c>
      <c r="Z94" s="12" t="str">
        <f aca="false">IF(AE94=0,"",IF(Y94&gt;0,"Yes","No"))</f>
        <v/>
      </c>
      <c r="AA94" s="12" t="str">
        <f aca="false">IF(AE94=0,"",IF(NOT(LH_Ready),"Paste Leave History export",IF(Y94&gt;0,"ACCRUE "&amp;TEXT(Y94,"0.##")&amp;" hrs ("&amp;TEXT(Y94/HoursPerDay,"0.##")&amp;" days)"&amp;IF(BA94=0," - no Bonus Leave line in EH yet",""),IF(Y94&lt;0,"CHECK - EH accrued "&amp;TEXT(-Y94,"0.##")&amp;" hrs more than policy",IF(AND(O94&gt;0,BA94=0),"CHECK - policy says "&amp;TEXT(N94,"0.##")&amp;" hrs to date but no Bonus Leave in EH",IF(O94&gt;0,"OK","-"))))))</f>
        <v/>
      </c>
      <c r="AB94" s="13" t="str">
        <f aca="false">IF(OR(AE94=0,T94=""),"",AY94*HoursPerDay-T94)</f>
        <v/>
      </c>
      <c r="AC94" s="12" t="str">
        <f aca="false">IF(AE94=0,"",BA94)</f>
        <v/>
      </c>
      <c r="AD94" s="12" t="str">
        <f aca="false">IF(AE94=0,"",TRIM(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IF(AE94=0,"",IF($J94&lt;&gt;"",$J94,$F94))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15"/>
      <c r="B95" s="15"/>
      <c r="C95" s="15"/>
      <c r="D95" s="16"/>
      <c r="E95" s="10" t="str">
        <f aca="false">IF(OR(AE95=0,$D95=""),"",DATE(YEAR(AsOfDate)+IF(DATE(YEAR(AsOfDate),MONTH($D95),DAY($D95))&lt;=AsOfDate,1,0),MONTH($D95),DAY($D95)))</f>
        <v/>
      </c>
      <c r="F95" s="16"/>
      <c r="G95" s="16"/>
      <c r="H95" s="16"/>
      <c r="I95" s="16"/>
      <c r="J95" s="16"/>
      <c r="K95" s="10" t="str">
        <f aca="false">IF(AE95=0,"",DATE(YEAR(AsOfDate)+IF(DATE(YEAR(AsOfDate),MONTH($F95),DAY($F95))&lt;=AsOfDate,1,0),MONTH($F95),DAY($F95)))</f>
        <v/>
      </c>
      <c r="L95" s="11" t="str">
        <f aca="false">IF(AE95=0,"",ROUND((AsOfDate-$F95)/365.25,1))</f>
        <v/>
      </c>
      <c r="M95" s="12" t="str">
        <f aca="false">IF(AE95=0,"",IF(AsOfDate&lt;AF95,"-",DATEDIF(AF95,AsOfDate,"y")&amp;"y "&amp;DATEDIF(AF95,AsOfDate,"ym")&amp;"m "&amp;DATEDIF(AF95,AsOfDate,"md")&amp;"d"))</f>
        <v/>
      </c>
      <c r="N95" s="13" t="str">
        <f aca="false">IF(AE95=0,"",O95*HoursPerDay)</f>
        <v/>
      </c>
      <c r="O95" s="13" t="str">
        <f aca="false">IF(AE95=0,"",AX95)</f>
        <v/>
      </c>
      <c r="P95" s="17"/>
      <c r="Q95" s="12"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IF(OR(AE95=0,W95=""),"",W95-U95+V95)</f>
        <v/>
      </c>
      <c r="U95" s="13" t="str">
        <f aca="false">IF(AE95=0,"",IF(NOT(LH_Ready),"",SUMIFS(INDEX(LH_Data,0,LH_ColAcc),INDEX(LH_Data,0,LH_ColFirst),$A95,INDEX(LH_Data,0,LH_ColSur),$B95,INDEX(LH_Data,0,LH_ColCat),BonusCat)*UnitFactor))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IF(AE95=0,"",X95-N(U95))</f>
        <v/>
      </c>
      <c r="Z95" s="12" t="str">
        <f aca="false">IF(AE95=0,"",IF(Y95&gt;0,"Yes","No"))</f>
        <v/>
      </c>
      <c r="AA95" s="12" t="str">
        <f aca="false">IF(AE95=0,"",IF(NOT(LH_Ready),"Paste Leave History export",IF(Y95&gt;0,"ACCRUE "&amp;TEXT(Y95,"0.##")&amp;" hrs ("&amp;TEXT(Y95/HoursPerDay,"0.##")&amp;" days)"&amp;IF(BA95=0," - no Bonus Leave line in EH yet",""),IF(Y95&lt;0,"CHECK - EH accrued "&amp;TEXT(-Y95,"0.##")&amp;" hrs more than policy",IF(AND(O95&gt;0,BA95=0),"CHECK - policy says "&amp;TEXT(N95,"0.##")&amp;" hrs to date but no Bonus Leave in EH",IF(O95&gt;0,"OK","-"))))))</f>
        <v/>
      </c>
      <c r="AB95" s="13" t="str">
        <f aca="false">IF(OR(AE95=0,T95=""),"",AY95*HoursPerDay-T95)</f>
        <v/>
      </c>
      <c r="AC95" s="12" t="str">
        <f aca="false">IF(AE95=0,"",BA95)</f>
        <v/>
      </c>
      <c r="AD95" s="12" t="str">
        <f aca="false">IF(AE95=0,"",TRIM(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IF(AE95=0,"",IF($J95&lt;&gt;"",$J95,$F95))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15"/>
      <c r="B96" s="15"/>
      <c r="C96" s="15"/>
      <c r="D96" s="16"/>
      <c r="E96" s="10" t="str">
        <f aca="false">IF(OR(AE96=0,$D96=""),"",DATE(YEAR(AsOfDate)+IF(DATE(YEAR(AsOfDate),MONTH($D96),DAY($D96))&lt;=AsOfDate,1,0),MONTH($D96),DAY($D96)))</f>
        <v/>
      </c>
      <c r="F96" s="16"/>
      <c r="G96" s="16"/>
      <c r="H96" s="16"/>
      <c r="I96" s="16"/>
      <c r="J96" s="16"/>
      <c r="K96" s="10" t="str">
        <f aca="false">IF(AE96=0,"",DATE(YEAR(AsOfDate)+IF(DATE(YEAR(AsOfDate),MONTH($F96),DAY($F96))&lt;=AsOfDate,1,0),MONTH($F96),DAY($F96)))</f>
        <v/>
      </c>
      <c r="L96" s="11" t="str">
        <f aca="false">IF(AE96=0,"",ROUND((AsOfDate-$F96)/365.25,1))</f>
        <v/>
      </c>
      <c r="M96" s="12" t="str">
        <f aca="false">IF(AE96=0,"",IF(AsOfDate&lt;AF96,"-",DATEDIF(AF96,AsOfDate,"y")&amp;"y "&amp;DATEDIF(AF96,AsOfDate,"ym")&amp;"m "&amp;DATEDIF(AF96,AsOfDate,"md")&amp;"d"))</f>
        <v/>
      </c>
      <c r="N96" s="13" t="str">
        <f aca="false">IF(AE96=0,"",O96*HoursPerDay)</f>
        <v/>
      </c>
      <c r="O96" s="13" t="str">
        <f aca="false">IF(AE96=0,"",AX96)</f>
        <v/>
      </c>
      <c r="P96" s="17"/>
      <c r="Q96" s="12"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IF(OR(AE96=0,W96=""),"",W96-U96+V96)</f>
        <v/>
      </c>
      <c r="U96" s="13" t="str">
        <f aca="false">IF(AE96=0,"",IF(NOT(LH_Ready),"",SUMIFS(INDEX(LH_Data,0,LH_ColAcc),INDEX(LH_Data,0,LH_ColFirst),$A96,INDEX(LH_Data,0,LH_ColSur),$B96,INDEX(LH_Data,0,LH_ColCat),BonusCat)*UnitFactor))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IF(AE96=0,"",X96-N(U96))</f>
        <v/>
      </c>
      <c r="Z96" s="12" t="str">
        <f aca="false">IF(AE96=0,"",IF(Y96&gt;0,"Yes","No"))</f>
        <v/>
      </c>
      <c r="AA96" s="12" t="str">
        <f aca="false">IF(AE96=0,"",IF(NOT(LH_Ready),"Paste Leave History export",IF(Y96&gt;0,"ACCRUE "&amp;TEXT(Y96,"0.##")&amp;" hrs ("&amp;TEXT(Y96/HoursPerDay,"0.##")&amp;" days)"&amp;IF(BA96=0," - no Bonus Leave line in EH yet",""),IF(Y96&lt;0,"CHECK - EH accrued "&amp;TEXT(-Y96,"0.##")&amp;" hrs more than policy",IF(AND(O96&gt;0,BA96=0),"CHECK - policy says "&amp;TEXT(N96,"0.##")&amp;" hrs to date but no Bonus Leave in EH",IF(O96&gt;0,"OK","-"))))))</f>
        <v/>
      </c>
      <c r="AB96" s="13" t="str">
        <f aca="false">IF(OR(AE96=0,T96=""),"",AY96*HoursPerDay-T96)</f>
        <v/>
      </c>
      <c r="AC96" s="12" t="str">
        <f aca="false">IF(AE96=0,"",BA96)</f>
        <v/>
      </c>
      <c r="AD96" s="12" t="str">
        <f aca="false">IF(AE96=0,"",TRIM(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IF(AE96=0,"",IF($J96&lt;&gt;"",$J96,$F96))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15"/>
      <c r="B97" s="15"/>
      <c r="C97" s="15"/>
      <c r="D97" s="16"/>
      <c r="E97" s="10" t="str">
        <f aca="false">IF(OR(AE97=0,$D97=""),"",DATE(YEAR(AsOfDate)+IF(DATE(YEAR(AsOfDate),MONTH($D97),DAY($D97))&lt;=AsOfDate,1,0),MONTH($D97),DAY($D97)))</f>
        <v/>
      </c>
      <c r="F97" s="16"/>
      <c r="G97" s="16"/>
      <c r="H97" s="16"/>
      <c r="I97" s="16"/>
      <c r="J97" s="16"/>
      <c r="K97" s="10" t="str">
        <f aca="false">IF(AE97=0,"",DATE(YEAR(AsOfDate)+IF(DATE(YEAR(AsOfDate),MONTH($F97),DAY($F97))&lt;=AsOfDate,1,0),MONTH($F97),DAY($F97)))</f>
        <v/>
      </c>
      <c r="L97" s="11" t="str">
        <f aca="false">IF(AE97=0,"",ROUND((AsOfDate-$F97)/365.25,1))</f>
        <v/>
      </c>
      <c r="M97" s="12" t="str">
        <f aca="false">IF(AE97=0,"",IF(AsOfDate&lt;AF97,"-",DATEDIF(AF97,AsOfDate,"y")&amp;"y "&amp;DATEDIF(AF97,AsOfDate,"ym")&amp;"m "&amp;DATEDIF(AF97,AsOfDate,"md")&amp;"d"))</f>
        <v/>
      </c>
      <c r="N97" s="13" t="str">
        <f aca="false">IF(AE97=0,"",O97*HoursPerDay)</f>
        <v/>
      </c>
      <c r="O97" s="13" t="str">
        <f aca="false">IF(AE97=0,"",AX97)</f>
        <v/>
      </c>
      <c r="P97" s="17"/>
      <c r="Q97" s="12"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IF(OR(AE97=0,W97=""),"",W97-U97+V97)</f>
        <v/>
      </c>
      <c r="U97" s="13" t="str">
        <f aca="false">IF(AE97=0,"",IF(NOT(LH_Ready),"",SUMIFS(INDEX(LH_Data,0,LH_ColAcc),INDEX(LH_Data,0,LH_ColFirst),$A97,INDEX(LH_Data,0,LH_ColSur),$B97,INDEX(LH_Data,0,LH_ColCat),BonusCat)*UnitFactor))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IF(AE97=0,"",X97-N(U97))</f>
        <v/>
      </c>
      <c r="Z97" s="12" t="str">
        <f aca="false">IF(AE97=0,"",IF(Y97&gt;0,"Yes","No"))</f>
        <v/>
      </c>
      <c r="AA97" s="12" t="str">
        <f aca="false">IF(AE97=0,"",IF(NOT(LH_Ready),"Paste Leave History export",IF(Y97&gt;0,"ACCRUE "&amp;TEXT(Y97,"0.##")&amp;" hrs ("&amp;TEXT(Y97/HoursPerDay,"0.##")&amp;" days)"&amp;IF(BA97=0," - no Bonus Leave line in EH yet",""),IF(Y97&lt;0,"CHECK - EH accrued "&amp;TEXT(-Y97,"0.##")&amp;" hrs more than policy",IF(AND(O97&gt;0,BA97=0),"CHECK - policy says "&amp;TEXT(N97,"0.##")&amp;" hrs to date but no Bonus Leave in EH",IF(O97&gt;0,"OK","-"))))))</f>
        <v/>
      </c>
      <c r="AB97" s="13" t="str">
        <f aca="false">IF(OR(AE97=0,T97=""),"",AY97*HoursPerDay-T97)</f>
        <v/>
      </c>
      <c r="AC97" s="12" t="str">
        <f aca="false">IF(AE97=0,"",BA97)</f>
        <v/>
      </c>
      <c r="AD97" s="12" t="str">
        <f aca="false">IF(AE97=0,"",TRIM(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IF(AE97=0,"",IF($J97&lt;&gt;"",$J97,$F97))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15"/>
      <c r="B98" s="15"/>
      <c r="C98" s="15"/>
      <c r="D98" s="16"/>
      <c r="E98" s="10" t="str">
        <f aca="false">IF(OR(AE98=0,$D98=""),"",DATE(YEAR(AsOfDate)+IF(DATE(YEAR(AsOfDate),MONTH($D98),DAY($D98))&lt;=AsOfDate,1,0),MONTH($D98),DAY($D98)))</f>
        <v/>
      </c>
      <c r="F98" s="16"/>
      <c r="G98" s="16"/>
      <c r="H98" s="16"/>
      <c r="I98" s="16"/>
      <c r="J98" s="16"/>
      <c r="K98" s="10" t="str">
        <f aca="false">IF(AE98=0,"",DATE(YEAR(AsOfDate)+IF(DATE(YEAR(AsOfDate),MONTH($F98),DAY($F98))&lt;=AsOfDate,1,0),MONTH($F98),DAY($F98)))</f>
        <v/>
      </c>
      <c r="L98" s="11" t="str">
        <f aca="false">IF(AE98=0,"",ROUND((AsOfDate-$F98)/365.25,1))</f>
        <v/>
      </c>
      <c r="M98" s="12" t="str">
        <f aca="false">IF(AE98=0,"",IF(AsOfDate&lt;AF98,"-",DATEDIF(AF98,AsOfDate,"y")&amp;"y "&amp;DATEDIF(AF98,AsOfDate,"ym")&amp;"m "&amp;DATEDIF(AF98,AsOfDate,"md")&amp;"d"))</f>
        <v/>
      </c>
      <c r="N98" s="13" t="str">
        <f aca="false">IF(AE98=0,"",O98*HoursPerDay)</f>
        <v/>
      </c>
      <c r="O98" s="13" t="str">
        <f aca="false">IF(AE98=0,"",AX98)</f>
        <v/>
      </c>
      <c r="P98" s="17"/>
      <c r="Q98" s="12"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IF(OR(AE98=0,W98=""),"",W98-U98+V98)</f>
        <v/>
      </c>
      <c r="U98" s="13" t="str">
        <f aca="false">IF(AE98=0,"",IF(NOT(LH_Ready),"",SUMIFS(INDEX(LH_Data,0,LH_ColAcc),INDEX(LH_Data,0,LH_ColFirst),$A98,INDEX(LH_Data,0,LH_ColSur),$B98,INDEX(LH_Data,0,LH_ColCat),BonusCat)*UnitFactor))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IF(AE98=0,"",X98-N(U98))</f>
        <v/>
      </c>
      <c r="Z98" s="12" t="str">
        <f aca="false">IF(AE98=0,"",IF(Y98&gt;0,"Yes","No"))</f>
        <v/>
      </c>
      <c r="AA98" s="12" t="str">
        <f aca="false">IF(AE98=0,"",IF(NOT(LH_Ready),"Paste Leave History export",IF(Y98&gt;0,"ACCRUE "&amp;TEXT(Y98,"0.##")&amp;" hrs ("&amp;TEXT(Y98/HoursPerDay,"0.##")&amp;" days)"&amp;IF(BA98=0," - no Bonus Leave line in EH yet",""),IF(Y98&lt;0,"CHECK - EH accrued "&amp;TEXT(-Y98,"0.##")&amp;" hrs more than policy",IF(AND(O98&gt;0,BA98=0),"CHECK - policy says "&amp;TEXT(N98,"0.##")&amp;" hrs to date but no Bonus Leave in EH",IF(O98&gt;0,"OK","-"))))))</f>
        <v/>
      </c>
      <c r="AB98" s="13" t="str">
        <f aca="false">IF(OR(AE98=0,T98=""),"",AY98*HoursPerDay-T98)</f>
        <v/>
      </c>
      <c r="AC98" s="12" t="str">
        <f aca="false">IF(AE98=0,"",BA98)</f>
        <v/>
      </c>
      <c r="AD98" s="12" t="str">
        <f aca="false">IF(AE98=0,"",TRIM(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IF(AE98=0,"",IF($J98&lt;&gt;"",$J98,$F98))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15"/>
      <c r="B99" s="15"/>
      <c r="C99" s="15"/>
      <c r="D99" s="16"/>
      <c r="E99" s="10" t="str">
        <f aca="false">IF(OR(AE99=0,$D99=""),"",DATE(YEAR(AsOfDate)+IF(DATE(YEAR(AsOfDate),MONTH($D99),DAY($D99))&lt;=AsOfDate,1,0),MONTH($D99),DAY($D99)))</f>
        <v/>
      </c>
      <c r="F99" s="16"/>
      <c r="G99" s="16"/>
      <c r="H99" s="16"/>
      <c r="I99" s="16"/>
      <c r="J99" s="16"/>
      <c r="K99" s="10" t="str">
        <f aca="false">IF(AE99=0,"",DATE(YEAR(AsOfDate)+IF(DATE(YEAR(AsOfDate),MONTH($F99),DAY($F99))&lt;=AsOfDate,1,0),MONTH($F99),DAY($F99)))</f>
        <v/>
      </c>
      <c r="L99" s="11" t="str">
        <f aca="false">IF(AE99=0,"",ROUND((AsOfDate-$F99)/365.25,1))</f>
        <v/>
      </c>
      <c r="M99" s="12" t="str">
        <f aca="false">IF(AE99=0,"",IF(AsOfDate&lt;AF99,"-",DATEDIF(AF99,AsOfDate,"y")&amp;"y "&amp;DATEDIF(AF99,AsOfDate,"ym")&amp;"m "&amp;DATEDIF(AF99,AsOfDate,"md")&amp;"d"))</f>
        <v/>
      </c>
      <c r="N99" s="13" t="str">
        <f aca="false">IF(AE99=0,"",O99*HoursPerDay)</f>
        <v/>
      </c>
      <c r="O99" s="13" t="str">
        <f aca="false">IF(AE99=0,"",AX99)</f>
        <v/>
      </c>
      <c r="P99" s="17"/>
      <c r="Q99" s="12"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IF(OR(AE99=0,W99=""),"",W99-U99+V99)</f>
        <v/>
      </c>
      <c r="U99" s="13" t="str">
        <f aca="false">IF(AE99=0,"",IF(NOT(LH_Ready),"",SUMIFS(INDEX(LH_Data,0,LH_ColAcc),INDEX(LH_Data,0,LH_ColFirst),$A99,INDEX(LH_Data,0,LH_ColSur),$B99,INDEX(LH_Data,0,LH_ColCat),BonusCat)*UnitFactor))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IF(AE99=0,"",X99-N(U99))</f>
        <v/>
      </c>
      <c r="Z99" s="12" t="str">
        <f aca="false">IF(AE99=0,"",IF(Y99&gt;0,"Yes","No"))</f>
        <v/>
      </c>
      <c r="AA99" s="12" t="str">
        <f aca="false">IF(AE99=0,"",IF(NOT(LH_Ready),"Paste Leave History export",IF(Y99&gt;0,"ACCRUE "&amp;TEXT(Y99,"0.##")&amp;" hrs ("&amp;TEXT(Y99/HoursPerDay,"0.##")&amp;" days)"&amp;IF(BA99=0," - no Bonus Leave line in EH yet",""),IF(Y99&lt;0,"CHECK - EH accrued "&amp;TEXT(-Y99,"0.##")&amp;" hrs more than policy",IF(AND(O99&gt;0,BA99=0),"CHECK - policy says "&amp;TEXT(N99,"0.##")&amp;" hrs to date but no Bonus Leave in EH",IF(O99&gt;0,"OK","-"))))))</f>
        <v/>
      </c>
      <c r="AB99" s="13" t="str">
        <f aca="false">IF(OR(AE99=0,T99=""),"",AY99*HoursPerDay-T99)</f>
        <v/>
      </c>
      <c r="AC99" s="12" t="str">
        <f aca="false">IF(AE99=0,"",BA99)</f>
        <v/>
      </c>
      <c r="AD99" s="12" t="str">
        <f aca="false">IF(AE99=0,"",TRIM(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IF(AE99=0,"",IF($J99&lt;&gt;"",$J99,$F99))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15"/>
      <c r="B100" s="15"/>
      <c r="C100" s="15"/>
      <c r="D100" s="16"/>
      <c r="E100" s="10" t="str">
        <f aca="false">IF(OR(AE100=0,$D100=""),"",DATE(YEAR(AsOfDate)+IF(DATE(YEAR(AsOfDate),MONTH($D100),DAY($D100))&lt;=AsOfDate,1,0),MONTH($D100),DAY($D100)))</f>
        <v/>
      </c>
      <c r="F100" s="16"/>
      <c r="G100" s="16"/>
      <c r="H100" s="16"/>
      <c r="I100" s="16"/>
      <c r="J100" s="16"/>
      <c r="K100" s="10" t="str">
        <f aca="false">IF(AE100=0,"",DATE(YEAR(AsOfDate)+IF(DATE(YEAR(AsOfDate),MONTH($F100),DAY($F100))&lt;=AsOfDate,1,0),MONTH($F100),DAY($F100)))</f>
        <v/>
      </c>
      <c r="L100" s="11" t="str">
        <f aca="false">IF(AE100=0,"",ROUND((AsOfDate-$F100)/365.25,1))</f>
        <v/>
      </c>
      <c r="M100" s="12" t="str">
        <f aca="false">IF(AE100=0,"",IF(AsOfDate&lt;AF100,"-",DATEDIF(AF100,AsOfDate,"y")&amp;"y "&amp;DATEDIF(AF100,AsOfDate,"ym")&amp;"m "&amp;DATEDIF(AF100,AsOfDate,"md")&amp;"d"))</f>
        <v/>
      </c>
      <c r="N100" s="13" t="str">
        <f aca="false">IF(AE100=0,"",O100*HoursPerDay)</f>
        <v/>
      </c>
      <c r="O100" s="13" t="str">
        <f aca="false">IF(AE100=0,"",AX100)</f>
        <v/>
      </c>
      <c r="P100" s="17"/>
      <c r="Q100" s="12"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IF(OR(AE100=0,W100=""),"",W100-U100+V100)</f>
        <v/>
      </c>
      <c r="U100" s="13" t="str">
        <f aca="false">IF(AE100=0,"",IF(NOT(LH_Ready),"",SUMIFS(INDEX(LH_Data,0,LH_ColAcc),INDEX(LH_Data,0,LH_ColFirst),$A100,INDEX(LH_Data,0,LH_ColSur),$B100,INDEX(LH_Data,0,LH_ColCat),BonusCat)*UnitFactor))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IF(AE100=0,"",X100-N(U100))</f>
        <v/>
      </c>
      <c r="Z100" s="12" t="str">
        <f aca="false">IF(AE100=0,"",IF(Y100&gt;0,"Yes","No"))</f>
        <v/>
      </c>
      <c r="AA100" s="12" t="str">
        <f aca="false">IF(AE100=0,"",IF(NOT(LH_Ready),"Paste Leave History export",IF(Y100&gt;0,"ACCRUE "&amp;TEXT(Y100,"0.##")&amp;" hrs ("&amp;TEXT(Y100/HoursPerDay,"0.##")&amp;" days)"&amp;IF(BA100=0," - no Bonus Leave line in EH yet",""),IF(Y100&lt;0,"CHECK - EH accrued "&amp;TEXT(-Y100,"0.##")&amp;" hrs more than policy",IF(AND(O100&gt;0,BA100=0),"CHECK - policy says "&amp;TEXT(N100,"0.##")&amp;" hrs to date but no Bonus Leave in EH",IF(O100&gt;0,"OK","-"))))))</f>
        <v/>
      </c>
      <c r="AB100" s="13" t="str">
        <f aca="false">IF(OR(AE100=0,T100=""),"",AY100*HoursPerDay-T100)</f>
        <v/>
      </c>
      <c r="AC100" s="12" t="str">
        <f aca="false">IF(AE100=0,"",BA100)</f>
        <v/>
      </c>
      <c r="AD100" s="12" t="str">
        <f aca="false">IF(AE100=0,"",TRIM(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IF(AE100=0,"",IF($J100&lt;&gt;"",$J100,$F100))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15"/>
      <c r="B101" s="15"/>
      <c r="C101" s="15"/>
      <c r="D101" s="16"/>
      <c r="E101" s="10" t="str">
        <f aca="false">IF(OR(AE101=0,$D101=""),"",DATE(YEAR(AsOfDate)+IF(DATE(YEAR(AsOfDate),MONTH($D101),DAY($D101))&lt;=AsOfDate,1,0),MONTH($D101),DAY($D101)))</f>
        <v/>
      </c>
      <c r="F101" s="16"/>
      <c r="G101" s="16"/>
      <c r="H101" s="16"/>
      <c r="I101" s="16"/>
      <c r="J101" s="16"/>
      <c r="K101" s="10" t="str">
        <f aca="false">IF(AE101=0,"",DATE(YEAR(AsOfDate)+IF(DATE(YEAR(AsOfDate),MONTH($F101),DAY($F101))&lt;=AsOfDate,1,0),MONTH($F101),DAY($F101)))</f>
        <v/>
      </c>
      <c r="L101" s="11" t="str">
        <f aca="false">IF(AE101=0,"",ROUND((AsOfDate-$F101)/365.25,1))</f>
        <v/>
      </c>
      <c r="M101" s="12" t="str">
        <f aca="false">IF(AE101=0,"",IF(AsOfDate&lt;AF101,"-",DATEDIF(AF101,AsOfDate,"y")&amp;"y "&amp;DATEDIF(AF101,AsOfDate,"ym")&amp;"m "&amp;DATEDIF(AF101,AsOfDate,"md")&amp;"d"))</f>
        <v/>
      </c>
      <c r="N101" s="13" t="str">
        <f aca="false">IF(AE101=0,"",O101*HoursPerDay)</f>
        <v/>
      </c>
      <c r="O101" s="13" t="str">
        <f aca="false">IF(AE101=0,"",AX101)</f>
        <v/>
      </c>
      <c r="P101" s="17"/>
      <c r="Q101" s="12"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IF(OR(AE101=0,W101=""),"",W101-U101+V101)</f>
        <v/>
      </c>
      <c r="U101" s="13" t="str">
        <f aca="false">IF(AE101=0,"",IF(NOT(LH_Ready),"",SUMIFS(INDEX(LH_Data,0,LH_ColAcc),INDEX(LH_Data,0,LH_ColFirst),$A101,INDEX(LH_Data,0,LH_ColSur),$B101,INDEX(LH_Data,0,LH_ColCat),BonusCat)*UnitFactor))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IF(AE101=0,"",X101-N(U101))</f>
        <v/>
      </c>
      <c r="Z101" s="12" t="str">
        <f aca="false">IF(AE101=0,"",IF(Y101&gt;0,"Yes","No"))</f>
        <v/>
      </c>
      <c r="AA101" s="12" t="str">
        <f aca="false">IF(AE101=0,"",IF(NOT(LH_Ready),"Paste Leave History export",IF(Y101&gt;0,"ACCRUE "&amp;TEXT(Y101,"0.##")&amp;" hrs ("&amp;TEXT(Y101/HoursPerDay,"0.##")&amp;" days)"&amp;IF(BA101=0," - no Bonus Leave line in EH yet",""),IF(Y101&lt;0,"CHECK - EH accrued "&amp;TEXT(-Y101,"0.##")&amp;" hrs more than policy",IF(AND(O101&gt;0,BA101=0),"CHECK - policy says "&amp;TEXT(N101,"0.##")&amp;" hrs to date but no Bonus Leave in EH",IF(O101&gt;0,"OK","-"))))))</f>
        <v/>
      </c>
      <c r="AB101" s="13" t="str">
        <f aca="false">IF(OR(AE101=0,T101=""),"",AY101*HoursPerDay-T101)</f>
        <v/>
      </c>
      <c r="AC101" s="12" t="str">
        <f aca="false">IF(AE101=0,"",BA101)</f>
        <v/>
      </c>
      <c r="AD101" s="12" t="str">
        <f aca="false">IF(AE101=0,"",TRIM(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IF(AE101=0,"",IF($J101&lt;&gt;"",$J101,$F101))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15"/>
      <c r="B102" s="15"/>
      <c r="C102" s="15"/>
      <c r="D102" s="16"/>
      <c r="E102" s="10" t="str">
        <f aca="false">IF(OR(AE102=0,$D102=""),"",DATE(YEAR(AsOfDate)+IF(DATE(YEAR(AsOfDate),MONTH($D102),DAY($D102))&lt;=AsOfDate,1,0),MONTH($D102),DAY($D102)))</f>
        <v/>
      </c>
      <c r="F102" s="16"/>
      <c r="G102" s="16"/>
      <c r="H102" s="16"/>
      <c r="I102" s="16"/>
      <c r="J102" s="16"/>
      <c r="K102" s="10" t="str">
        <f aca="false">IF(AE102=0,"",DATE(YEAR(AsOfDate)+IF(DATE(YEAR(AsOfDate),MONTH($F102),DAY($F102))&lt;=AsOfDate,1,0),MONTH($F102),DAY($F102)))</f>
        <v/>
      </c>
      <c r="L102" s="11" t="str">
        <f aca="false">IF(AE102=0,"",ROUND((AsOfDate-$F102)/365.25,1))</f>
        <v/>
      </c>
      <c r="M102" s="12" t="str">
        <f aca="false">IF(AE102=0,"",IF(AsOfDate&lt;AF102,"-",DATEDIF(AF102,AsOfDate,"y")&amp;"y "&amp;DATEDIF(AF102,AsOfDate,"ym")&amp;"m "&amp;DATEDIF(AF102,AsOfDate,"md")&amp;"d"))</f>
        <v/>
      </c>
      <c r="N102" s="13" t="str">
        <f aca="false">IF(AE102=0,"",O102*HoursPerDay)</f>
        <v/>
      </c>
      <c r="O102" s="13" t="str">
        <f aca="false">IF(AE102=0,"",AX102)</f>
        <v/>
      </c>
      <c r="P102" s="17"/>
      <c r="Q102" s="12"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IF(OR(AE102=0,W102=""),"",W102-U102+V102)</f>
        <v/>
      </c>
      <c r="U102" s="13" t="str">
        <f aca="false">IF(AE102=0,"",IF(NOT(LH_Ready),"",SUMIFS(INDEX(LH_Data,0,LH_ColAcc),INDEX(LH_Data,0,LH_ColFirst),$A102,INDEX(LH_Data,0,LH_ColSur),$B102,INDEX(LH_Data,0,LH_ColCat),BonusCat)*UnitFactor))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IF(AE102=0,"",X102-N(U102))</f>
        <v/>
      </c>
      <c r="Z102" s="12" t="str">
        <f aca="false">IF(AE102=0,"",IF(Y102&gt;0,"Yes","No"))</f>
        <v/>
      </c>
      <c r="AA102" s="12" t="str">
        <f aca="false">IF(AE102=0,"",IF(NOT(LH_Ready),"Paste Leave History export",IF(Y102&gt;0,"ACCRUE "&amp;TEXT(Y102,"0.##")&amp;" hrs ("&amp;TEXT(Y102/HoursPerDay,"0.##")&amp;" days)"&amp;IF(BA102=0," - no Bonus Leave line in EH yet",""),IF(Y102&lt;0,"CHECK - EH accrued "&amp;TEXT(-Y102,"0.##")&amp;" hrs more than policy",IF(AND(O102&gt;0,BA102=0),"CHECK - policy says "&amp;TEXT(N102,"0.##")&amp;" hrs to date but no Bonus Leave in EH",IF(O102&gt;0,"OK","-"))))))</f>
        <v/>
      </c>
      <c r="AB102" s="13" t="str">
        <f aca="false">IF(OR(AE102=0,T102=""),"",AY102*HoursPerDay-T102)</f>
        <v/>
      </c>
      <c r="AC102" s="12" t="str">
        <f aca="false">IF(AE102=0,"",BA102)</f>
        <v/>
      </c>
      <c r="AD102" s="12" t="str">
        <f aca="false">IF(AE102=0,"",TRIM(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IF(AE102=0,"",IF($J102&lt;&gt;"",$J102,$F102))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15"/>
      <c r="B103" s="15"/>
      <c r="C103" s="15"/>
      <c r="D103" s="16"/>
      <c r="E103" s="10" t="str">
        <f aca="false">IF(OR(AE103=0,$D103=""),"",DATE(YEAR(AsOfDate)+IF(DATE(YEAR(AsOfDate),MONTH($D103),DAY($D103))&lt;=AsOfDate,1,0),MONTH($D103),DAY($D103)))</f>
        <v/>
      </c>
      <c r="F103" s="16"/>
      <c r="G103" s="16"/>
      <c r="H103" s="16"/>
      <c r="I103" s="16"/>
      <c r="J103" s="16"/>
      <c r="K103" s="10" t="str">
        <f aca="false">IF(AE103=0,"",DATE(YEAR(AsOfDate)+IF(DATE(YEAR(AsOfDate),MONTH($F103),DAY($F103))&lt;=AsOfDate,1,0),MONTH($F103),DAY($F103)))</f>
        <v/>
      </c>
      <c r="L103" s="11" t="str">
        <f aca="false">IF(AE103=0,"",ROUND((AsOfDate-$F103)/365.25,1))</f>
        <v/>
      </c>
      <c r="M103" s="12" t="str">
        <f aca="false">IF(AE103=0,"",IF(AsOfDate&lt;AF103,"-",DATEDIF(AF103,AsOfDate,"y")&amp;"y "&amp;DATEDIF(AF103,AsOfDate,"ym")&amp;"m "&amp;DATEDIF(AF103,AsOfDate,"md")&amp;"d"))</f>
        <v/>
      </c>
      <c r="N103" s="13" t="str">
        <f aca="false">IF(AE103=0,"",O103*HoursPerDay)</f>
        <v/>
      </c>
      <c r="O103" s="13" t="str">
        <f aca="false">IF(AE103=0,"",AX103)</f>
        <v/>
      </c>
      <c r="P103" s="17"/>
      <c r="Q103" s="12"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IF(OR(AE103=0,W103=""),"",W103-U103+V103)</f>
        <v/>
      </c>
      <c r="U103" s="13" t="str">
        <f aca="false">IF(AE103=0,"",IF(NOT(LH_Ready),"",SUMIFS(INDEX(LH_Data,0,LH_ColAcc),INDEX(LH_Data,0,LH_ColFirst),$A103,INDEX(LH_Data,0,LH_ColSur),$B103,INDEX(LH_Data,0,LH_ColCat),BonusCat)*UnitFactor))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IF(AE103=0,"",X103-N(U103))</f>
        <v/>
      </c>
      <c r="Z103" s="12" t="str">
        <f aca="false">IF(AE103=0,"",IF(Y103&gt;0,"Yes","No"))</f>
        <v/>
      </c>
      <c r="AA103" s="12" t="str">
        <f aca="false">IF(AE103=0,"",IF(NOT(LH_Ready),"Paste Leave History export",IF(Y103&gt;0,"ACCRUE "&amp;TEXT(Y103,"0.##")&amp;" hrs ("&amp;TEXT(Y103/HoursPerDay,"0.##")&amp;" days)"&amp;IF(BA103=0," - no Bonus Leave line in EH yet",""),IF(Y103&lt;0,"CHECK - EH accrued "&amp;TEXT(-Y103,"0.##")&amp;" hrs more than policy",IF(AND(O103&gt;0,BA103=0),"CHECK - policy says "&amp;TEXT(N103,"0.##")&amp;" hrs to date but no Bonus Leave in EH",IF(O103&gt;0,"OK","-"))))))</f>
        <v/>
      </c>
      <c r="AB103" s="13" t="str">
        <f aca="false">IF(OR(AE103=0,T103=""),"",AY103*HoursPerDay-T103)</f>
        <v/>
      </c>
      <c r="AC103" s="12" t="str">
        <f aca="false">IF(AE103=0,"",BA103)</f>
        <v/>
      </c>
      <c r="AD103" s="12" t="str">
        <f aca="false">IF(AE103=0,"",TRIM(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IF(AE103=0,"",IF($J103&lt;&gt;"",$J103,$F103))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15"/>
      <c r="B104" s="15"/>
      <c r="C104" s="15"/>
      <c r="D104" s="16"/>
      <c r="E104" s="10" t="str">
        <f aca="false">IF(OR(AE104=0,$D104=""),"",DATE(YEAR(AsOfDate)+IF(DATE(YEAR(AsOfDate),MONTH($D104),DAY($D104))&lt;=AsOfDate,1,0),MONTH($D104),DAY($D104)))</f>
        <v/>
      </c>
      <c r="F104" s="16"/>
      <c r="G104" s="16"/>
      <c r="H104" s="16"/>
      <c r="I104" s="16"/>
      <c r="J104" s="16"/>
      <c r="K104" s="10" t="str">
        <f aca="false">IF(AE104=0,"",DATE(YEAR(AsOfDate)+IF(DATE(YEAR(AsOfDate),MONTH($F104),DAY($F104))&lt;=AsOfDate,1,0),MONTH($F104),DAY($F104)))</f>
        <v/>
      </c>
      <c r="L104" s="11" t="str">
        <f aca="false">IF(AE104=0,"",ROUND((AsOfDate-$F104)/365.25,1))</f>
        <v/>
      </c>
      <c r="M104" s="12" t="str">
        <f aca="false">IF(AE104=0,"",IF(AsOfDate&lt;AF104,"-",DATEDIF(AF104,AsOfDate,"y")&amp;"y "&amp;DATEDIF(AF104,AsOfDate,"ym")&amp;"m "&amp;DATEDIF(AF104,AsOfDate,"md")&amp;"d"))</f>
        <v/>
      </c>
      <c r="N104" s="13" t="str">
        <f aca="false">IF(AE104=0,"",O104*HoursPerDay)</f>
        <v/>
      </c>
      <c r="O104" s="13" t="str">
        <f aca="false">IF(AE104=0,"",AX104)</f>
        <v/>
      </c>
      <c r="P104" s="17"/>
      <c r="Q104" s="12"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IF(OR(AE104=0,W104=""),"",W104-U104+V104)</f>
        <v/>
      </c>
      <c r="U104" s="13" t="str">
        <f aca="false">IF(AE104=0,"",IF(NOT(LH_Ready),"",SUMIFS(INDEX(LH_Data,0,LH_ColAcc),INDEX(LH_Data,0,LH_ColFirst),$A104,INDEX(LH_Data,0,LH_ColSur),$B104,INDEX(LH_Data,0,LH_ColCat),BonusCat)*UnitFactor))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IF(AE104=0,"",X104-N(U104))</f>
        <v/>
      </c>
      <c r="Z104" s="12" t="str">
        <f aca="false">IF(AE104=0,"",IF(Y104&gt;0,"Yes","No"))</f>
        <v/>
      </c>
      <c r="AA104" s="12" t="str">
        <f aca="false">IF(AE104=0,"",IF(NOT(LH_Ready),"Paste Leave History export",IF(Y104&gt;0,"ACCRUE "&amp;TEXT(Y104,"0.##")&amp;" hrs ("&amp;TEXT(Y104/HoursPerDay,"0.##")&amp;" days)"&amp;IF(BA104=0," - no Bonus Leave line in EH yet",""),IF(Y104&lt;0,"CHECK - EH accrued "&amp;TEXT(-Y104,"0.##")&amp;" hrs more than policy",IF(AND(O104&gt;0,BA104=0),"CHECK - policy says "&amp;TEXT(N104,"0.##")&amp;" hrs to date but no Bonus Leave in EH",IF(O104&gt;0,"OK","-"))))))</f>
        <v/>
      </c>
      <c r="AB104" s="13" t="str">
        <f aca="false">IF(OR(AE104=0,T104=""),"",AY104*HoursPerDay-T104)</f>
        <v/>
      </c>
      <c r="AC104" s="12" t="str">
        <f aca="false">IF(AE104=0,"",BA104)</f>
        <v/>
      </c>
      <c r="AD104" s="12" t="str">
        <f aca="false">IF(AE104=0,"",TRIM(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IF(AE104=0,"",IF($J104&lt;&gt;"",$J104,$F104))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15"/>
      <c r="B105" s="15"/>
      <c r="C105" s="15"/>
      <c r="D105" s="16"/>
      <c r="E105" s="10" t="str">
        <f aca="false">IF(OR(AE105=0,$D105=""),"",DATE(YEAR(AsOfDate)+IF(DATE(YEAR(AsOfDate),MONTH($D105),DAY($D105))&lt;=AsOfDate,1,0),MONTH($D105),DAY($D105)))</f>
        <v/>
      </c>
      <c r="F105" s="16"/>
      <c r="G105" s="16"/>
      <c r="H105" s="16"/>
      <c r="I105" s="16"/>
      <c r="J105" s="16"/>
      <c r="K105" s="10" t="str">
        <f aca="false">IF(AE105=0,"",DATE(YEAR(AsOfDate)+IF(DATE(YEAR(AsOfDate),MONTH($F105),DAY($F105))&lt;=AsOfDate,1,0),MONTH($F105),DAY($F105)))</f>
        <v/>
      </c>
      <c r="L105" s="11" t="str">
        <f aca="false">IF(AE105=0,"",ROUND((AsOfDate-$F105)/365.25,1))</f>
        <v/>
      </c>
      <c r="M105" s="12" t="str">
        <f aca="false">IF(AE105=0,"",IF(AsOfDate&lt;AF105,"-",DATEDIF(AF105,AsOfDate,"y")&amp;"y "&amp;DATEDIF(AF105,AsOfDate,"ym")&amp;"m "&amp;DATEDIF(AF105,AsOfDate,"md")&amp;"d"))</f>
        <v/>
      </c>
      <c r="N105" s="13" t="str">
        <f aca="false">IF(AE105=0,"",O105*HoursPerDay)</f>
        <v/>
      </c>
      <c r="O105" s="13" t="str">
        <f aca="false">IF(AE105=0,"",AX105)</f>
        <v/>
      </c>
      <c r="P105" s="17"/>
      <c r="Q105" s="12"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IF(OR(AE105=0,W105=""),"",W105-U105+V105)</f>
        <v/>
      </c>
      <c r="U105" s="13" t="str">
        <f aca="false">IF(AE105=0,"",IF(NOT(LH_Ready),"",SUMIFS(INDEX(LH_Data,0,LH_ColAcc),INDEX(LH_Data,0,LH_ColFirst),$A105,INDEX(LH_Data,0,LH_ColSur),$B105,INDEX(LH_Data,0,LH_ColCat),BonusCat)*UnitFactor))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IF(AE105=0,"",X105-N(U105))</f>
        <v/>
      </c>
      <c r="Z105" s="12" t="str">
        <f aca="false">IF(AE105=0,"",IF(Y105&gt;0,"Yes","No"))</f>
        <v/>
      </c>
      <c r="AA105" s="12" t="str">
        <f aca="false">IF(AE105=0,"",IF(NOT(LH_Ready),"Paste Leave History export",IF(Y105&gt;0,"ACCRUE "&amp;TEXT(Y105,"0.##")&amp;" hrs ("&amp;TEXT(Y105/HoursPerDay,"0.##")&amp;" days)"&amp;IF(BA105=0," - no Bonus Leave line in EH yet",""),IF(Y105&lt;0,"CHECK - EH accrued "&amp;TEXT(-Y105,"0.##")&amp;" hrs more than policy",IF(AND(O105&gt;0,BA105=0),"CHECK - policy says "&amp;TEXT(N105,"0.##")&amp;" hrs to date but no Bonus Leave in EH",IF(O105&gt;0,"OK","-"))))))</f>
        <v/>
      </c>
      <c r="AB105" s="13" t="str">
        <f aca="false">IF(OR(AE105=0,T105=""),"",AY105*HoursPerDay-T105)</f>
        <v/>
      </c>
      <c r="AC105" s="12" t="str">
        <f aca="false">IF(AE105=0,"",BA105)</f>
        <v/>
      </c>
      <c r="AD105" s="12" t="str">
        <f aca="false">IF(AE105=0,"",TRIM(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IF(AE105=0,"",IF($J105&lt;&gt;"",$J105,$F105))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15"/>
      <c r="B106" s="15"/>
      <c r="C106" s="15"/>
      <c r="D106" s="16"/>
      <c r="E106" s="10" t="str">
        <f aca="false">IF(OR(AE106=0,$D106=""),"",DATE(YEAR(AsOfDate)+IF(DATE(YEAR(AsOfDate),MONTH($D106),DAY($D106))&lt;=AsOfDate,1,0),MONTH($D106),DAY($D106)))</f>
        <v/>
      </c>
      <c r="F106" s="16"/>
      <c r="G106" s="16"/>
      <c r="H106" s="16"/>
      <c r="I106" s="16"/>
      <c r="J106" s="16"/>
      <c r="K106" s="10" t="str">
        <f aca="false">IF(AE106=0,"",DATE(YEAR(AsOfDate)+IF(DATE(YEAR(AsOfDate),MONTH($F106),DAY($F106))&lt;=AsOfDate,1,0),MONTH($F106),DAY($F106)))</f>
        <v/>
      </c>
      <c r="L106" s="11" t="str">
        <f aca="false">IF(AE106=0,"",ROUND((AsOfDate-$F106)/365.25,1))</f>
        <v/>
      </c>
      <c r="M106" s="12" t="str">
        <f aca="false">IF(AE106=0,"",IF(AsOfDate&lt;AF106,"-",DATEDIF(AF106,AsOfDate,"y")&amp;"y "&amp;DATEDIF(AF106,AsOfDate,"ym")&amp;"m "&amp;DATEDIF(AF106,AsOfDate,"md")&amp;"d"))</f>
        <v/>
      </c>
      <c r="N106" s="13" t="str">
        <f aca="false">IF(AE106=0,"",O106*HoursPerDay)</f>
        <v/>
      </c>
      <c r="O106" s="13" t="str">
        <f aca="false">IF(AE106=0,"",AX106)</f>
        <v/>
      </c>
      <c r="P106" s="17"/>
      <c r="Q106" s="12"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IF(OR(AE106=0,W106=""),"",W106-U106+V106)</f>
        <v/>
      </c>
      <c r="U106" s="13" t="str">
        <f aca="false">IF(AE106=0,"",IF(NOT(LH_Ready),"",SUMIFS(INDEX(LH_Data,0,LH_ColAcc),INDEX(LH_Data,0,LH_ColFirst),$A106,INDEX(LH_Data,0,LH_ColSur),$B106,INDEX(LH_Data,0,LH_ColCat),BonusCat)*UnitFactor))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IF(AE106=0,"",X106-N(U106))</f>
        <v/>
      </c>
      <c r="Z106" s="12" t="str">
        <f aca="false">IF(AE106=0,"",IF(Y106&gt;0,"Yes","No"))</f>
        <v/>
      </c>
      <c r="AA106" s="12" t="str">
        <f aca="false">IF(AE106=0,"",IF(NOT(LH_Ready),"Paste Leave History export",IF(Y106&gt;0,"ACCRUE "&amp;TEXT(Y106,"0.##")&amp;" hrs ("&amp;TEXT(Y106/HoursPerDay,"0.##")&amp;" days)"&amp;IF(BA106=0," - no Bonus Leave line in EH yet",""),IF(Y106&lt;0,"CHECK - EH accrued "&amp;TEXT(-Y106,"0.##")&amp;" hrs more than policy",IF(AND(O106&gt;0,BA106=0),"CHECK - policy says "&amp;TEXT(N106,"0.##")&amp;" hrs to date but no Bonus Leave in EH",IF(O106&gt;0,"OK","-"))))))</f>
        <v/>
      </c>
      <c r="AB106" s="13" t="str">
        <f aca="false">IF(OR(AE106=0,T106=""),"",AY106*HoursPerDay-T106)</f>
        <v/>
      </c>
      <c r="AC106" s="12" t="str">
        <f aca="false">IF(AE106=0,"",BA106)</f>
        <v/>
      </c>
      <c r="AD106" s="12" t="str">
        <f aca="false">IF(AE106=0,"",TRIM(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IF(AE106=0,"",IF($J106&lt;&gt;"",$J106,$F106))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15"/>
      <c r="B107" s="15"/>
      <c r="C107" s="15"/>
      <c r="D107" s="16"/>
      <c r="E107" s="10" t="str">
        <f aca="false">IF(OR(AE107=0,$D107=""),"",DATE(YEAR(AsOfDate)+IF(DATE(YEAR(AsOfDate),MONTH($D107),DAY($D107))&lt;=AsOfDate,1,0),MONTH($D107),DAY($D107)))</f>
        <v/>
      </c>
      <c r="F107" s="16"/>
      <c r="G107" s="16"/>
      <c r="H107" s="16"/>
      <c r="I107" s="16"/>
      <c r="J107" s="16"/>
      <c r="K107" s="10" t="str">
        <f aca="false">IF(AE107=0,"",DATE(YEAR(AsOfDate)+IF(DATE(YEAR(AsOfDate),MONTH($F107),DAY($F107))&lt;=AsOfDate,1,0),MONTH($F107),DAY($F107)))</f>
        <v/>
      </c>
      <c r="L107" s="11" t="str">
        <f aca="false">IF(AE107=0,"",ROUND((AsOfDate-$F107)/365.25,1))</f>
        <v/>
      </c>
      <c r="M107" s="12" t="str">
        <f aca="false">IF(AE107=0,"",IF(AsOfDate&lt;AF107,"-",DATEDIF(AF107,AsOfDate,"y")&amp;"y "&amp;DATEDIF(AF107,AsOfDate,"ym")&amp;"m "&amp;DATEDIF(AF107,AsOfDate,"md")&amp;"d"))</f>
        <v/>
      </c>
      <c r="N107" s="13" t="str">
        <f aca="false">IF(AE107=0,"",O107*HoursPerDay)</f>
        <v/>
      </c>
      <c r="O107" s="13" t="str">
        <f aca="false">IF(AE107=0,"",AX107)</f>
        <v/>
      </c>
      <c r="P107" s="17"/>
      <c r="Q107" s="12"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IF(OR(AE107=0,W107=""),"",W107-U107+V107)</f>
        <v/>
      </c>
      <c r="U107" s="13" t="str">
        <f aca="false">IF(AE107=0,"",IF(NOT(LH_Ready),"",SUMIFS(INDEX(LH_Data,0,LH_ColAcc),INDEX(LH_Data,0,LH_ColFirst),$A107,INDEX(LH_Data,0,LH_ColSur),$B107,INDEX(LH_Data,0,LH_ColCat),BonusCat)*UnitFactor))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IF(AE107=0,"",X107-N(U107))</f>
        <v/>
      </c>
      <c r="Z107" s="12" t="str">
        <f aca="false">IF(AE107=0,"",IF(Y107&gt;0,"Yes","No"))</f>
        <v/>
      </c>
      <c r="AA107" s="12" t="str">
        <f aca="false">IF(AE107=0,"",IF(NOT(LH_Ready),"Paste Leave History export",IF(Y107&gt;0,"ACCRUE "&amp;TEXT(Y107,"0.##")&amp;" hrs ("&amp;TEXT(Y107/HoursPerDay,"0.##")&amp;" days)"&amp;IF(BA107=0," - no Bonus Leave line in EH yet",""),IF(Y107&lt;0,"CHECK - EH accrued "&amp;TEXT(-Y107,"0.##")&amp;" hrs more than policy",IF(AND(O107&gt;0,BA107=0),"CHECK - policy says "&amp;TEXT(N107,"0.##")&amp;" hrs to date but no Bonus Leave in EH",IF(O107&gt;0,"OK","-"))))))</f>
        <v/>
      </c>
      <c r="AB107" s="13" t="str">
        <f aca="false">IF(OR(AE107=0,T107=""),"",AY107*HoursPerDay-T107)</f>
        <v/>
      </c>
      <c r="AC107" s="12" t="str">
        <f aca="false">IF(AE107=0,"",BA107)</f>
        <v/>
      </c>
      <c r="AD107" s="12" t="str">
        <f aca="false">IF(AE107=0,"",TRIM(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IF(AE107=0,"",IF($J107&lt;&gt;"",$J107,$F107))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15"/>
      <c r="B108" s="15"/>
      <c r="C108" s="15"/>
      <c r="D108" s="16"/>
      <c r="E108" s="10" t="str">
        <f aca="false">IF(OR(AE108=0,$D108=""),"",DATE(YEAR(AsOfDate)+IF(DATE(YEAR(AsOfDate),MONTH($D108),DAY($D108))&lt;=AsOfDate,1,0),MONTH($D108),DAY($D108)))</f>
        <v/>
      </c>
      <c r="F108" s="16"/>
      <c r="G108" s="16"/>
      <c r="H108" s="16"/>
      <c r="I108" s="16"/>
      <c r="J108" s="16"/>
      <c r="K108" s="10" t="str">
        <f aca="false">IF(AE108=0,"",DATE(YEAR(AsOfDate)+IF(DATE(YEAR(AsOfDate),MONTH($F108),DAY($F108))&lt;=AsOfDate,1,0),MONTH($F108),DAY($F108)))</f>
        <v/>
      </c>
      <c r="L108" s="11" t="str">
        <f aca="false">IF(AE108=0,"",ROUND((AsOfDate-$F108)/365.25,1))</f>
        <v/>
      </c>
      <c r="M108" s="12" t="str">
        <f aca="false">IF(AE108=0,"",IF(AsOfDate&lt;AF108,"-",DATEDIF(AF108,AsOfDate,"y")&amp;"y "&amp;DATEDIF(AF108,AsOfDate,"ym")&amp;"m "&amp;DATEDIF(AF108,AsOfDate,"md")&amp;"d"))</f>
        <v/>
      </c>
      <c r="N108" s="13" t="str">
        <f aca="false">IF(AE108=0,"",O108*HoursPerDay)</f>
        <v/>
      </c>
      <c r="O108" s="13" t="str">
        <f aca="false">IF(AE108=0,"",AX108)</f>
        <v/>
      </c>
      <c r="P108" s="17"/>
      <c r="Q108" s="12"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IF(OR(AE108=0,W108=""),"",W108-U108+V108)</f>
        <v/>
      </c>
      <c r="U108" s="13" t="str">
        <f aca="false">IF(AE108=0,"",IF(NOT(LH_Ready),"",SUMIFS(INDEX(LH_Data,0,LH_ColAcc),INDEX(LH_Data,0,LH_ColFirst),$A108,INDEX(LH_Data,0,LH_ColSur),$B108,INDEX(LH_Data,0,LH_ColCat),BonusCat)*UnitFactor))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IF(AE108=0,"",X108-N(U108))</f>
        <v/>
      </c>
      <c r="Z108" s="12" t="str">
        <f aca="false">IF(AE108=0,"",IF(Y108&gt;0,"Yes","No"))</f>
        <v/>
      </c>
      <c r="AA108" s="12" t="str">
        <f aca="false">IF(AE108=0,"",IF(NOT(LH_Ready),"Paste Leave History export",IF(Y108&gt;0,"ACCRUE "&amp;TEXT(Y108,"0.##")&amp;" hrs ("&amp;TEXT(Y108/HoursPerDay,"0.##")&amp;" days)"&amp;IF(BA108=0," - no Bonus Leave line in EH yet",""),IF(Y108&lt;0,"CHECK - EH accrued "&amp;TEXT(-Y108,"0.##")&amp;" hrs more than policy",IF(AND(O108&gt;0,BA108=0),"CHECK - policy says "&amp;TEXT(N108,"0.##")&amp;" hrs to date but no Bonus Leave in EH",IF(O108&gt;0,"OK","-"))))))</f>
        <v/>
      </c>
      <c r="AB108" s="13" t="str">
        <f aca="false">IF(OR(AE108=0,T108=""),"",AY108*HoursPerDay-T108)</f>
        <v/>
      </c>
      <c r="AC108" s="12" t="str">
        <f aca="false">IF(AE108=0,"",BA108)</f>
        <v/>
      </c>
      <c r="AD108" s="12" t="str">
        <f aca="false">IF(AE108=0,"",TRIM(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IF(AE108=0,"",IF($J108&lt;&gt;"",$J108,$F108))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15"/>
      <c r="B109" s="15"/>
      <c r="C109" s="15"/>
      <c r="D109" s="16"/>
      <c r="E109" s="10" t="str">
        <f aca="false">IF(OR(AE109=0,$D109=""),"",DATE(YEAR(AsOfDate)+IF(DATE(YEAR(AsOfDate),MONTH($D109),DAY($D109))&lt;=AsOfDate,1,0),MONTH($D109),DAY($D109)))</f>
        <v/>
      </c>
      <c r="F109" s="16"/>
      <c r="G109" s="16"/>
      <c r="H109" s="16"/>
      <c r="I109" s="16"/>
      <c r="J109" s="16"/>
      <c r="K109" s="10" t="str">
        <f aca="false">IF(AE109=0,"",DATE(YEAR(AsOfDate)+IF(DATE(YEAR(AsOfDate),MONTH($F109),DAY($F109))&lt;=AsOfDate,1,0),MONTH($F109),DAY($F109)))</f>
        <v/>
      </c>
      <c r="L109" s="11" t="str">
        <f aca="false">IF(AE109=0,"",ROUND((AsOfDate-$F109)/365.25,1))</f>
        <v/>
      </c>
      <c r="M109" s="12" t="str">
        <f aca="false">IF(AE109=0,"",IF(AsOfDate&lt;AF109,"-",DATEDIF(AF109,AsOfDate,"y")&amp;"y "&amp;DATEDIF(AF109,AsOfDate,"ym")&amp;"m "&amp;DATEDIF(AF109,AsOfDate,"md")&amp;"d"))</f>
        <v/>
      </c>
      <c r="N109" s="13" t="str">
        <f aca="false">IF(AE109=0,"",O109*HoursPerDay)</f>
        <v/>
      </c>
      <c r="O109" s="13" t="str">
        <f aca="false">IF(AE109=0,"",AX109)</f>
        <v/>
      </c>
      <c r="P109" s="17"/>
      <c r="Q109" s="12"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IF(OR(AE109=0,W109=""),"",W109-U109+V109)</f>
        <v/>
      </c>
      <c r="U109" s="13" t="str">
        <f aca="false">IF(AE109=0,"",IF(NOT(LH_Ready),"",SUMIFS(INDEX(LH_Data,0,LH_ColAcc),INDEX(LH_Data,0,LH_ColFirst),$A109,INDEX(LH_Data,0,LH_ColSur),$B109,INDEX(LH_Data,0,LH_ColCat),BonusCat)*UnitFactor))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IF(AE109=0,"",X109-N(U109))</f>
        <v/>
      </c>
      <c r="Z109" s="12" t="str">
        <f aca="false">IF(AE109=0,"",IF(Y109&gt;0,"Yes","No"))</f>
        <v/>
      </c>
      <c r="AA109" s="12" t="str">
        <f aca="false">IF(AE109=0,"",IF(NOT(LH_Ready),"Paste Leave History export",IF(Y109&gt;0,"ACCRUE "&amp;TEXT(Y109,"0.##")&amp;" hrs ("&amp;TEXT(Y109/HoursPerDay,"0.##")&amp;" days)"&amp;IF(BA109=0," - no Bonus Leave line in EH yet",""),IF(Y109&lt;0,"CHECK - EH accrued "&amp;TEXT(-Y109,"0.##")&amp;" hrs more than policy",IF(AND(O109&gt;0,BA109=0),"CHECK - policy says "&amp;TEXT(N109,"0.##")&amp;" hrs to date but no Bonus Leave in EH",IF(O109&gt;0,"OK","-"))))))</f>
        <v/>
      </c>
      <c r="AB109" s="13" t="str">
        <f aca="false">IF(OR(AE109=0,T109=""),"",AY109*HoursPerDay-T109)</f>
        <v/>
      </c>
      <c r="AC109" s="12" t="str">
        <f aca="false">IF(AE109=0,"",BA109)</f>
        <v/>
      </c>
      <c r="AD109" s="12" t="str">
        <f aca="false">IF(AE109=0,"",TRIM(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IF(AE109=0,"",IF($J109&lt;&gt;"",$J109,$F109))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15"/>
      <c r="B110" s="15"/>
      <c r="C110" s="15"/>
      <c r="D110" s="16"/>
      <c r="E110" s="10" t="str">
        <f aca="false">IF(OR(AE110=0,$D110=""),"",DATE(YEAR(AsOfDate)+IF(DATE(YEAR(AsOfDate),MONTH($D110),DAY($D110))&lt;=AsOfDate,1,0),MONTH($D110),DAY($D110)))</f>
        <v/>
      </c>
      <c r="F110" s="16"/>
      <c r="G110" s="16"/>
      <c r="H110" s="16"/>
      <c r="I110" s="16"/>
      <c r="J110" s="16"/>
      <c r="K110" s="10" t="str">
        <f aca="false">IF(AE110=0,"",DATE(YEAR(AsOfDate)+IF(DATE(YEAR(AsOfDate),MONTH($F110),DAY($F110))&lt;=AsOfDate,1,0),MONTH($F110),DAY($F110)))</f>
        <v/>
      </c>
      <c r="L110" s="11" t="str">
        <f aca="false">IF(AE110=0,"",ROUND((AsOfDate-$F110)/365.25,1))</f>
        <v/>
      </c>
      <c r="M110" s="12" t="str">
        <f aca="false">IF(AE110=0,"",IF(AsOfDate&lt;AF110,"-",DATEDIF(AF110,AsOfDate,"y")&amp;"y "&amp;DATEDIF(AF110,AsOfDate,"ym")&amp;"m "&amp;DATEDIF(AF110,AsOfDate,"md")&amp;"d"))</f>
        <v/>
      </c>
      <c r="N110" s="13" t="str">
        <f aca="false">IF(AE110=0,"",O110*HoursPerDay)</f>
        <v/>
      </c>
      <c r="O110" s="13" t="str">
        <f aca="false">IF(AE110=0,"",AX110)</f>
        <v/>
      </c>
      <c r="P110" s="17"/>
      <c r="Q110" s="12"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IF(OR(AE110=0,W110=""),"",W110-U110+V110)</f>
        <v/>
      </c>
      <c r="U110" s="13" t="str">
        <f aca="false">IF(AE110=0,"",IF(NOT(LH_Ready),"",SUMIFS(INDEX(LH_Data,0,LH_ColAcc),INDEX(LH_Data,0,LH_ColFirst),$A110,INDEX(LH_Data,0,LH_ColSur),$B110,INDEX(LH_Data,0,LH_ColCat),BonusCat)*UnitFactor))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IF(AE110=0,"",X110-N(U110))</f>
        <v/>
      </c>
      <c r="Z110" s="12" t="str">
        <f aca="false">IF(AE110=0,"",IF(Y110&gt;0,"Yes","No"))</f>
        <v/>
      </c>
      <c r="AA110" s="12" t="str">
        <f aca="false">IF(AE110=0,"",IF(NOT(LH_Ready),"Paste Leave History export",IF(Y110&gt;0,"ACCRUE "&amp;TEXT(Y110,"0.##")&amp;" hrs ("&amp;TEXT(Y110/HoursPerDay,"0.##")&amp;" days)"&amp;IF(BA110=0," - no Bonus Leave line in EH yet",""),IF(Y110&lt;0,"CHECK - EH accrued "&amp;TEXT(-Y110,"0.##")&amp;" hrs more than policy",IF(AND(O110&gt;0,BA110=0),"CHECK - policy says "&amp;TEXT(N110,"0.##")&amp;" hrs to date but no Bonus Leave in EH",IF(O110&gt;0,"OK","-"))))))</f>
        <v/>
      </c>
      <c r="AB110" s="13" t="str">
        <f aca="false">IF(OR(AE110=0,T110=""),"",AY110*HoursPerDay-T110)</f>
        <v/>
      </c>
      <c r="AC110" s="12" t="str">
        <f aca="false">IF(AE110=0,"",BA110)</f>
        <v/>
      </c>
      <c r="AD110" s="12" t="str">
        <f aca="false">IF(AE110=0,"",TRIM(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IF(AE110=0,"",IF($J110&lt;&gt;"",$J110,$F110))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15"/>
      <c r="B111" s="15"/>
      <c r="C111" s="15"/>
      <c r="D111" s="16"/>
      <c r="E111" s="10" t="str">
        <f aca="false">IF(OR(AE111=0,$D111=""),"",DATE(YEAR(AsOfDate)+IF(DATE(YEAR(AsOfDate),MONTH($D111),DAY($D111))&lt;=AsOfDate,1,0),MONTH($D111),DAY($D111)))</f>
        <v/>
      </c>
      <c r="F111" s="16"/>
      <c r="G111" s="16"/>
      <c r="H111" s="16"/>
      <c r="I111" s="16"/>
      <c r="J111" s="16"/>
      <c r="K111" s="10" t="str">
        <f aca="false">IF(AE111=0,"",DATE(YEAR(AsOfDate)+IF(DATE(YEAR(AsOfDate),MONTH($F111),DAY($F111))&lt;=AsOfDate,1,0),MONTH($F111),DAY($F111)))</f>
        <v/>
      </c>
      <c r="L111" s="11" t="str">
        <f aca="false">IF(AE111=0,"",ROUND((AsOfDate-$F111)/365.25,1))</f>
        <v/>
      </c>
      <c r="M111" s="12" t="str">
        <f aca="false">IF(AE111=0,"",IF(AsOfDate&lt;AF111,"-",DATEDIF(AF111,AsOfDate,"y")&amp;"y "&amp;DATEDIF(AF111,AsOfDate,"ym")&amp;"m "&amp;DATEDIF(AF111,AsOfDate,"md")&amp;"d"))</f>
        <v/>
      </c>
      <c r="N111" s="13" t="str">
        <f aca="false">IF(AE111=0,"",O111*HoursPerDay)</f>
        <v/>
      </c>
      <c r="O111" s="13" t="str">
        <f aca="false">IF(AE111=0,"",AX111)</f>
        <v/>
      </c>
      <c r="P111" s="17"/>
      <c r="Q111" s="12"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IF(OR(AE111=0,W111=""),"",W111-U111+V111)</f>
        <v/>
      </c>
      <c r="U111" s="13" t="str">
        <f aca="false">IF(AE111=0,"",IF(NOT(LH_Ready),"",SUMIFS(INDEX(LH_Data,0,LH_ColAcc),INDEX(LH_Data,0,LH_ColFirst),$A111,INDEX(LH_Data,0,LH_ColSur),$B111,INDEX(LH_Data,0,LH_ColCat),BonusCat)*UnitFactor))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IF(AE111=0,"",X111-N(U111))</f>
        <v/>
      </c>
      <c r="Z111" s="12" t="str">
        <f aca="false">IF(AE111=0,"",IF(Y111&gt;0,"Yes","No"))</f>
        <v/>
      </c>
      <c r="AA111" s="12" t="str">
        <f aca="false">IF(AE111=0,"",IF(NOT(LH_Ready),"Paste Leave History export",IF(Y111&gt;0,"ACCRUE "&amp;TEXT(Y111,"0.##")&amp;" hrs ("&amp;TEXT(Y111/HoursPerDay,"0.##")&amp;" days)"&amp;IF(BA111=0," - no Bonus Leave line in EH yet",""),IF(Y111&lt;0,"CHECK - EH accrued "&amp;TEXT(-Y111,"0.##")&amp;" hrs more than policy",IF(AND(O111&gt;0,BA111=0),"CHECK - policy says "&amp;TEXT(N111,"0.##")&amp;" hrs to date but no Bonus Leave in EH",IF(O111&gt;0,"OK","-"))))))</f>
        <v/>
      </c>
      <c r="AB111" s="13" t="str">
        <f aca="false">IF(OR(AE111=0,T111=""),"",AY111*HoursPerDay-T111)</f>
        <v/>
      </c>
      <c r="AC111" s="12" t="str">
        <f aca="false">IF(AE111=0,"",BA111)</f>
        <v/>
      </c>
      <c r="AD111" s="12" t="str">
        <f aca="false">IF(AE111=0,"",TRIM(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IF(AE111=0,"",IF($J111&lt;&gt;"",$J111,$F111))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15"/>
      <c r="B112" s="15"/>
      <c r="C112" s="15"/>
      <c r="D112" s="16"/>
      <c r="E112" s="10" t="str">
        <f aca="false">IF(OR(AE112=0,$D112=""),"",DATE(YEAR(AsOfDate)+IF(DATE(YEAR(AsOfDate),MONTH($D112),DAY($D112))&lt;=AsOfDate,1,0),MONTH($D112),DAY($D112)))</f>
        <v/>
      </c>
      <c r="F112" s="16"/>
      <c r="G112" s="16"/>
      <c r="H112" s="16"/>
      <c r="I112" s="16"/>
      <c r="J112" s="16"/>
      <c r="K112" s="10" t="str">
        <f aca="false">IF(AE112=0,"",DATE(YEAR(AsOfDate)+IF(DATE(YEAR(AsOfDate),MONTH($F112),DAY($F112))&lt;=AsOfDate,1,0),MONTH($F112),DAY($F112)))</f>
        <v/>
      </c>
      <c r="L112" s="11" t="str">
        <f aca="false">IF(AE112=0,"",ROUND((AsOfDate-$F112)/365.25,1))</f>
        <v/>
      </c>
      <c r="M112" s="12" t="str">
        <f aca="false">IF(AE112=0,"",IF(AsOfDate&lt;AF112,"-",DATEDIF(AF112,AsOfDate,"y")&amp;"y "&amp;DATEDIF(AF112,AsOfDate,"ym")&amp;"m "&amp;DATEDIF(AF112,AsOfDate,"md")&amp;"d"))</f>
        <v/>
      </c>
      <c r="N112" s="13" t="str">
        <f aca="false">IF(AE112=0,"",O112*HoursPerDay)</f>
        <v/>
      </c>
      <c r="O112" s="13" t="str">
        <f aca="false">IF(AE112=0,"",AX112)</f>
        <v/>
      </c>
      <c r="P112" s="17"/>
      <c r="Q112" s="12"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IF(OR(AE112=0,W112=""),"",W112-U112+V112)</f>
        <v/>
      </c>
      <c r="U112" s="13" t="str">
        <f aca="false">IF(AE112=0,"",IF(NOT(LH_Ready),"",SUMIFS(INDEX(LH_Data,0,LH_ColAcc),INDEX(LH_Data,0,LH_ColFirst),$A112,INDEX(LH_Data,0,LH_ColSur),$B112,INDEX(LH_Data,0,LH_ColCat),BonusCat)*UnitFactor))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IF(AE112=0,"",X112-N(U112))</f>
        <v/>
      </c>
      <c r="Z112" s="12" t="str">
        <f aca="false">IF(AE112=0,"",IF(Y112&gt;0,"Yes","No"))</f>
        <v/>
      </c>
      <c r="AA112" s="12" t="str">
        <f aca="false">IF(AE112=0,"",IF(NOT(LH_Ready),"Paste Leave History export",IF(Y112&gt;0,"ACCRUE "&amp;TEXT(Y112,"0.##")&amp;" hrs ("&amp;TEXT(Y112/HoursPerDay,"0.##")&amp;" days)"&amp;IF(BA112=0," - no Bonus Leave line in EH yet",""),IF(Y112&lt;0,"CHECK - EH accrued "&amp;TEXT(-Y112,"0.##")&amp;" hrs more than policy",IF(AND(O112&gt;0,BA112=0),"CHECK - policy says "&amp;TEXT(N112,"0.##")&amp;" hrs to date but no Bonus Leave in EH",IF(O112&gt;0,"OK","-"))))))</f>
        <v/>
      </c>
      <c r="AB112" s="13" t="str">
        <f aca="false">IF(OR(AE112=0,T112=""),"",AY112*HoursPerDay-T112)</f>
        <v/>
      </c>
      <c r="AC112" s="12" t="str">
        <f aca="false">IF(AE112=0,"",BA112)</f>
        <v/>
      </c>
      <c r="AD112" s="12" t="str">
        <f aca="false">IF(AE112=0,"",TRIM(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IF(AE112=0,"",IF($J112&lt;&gt;"",$J112,$F112))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15"/>
      <c r="B113" s="15"/>
      <c r="C113" s="15"/>
      <c r="D113" s="16"/>
      <c r="E113" s="10" t="str">
        <f aca="false">IF(OR(AE113=0,$D113=""),"",DATE(YEAR(AsOfDate)+IF(DATE(YEAR(AsOfDate),MONTH($D113),DAY($D113))&lt;=AsOfDate,1,0),MONTH($D113),DAY($D113)))</f>
        <v/>
      </c>
      <c r="F113" s="16"/>
      <c r="G113" s="16"/>
      <c r="H113" s="16"/>
      <c r="I113" s="16"/>
      <c r="J113" s="16"/>
      <c r="K113" s="10" t="str">
        <f aca="false">IF(AE113=0,"",DATE(YEAR(AsOfDate)+IF(DATE(YEAR(AsOfDate),MONTH($F113),DAY($F113))&lt;=AsOfDate,1,0),MONTH($F113),DAY($F113)))</f>
        <v/>
      </c>
      <c r="L113" s="11" t="str">
        <f aca="false">IF(AE113=0,"",ROUND((AsOfDate-$F113)/365.25,1))</f>
        <v/>
      </c>
      <c r="M113" s="12" t="str">
        <f aca="false">IF(AE113=0,"",IF(AsOfDate&lt;AF113,"-",DATEDIF(AF113,AsOfDate,"y")&amp;"y "&amp;DATEDIF(AF113,AsOfDate,"ym")&amp;"m "&amp;DATEDIF(AF113,AsOfDate,"md")&amp;"d"))</f>
        <v/>
      </c>
      <c r="N113" s="13" t="str">
        <f aca="false">IF(AE113=0,"",O113*HoursPerDay)</f>
        <v/>
      </c>
      <c r="O113" s="13" t="str">
        <f aca="false">IF(AE113=0,"",AX113)</f>
        <v/>
      </c>
      <c r="P113" s="17"/>
      <c r="Q113" s="12"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IF(OR(AE113=0,W113=""),"",W113-U113+V113)</f>
        <v/>
      </c>
      <c r="U113" s="13" t="str">
        <f aca="false">IF(AE113=0,"",IF(NOT(LH_Ready),"",SUMIFS(INDEX(LH_Data,0,LH_ColAcc),INDEX(LH_Data,0,LH_ColFirst),$A113,INDEX(LH_Data,0,LH_ColSur),$B113,INDEX(LH_Data,0,LH_ColCat),BonusCat)*UnitFactor))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IF(AE113=0,"",X113-N(U113))</f>
        <v/>
      </c>
      <c r="Z113" s="12" t="str">
        <f aca="false">IF(AE113=0,"",IF(Y113&gt;0,"Yes","No"))</f>
        <v/>
      </c>
      <c r="AA113" s="12" t="str">
        <f aca="false">IF(AE113=0,"",IF(NOT(LH_Ready),"Paste Leave History export",IF(Y113&gt;0,"ACCRUE "&amp;TEXT(Y113,"0.##")&amp;" hrs ("&amp;TEXT(Y113/HoursPerDay,"0.##")&amp;" days)"&amp;IF(BA113=0," - no Bonus Leave line in EH yet",""),IF(Y113&lt;0,"CHECK - EH accrued "&amp;TEXT(-Y113,"0.##")&amp;" hrs more than policy",IF(AND(O113&gt;0,BA113=0),"CHECK - policy says "&amp;TEXT(N113,"0.##")&amp;" hrs to date but no Bonus Leave in EH",IF(O113&gt;0,"OK","-"))))))</f>
        <v/>
      </c>
      <c r="AB113" s="13" t="str">
        <f aca="false">IF(OR(AE113=0,T113=""),"",AY113*HoursPerDay-T113)</f>
        <v/>
      </c>
      <c r="AC113" s="12" t="str">
        <f aca="false">IF(AE113=0,"",BA113)</f>
        <v/>
      </c>
      <c r="AD113" s="12" t="str">
        <f aca="false">IF(AE113=0,"",TRIM(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IF(AE113=0,"",IF($J113&lt;&gt;"",$J113,$F113))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15"/>
      <c r="B114" s="15"/>
      <c r="C114" s="15"/>
      <c r="D114" s="16"/>
      <c r="E114" s="10" t="str">
        <f aca="false">IF(OR(AE114=0,$D114=""),"",DATE(YEAR(AsOfDate)+IF(DATE(YEAR(AsOfDate),MONTH($D114),DAY($D114))&lt;=AsOfDate,1,0),MONTH($D114),DAY($D114)))</f>
        <v/>
      </c>
      <c r="F114" s="16"/>
      <c r="G114" s="16"/>
      <c r="H114" s="16"/>
      <c r="I114" s="16"/>
      <c r="J114" s="16"/>
      <c r="K114" s="10" t="str">
        <f aca="false">IF(AE114=0,"",DATE(YEAR(AsOfDate)+IF(DATE(YEAR(AsOfDate),MONTH($F114),DAY($F114))&lt;=AsOfDate,1,0),MONTH($F114),DAY($F114)))</f>
        <v/>
      </c>
      <c r="L114" s="11" t="str">
        <f aca="false">IF(AE114=0,"",ROUND((AsOfDate-$F114)/365.25,1))</f>
        <v/>
      </c>
      <c r="M114" s="12" t="str">
        <f aca="false">IF(AE114=0,"",IF(AsOfDate&lt;AF114,"-",DATEDIF(AF114,AsOfDate,"y")&amp;"y "&amp;DATEDIF(AF114,AsOfDate,"ym")&amp;"m "&amp;DATEDIF(AF114,AsOfDate,"md")&amp;"d"))</f>
        <v/>
      </c>
      <c r="N114" s="13" t="str">
        <f aca="false">IF(AE114=0,"",O114*HoursPerDay)</f>
        <v/>
      </c>
      <c r="O114" s="13" t="str">
        <f aca="false">IF(AE114=0,"",AX114)</f>
        <v/>
      </c>
      <c r="P114" s="17"/>
      <c r="Q114" s="12"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IF(OR(AE114=0,W114=""),"",W114-U114+V114)</f>
        <v/>
      </c>
      <c r="U114" s="13" t="str">
        <f aca="false">IF(AE114=0,"",IF(NOT(LH_Ready),"",SUMIFS(INDEX(LH_Data,0,LH_ColAcc),INDEX(LH_Data,0,LH_ColFirst),$A114,INDEX(LH_Data,0,LH_ColSur),$B114,INDEX(LH_Data,0,LH_ColCat),BonusCat)*UnitFactor))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IF(AE114=0,"",X114-N(U114))</f>
        <v/>
      </c>
      <c r="Z114" s="12" t="str">
        <f aca="false">IF(AE114=0,"",IF(Y114&gt;0,"Yes","No"))</f>
        <v/>
      </c>
      <c r="AA114" s="12" t="str">
        <f aca="false">IF(AE114=0,"",IF(NOT(LH_Ready),"Paste Leave History export",IF(Y114&gt;0,"ACCRUE "&amp;TEXT(Y114,"0.##")&amp;" hrs ("&amp;TEXT(Y114/HoursPerDay,"0.##")&amp;" days)"&amp;IF(BA114=0," - no Bonus Leave line in EH yet",""),IF(Y114&lt;0,"CHECK - EH accrued "&amp;TEXT(-Y114,"0.##")&amp;" hrs more than policy",IF(AND(O114&gt;0,BA114=0),"CHECK - policy says "&amp;TEXT(N114,"0.##")&amp;" hrs to date but no Bonus Leave in EH",IF(O114&gt;0,"OK","-"))))))</f>
        <v/>
      </c>
      <c r="AB114" s="13" t="str">
        <f aca="false">IF(OR(AE114=0,T114=""),"",AY114*HoursPerDay-T114)</f>
        <v/>
      </c>
      <c r="AC114" s="12" t="str">
        <f aca="false">IF(AE114=0,"",BA114)</f>
        <v/>
      </c>
      <c r="AD114" s="12" t="str">
        <f aca="false">IF(AE114=0,"",TRIM(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IF(AE114=0,"",IF($J114&lt;&gt;"",$J114,$F114))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15"/>
      <c r="B115" s="15"/>
      <c r="C115" s="15"/>
      <c r="D115" s="16"/>
      <c r="E115" s="10" t="str">
        <f aca="false">IF(OR(AE115=0,$D115=""),"",DATE(YEAR(AsOfDate)+IF(DATE(YEAR(AsOfDate),MONTH($D115),DAY($D115))&lt;=AsOfDate,1,0),MONTH($D115),DAY($D115)))</f>
        <v/>
      </c>
      <c r="F115" s="16"/>
      <c r="G115" s="16"/>
      <c r="H115" s="16"/>
      <c r="I115" s="16"/>
      <c r="J115" s="16"/>
      <c r="K115" s="10" t="str">
        <f aca="false">IF(AE115=0,"",DATE(YEAR(AsOfDate)+IF(DATE(YEAR(AsOfDate),MONTH($F115),DAY($F115))&lt;=AsOfDate,1,0),MONTH($F115),DAY($F115)))</f>
        <v/>
      </c>
      <c r="L115" s="11" t="str">
        <f aca="false">IF(AE115=0,"",ROUND((AsOfDate-$F115)/365.25,1))</f>
        <v/>
      </c>
      <c r="M115" s="12" t="str">
        <f aca="false">IF(AE115=0,"",IF(AsOfDate&lt;AF115,"-",DATEDIF(AF115,AsOfDate,"y")&amp;"y "&amp;DATEDIF(AF115,AsOfDate,"ym")&amp;"m "&amp;DATEDIF(AF115,AsOfDate,"md")&amp;"d"))</f>
        <v/>
      </c>
      <c r="N115" s="13" t="str">
        <f aca="false">IF(AE115=0,"",O115*HoursPerDay)</f>
        <v/>
      </c>
      <c r="O115" s="13" t="str">
        <f aca="false">IF(AE115=0,"",AX115)</f>
        <v/>
      </c>
      <c r="P115" s="17"/>
      <c r="Q115" s="12"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IF(OR(AE115=0,W115=""),"",W115-U115+V115)</f>
        <v/>
      </c>
      <c r="U115" s="13" t="str">
        <f aca="false">IF(AE115=0,"",IF(NOT(LH_Ready),"",SUMIFS(INDEX(LH_Data,0,LH_ColAcc),INDEX(LH_Data,0,LH_ColFirst),$A115,INDEX(LH_Data,0,LH_ColSur),$B115,INDEX(LH_Data,0,LH_ColCat),BonusCat)*UnitFactor))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IF(AE115=0,"",X115-N(U115))</f>
        <v/>
      </c>
      <c r="Z115" s="12" t="str">
        <f aca="false">IF(AE115=0,"",IF(Y115&gt;0,"Yes","No"))</f>
        <v/>
      </c>
      <c r="AA115" s="12" t="str">
        <f aca="false">IF(AE115=0,"",IF(NOT(LH_Ready),"Paste Leave History export",IF(Y115&gt;0,"ACCRUE "&amp;TEXT(Y115,"0.##")&amp;" hrs ("&amp;TEXT(Y115/HoursPerDay,"0.##")&amp;" days)"&amp;IF(BA115=0," - no Bonus Leave line in EH yet",""),IF(Y115&lt;0,"CHECK - EH accrued "&amp;TEXT(-Y115,"0.##")&amp;" hrs more than policy",IF(AND(O115&gt;0,BA115=0),"CHECK - policy says "&amp;TEXT(N115,"0.##")&amp;" hrs to date but no Bonus Leave in EH",IF(O115&gt;0,"OK","-"))))))</f>
        <v/>
      </c>
      <c r="AB115" s="13" t="str">
        <f aca="false">IF(OR(AE115=0,T115=""),"",AY115*HoursPerDay-T115)</f>
        <v/>
      </c>
      <c r="AC115" s="12" t="str">
        <f aca="false">IF(AE115=0,"",BA115)</f>
        <v/>
      </c>
      <c r="AD115" s="12" t="str">
        <f aca="false">IF(AE115=0,"",TRIM(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IF(AE115=0,"",IF($J115&lt;&gt;"",$J115,$F115))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15"/>
      <c r="B116" s="15"/>
      <c r="C116" s="15"/>
      <c r="D116" s="16"/>
      <c r="E116" s="10" t="str">
        <f aca="false">IF(OR(AE116=0,$D116=""),"",DATE(YEAR(AsOfDate)+IF(DATE(YEAR(AsOfDate),MONTH($D116),DAY($D116))&lt;=AsOfDate,1,0),MONTH($D116),DAY($D116)))</f>
        <v/>
      </c>
      <c r="F116" s="16"/>
      <c r="G116" s="16"/>
      <c r="H116" s="16"/>
      <c r="I116" s="16"/>
      <c r="J116" s="16"/>
      <c r="K116" s="10" t="str">
        <f aca="false">IF(AE116=0,"",DATE(YEAR(AsOfDate)+IF(DATE(YEAR(AsOfDate),MONTH($F116),DAY($F116))&lt;=AsOfDate,1,0),MONTH($F116),DAY($F116)))</f>
        <v/>
      </c>
      <c r="L116" s="11" t="str">
        <f aca="false">IF(AE116=0,"",ROUND((AsOfDate-$F116)/365.25,1))</f>
        <v/>
      </c>
      <c r="M116" s="12" t="str">
        <f aca="false">IF(AE116=0,"",IF(AsOfDate&lt;AF116,"-",DATEDIF(AF116,AsOfDate,"y")&amp;"y "&amp;DATEDIF(AF116,AsOfDate,"ym")&amp;"m "&amp;DATEDIF(AF116,AsOfDate,"md")&amp;"d"))</f>
        <v/>
      </c>
      <c r="N116" s="13" t="str">
        <f aca="false">IF(AE116=0,"",O116*HoursPerDay)</f>
        <v/>
      </c>
      <c r="O116" s="13" t="str">
        <f aca="false">IF(AE116=0,"",AX116)</f>
        <v/>
      </c>
      <c r="P116" s="17"/>
      <c r="Q116" s="12"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IF(OR(AE116=0,W116=""),"",W116-U116+V116)</f>
        <v/>
      </c>
      <c r="U116" s="13" t="str">
        <f aca="false">IF(AE116=0,"",IF(NOT(LH_Ready),"",SUMIFS(INDEX(LH_Data,0,LH_ColAcc),INDEX(LH_Data,0,LH_ColFirst),$A116,INDEX(LH_Data,0,LH_ColSur),$B116,INDEX(LH_Data,0,LH_ColCat),BonusCat)*UnitFactor))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IF(AE116=0,"",X116-N(U116))</f>
        <v/>
      </c>
      <c r="Z116" s="12" t="str">
        <f aca="false">IF(AE116=0,"",IF(Y116&gt;0,"Yes","No"))</f>
        <v/>
      </c>
      <c r="AA116" s="12" t="str">
        <f aca="false">IF(AE116=0,"",IF(NOT(LH_Ready),"Paste Leave History export",IF(Y116&gt;0,"ACCRUE "&amp;TEXT(Y116,"0.##")&amp;" hrs ("&amp;TEXT(Y116/HoursPerDay,"0.##")&amp;" days)"&amp;IF(BA116=0," - no Bonus Leave line in EH yet",""),IF(Y116&lt;0,"CHECK - EH accrued "&amp;TEXT(-Y116,"0.##")&amp;" hrs more than policy",IF(AND(O116&gt;0,BA116=0),"CHECK - policy says "&amp;TEXT(N116,"0.##")&amp;" hrs to date but no Bonus Leave in EH",IF(O116&gt;0,"OK","-"))))))</f>
        <v/>
      </c>
      <c r="AB116" s="13" t="str">
        <f aca="false">IF(OR(AE116=0,T116=""),"",AY116*HoursPerDay-T116)</f>
        <v/>
      </c>
      <c r="AC116" s="12" t="str">
        <f aca="false">IF(AE116=0,"",BA116)</f>
        <v/>
      </c>
      <c r="AD116" s="12" t="str">
        <f aca="false">IF(AE116=0,"",TRIM(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IF(AE116=0,"",IF($J116&lt;&gt;"",$J116,$F116))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15"/>
      <c r="B117" s="15"/>
      <c r="C117" s="15"/>
      <c r="D117" s="16"/>
      <c r="E117" s="10" t="str">
        <f aca="false">IF(OR(AE117=0,$D117=""),"",DATE(YEAR(AsOfDate)+IF(DATE(YEAR(AsOfDate),MONTH($D117),DAY($D117))&lt;=AsOfDate,1,0),MONTH($D117),DAY($D117)))</f>
        <v/>
      </c>
      <c r="F117" s="16"/>
      <c r="G117" s="16"/>
      <c r="H117" s="16"/>
      <c r="I117" s="16"/>
      <c r="J117" s="16"/>
      <c r="K117" s="10" t="str">
        <f aca="false">IF(AE117=0,"",DATE(YEAR(AsOfDate)+IF(DATE(YEAR(AsOfDate),MONTH($F117),DAY($F117))&lt;=AsOfDate,1,0),MONTH($F117),DAY($F117)))</f>
        <v/>
      </c>
      <c r="L117" s="11" t="str">
        <f aca="false">IF(AE117=0,"",ROUND((AsOfDate-$F117)/365.25,1))</f>
        <v/>
      </c>
      <c r="M117" s="12" t="str">
        <f aca="false">IF(AE117=0,"",IF(AsOfDate&lt;AF117,"-",DATEDIF(AF117,AsOfDate,"y")&amp;"y "&amp;DATEDIF(AF117,AsOfDate,"ym")&amp;"m "&amp;DATEDIF(AF117,AsOfDate,"md")&amp;"d"))</f>
        <v/>
      </c>
      <c r="N117" s="13" t="str">
        <f aca="false">IF(AE117=0,"",O117*HoursPerDay)</f>
        <v/>
      </c>
      <c r="O117" s="13" t="str">
        <f aca="false">IF(AE117=0,"",AX117)</f>
        <v/>
      </c>
      <c r="P117" s="17"/>
      <c r="Q117" s="12"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IF(OR(AE117=0,W117=""),"",W117-U117+V117)</f>
        <v/>
      </c>
      <c r="U117" s="13" t="str">
        <f aca="false">IF(AE117=0,"",IF(NOT(LH_Ready),"",SUMIFS(INDEX(LH_Data,0,LH_ColAcc),INDEX(LH_Data,0,LH_ColFirst),$A117,INDEX(LH_Data,0,LH_ColSur),$B117,INDEX(LH_Data,0,LH_ColCat),BonusCat)*UnitFactor))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IF(AE117=0,"",X117-N(U117))</f>
        <v/>
      </c>
      <c r="Z117" s="12" t="str">
        <f aca="false">IF(AE117=0,"",IF(Y117&gt;0,"Yes","No"))</f>
        <v/>
      </c>
      <c r="AA117" s="12" t="str">
        <f aca="false">IF(AE117=0,"",IF(NOT(LH_Ready),"Paste Leave History export",IF(Y117&gt;0,"ACCRUE "&amp;TEXT(Y117,"0.##")&amp;" hrs ("&amp;TEXT(Y117/HoursPerDay,"0.##")&amp;" days)"&amp;IF(BA117=0," - no Bonus Leave line in EH yet",""),IF(Y117&lt;0,"CHECK - EH accrued "&amp;TEXT(-Y117,"0.##")&amp;" hrs more than policy",IF(AND(O117&gt;0,BA117=0),"CHECK - policy says "&amp;TEXT(N117,"0.##")&amp;" hrs to date but no Bonus Leave in EH",IF(O117&gt;0,"OK","-"))))))</f>
        <v/>
      </c>
      <c r="AB117" s="13" t="str">
        <f aca="false">IF(OR(AE117=0,T117=""),"",AY117*HoursPerDay-T117)</f>
        <v/>
      </c>
      <c r="AC117" s="12" t="str">
        <f aca="false">IF(AE117=0,"",BA117)</f>
        <v/>
      </c>
      <c r="AD117" s="12" t="str">
        <f aca="false">IF(AE117=0,"",TRIM(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IF(AE117=0,"",IF($J117&lt;&gt;"",$J117,$F117))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15"/>
      <c r="B118" s="15"/>
      <c r="C118" s="15"/>
      <c r="D118" s="16"/>
      <c r="E118" s="10" t="str">
        <f aca="false">IF(OR(AE118=0,$D118=""),"",DATE(YEAR(AsOfDate)+IF(DATE(YEAR(AsOfDate),MONTH($D118),DAY($D118))&lt;=AsOfDate,1,0),MONTH($D118),DAY($D118)))</f>
        <v/>
      </c>
      <c r="F118" s="16"/>
      <c r="G118" s="16"/>
      <c r="H118" s="16"/>
      <c r="I118" s="16"/>
      <c r="J118" s="16"/>
      <c r="K118" s="10" t="str">
        <f aca="false">IF(AE118=0,"",DATE(YEAR(AsOfDate)+IF(DATE(YEAR(AsOfDate),MONTH($F118),DAY($F118))&lt;=AsOfDate,1,0),MONTH($F118),DAY($F118)))</f>
        <v/>
      </c>
      <c r="L118" s="11" t="str">
        <f aca="false">IF(AE118=0,"",ROUND((AsOfDate-$F118)/365.25,1))</f>
        <v/>
      </c>
      <c r="M118" s="12" t="str">
        <f aca="false">IF(AE118=0,"",IF(AsOfDate&lt;AF118,"-",DATEDIF(AF118,AsOfDate,"y")&amp;"y "&amp;DATEDIF(AF118,AsOfDate,"ym")&amp;"m "&amp;DATEDIF(AF118,AsOfDate,"md")&amp;"d"))</f>
        <v/>
      </c>
      <c r="N118" s="13" t="str">
        <f aca="false">IF(AE118=0,"",O118*HoursPerDay)</f>
        <v/>
      </c>
      <c r="O118" s="13" t="str">
        <f aca="false">IF(AE118=0,"",AX118)</f>
        <v/>
      </c>
      <c r="P118" s="17"/>
      <c r="Q118" s="12"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IF(OR(AE118=0,W118=""),"",W118-U118+V118)</f>
        <v/>
      </c>
      <c r="U118" s="13" t="str">
        <f aca="false">IF(AE118=0,"",IF(NOT(LH_Ready),"",SUMIFS(INDEX(LH_Data,0,LH_ColAcc),INDEX(LH_Data,0,LH_ColFirst),$A118,INDEX(LH_Data,0,LH_ColSur),$B118,INDEX(LH_Data,0,LH_ColCat),BonusCat)*UnitFactor))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IF(AE118=0,"",X118-N(U118))</f>
        <v/>
      </c>
      <c r="Z118" s="12" t="str">
        <f aca="false">IF(AE118=0,"",IF(Y118&gt;0,"Yes","No"))</f>
        <v/>
      </c>
      <c r="AA118" s="12" t="str">
        <f aca="false">IF(AE118=0,"",IF(NOT(LH_Ready),"Paste Leave History export",IF(Y118&gt;0,"ACCRUE "&amp;TEXT(Y118,"0.##")&amp;" hrs ("&amp;TEXT(Y118/HoursPerDay,"0.##")&amp;" days)"&amp;IF(BA118=0," - no Bonus Leave line in EH yet",""),IF(Y118&lt;0,"CHECK - EH accrued "&amp;TEXT(-Y118,"0.##")&amp;" hrs more than policy",IF(AND(O118&gt;0,BA118=0),"CHECK - policy says "&amp;TEXT(N118,"0.##")&amp;" hrs to date but no Bonus Leave in EH",IF(O118&gt;0,"OK","-"))))))</f>
        <v/>
      </c>
      <c r="AB118" s="13" t="str">
        <f aca="false">IF(OR(AE118=0,T118=""),"",AY118*HoursPerDay-T118)</f>
        <v/>
      </c>
      <c r="AC118" s="12" t="str">
        <f aca="false">IF(AE118=0,"",BA118)</f>
        <v/>
      </c>
      <c r="AD118" s="12" t="str">
        <f aca="false">IF(AE118=0,"",TRIM(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IF(AE118=0,"",IF($J118&lt;&gt;"",$J118,$F118))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15"/>
      <c r="B119" s="15"/>
      <c r="C119" s="15"/>
      <c r="D119" s="16"/>
      <c r="E119" s="10" t="str">
        <f aca="false">IF(OR(AE119=0,$D119=""),"",DATE(YEAR(AsOfDate)+IF(DATE(YEAR(AsOfDate),MONTH($D119),DAY($D119))&lt;=AsOfDate,1,0),MONTH($D119),DAY($D119)))</f>
        <v/>
      </c>
      <c r="F119" s="16"/>
      <c r="G119" s="16"/>
      <c r="H119" s="16"/>
      <c r="I119" s="16"/>
      <c r="J119" s="16"/>
      <c r="K119" s="10" t="str">
        <f aca="false">IF(AE119=0,"",DATE(YEAR(AsOfDate)+IF(DATE(YEAR(AsOfDate),MONTH($F119),DAY($F119))&lt;=AsOfDate,1,0),MONTH($F119),DAY($F119)))</f>
        <v/>
      </c>
      <c r="L119" s="11" t="str">
        <f aca="false">IF(AE119=0,"",ROUND((AsOfDate-$F119)/365.25,1))</f>
        <v/>
      </c>
      <c r="M119" s="12" t="str">
        <f aca="false">IF(AE119=0,"",IF(AsOfDate&lt;AF119,"-",DATEDIF(AF119,AsOfDate,"y")&amp;"y "&amp;DATEDIF(AF119,AsOfDate,"ym")&amp;"m "&amp;DATEDIF(AF119,AsOfDate,"md")&amp;"d"))</f>
        <v/>
      </c>
      <c r="N119" s="13" t="str">
        <f aca="false">IF(AE119=0,"",O119*HoursPerDay)</f>
        <v/>
      </c>
      <c r="O119" s="13" t="str">
        <f aca="false">IF(AE119=0,"",AX119)</f>
        <v/>
      </c>
      <c r="P119" s="17"/>
      <c r="Q119" s="12"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IF(OR(AE119=0,W119=""),"",W119-U119+V119)</f>
        <v/>
      </c>
      <c r="U119" s="13" t="str">
        <f aca="false">IF(AE119=0,"",IF(NOT(LH_Ready),"",SUMIFS(INDEX(LH_Data,0,LH_ColAcc),INDEX(LH_Data,0,LH_ColFirst),$A119,INDEX(LH_Data,0,LH_ColSur),$B119,INDEX(LH_Data,0,LH_ColCat),BonusCat)*UnitFactor))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IF(AE119=0,"",X119-N(U119))</f>
        <v/>
      </c>
      <c r="Z119" s="12" t="str">
        <f aca="false">IF(AE119=0,"",IF(Y119&gt;0,"Yes","No"))</f>
        <v/>
      </c>
      <c r="AA119" s="12" t="str">
        <f aca="false">IF(AE119=0,"",IF(NOT(LH_Ready),"Paste Leave History export",IF(Y119&gt;0,"ACCRUE "&amp;TEXT(Y119,"0.##")&amp;" hrs ("&amp;TEXT(Y119/HoursPerDay,"0.##")&amp;" days)"&amp;IF(BA119=0," - no Bonus Leave line in EH yet",""),IF(Y119&lt;0,"CHECK - EH accrued "&amp;TEXT(-Y119,"0.##")&amp;" hrs more than policy",IF(AND(O119&gt;0,BA119=0),"CHECK - policy says "&amp;TEXT(N119,"0.##")&amp;" hrs to date but no Bonus Leave in EH",IF(O119&gt;0,"OK","-"))))))</f>
        <v/>
      </c>
      <c r="AB119" s="13" t="str">
        <f aca="false">IF(OR(AE119=0,T119=""),"",AY119*HoursPerDay-T119)</f>
        <v/>
      </c>
      <c r="AC119" s="12" t="str">
        <f aca="false">IF(AE119=0,"",BA119)</f>
        <v/>
      </c>
      <c r="AD119" s="12" t="str">
        <f aca="false">IF(AE119=0,"",TRIM(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IF(AE119=0,"",IF($J119&lt;&gt;"",$J119,$F119))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15"/>
      <c r="B120" s="15"/>
      <c r="C120" s="15"/>
      <c r="D120" s="16"/>
      <c r="E120" s="10" t="str">
        <f aca="false">IF(OR(AE120=0,$D120=""),"",DATE(YEAR(AsOfDate)+IF(DATE(YEAR(AsOfDate),MONTH($D120),DAY($D120))&lt;=AsOfDate,1,0),MONTH($D120),DAY($D120)))</f>
        <v/>
      </c>
      <c r="F120" s="16"/>
      <c r="G120" s="16"/>
      <c r="H120" s="16"/>
      <c r="I120" s="16"/>
      <c r="J120" s="16"/>
      <c r="K120" s="10" t="str">
        <f aca="false">IF(AE120=0,"",DATE(YEAR(AsOfDate)+IF(DATE(YEAR(AsOfDate),MONTH($F120),DAY($F120))&lt;=AsOfDate,1,0),MONTH($F120),DAY($F120)))</f>
        <v/>
      </c>
      <c r="L120" s="11" t="str">
        <f aca="false">IF(AE120=0,"",ROUND((AsOfDate-$F120)/365.25,1))</f>
        <v/>
      </c>
      <c r="M120" s="12" t="str">
        <f aca="false">IF(AE120=0,"",IF(AsOfDate&lt;AF120,"-",DATEDIF(AF120,AsOfDate,"y")&amp;"y "&amp;DATEDIF(AF120,AsOfDate,"ym")&amp;"m "&amp;DATEDIF(AF120,AsOfDate,"md")&amp;"d"))</f>
        <v/>
      </c>
      <c r="N120" s="13" t="str">
        <f aca="false">IF(AE120=0,"",O120*HoursPerDay)</f>
        <v/>
      </c>
      <c r="O120" s="13" t="str">
        <f aca="false">IF(AE120=0,"",AX120)</f>
        <v/>
      </c>
      <c r="P120" s="17"/>
      <c r="Q120" s="12"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IF(OR(AE120=0,W120=""),"",W120-U120+V120)</f>
        <v/>
      </c>
      <c r="U120" s="13" t="str">
        <f aca="false">IF(AE120=0,"",IF(NOT(LH_Ready),"",SUMIFS(INDEX(LH_Data,0,LH_ColAcc),INDEX(LH_Data,0,LH_ColFirst),$A120,INDEX(LH_Data,0,LH_ColSur),$B120,INDEX(LH_Data,0,LH_ColCat),BonusCat)*UnitFactor))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IF(AE120=0,"",X120-N(U120))</f>
        <v/>
      </c>
      <c r="Z120" s="12" t="str">
        <f aca="false">IF(AE120=0,"",IF(Y120&gt;0,"Yes","No"))</f>
        <v/>
      </c>
      <c r="AA120" s="12" t="str">
        <f aca="false">IF(AE120=0,"",IF(NOT(LH_Ready),"Paste Leave History export",IF(Y120&gt;0,"ACCRUE "&amp;TEXT(Y120,"0.##")&amp;" hrs ("&amp;TEXT(Y120/HoursPerDay,"0.##")&amp;" days)"&amp;IF(BA120=0," - no Bonus Leave line in EH yet",""),IF(Y120&lt;0,"CHECK - EH accrued "&amp;TEXT(-Y120,"0.##")&amp;" hrs more than policy",IF(AND(O120&gt;0,BA120=0),"CHECK - policy says "&amp;TEXT(N120,"0.##")&amp;" hrs to date but no Bonus Leave in EH",IF(O120&gt;0,"OK","-"))))))</f>
        <v/>
      </c>
      <c r="AB120" s="13" t="str">
        <f aca="false">IF(OR(AE120=0,T120=""),"",AY120*HoursPerDay-T120)</f>
        <v/>
      </c>
      <c r="AC120" s="12" t="str">
        <f aca="false">IF(AE120=0,"",BA120)</f>
        <v/>
      </c>
      <c r="AD120" s="12" t="str">
        <f aca="false">IF(AE120=0,"",TRIM(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IF(AE120=0,"",IF($J120&lt;&gt;"",$J120,$F120))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15"/>
      <c r="B121" s="15"/>
      <c r="C121" s="15"/>
      <c r="D121" s="16"/>
      <c r="E121" s="10" t="str">
        <f aca="false">IF(OR(AE121=0,$D121=""),"",DATE(YEAR(AsOfDate)+IF(DATE(YEAR(AsOfDate),MONTH($D121),DAY($D121))&lt;=AsOfDate,1,0),MONTH($D121),DAY($D121)))</f>
        <v/>
      </c>
      <c r="F121" s="16"/>
      <c r="G121" s="16"/>
      <c r="H121" s="16"/>
      <c r="I121" s="16"/>
      <c r="J121" s="16"/>
      <c r="K121" s="10" t="str">
        <f aca="false">IF(AE121=0,"",DATE(YEAR(AsOfDate)+IF(DATE(YEAR(AsOfDate),MONTH($F121),DAY($F121))&lt;=AsOfDate,1,0),MONTH($F121),DAY($F121)))</f>
        <v/>
      </c>
      <c r="L121" s="11" t="str">
        <f aca="false">IF(AE121=0,"",ROUND((AsOfDate-$F121)/365.25,1))</f>
        <v/>
      </c>
      <c r="M121" s="12" t="str">
        <f aca="false">IF(AE121=0,"",IF(AsOfDate&lt;AF121,"-",DATEDIF(AF121,AsOfDate,"y")&amp;"y "&amp;DATEDIF(AF121,AsOfDate,"ym")&amp;"m "&amp;DATEDIF(AF121,AsOfDate,"md")&amp;"d"))</f>
        <v/>
      </c>
      <c r="N121" s="13" t="str">
        <f aca="false">IF(AE121=0,"",O121*HoursPerDay)</f>
        <v/>
      </c>
      <c r="O121" s="13" t="str">
        <f aca="false">IF(AE121=0,"",AX121)</f>
        <v/>
      </c>
      <c r="P121" s="17"/>
      <c r="Q121" s="12"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IF(OR(AE121=0,W121=""),"",W121-U121+V121)</f>
        <v/>
      </c>
      <c r="U121" s="13" t="str">
        <f aca="false">IF(AE121=0,"",IF(NOT(LH_Ready),"",SUMIFS(INDEX(LH_Data,0,LH_ColAcc),INDEX(LH_Data,0,LH_ColFirst),$A121,INDEX(LH_Data,0,LH_ColSur),$B121,INDEX(LH_Data,0,LH_ColCat),BonusCat)*UnitFactor))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IF(AE121=0,"",X121-N(U121))</f>
        <v/>
      </c>
      <c r="Z121" s="12" t="str">
        <f aca="false">IF(AE121=0,"",IF(Y121&gt;0,"Yes","No"))</f>
        <v/>
      </c>
      <c r="AA121" s="12" t="str">
        <f aca="false">IF(AE121=0,"",IF(NOT(LH_Ready),"Paste Leave History export",IF(Y121&gt;0,"ACCRUE "&amp;TEXT(Y121,"0.##")&amp;" hrs ("&amp;TEXT(Y121/HoursPerDay,"0.##")&amp;" days)"&amp;IF(BA121=0," - no Bonus Leave line in EH yet",""),IF(Y121&lt;0,"CHECK - EH accrued "&amp;TEXT(-Y121,"0.##")&amp;" hrs more than policy",IF(AND(O121&gt;0,BA121=0),"CHECK - policy says "&amp;TEXT(N121,"0.##")&amp;" hrs to date but no Bonus Leave in EH",IF(O121&gt;0,"OK","-"))))))</f>
        <v/>
      </c>
      <c r="AB121" s="13" t="str">
        <f aca="false">IF(OR(AE121=0,T121=""),"",AY121*HoursPerDay-T121)</f>
        <v/>
      </c>
      <c r="AC121" s="12" t="str">
        <f aca="false">IF(AE121=0,"",BA121)</f>
        <v/>
      </c>
      <c r="AD121" s="12" t="str">
        <f aca="false">IF(AE121=0,"",TRIM(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IF(AE121=0,"",IF($J121&lt;&gt;"",$J121,$F121))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15"/>
      <c r="B122" s="15"/>
      <c r="C122" s="15"/>
      <c r="D122" s="16"/>
      <c r="E122" s="10" t="str">
        <f aca="false">IF(OR(AE122=0,$D122=""),"",DATE(YEAR(AsOfDate)+IF(DATE(YEAR(AsOfDate),MONTH($D122),DAY($D122))&lt;=AsOfDate,1,0),MONTH($D122),DAY($D122)))</f>
        <v/>
      </c>
      <c r="F122" s="16"/>
      <c r="G122" s="16"/>
      <c r="H122" s="16"/>
      <c r="I122" s="16"/>
      <c r="J122" s="16"/>
      <c r="K122" s="10" t="str">
        <f aca="false">IF(AE122=0,"",DATE(YEAR(AsOfDate)+IF(DATE(YEAR(AsOfDate),MONTH($F122),DAY($F122))&lt;=AsOfDate,1,0),MONTH($F122),DAY($F122)))</f>
        <v/>
      </c>
      <c r="L122" s="11" t="str">
        <f aca="false">IF(AE122=0,"",ROUND((AsOfDate-$F122)/365.25,1))</f>
        <v/>
      </c>
      <c r="M122" s="12" t="str">
        <f aca="false">IF(AE122=0,"",IF(AsOfDate&lt;AF122,"-",DATEDIF(AF122,AsOfDate,"y")&amp;"y "&amp;DATEDIF(AF122,AsOfDate,"ym")&amp;"m "&amp;DATEDIF(AF122,AsOfDate,"md")&amp;"d"))</f>
        <v/>
      </c>
      <c r="N122" s="13" t="str">
        <f aca="false">IF(AE122=0,"",O122*HoursPerDay)</f>
        <v/>
      </c>
      <c r="O122" s="13" t="str">
        <f aca="false">IF(AE122=0,"",AX122)</f>
        <v/>
      </c>
      <c r="P122" s="17"/>
      <c r="Q122" s="12"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IF(OR(AE122=0,W122=""),"",W122-U122+V122)</f>
        <v/>
      </c>
      <c r="U122" s="13" t="str">
        <f aca="false">IF(AE122=0,"",IF(NOT(LH_Ready),"",SUMIFS(INDEX(LH_Data,0,LH_ColAcc),INDEX(LH_Data,0,LH_ColFirst),$A122,INDEX(LH_Data,0,LH_ColSur),$B122,INDEX(LH_Data,0,LH_ColCat),BonusCat)*UnitFactor))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IF(AE122=0,"",X122-N(U122))</f>
        <v/>
      </c>
      <c r="Z122" s="12" t="str">
        <f aca="false">IF(AE122=0,"",IF(Y122&gt;0,"Yes","No"))</f>
        <v/>
      </c>
      <c r="AA122" s="12" t="str">
        <f aca="false">IF(AE122=0,"",IF(NOT(LH_Ready),"Paste Leave History export",IF(Y122&gt;0,"ACCRUE "&amp;TEXT(Y122,"0.##")&amp;" hrs ("&amp;TEXT(Y122/HoursPerDay,"0.##")&amp;" days)"&amp;IF(BA122=0," - no Bonus Leave line in EH yet",""),IF(Y122&lt;0,"CHECK - EH accrued "&amp;TEXT(-Y122,"0.##")&amp;" hrs more than policy",IF(AND(O122&gt;0,BA122=0),"CHECK - policy says "&amp;TEXT(N122,"0.##")&amp;" hrs to date but no Bonus Leave in EH",IF(O122&gt;0,"OK","-"))))))</f>
        <v/>
      </c>
      <c r="AB122" s="13" t="str">
        <f aca="false">IF(OR(AE122=0,T122=""),"",AY122*HoursPerDay-T122)</f>
        <v/>
      </c>
      <c r="AC122" s="12" t="str">
        <f aca="false">IF(AE122=0,"",BA122)</f>
        <v/>
      </c>
      <c r="AD122" s="12" t="str">
        <f aca="false">IF(AE122=0,"",TRIM(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IF(AE122=0,"",IF($J122&lt;&gt;"",$J122,$F122))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15"/>
      <c r="B123" s="15"/>
      <c r="C123" s="15"/>
      <c r="D123" s="16"/>
      <c r="E123" s="10" t="str">
        <f aca="false">IF(OR(AE123=0,$D123=""),"",DATE(YEAR(AsOfDate)+IF(DATE(YEAR(AsOfDate),MONTH($D123),DAY($D123))&lt;=AsOfDate,1,0),MONTH($D123),DAY($D123)))</f>
        <v/>
      </c>
      <c r="F123" s="16"/>
      <c r="G123" s="16"/>
      <c r="H123" s="16"/>
      <c r="I123" s="16"/>
      <c r="J123" s="16"/>
      <c r="K123" s="10" t="str">
        <f aca="false">IF(AE123=0,"",DATE(YEAR(AsOfDate)+IF(DATE(YEAR(AsOfDate),MONTH($F123),DAY($F123))&lt;=AsOfDate,1,0),MONTH($F123),DAY($F123)))</f>
        <v/>
      </c>
      <c r="L123" s="11" t="str">
        <f aca="false">IF(AE123=0,"",ROUND((AsOfDate-$F123)/365.25,1))</f>
        <v/>
      </c>
      <c r="M123" s="12" t="str">
        <f aca="false">IF(AE123=0,"",IF(AsOfDate&lt;AF123,"-",DATEDIF(AF123,AsOfDate,"y")&amp;"y "&amp;DATEDIF(AF123,AsOfDate,"ym")&amp;"m "&amp;DATEDIF(AF123,AsOfDate,"md")&amp;"d"))</f>
        <v/>
      </c>
      <c r="N123" s="13" t="str">
        <f aca="false">IF(AE123=0,"",O123*HoursPerDay)</f>
        <v/>
      </c>
      <c r="O123" s="13" t="str">
        <f aca="false">IF(AE123=0,"",AX123)</f>
        <v/>
      </c>
      <c r="P123" s="17"/>
      <c r="Q123" s="12"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IF(OR(AE123=0,W123=""),"",W123-U123+V123)</f>
        <v/>
      </c>
      <c r="U123" s="13" t="str">
        <f aca="false">IF(AE123=0,"",IF(NOT(LH_Ready),"",SUMIFS(INDEX(LH_Data,0,LH_ColAcc),INDEX(LH_Data,0,LH_ColFirst),$A123,INDEX(LH_Data,0,LH_ColSur),$B123,INDEX(LH_Data,0,LH_ColCat),BonusCat)*UnitFactor))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IF(AE123=0,"",X123-N(U123))</f>
        <v/>
      </c>
      <c r="Z123" s="12" t="str">
        <f aca="false">IF(AE123=0,"",IF(Y123&gt;0,"Yes","No"))</f>
        <v/>
      </c>
      <c r="AA123" s="12" t="str">
        <f aca="false">IF(AE123=0,"",IF(NOT(LH_Ready),"Paste Leave History export",IF(Y123&gt;0,"ACCRUE "&amp;TEXT(Y123,"0.##")&amp;" hrs ("&amp;TEXT(Y123/HoursPerDay,"0.##")&amp;" days)"&amp;IF(BA123=0," - no Bonus Leave line in EH yet",""),IF(Y123&lt;0,"CHECK - EH accrued "&amp;TEXT(-Y123,"0.##")&amp;" hrs more than policy",IF(AND(O123&gt;0,BA123=0),"CHECK - policy says "&amp;TEXT(N123,"0.##")&amp;" hrs to date but no Bonus Leave in EH",IF(O123&gt;0,"OK","-"))))))</f>
        <v/>
      </c>
      <c r="AB123" s="13" t="str">
        <f aca="false">IF(OR(AE123=0,T123=""),"",AY123*HoursPerDay-T123)</f>
        <v/>
      </c>
      <c r="AC123" s="12" t="str">
        <f aca="false">IF(AE123=0,"",BA123)</f>
        <v/>
      </c>
      <c r="AD123" s="12" t="str">
        <f aca="false">IF(AE123=0,"",TRIM(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IF(AE123=0,"",IF($J123&lt;&gt;"",$J123,$F123))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15"/>
      <c r="B124" s="15"/>
      <c r="C124" s="15"/>
      <c r="D124" s="16"/>
      <c r="E124" s="10" t="str">
        <f aca="false">IF(OR(AE124=0,$D124=""),"",DATE(YEAR(AsOfDate)+IF(DATE(YEAR(AsOfDate),MONTH($D124),DAY($D124))&lt;=AsOfDate,1,0),MONTH($D124),DAY($D124)))</f>
        <v/>
      </c>
      <c r="F124" s="16"/>
      <c r="G124" s="16"/>
      <c r="H124" s="16"/>
      <c r="I124" s="16"/>
      <c r="J124" s="16"/>
      <c r="K124" s="10" t="str">
        <f aca="false">IF(AE124=0,"",DATE(YEAR(AsOfDate)+IF(DATE(YEAR(AsOfDate),MONTH($F124),DAY($F124))&lt;=AsOfDate,1,0),MONTH($F124),DAY($F124)))</f>
        <v/>
      </c>
      <c r="L124" s="11" t="str">
        <f aca="false">IF(AE124=0,"",ROUND((AsOfDate-$F124)/365.25,1))</f>
        <v/>
      </c>
      <c r="M124" s="12" t="str">
        <f aca="false">IF(AE124=0,"",IF(AsOfDate&lt;AF124,"-",DATEDIF(AF124,AsOfDate,"y")&amp;"y "&amp;DATEDIF(AF124,AsOfDate,"ym")&amp;"m "&amp;DATEDIF(AF124,AsOfDate,"md")&amp;"d"))</f>
        <v/>
      </c>
      <c r="N124" s="13" t="str">
        <f aca="false">IF(AE124=0,"",O124*HoursPerDay)</f>
        <v/>
      </c>
      <c r="O124" s="13" t="str">
        <f aca="false">IF(AE124=0,"",AX124)</f>
        <v/>
      </c>
      <c r="P124" s="17"/>
      <c r="Q124" s="12"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IF(OR(AE124=0,W124=""),"",W124-U124+V124)</f>
        <v/>
      </c>
      <c r="U124" s="13" t="str">
        <f aca="false">IF(AE124=0,"",IF(NOT(LH_Ready),"",SUMIFS(INDEX(LH_Data,0,LH_ColAcc),INDEX(LH_Data,0,LH_ColFirst),$A124,INDEX(LH_Data,0,LH_ColSur),$B124,INDEX(LH_Data,0,LH_ColCat),BonusCat)*UnitFactor))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IF(AE124=0,"",X124-N(U124))</f>
        <v/>
      </c>
      <c r="Z124" s="12" t="str">
        <f aca="false">IF(AE124=0,"",IF(Y124&gt;0,"Yes","No"))</f>
        <v/>
      </c>
      <c r="AA124" s="12" t="str">
        <f aca="false">IF(AE124=0,"",IF(NOT(LH_Ready),"Paste Leave History export",IF(Y124&gt;0,"ACCRUE "&amp;TEXT(Y124,"0.##")&amp;" hrs ("&amp;TEXT(Y124/HoursPerDay,"0.##")&amp;" days)"&amp;IF(BA124=0," - no Bonus Leave line in EH yet",""),IF(Y124&lt;0,"CHECK - EH accrued "&amp;TEXT(-Y124,"0.##")&amp;" hrs more than policy",IF(AND(O124&gt;0,BA124=0),"CHECK - policy says "&amp;TEXT(N124,"0.##")&amp;" hrs to date but no Bonus Leave in EH",IF(O124&gt;0,"OK","-"))))))</f>
        <v/>
      </c>
      <c r="AB124" s="13" t="str">
        <f aca="false">IF(OR(AE124=0,T124=""),"",AY124*HoursPerDay-T124)</f>
        <v/>
      </c>
      <c r="AC124" s="12" t="str">
        <f aca="false">IF(AE124=0,"",BA124)</f>
        <v/>
      </c>
      <c r="AD124" s="12" t="str">
        <f aca="false">IF(AE124=0,"",TRIM(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IF(AE124=0,"",IF($J124&lt;&gt;"",$J124,$F124))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15"/>
      <c r="B125" s="15"/>
      <c r="C125" s="15"/>
      <c r="D125" s="16"/>
      <c r="E125" s="10" t="str">
        <f aca="false">IF(OR(AE125=0,$D125=""),"",DATE(YEAR(AsOfDate)+IF(DATE(YEAR(AsOfDate),MONTH($D125),DAY($D125))&lt;=AsOfDate,1,0),MONTH($D125),DAY($D125)))</f>
        <v/>
      </c>
      <c r="F125" s="16"/>
      <c r="G125" s="16"/>
      <c r="H125" s="16"/>
      <c r="I125" s="16"/>
      <c r="J125" s="16"/>
      <c r="K125" s="10" t="str">
        <f aca="false">IF(AE125=0,"",DATE(YEAR(AsOfDate)+IF(DATE(YEAR(AsOfDate),MONTH($F125),DAY($F125))&lt;=AsOfDate,1,0),MONTH($F125),DAY($F125)))</f>
        <v/>
      </c>
      <c r="L125" s="11" t="str">
        <f aca="false">IF(AE125=0,"",ROUND((AsOfDate-$F125)/365.25,1))</f>
        <v/>
      </c>
      <c r="M125" s="12" t="str">
        <f aca="false">IF(AE125=0,"",IF(AsOfDate&lt;AF125,"-",DATEDIF(AF125,AsOfDate,"y")&amp;"y "&amp;DATEDIF(AF125,AsOfDate,"ym")&amp;"m "&amp;DATEDIF(AF125,AsOfDate,"md")&amp;"d"))</f>
        <v/>
      </c>
      <c r="N125" s="13" t="str">
        <f aca="false">IF(AE125=0,"",O125*HoursPerDay)</f>
        <v/>
      </c>
      <c r="O125" s="13" t="str">
        <f aca="false">IF(AE125=0,"",AX125)</f>
        <v/>
      </c>
      <c r="P125" s="17"/>
      <c r="Q125" s="12"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IF(OR(AE125=0,W125=""),"",W125-U125+V125)</f>
        <v/>
      </c>
      <c r="U125" s="13" t="str">
        <f aca="false">IF(AE125=0,"",IF(NOT(LH_Ready),"",SUMIFS(INDEX(LH_Data,0,LH_ColAcc),INDEX(LH_Data,0,LH_ColFirst),$A125,INDEX(LH_Data,0,LH_ColSur),$B125,INDEX(LH_Data,0,LH_ColCat),BonusCat)*UnitFactor))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IF(AE125=0,"",X125-N(U125))</f>
        <v/>
      </c>
      <c r="Z125" s="12" t="str">
        <f aca="false">IF(AE125=0,"",IF(Y125&gt;0,"Yes","No"))</f>
        <v/>
      </c>
      <c r="AA125" s="12" t="str">
        <f aca="false">IF(AE125=0,"",IF(NOT(LH_Ready),"Paste Leave History export",IF(Y125&gt;0,"ACCRUE "&amp;TEXT(Y125,"0.##")&amp;" hrs ("&amp;TEXT(Y125/HoursPerDay,"0.##")&amp;" days)"&amp;IF(BA125=0," - no Bonus Leave line in EH yet",""),IF(Y125&lt;0,"CHECK - EH accrued "&amp;TEXT(-Y125,"0.##")&amp;" hrs more than policy",IF(AND(O125&gt;0,BA125=0),"CHECK - policy says "&amp;TEXT(N125,"0.##")&amp;" hrs to date but no Bonus Leave in EH",IF(O125&gt;0,"OK","-"))))))</f>
        <v/>
      </c>
      <c r="AB125" s="13" t="str">
        <f aca="false">IF(OR(AE125=0,T125=""),"",AY125*HoursPerDay-T125)</f>
        <v/>
      </c>
      <c r="AC125" s="12" t="str">
        <f aca="false">IF(AE125=0,"",BA125)</f>
        <v/>
      </c>
      <c r="AD125" s="12" t="str">
        <f aca="false">IF(AE125=0,"",TRIM(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IF(AE125=0,"",IF($J125&lt;&gt;"",$J125,$F125))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15"/>
      <c r="B126" s="15"/>
      <c r="C126" s="15"/>
      <c r="D126" s="16"/>
      <c r="E126" s="10" t="str">
        <f aca="false">IF(OR(AE126=0,$D126=""),"",DATE(YEAR(AsOfDate)+IF(DATE(YEAR(AsOfDate),MONTH($D126),DAY($D126))&lt;=AsOfDate,1,0),MONTH($D126),DAY($D126)))</f>
        <v/>
      </c>
      <c r="F126" s="16"/>
      <c r="G126" s="16"/>
      <c r="H126" s="16"/>
      <c r="I126" s="16"/>
      <c r="J126" s="16"/>
      <c r="K126" s="10" t="str">
        <f aca="false">IF(AE126=0,"",DATE(YEAR(AsOfDate)+IF(DATE(YEAR(AsOfDate),MONTH($F126),DAY($F126))&lt;=AsOfDate,1,0),MONTH($F126),DAY($F126)))</f>
        <v/>
      </c>
      <c r="L126" s="11" t="str">
        <f aca="false">IF(AE126=0,"",ROUND((AsOfDate-$F126)/365.25,1))</f>
        <v/>
      </c>
      <c r="M126" s="12" t="str">
        <f aca="false">IF(AE126=0,"",IF(AsOfDate&lt;AF126,"-",DATEDIF(AF126,AsOfDate,"y")&amp;"y "&amp;DATEDIF(AF126,AsOfDate,"ym")&amp;"m "&amp;DATEDIF(AF126,AsOfDate,"md")&amp;"d"))</f>
        <v/>
      </c>
      <c r="N126" s="13" t="str">
        <f aca="false">IF(AE126=0,"",O126*HoursPerDay)</f>
        <v/>
      </c>
      <c r="O126" s="13" t="str">
        <f aca="false">IF(AE126=0,"",AX126)</f>
        <v/>
      </c>
      <c r="P126" s="17"/>
      <c r="Q126" s="12"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IF(OR(AE126=0,W126=""),"",W126-U126+V126)</f>
        <v/>
      </c>
      <c r="U126" s="13" t="str">
        <f aca="false">IF(AE126=0,"",IF(NOT(LH_Ready),"",SUMIFS(INDEX(LH_Data,0,LH_ColAcc),INDEX(LH_Data,0,LH_ColFirst),$A126,INDEX(LH_Data,0,LH_ColSur),$B126,INDEX(LH_Data,0,LH_ColCat),BonusCat)*UnitFactor))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IF(AE126=0,"",X126-N(U126))</f>
        <v/>
      </c>
      <c r="Z126" s="12" t="str">
        <f aca="false">IF(AE126=0,"",IF(Y126&gt;0,"Yes","No"))</f>
        <v/>
      </c>
      <c r="AA126" s="12" t="str">
        <f aca="false">IF(AE126=0,"",IF(NOT(LH_Ready),"Paste Leave History export",IF(Y126&gt;0,"ACCRUE "&amp;TEXT(Y126,"0.##")&amp;" hrs ("&amp;TEXT(Y126/HoursPerDay,"0.##")&amp;" days)"&amp;IF(BA126=0," - no Bonus Leave line in EH yet",""),IF(Y126&lt;0,"CHECK - EH accrued "&amp;TEXT(-Y126,"0.##")&amp;" hrs more than policy",IF(AND(O126&gt;0,BA126=0),"CHECK - policy says "&amp;TEXT(N126,"0.##")&amp;" hrs to date but no Bonus Leave in EH",IF(O126&gt;0,"OK","-"))))))</f>
        <v/>
      </c>
      <c r="AB126" s="13" t="str">
        <f aca="false">IF(OR(AE126=0,T126=""),"",AY126*HoursPerDay-T126)</f>
        <v/>
      </c>
      <c r="AC126" s="12" t="str">
        <f aca="false">IF(AE126=0,"",BA126)</f>
        <v/>
      </c>
      <c r="AD126" s="12" t="str">
        <f aca="false">IF(AE126=0,"",TRIM(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IF(AE126=0,"",IF($J126&lt;&gt;"",$J126,$F126))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15"/>
      <c r="B127" s="15"/>
      <c r="C127" s="15"/>
      <c r="D127" s="16"/>
      <c r="E127" s="10" t="str">
        <f aca="false">IF(OR(AE127=0,$D127=""),"",DATE(YEAR(AsOfDate)+IF(DATE(YEAR(AsOfDate),MONTH($D127),DAY($D127))&lt;=AsOfDate,1,0),MONTH($D127),DAY($D127)))</f>
        <v/>
      </c>
      <c r="F127" s="16"/>
      <c r="G127" s="16"/>
      <c r="H127" s="16"/>
      <c r="I127" s="16"/>
      <c r="J127" s="16"/>
      <c r="K127" s="10" t="str">
        <f aca="false">IF(AE127=0,"",DATE(YEAR(AsOfDate)+IF(DATE(YEAR(AsOfDate),MONTH($F127),DAY($F127))&lt;=AsOfDate,1,0),MONTH($F127),DAY($F127)))</f>
        <v/>
      </c>
      <c r="L127" s="11" t="str">
        <f aca="false">IF(AE127=0,"",ROUND((AsOfDate-$F127)/365.25,1))</f>
        <v/>
      </c>
      <c r="M127" s="12" t="str">
        <f aca="false">IF(AE127=0,"",IF(AsOfDate&lt;AF127,"-",DATEDIF(AF127,AsOfDate,"y")&amp;"y "&amp;DATEDIF(AF127,AsOfDate,"ym")&amp;"m "&amp;DATEDIF(AF127,AsOfDate,"md")&amp;"d"))</f>
        <v/>
      </c>
      <c r="N127" s="13" t="str">
        <f aca="false">IF(AE127=0,"",O127*HoursPerDay)</f>
        <v/>
      </c>
      <c r="O127" s="13" t="str">
        <f aca="false">IF(AE127=0,"",AX127)</f>
        <v/>
      </c>
      <c r="P127" s="17"/>
      <c r="Q127" s="12"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IF(OR(AE127=0,W127=""),"",W127-U127+V127)</f>
        <v/>
      </c>
      <c r="U127" s="13" t="str">
        <f aca="false">IF(AE127=0,"",IF(NOT(LH_Ready),"",SUMIFS(INDEX(LH_Data,0,LH_ColAcc),INDEX(LH_Data,0,LH_ColFirst),$A127,INDEX(LH_Data,0,LH_ColSur),$B127,INDEX(LH_Data,0,LH_ColCat),BonusCat)*UnitFactor))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IF(AE127=0,"",X127-N(U127))</f>
        <v/>
      </c>
      <c r="Z127" s="12" t="str">
        <f aca="false">IF(AE127=0,"",IF(Y127&gt;0,"Yes","No"))</f>
        <v/>
      </c>
      <c r="AA127" s="12" t="str">
        <f aca="false">IF(AE127=0,"",IF(NOT(LH_Ready),"Paste Leave History export",IF(Y127&gt;0,"ACCRUE "&amp;TEXT(Y127,"0.##")&amp;" hrs ("&amp;TEXT(Y127/HoursPerDay,"0.##")&amp;" days)"&amp;IF(BA127=0," - no Bonus Leave line in EH yet",""),IF(Y127&lt;0,"CHECK - EH accrued "&amp;TEXT(-Y127,"0.##")&amp;" hrs more than policy",IF(AND(O127&gt;0,BA127=0),"CHECK - policy says "&amp;TEXT(N127,"0.##")&amp;" hrs to date but no Bonus Leave in EH",IF(O127&gt;0,"OK","-"))))))</f>
        <v/>
      </c>
      <c r="AB127" s="13" t="str">
        <f aca="false">IF(OR(AE127=0,T127=""),"",AY127*HoursPerDay-T127)</f>
        <v/>
      </c>
      <c r="AC127" s="12" t="str">
        <f aca="false">IF(AE127=0,"",BA127)</f>
        <v/>
      </c>
      <c r="AD127" s="12" t="str">
        <f aca="false">IF(AE127=0,"",TRIM(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IF(AE127=0,"",IF($J127&lt;&gt;"",$J127,$F127))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15"/>
      <c r="B128" s="15"/>
      <c r="C128" s="15"/>
      <c r="D128" s="16"/>
      <c r="E128" s="10" t="str">
        <f aca="false">IF(OR(AE128=0,$D128=""),"",DATE(YEAR(AsOfDate)+IF(DATE(YEAR(AsOfDate),MONTH($D128),DAY($D128))&lt;=AsOfDate,1,0),MONTH($D128),DAY($D128)))</f>
        <v/>
      </c>
      <c r="F128" s="16"/>
      <c r="G128" s="16"/>
      <c r="H128" s="16"/>
      <c r="I128" s="16"/>
      <c r="J128" s="16"/>
      <c r="K128" s="10" t="str">
        <f aca="false">IF(AE128=0,"",DATE(YEAR(AsOfDate)+IF(DATE(YEAR(AsOfDate),MONTH($F128),DAY($F128))&lt;=AsOfDate,1,0),MONTH($F128),DAY($F128)))</f>
        <v/>
      </c>
      <c r="L128" s="11" t="str">
        <f aca="false">IF(AE128=0,"",ROUND((AsOfDate-$F128)/365.25,1))</f>
        <v/>
      </c>
      <c r="M128" s="12" t="str">
        <f aca="false">IF(AE128=0,"",IF(AsOfDate&lt;AF128,"-",DATEDIF(AF128,AsOfDate,"y")&amp;"y "&amp;DATEDIF(AF128,AsOfDate,"ym")&amp;"m "&amp;DATEDIF(AF128,AsOfDate,"md")&amp;"d"))</f>
        <v/>
      </c>
      <c r="N128" s="13" t="str">
        <f aca="false">IF(AE128=0,"",O128*HoursPerDay)</f>
        <v/>
      </c>
      <c r="O128" s="13" t="str">
        <f aca="false">IF(AE128=0,"",AX128)</f>
        <v/>
      </c>
      <c r="P128" s="17"/>
      <c r="Q128" s="12"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IF(OR(AE128=0,W128=""),"",W128-U128+V128)</f>
        <v/>
      </c>
      <c r="U128" s="13" t="str">
        <f aca="false">IF(AE128=0,"",IF(NOT(LH_Ready),"",SUMIFS(INDEX(LH_Data,0,LH_ColAcc),INDEX(LH_Data,0,LH_ColFirst),$A128,INDEX(LH_Data,0,LH_ColSur),$B128,INDEX(LH_Data,0,LH_ColCat),BonusCat)*UnitFactor))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IF(AE128=0,"",X128-N(U128))</f>
        <v/>
      </c>
      <c r="Z128" s="12" t="str">
        <f aca="false">IF(AE128=0,"",IF(Y128&gt;0,"Yes","No"))</f>
        <v/>
      </c>
      <c r="AA128" s="12" t="str">
        <f aca="false">IF(AE128=0,"",IF(NOT(LH_Ready),"Paste Leave History export",IF(Y128&gt;0,"ACCRUE "&amp;TEXT(Y128,"0.##")&amp;" hrs ("&amp;TEXT(Y128/HoursPerDay,"0.##")&amp;" days)"&amp;IF(BA128=0," - no Bonus Leave line in EH yet",""),IF(Y128&lt;0,"CHECK - EH accrued "&amp;TEXT(-Y128,"0.##")&amp;" hrs more than policy",IF(AND(O128&gt;0,BA128=0),"CHECK - policy says "&amp;TEXT(N128,"0.##")&amp;" hrs to date but no Bonus Leave in EH",IF(O128&gt;0,"OK","-"))))))</f>
        <v/>
      </c>
      <c r="AB128" s="13" t="str">
        <f aca="false">IF(OR(AE128=0,T128=""),"",AY128*HoursPerDay-T128)</f>
        <v/>
      </c>
      <c r="AC128" s="12" t="str">
        <f aca="false">IF(AE128=0,"",BA128)</f>
        <v/>
      </c>
      <c r="AD128" s="12" t="str">
        <f aca="false">IF(AE128=0,"",TRIM(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IF(AE128=0,"",IF($J128&lt;&gt;"",$J128,$F128))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15"/>
      <c r="B129" s="15"/>
      <c r="C129" s="15"/>
      <c r="D129" s="16"/>
      <c r="E129" s="10" t="str">
        <f aca="false">IF(OR(AE129=0,$D129=""),"",DATE(YEAR(AsOfDate)+IF(DATE(YEAR(AsOfDate),MONTH($D129),DAY($D129))&lt;=AsOfDate,1,0),MONTH($D129),DAY($D129)))</f>
        <v/>
      </c>
      <c r="F129" s="16"/>
      <c r="G129" s="16"/>
      <c r="H129" s="16"/>
      <c r="I129" s="16"/>
      <c r="J129" s="16"/>
      <c r="K129" s="10" t="str">
        <f aca="false">IF(AE129=0,"",DATE(YEAR(AsOfDate)+IF(DATE(YEAR(AsOfDate),MONTH($F129),DAY($F129))&lt;=AsOfDate,1,0),MONTH($F129),DAY($F129)))</f>
        <v/>
      </c>
      <c r="L129" s="11" t="str">
        <f aca="false">IF(AE129=0,"",ROUND((AsOfDate-$F129)/365.25,1))</f>
        <v/>
      </c>
      <c r="M129" s="12" t="str">
        <f aca="false">IF(AE129=0,"",IF(AsOfDate&lt;AF129,"-",DATEDIF(AF129,AsOfDate,"y")&amp;"y "&amp;DATEDIF(AF129,AsOfDate,"ym")&amp;"m "&amp;DATEDIF(AF129,AsOfDate,"md")&amp;"d"))</f>
        <v/>
      </c>
      <c r="N129" s="13" t="str">
        <f aca="false">IF(AE129=0,"",O129*HoursPerDay)</f>
        <v/>
      </c>
      <c r="O129" s="13" t="str">
        <f aca="false">IF(AE129=0,"",AX129)</f>
        <v/>
      </c>
      <c r="P129" s="17"/>
      <c r="Q129" s="12"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IF(OR(AE129=0,W129=""),"",W129-U129+V129)</f>
        <v/>
      </c>
      <c r="U129" s="13" t="str">
        <f aca="false">IF(AE129=0,"",IF(NOT(LH_Ready),"",SUMIFS(INDEX(LH_Data,0,LH_ColAcc),INDEX(LH_Data,0,LH_ColFirst),$A129,INDEX(LH_Data,0,LH_ColSur),$B129,INDEX(LH_Data,0,LH_ColCat),BonusCat)*UnitFactor))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IF(AE129=0,"",X129-N(U129))</f>
        <v/>
      </c>
      <c r="Z129" s="12" t="str">
        <f aca="false">IF(AE129=0,"",IF(Y129&gt;0,"Yes","No"))</f>
        <v/>
      </c>
      <c r="AA129" s="12" t="str">
        <f aca="false">IF(AE129=0,"",IF(NOT(LH_Ready),"Paste Leave History export",IF(Y129&gt;0,"ACCRUE "&amp;TEXT(Y129,"0.##")&amp;" hrs ("&amp;TEXT(Y129/HoursPerDay,"0.##")&amp;" days)"&amp;IF(BA129=0," - no Bonus Leave line in EH yet",""),IF(Y129&lt;0,"CHECK - EH accrued "&amp;TEXT(-Y129,"0.##")&amp;" hrs more than policy",IF(AND(O129&gt;0,BA129=0),"CHECK - policy says "&amp;TEXT(N129,"0.##")&amp;" hrs to date but no Bonus Leave in EH",IF(O129&gt;0,"OK","-"))))))</f>
        <v/>
      </c>
      <c r="AB129" s="13" t="str">
        <f aca="false">IF(OR(AE129=0,T129=""),"",AY129*HoursPerDay-T129)</f>
        <v/>
      </c>
      <c r="AC129" s="12" t="str">
        <f aca="false">IF(AE129=0,"",BA129)</f>
        <v/>
      </c>
      <c r="AD129" s="12" t="str">
        <f aca="false">IF(AE129=0,"",TRIM(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IF(AE129=0,"",IF($J129&lt;&gt;"",$J129,$F129))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15"/>
      <c r="B130" s="15"/>
      <c r="C130" s="15"/>
      <c r="D130" s="16"/>
      <c r="E130" s="10" t="str">
        <f aca="false">IF(OR(AE130=0,$D130=""),"",DATE(YEAR(AsOfDate)+IF(DATE(YEAR(AsOfDate),MONTH($D130),DAY($D130))&lt;=AsOfDate,1,0),MONTH($D130),DAY($D130)))</f>
        <v/>
      </c>
      <c r="F130" s="16"/>
      <c r="G130" s="16"/>
      <c r="H130" s="16"/>
      <c r="I130" s="16"/>
      <c r="J130" s="16"/>
      <c r="K130" s="10" t="str">
        <f aca="false">IF(AE130=0,"",DATE(YEAR(AsOfDate)+IF(DATE(YEAR(AsOfDate),MONTH($F130),DAY($F130))&lt;=AsOfDate,1,0),MONTH($F130),DAY($F130)))</f>
        <v/>
      </c>
      <c r="L130" s="11" t="str">
        <f aca="false">IF(AE130=0,"",ROUND((AsOfDate-$F130)/365.25,1))</f>
        <v/>
      </c>
      <c r="M130" s="12" t="str">
        <f aca="false">IF(AE130=0,"",IF(AsOfDate&lt;AF130,"-",DATEDIF(AF130,AsOfDate,"y")&amp;"y "&amp;DATEDIF(AF130,AsOfDate,"ym")&amp;"m "&amp;DATEDIF(AF130,AsOfDate,"md")&amp;"d"))</f>
        <v/>
      </c>
      <c r="N130" s="13" t="str">
        <f aca="false">IF(AE130=0,"",O130*HoursPerDay)</f>
        <v/>
      </c>
      <c r="O130" s="13" t="str">
        <f aca="false">IF(AE130=0,"",AX130)</f>
        <v/>
      </c>
      <c r="P130" s="17"/>
      <c r="Q130" s="12"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IF(OR(AE130=0,W130=""),"",W130-U130+V130)</f>
        <v/>
      </c>
      <c r="U130" s="13" t="str">
        <f aca="false">IF(AE130=0,"",IF(NOT(LH_Ready),"",SUMIFS(INDEX(LH_Data,0,LH_ColAcc),INDEX(LH_Data,0,LH_ColFirst),$A130,INDEX(LH_Data,0,LH_ColSur),$B130,INDEX(LH_Data,0,LH_ColCat),BonusCat)*UnitFactor))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IF(AE130=0,"",X130-N(U130))</f>
        <v/>
      </c>
      <c r="Z130" s="12" t="str">
        <f aca="false">IF(AE130=0,"",IF(Y130&gt;0,"Yes","No"))</f>
        <v/>
      </c>
      <c r="AA130" s="12" t="str">
        <f aca="false">IF(AE130=0,"",IF(NOT(LH_Ready),"Paste Leave History export",IF(Y130&gt;0,"ACCRUE "&amp;TEXT(Y130,"0.##")&amp;" hrs ("&amp;TEXT(Y130/HoursPerDay,"0.##")&amp;" days)"&amp;IF(BA130=0," - no Bonus Leave line in EH yet",""),IF(Y130&lt;0,"CHECK - EH accrued "&amp;TEXT(-Y130,"0.##")&amp;" hrs more than policy",IF(AND(O130&gt;0,BA130=0),"CHECK - policy says "&amp;TEXT(N130,"0.##")&amp;" hrs to date but no Bonus Leave in EH",IF(O130&gt;0,"OK","-"))))))</f>
        <v/>
      </c>
      <c r="AB130" s="13" t="str">
        <f aca="false">IF(OR(AE130=0,T130=""),"",AY130*HoursPerDay-T130)</f>
        <v/>
      </c>
      <c r="AC130" s="12" t="str">
        <f aca="false">IF(AE130=0,"",BA130)</f>
        <v/>
      </c>
      <c r="AD130" s="12" t="str">
        <f aca="false">IF(AE130=0,"",TRIM(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IF(AE130=0,"",IF($J130&lt;&gt;"",$J130,$F130))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15"/>
      <c r="B131" s="15"/>
      <c r="C131" s="15"/>
      <c r="D131" s="16"/>
      <c r="E131" s="10" t="str">
        <f aca="false">IF(OR(AE131=0,$D131=""),"",DATE(YEAR(AsOfDate)+IF(DATE(YEAR(AsOfDate),MONTH($D131),DAY($D131))&lt;=AsOfDate,1,0),MONTH($D131),DAY($D131)))</f>
        <v/>
      </c>
      <c r="F131" s="16"/>
      <c r="G131" s="16"/>
      <c r="H131" s="16"/>
      <c r="I131" s="16"/>
      <c r="J131" s="16"/>
      <c r="K131" s="10" t="str">
        <f aca="false">IF(AE131=0,"",DATE(YEAR(AsOfDate)+IF(DATE(YEAR(AsOfDate),MONTH($F131),DAY($F131))&lt;=AsOfDate,1,0),MONTH($F131),DAY($F131)))</f>
        <v/>
      </c>
      <c r="L131" s="11" t="str">
        <f aca="false">IF(AE131=0,"",ROUND((AsOfDate-$F131)/365.25,1))</f>
        <v/>
      </c>
      <c r="M131" s="12" t="str">
        <f aca="false">IF(AE131=0,"",IF(AsOfDate&lt;AF131,"-",DATEDIF(AF131,AsOfDate,"y")&amp;"y "&amp;DATEDIF(AF131,AsOfDate,"ym")&amp;"m "&amp;DATEDIF(AF131,AsOfDate,"md")&amp;"d"))</f>
        <v/>
      </c>
      <c r="N131" s="13" t="str">
        <f aca="false">IF(AE131=0,"",O131*HoursPerDay)</f>
        <v/>
      </c>
      <c r="O131" s="13" t="str">
        <f aca="false">IF(AE131=0,"",AX131)</f>
        <v/>
      </c>
      <c r="P131" s="17"/>
      <c r="Q131" s="12"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IF(OR(AE131=0,W131=""),"",W131-U131+V131)</f>
        <v/>
      </c>
      <c r="U131" s="13" t="str">
        <f aca="false">IF(AE131=0,"",IF(NOT(LH_Ready),"",SUMIFS(INDEX(LH_Data,0,LH_ColAcc),INDEX(LH_Data,0,LH_ColFirst),$A131,INDEX(LH_Data,0,LH_ColSur),$B131,INDEX(LH_Data,0,LH_ColCat),BonusCat)*UnitFactor))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IF(AE131=0,"",X131-N(U131))</f>
        <v/>
      </c>
      <c r="Z131" s="12" t="str">
        <f aca="false">IF(AE131=0,"",IF(Y131&gt;0,"Yes","No"))</f>
        <v/>
      </c>
      <c r="AA131" s="12" t="str">
        <f aca="false">IF(AE131=0,"",IF(NOT(LH_Ready),"Paste Leave History export",IF(Y131&gt;0,"ACCRUE "&amp;TEXT(Y131,"0.##")&amp;" hrs ("&amp;TEXT(Y131/HoursPerDay,"0.##")&amp;" days)"&amp;IF(BA131=0," - no Bonus Leave line in EH yet",""),IF(Y131&lt;0,"CHECK - EH accrued "&amp;TEXT(-Y131,"0.##")&amp;" hrs more than policy",IF(AND(O131&gt;0,BA131=0),"CHECK - policy says "&amp;TEXT(N131,"0.##")&amp;" hrs to date but no Bonus Leave in EH",IF(O131&gt;0,"OK","-"))))))</f>
        <v/>
      </c>
      <c r="AB131" s="13" t="str">
        <f aca="false">IF(OR(AE131=0,T131=""),"",AY131*HoursPerDay-T131)</f>
        <v/>
      </c>
      <c r="AC131" s="12" t="str">
        <f aca="false">IF(AE131=0,"",BA131)</f>
        <v/>
      </c>
      <c r="AD131" s="12" t="str">
        <f aca="false">IF(AE131=0,"",TRIM(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IF(AE131=0,"",IF($J131&lt;&gt;"",$J131,$F131))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15"/>
      <c r="B132" s="15"/>
      <c r="C132" s="15"/>
      <c r="D132" s="16"/>
      <c r="E132" s="10" t="str">
        <f aca="false">IF(OR(AE132=0,$D132=""),"",DATE(YEAR(AsOfDate)+IF(DATE(YEAR(AsOfDate),MONTH($D132),DAY($D132))&lt;=AsOfDate,1,0),MONTH($D132),DAY($D132)))</f>
        <v/>
      </c>
      <c r="F132" s="16"/>
      <c r="G132" s="16"/>
      <c r="H132" s="16"/>
      <c r="I132" s="16"/>
      <c r="J132" s="16"/>
      <c r="K132" s="10" t="str">
        <f aca="false">IF(AE132=0,"",DATE(YEAR(AsOfDate)+IF(DATE(YEAR(AsOfDate),MONTH($F132),DAY($F132))&lt;=AsOfDate,1,0),MONTH($F132),DAY($F132)))</f>
        <v/>
      </c>
      <c r="L132" s="11" t="str">
        <f aca="false">IF(AE132=0,"",ROUND((AsOfDate-$F132)/365.25,1))</f>
        <v/>
      </c>
      <c r="M132" s="12" t="str">
        <f aca="false">IF(AE132=0,"",IF(AsOfDate&lt;AF132,"-",DATEDIF(AF132,AsOfDate,"y")&amp;"y "&amp;DATEDIF(AF132,AsOfDate,"ym")&amp;"m "&amp;DATEDIF(AF132,AsOfDate,"md")&amp;"d"))</f>
        <v/>
      </c>
      <c r="N132" s="13" t="str">
        <f aca="false">IF(AE132=0,"",O132*HoursPerDay)</f>
        <v/>
      </c>
      <c r="O132" s="13" t="str">
        <f aca="false">IF(AE132=0,"",AX132)</f>
        <v/>
      </c>
      <c r="P132" s="17"/>
      <c r="Q132" s="12"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IF(OR(AE132=0,W132=""),"",W132-U132+V132)</f>
        <v/>
      </c>
      <c r="U132" s="13" t="str">
        <f aca="false">IF(AE132=0,"",IF(NOT(LH_Ready),"",SUMIFS(INDEX(LH_Data,0,LH_ColAcc),INDEX(LH_Data,0,LH_ColFirst),$A132,INDEX(LH_Data,0,LH_ColSur),$B132,INDEX(LH_Data,0,LH_ColCat),BonusCat)*UnitFactor))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IF(AE132=0,"",X132-N(U132))</f>
        <v/>
      </c>
      <c r="Z132" s="12" t="str">
        <f aca="false">IF(AE132=0,"",IF(Y132&gt;0,"Yes","No"))</f>
        <v/>
      </c>
      <c r="AA132" s="12" t="str">
        <f aca="false">IF(AE132=0,"",IF(NOT(LH_Ready),"Paste Leave History export",IF(Y132&gt;0,"ACCRUE "&amp;TEXT(Y132,"0.##")&amp;" hrs ("&amp;TEXT(Y132/HoursPerDay,"0.##")&amp;" days)"&amp;IF(BA132=0," - no Bonus Leave line in EH yet",""),IF(Y132&lt;0,"CHECK - EH accrued "&amp;TEXT(-Y132,"0.##")&amp;" hrs more than policy",IF(AND(O132&gt;0,BA132=0),"CHECK - policy says "&amp;TEXT(N132,"0.##")&amp;" hrs to date but no Bonus Leave in EH",IF(O132&gt;0,"OK","-"))))))</f>
        <v/>
      </c>
      <c r="AB132" s="13" t="str">
        <f aca="false">IF(OR(AE132=0,T132=""),"",AY132*HoursPerDay-T132)</f>
        <v/>
      </c>
      <c r="AC132" s="12" t="str">
        <f aca="false">IF(AE132=0,"",BA132)</f>
        <v/>
      </c>
      <c r="AD132" s="12" t="str">
        <f aca="false">IF(AE132=0,"",TRIM(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IF(AE132=0,"",IF($J132&lt;&gt;"",$J132,$F132))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15"/>
      <c r="B133" s="15"/>
      <c r="C133" s="15"/>
      <c r="D133" s="16"/>
      <c r="E133" s="10" t="str">
        <f aca="false">IF(OR(AE133=0,$D133=""),"",DATE(YEAR(AsOfDate)+IF(DATE(YEAR(AsOfDate),MONTH($D133),DAY($D133))&lt;=AsOfDate,1,0),MONTH($D133),DAY($D133)))</f>
        <v/>
      </c>
      <c r="F133" s="16"/>
      <c r="G133" s="16"/>
      <c r="H133" s="16"/>
      <c r="I133" s="16"/>
      <c r="J133" s="16"/>
      <c r="K133" s="10" t="str">
        <f aca="false">IF(AE133=0,"",DATE(YEAR(AsOfDate)+IF(DATE(YEAR(AsOfDate),MONTH($F133),DAY($F133))&lt;=AsOfDate,1,0),MONTH($F133),DAY($F133)))</f>
        <v/>
      </c>
      <c r="L133" s="11" t="str">
        <f aca="false">IF(AE133=0,"",ROUND((AsOfDate-$F133)/365.25,1))</f>
        <v/>
      </c>
      <c r="M133" s="12" t="str">
        <f aca="false">IF(AE133=0,"",IF(AsOfDate&lt;AF133,"-",DATEDIF(AF133,AsOfDate,"y")&amp;"y "&amp;DATEDIF(AF133,AsOfDate,"ym")&amp;"m "&amp;DATEDIF(AF133,AsOfDate,"md")&amp;"d"))</f>
        <v/>
      </c>
      <c r="N133" s="13" t="str">
        <f aca="false">IF(AE133=0,"",O133*HoursPerDay)</f>
        <v/>
      </c>
      <c r="O133" s="13" t="str">
        <f aca="false">IF(AE133=0,"",AX133)</f>
        <v/>
      </c>
      <c r="P133" s="17"/>
      <c r="Q133" s="12"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IF(OR(AE133=0,W133=""),"",W133-U133+V133)</f>
        <v/>
      </c>
      <c r="U133" s="13" t="str">
        <f aca="false">IF(AE133=0,"",IF(NOT(LH_Ready),"",SUMIFS(INDEX(LH_Data,0,LH_ColAcc),INDEX(LH_Data,0,LH_ColFirst),$A133,INDEX(LH_Data,0,LH_ColSur),$B133,INDEX(LH_Data,0,LH_ColCat),BonusCat)*UnitFactor))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IF(AE133=0,"",X133-N(U133))</f>
        <v/>
      </c>
      <c r="Z133" s="12" t="str">
        <f aca="false">IF(AE133=0,"",IF(Y133&gt;0,"Yes","No"))</f>
        <v/>
      </c>
      <c r="AA133" s="12" t="str">
        <f aca="false">IF(AE133=0,"",IF(NOT(LH_Ready),"Paste Leave History export",IF(Y133&gt;0,"ACCRUE "&amp;TEXT(Y133,"0.##")&amp;" hrs ("&amp;TEXT(Y133/HoursPerDay,"0.##")&amp;" days)"&amp;IF(BA133=0," - no Bonus Leave line in EH yet",""),IF(Y133&lt;0,"CHECK - EH accrued "&amp;TEXT(-Y133,"0.##")&amp;" hrs more than policy",IF(AND(O133&gt;0,BA133=0),"CHECK - policy says "&amp;TEXT(N133,"0.##")&amp;" hrs to date but no Bonus Leave in EH",IF(O133&gt;0,"OK","-"))))))</f>
        <v/>
      </c>
      <c r="AB133" s="13" t="str">
        <f aca="false">IF(OR(AE133=0,T133=""),"",AY133*HoursPerDay-T133)</f>
        <v/>
      </c>
      <c r="AC133" s="12" t="str">
        <f aca="false">IF(AE133=0,"",BA133)</f>
        <v/>
      </c>
      <c r="AD133" s="12" t="str">
        <f aca="false">IF(AE133=0,"",TRIM(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IF(AE133=0,"",IF($J133&lt;&gt;"",$J133,$F133))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15"/>
      <c r="B134" s="15"/>
      <c r="C134" s="15"/>
      <c r="D134" s="16"/>
      <c r="E134" s="10" t="str">
        <f aca="false">IF(OR(AE134=0,$D134=""),"",DATE(YEAR(AsOfDate)+IF(DATE(YEAR(AsOfDate),MONTH($D134),DAY($D134))&lt;=AsOfDate,1,0),MONTH($D134),DAY($D134)))</f>
        <v/>
      </c>
      <c r="F134" s="16"/>
      <c r="G134" s="16"/>
      <c r="H134" s="16"/>
      <c r="I134" s="16"/>
      <c r="J134" s="16"/>
      <c r="K134" s="10" t="str">
        <f aca="false">IF(AE134=0,"",DATE(YEAR(AsOfDate)+IF(DATE(YEAR(AsOfDate),MONTH($F134),DAY($F134))&lt;=AsOfDate,1,0),MONTH($F134),DAY($F134)))</f>
        <v/>
      </c>
      <c r="L134" s="11" t="str">
        <f aca="false">IF(AE134=0,"",ROUND((AsOfDate-$F134)/365.25,1))</f>
        <v/>
      </c>
      <c r="M134" s="12" t="str">
        <f aca="false">IF(AE134=0,"",IF(AsOfDate&lt;AF134,"-",DATEDIF(AF134,AsOfDate,"y")&amp;"y "&amp;DATEDIF(AF134,AsOfDate,"ym")&amp;"m "&amp;DATEDIF(AF134,AsOfDate,"md")&amp;"d"))</f>
        <v/>
      </c>
      <c r="N134" s="13" t="str">
        <f aca="false">IF(AE134=0,"",O134*HoursPerDay)</f>
        <v/>
      </c>
      <c r="O134" s="13" t="str">
        <f aca="false">IF(AE134=0,"",AX134)</f>
        <v/>
      </c>
      <c r="P134" s="17"/>
      <c r="Q134" s="12"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IF(OR(AE134=0,W134=""),"",W134-U134+V134)</f>
        <v/>
      </c>
      <c r="U134" s="13" t="str">
        <f aca="false">IF(AE134=0,"",IF(NOT(LH_Ready),"",SUMIFS(INDEX(LH_Data,0,LH_ColAcc),INDEX(LH_Data,0,LH_ColFirst),$A134,INDEX(LH_Data,0,LH_ColSur),$B134,INDEX(LH_Data,0,LH_ColCat),BonusCat)*UnitFactor))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IF(AE134=0,"",X134-N(U134))</f>
        <v/>
      </c>
      <c r="Z134" s="12" t="str">
        <f aca="false">IF(AE134=0,"",IF(Y134&gt;0,"Yes","No"))</f>
        <v/>
      </c>
      <c r="AA134" s="12" t="str">
        <f aca="false">IF(AE134=0,"",IF(NOT(LH_Ready),"Paste Leave History export",IF(Y134&gt;0,"ACCRUE "&amp;TEXT(Y134,"0.##")&amp;" hrs ("&amp;TEXT(Y134/HoursPerDay,"0.##")&amp;" days)"&amp;IF(BA134=0," - no Bonus Leave line in EH yet",""),IF(Y134&lt;0,"CHECK - EH accrued "&amp;TEXT(-Y134,"0.##")&amp;" hrs more than policy",IF(AND(O134&gt;0,BA134=0),"CHECK - policy says "&amp;TEXT(N134,"0.##")&amp;" hrs to date but no Bonus Leave in EH",IF(O134&gt;0,"OK","-"))))))</f>
        <v/>
      </c>
      <c r="AB134" s="13" t="str">
        <f aca="false">IF(OR(AE134=0,T134=""),"",AY134*HoursPerDay-T134)</f>
        <v/>
      </c>
      <c r="AC134" s="12" t="str">
        <f aca="false">IF(AE134=0,"",BA134)</f>
        <v/>
      </c>
      <c r="AD134" s="12" t="str">
        <f aca="false">IF(AE134=0,"",TRIM(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IF(AE134=0,"",IF($J134&lt;&gt;"",$J134,$F134))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15"/>
      <c r="B135" s="15"/>
      <c r="C135" s="15"/>
      <c r="D135" s="16"/>
      <c r="E135" s="10" t="str">
        <f aca="false">IF(OR(AE135=0,$D135=""),"",DATE(YEAR(AsOfDate)+IF(DATE(YEAR(AsOfDate),MONTH($D135),DAY($D135))&lt;=AsOfDate,1,0),MONTH($D135),DAY($D135)))</f>
        <v/>
      </c>
      <c r="F135" s="16"/>
      <c r="G135" s="16"/>
      <c r="H135" s="16"/>
      <c r="I135" s="16"/>
      <c r="J135" s="16"/>
      <c r="K135" s="10" t="str">
        <f aca="false">IF(AE135=0,"",DATE(YEAR(AsOfDate)+IF(DATE(YEAR(AsOfDate),MONTH($F135),DAY($F135))&lt;=AsOfDate,1,0),MONTH($F135),DAY($F135)))</f>
        <v/>
      </c>
      <c r="L135" s="11" t="str">
        <f aca="false">IF(AE135=0,"",ROUND((AsOfDate-$F135)/365.25,1))</f>
        <v/>
      </c>
      <c r="M135" s="12" t="str">
        <f aca="false">IF(AE135=0,"",IF(AsOfDate&lt;AF135,"-",DATEDIF(AF135,AsOfDate,"y")&amp;"y "&amp;DATEDIF(AF135,AsOfDate,"ym")&amp;"m "&amp;DATEDIF(AF135,AsOfDate,"md")&amp;"d"))</f>
        <v/>
      </c>
      <c r="N135" s="13" t="str">
        <f aca="false">IF(AE135=0,"",O135*HoursPerDay)</f>
        <v/>
      </c>
      <c r="O135" s="13" t="str">
        <f aca="false">IF(AE135=0,"",AX135)</f>
        <v/>
      </c>
      <c r="P135" s="17"/>
      <c r="Q135" s="12"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IF(OR(AE135=0,W135=""),"",W135-U135+V135)</f>
        <v/>
      </c>
      <c r="U135" s="13" t="str">
        <f aca="false">IF(AE135=0,"",IF(NOT(LH_Ready),"",SUMIFS(INDEX(LH_Data,0,LH_ColAcc),INDEX(LH_Data,0,LH_ColFirst),$A135,INDEX(LH_Data,0,LH_ColSur),$B135,INDEX(LH_Data,0,LH_ColCat),BonusCat)*UnitFactor))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IF(AE135=0,"",X135-N(U135))</f>
        <v/>
      </c>
      <c r="Z135" s="12" t="str">
        <f aca="false">IF(AE135=0,"",IF(Y135&gt;0,"Yes","No"))</f>
        <v/>
      </c>
      <c r="AA135" s="12" t="str">
        <f aca="false">IF(AE135=0,"",IF(NOT(LH_Ready),"Paste Leave History export",IF(Y135&gt;0,"ACCRUE "&amp;TEXT(Y135,"0.##")&amp;" hrs ("&amp;TEXT(Y135/HoursPerDay,"0.##")&amp;" days)"&amp;IF(BA135=0," - no Bonus Leave line in EH yet",""),IF(Y135&lt;0,"CHECK - EH accrued "&amp;TEXT(-Y135,"0.##")&amp;" hrs more than policy",IF(AND(O135&gt;0,BA135=0),"CHECK - policy says "&amp;TEXT(N135,"0.##")&amp;" hrs to date but no Bonus Leave in EH",IF(O135&gt;0,"OK","-"))))))</f>
        <v/>
      </c>
      <c r="AB135" s="13" t="str">
        <f aca="false">IF(OR(AE135=0,T135=""),"",AY135*HoursPerDay-T135)</f>
        <v/>
      </c>
      <c r="AC135" s="12" t="str">
        <f aca="false">IF(AE135=0,"",BA135)</f>
        <v/>
      </c>
      <c r="AD135" s="12" t="str">
        <f aca="false">IF(AE135=0,"",TRIM(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IF(AE135=0,"",IF($J135&lt;&gt;"",$J135,$F135))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15"/>
      <c r="B136" s="15"/>
      <c r="C136" s="15"/>
      <c r="D136" s="16"/>
      <c r="E136" s="10" t="str">
        <f aca="false">IF(OR(AE136=0,$D136=""),"",DATE(YEAR(AsOfDate)+IF(DATE(YEAR(AsOfDate),MONTH($D136),DAY($D136))&lt;=AsOfDate,1,0),MONTH($D136),DAY($D136)))</f>
        <v/>
      </c>
      <c r="F136" s="16"/>
      <c r="G136" s="16"/>
      <c r="H136" s="16"/>
      <c r="I136" s="16"/>
      <c r="J136" s="16"/>
      <c r="K136" s="10" t="str">
        <f aca="false">IF(AE136=0,"",DATE(YEAR(AsOfDate)+IF(DATE(YEAR(AsOfDate),MONTH($F136),DAY($F136))&lt;=AsOfDate,1,0),MONTH($F136),DAY($F136)))</f>
        <v/>
      </c>
      <c r="L136" s="11" t="str">
        <f aca="false">IF(AE136=0,"",ROUND((AsOfDate-$F136)/365.25,1))</f>
        <v/>
      </c>
      <c r="M136" s="12" t="str">
        <f aca="false">IF(AE136=0,"",IF(AsOfDate&lt;AF136,"-",DATEDIF(AF136,AsOfDate,"y")&amp;"y "&amp;DATEDIF(AF136,AsOfDate,"ym")&amp;"m "&amp;DATEDIF(AF136,AsOfDate,"md")&amp;"d"))</f>
        <v/>
      </c>
      <c r="N136" s="13" t="str">
        <f aca="false">IF(AE136=0,"",O136*HoursPerDay)</f>
        <v/>
      </c>
      <c r="O136" s="13" t="str">
        <f aca="false">IF(AE136=0,"",AX136)</f>
        <v/>
      </c>
      <c r="P136" s="17"/>
      <c r="Q136" s="12"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IF(OR(AE136=0,W136=""),"",W136-U136+V136)</f>
        <v/>
      </c>
      <c r="U136" s="13" t="str">
        <f aca="false">IF(AE136=0,"",IF(NOT(LH_Ready),"",SUMIFS(INDEX(LH_Data,0,LH_ColAcc),INDEX(LH_Data,0,LH_ColFirst),$A136,INDEX(LH_Data,0,LH_ColSur),$B136,INDEX(LH_Data,0,LH_ColCat),BonusCat)*UnitFactor))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IF(AE136=0,"",X136-N(U136))</f>
        <v/>
      </c>
      <c r="Z136" s="12" t="str">
        <f aca="false">IF(AE136=0,"",IF(Y136&gt;0,"Yes","No"))</f>
        <v/>
      </c>
      <c r="AA136" s="12" t="str">
        <f aca="false">IF(AE136=0,"",IF(NOT(LH_Ready),"Paste Leave History export",IF(Y136&gt;0,"ACCRUE "&amp;TEXT(Y136,"0.##")&amp;" hrs ("&amp;TEXT(Y136/HoursPerDay,"0.##")&amp;" days)"&amp;IF(BA136=0," - no Bonus Leave line in EH yet",""),IF(Y136&lt;0,"CHECK - EH accrued "&amp;TEXT(-Y136,"0.##")&amp;" hrs more than policy",IF(AND(O136&gt;0,BA136=0),"CHECK - policy says "&amp;TEXT(N136,"0.##")&amp;" hrs to date but no Bonus Leave in EH",IF(O136&gt;0,"OK","-"))))))</f>
        <v/>
      </c>
      <c r="AB136" s="13" t="str">
        <f aca="false">IF(OR(AE136=0,T136=""),"",AY136*HoursPerDay-T136)</f>
        <v/>
      </c>
      <c r="AC136" s="12" t="str">
        <f aca="false">IF(AE136=0,"",BA136)</f>
        <v/>
      </c>
      <c r="AD136" s="12" t="str">
        <f aca="false">IF(AE136=0,"",TRIM(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IF(AE136=0,"",IF($J136&lt;&gt;"",$J136,$F136))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15"/>
      <c r="B137" s="15"/>
      <c r="C137" s="15"/>
      <c r="D137" s="16"/>
      <c r="E137" s="10" t="str">
        <f aca="false">IF(OR(AE137=0,$D137=""),"",DATE(YEAR(AsOfDate)+IF(DATE(YEAR(AsOfDate),MONTH($D137),DAY($D137))&lt;=AsOfDate,1,0),MONTH($D137),DAY($D137)))</f>
        <v/>
      </c>
      <c r="F137" s="16"/>
      <c r="G137" s="16"/>
      <c r="H137" s="16"/>
      <c r="I137" s="16"/>
      <c r="J137" s="16"/>
      <c r="K137" s="10" t="str">
        <f aca="false">IF(AE137=0,"",DATE(YEAR(AsOfDate)+IF(DATE(YEAR(AsOfDate),MONTH($F137),DAY($F137))&lt;=AsOfDate,1,0),MONTH($F137),DAY($F137)))</f>
        <v/>
      </c>
      <c r="L137" s="11" t="str">
        <f aca="false">IF(AE137=0,"",ROUND((AsOfDate-$F137)/365.25,1))</f>
        <v/>
      </c>
      <c r="M137" s="12" t="str">
        <f aca="false">IF(AE137=0,"",IF(AsOfDate&lt;AF137,"-",DATEDIF(AF137,AsOfDate,"y")&amp;"y "&amp;DATEDIF(AF137,AsOfDate,"ym")&amp;"m "&amp;DATEDIF(AF137,AsOfDate,"md")&amp;"d"))</f>
        <v/>
      </c>
      <c r="N137" s="13" t="str">
        <f aca="false">IF(AE137=0,"",O137*HoursPerDay)</f>
        <v/>
      </c>
      <c r="O137" s="13" t="str">
        <f aca="false">IF(AE137=0,"",AX137)</f>
        <v/>
      </c>
      <c r="P137" s="17"/>
      <c r="Q137" s="12"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IF(OR(AE137=0,W137=""),"",W137-U137+V137)</f>
        <v/>
      </c>
      <c r="U137" s="13" t="str">
        <f aca="false">IF(AE137=0,"",IF(NOT(LH_Ready),"",SUMIFS(INDEX(LH_Data,0,LH_ColAcc),INDEX(LH_Data,0,LH_ColFirst),$A137,INDEX(LH_Data,0,LH_ColSur),$B137,INDEX(LH_Data,0,LH_ColCat),BonusCat)*UnitFactor))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IF(AE137=0,"",X137-N(U137))</f>
        <v/>
      </c>
      <c r="Z137" s="12" t="str">
        <f aca="false">IF(AE137=0,"",IF(Y137&gt;0,"Yes","No"))</f>
        <v/>
      </c>
      <c r="AA137" s="12" t="str">
        <f aca="false">IF(AE137=0,"",IF(NOT(LH_Ready),"Paste Leave History export",IF(Y137&gt;0,"ACCRUE "&amp;TEXT(Y137,"0.##")&amp;" hrs ("&amp;TEXT(Y137/HoursPerDay,"0.##")&amp;" days)"&amp;IF(BA137=0," - no Bonus Leave line in EH yet",""),IF(Y137&lt;0,"CHECK - EH accrued "&amp;TEXT(-Y137,"0.##")&amp;" hrs more than policy",IF(AND(O137&gt;0,BA137=0),"CHECK - policy says "&amp;TEXT(N137,"0.##")&amp;" hrs to date but no Bonus Leave in EH",IF(O137&gt;0,"OK","-"))))))</f>
        <v/>
      </c>
      <c r="AB137" s="13" t="str">
        <f aca="false">IF(OR(AE137=0,T137=""),"",AY137*HoursPerDay-T137)</f>
        <v/>
      </c>
      <c r="AC137" s="12" t="str">
        <f aca="false">IF(AE137=0,"",BA137)</f>
        <v/>
      </c>
      <c r="AD137" s="12" t="str">
        <f aca="false">IF(AE137=0,"",TRIM(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IF(AE137=0,"",IF($J137&lt;&gt;"",$J137,$F137))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15"/>
      <c r="B138" s="15"/>
      <c r="C138" s="15"/>
      <c r="D138" s="16"/>
      <c r="E138" s="10" t="str">
        <f aca="false">IF(OR(AE138=0,$D138=""),"",DATE(YEAR(AsOfDate)+IF(DATE(YEAR(AsOfDate),MONTH($D138),DAY($D138))&lt;=AsOfDate,1,0),MONTH($D138),DAY($D138)))</f>
        <v/>
      </c>
      <c r="F138" s="16"/>
      <c r="G138" s="16"/>
      <c r="H138" s="16"/>
      <c r="I138" s="16"/>
      <c r="J138" s="16"/>
      <c r="K138" s="10" t="str">
        <f aca="false">IF(AE138=0,"",DATE(YEAR(AsOfDate)+IF(DATE(YEAR(AsOfDate),MONTH($F138),DAY($F138))&lt;=AsOfDate,1,0),MONTH($F138),DAY($F138)))</f>
        <v/>
      </c>
      <c r="L138" s="11" t="str">
        <f aca="false">IF(AE138=0,"",ROUND((AsOfDate-$F138)/365.25,1))</f>
        <v/>
      </c>
      <c r="M138" s="12" t="str">
        <f aca="false">IF(AE138=0,"",IF(AsOfDate&lt;AF138,"-",DATEDIF(AF138,AsOfDate,"y")&amp;"y "&amp;DATEDIF(AF138,AsOfDate,"ym")&amp;"m "&amp;DATEDIF(AF138,AsOfDate,"md")&amp;"d"))</f>
        <v/>
      </c>
      <c r="N138" s="13" t="str">
        <f aca="false">IF(AE138=0,"",O138*HoursPerDay)</f>
        <v/>
      </c>
      <c r="O138" s="13" t="str">
        <f aca="false">IF(AE138=0,"",AX138)</f>
        <v/>
      </c>
      <c r="P138" s="17"/>
      <c r="Q138" s="12"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IF(OR(AE138=0,W138=""),"",W138-U138+V138)</f>
        <v/>
      </c>
      <c r="U138" s="13" t="str">
        <f aca="false">IF(AE138=0,"",IF(NOT(LH_Ready),"",SUMIFS(INDEX(LH_Data,0,LH_ColAcc),INDEX(LH_Data,0,LH_ColFirst),$A138,INDEX(LH_Data,0,LH_ColSur),$B138,INDEX(LH_Data,0,LH_ColCat),BonusCat)*UnitFactor))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IF(AE138=0,"",X138-N(U138))</f>
        <v/>
      </c>
      <c r="Z138" s="12" t="str">
        <f aca="false">IF(AE138=0,"",IF(Y138&gt;0,"Yes","No"))</f>
        <v/>
      </c>
      <c r="AA138" s="12" t="str">
        <f aca="false">IF(AE138=0,"",IF(NOT(LH_Ready),"Paste Leave History export",IF(Y138&gt;0,"ACCRUE "&amp;TEXT(Y138,"0.##")&amp;" hrs ("&amp;TEXT(Y138/HoursPerDay,"0.##")&amp;" days)"&amp;IF(BA138=0," - no Bonus Leave line in EH yet",""),IF(Y138&lt;0,"CHECK - EH accrued "&amp;TEXT(-Y138,"0.##")&amp;" hrs more than policy",IF(AND(O138&gt;0,BA138=0),"CHECK - policy says "&amp;TEXT(N138,"0.##")&amp;" hrs to date but no Bonus Leave in EH",IF(O138&gt;0,"OK","-"))))))</f>
        <v/>
      </c>
      <c r="AB138" s="13" t="str">
        <f aca="false">IF(OR(AE138=0,T138=""),"",AY138*HoursPerDay-T138)</f>
        <v/>
      </c>
      <c r="AC138" s="12" t="str">
        <f aca="false">IF(AE138=0,"",BA138)</f>
        <v/>
      </c>
      <c r="AD138" s="12" t="str">
        <f aca="false">IF(AE138=0,"",TRIM(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IF(AE138=0,"",IF($J138&lt;&gt;"",$J138,$F138))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15"/>
      <c r="B139" s="15"/>
      <c r="C139" s="15"/>
      <c r="D139" s="16"/>
      <c r="E139" s="10" t="str">
        <f aca="false">IF(OR(AE139=0,$D139=""),"",DATE(YEAR(AsOfDate)+IF(DATE(YEAR(AsOfDate),MONTH($D139),DAY($D139))&lt;=AsOfDate,1,0),MONTH($D139),DAY($D139)))</f>
        <v/>
      </c>
      <c r="F139" s="16"/>
      <c r="G139" s="16"/>
      <c r="H139" s="16"/>
      <c r="I139" s="16"/>
      <c r="J139" s="16"/>
      <c r="K139" s="10" t="str">
        <f aca="false">IF(AE139=0,"",DATE(YEAR(AsOfDate)+IF(DATE(YEAR(AsOfDate),MONTH($F139),DAY($F139))&lt;=AsOfDate,1,0),MONTH($F139),DAY($F139)))</f>
        <v/>
      </c>
      <c r="L139" s="11" t="str">
        <f aca="false">IF(AE139=0,"",ROUND((AsOfDate-$F139)/365.25,1))</f>
        <v/>
      </c>
      <c r="M139" s="12" t="str">
        <f aca="false">IF(AE139=0,"",IF(AsOfDate&lt;AF139,"-",DATEDIF(AF139,AsOfDate,"y")&amp;"y "&amp;DATEDIF(AF139,AsOfDate,"ym")&amp;"m "&amp;DATEDIF(AF139,AsOfDate,"md")&amp;"d"))</f>
        <v/>
      </c>
      <c r="N139" s="13" t="str">
        <f aca="false">IF(AE139=0,"",O139*HoursPerDay)</f>
        <v/>
      </c>
      <c r="O139" s="13" t="str">
        <f aca="false">IF(AE139=0,"",AX139)</f>
        <v/>
      </c>
      <c r="P139" s="17"/>
      <c r="Q139" s="12"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IF(OR(AE139=0,W139=""),"",W139-U139+V139)</f>
        <v/>
      </c>
      <c r="U139" s="13" t="str">
        <f aca="false">IF(AE139=0,"",IF(NOT(LH_Ready),"",SUMIFS(INDEX(LH_Data,0,LH_ColAcc),INDEX(LH_Data,0,LH_ColFirst),$A139,INDEX(LH_Data,0,LH_ColSur),$B139,INDEX(LH_Data,0,LH_ColCat),BonusCat)*UnitFactor))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IF(AE139=0,"",X139-N(U139))</f>
        <v/>
      </c>
      <c r="Z139" s="12" t="str">
        <f aca="false">IF(AE139=0,"",IF(Y139&gt;0,"Yes","No"))</f>
        <v/>
      </c>
      <c r="AA139" s="12" t="str">
        <f aca="false">IF(AE139=0,"",IF(NOT(LH_Ready),"Paste Leave History export",IF(Y139&gt;0,"ACCRUE "&amp;TEXT(Y139,"0.##")&amp;" hrs ("&amp;TEXT(Y139/HoursPerDay,"0.##")&amp;" days)"&amp;IF(BA139=0," - no Bonus Leave line in EH yet",""),IF(Y139&lt;0,"CHECK - EH accrued "&amp;TEXT(-Y139,"0.##")&amp;" hrs more than policy",IF(AND(O139&gt;0,BA139=0),"CHECK - policy says "&amp;TEXT(N139,"0.##")&amp;" hrs to date but no Bonus Leave in EH",IF(O139&gt;0,"OK","-"))))))</f>
        <v/>
      </c>
      <c r="AB139" s="13" t="str">
        <f aca="false">IF(OR(AE139=0,T139=""),"",AY139*HoursPerDay-T139)</f>
        <v/>
      </c>
      <c r="AC139" s="12" t="str">
        <f aca="false">IF(AE139=0,"",BA139)</f>
        <v/>
      </c>
      <c r="AD139" s="12" t="str">
        <f aca="false">IF(AE139=0,"",TRIM(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IF(AE139=0,"",IF($J139&lt;&gt;"",$J139,$F139))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15"/>
      <c r="B140" s="15"/>
      <c r="C140" s="15"/>
      <c r="D140" s="16"/>
      <c r="E140" s="10" t="str">
        <f aca="false">IF(OR(AE140=0,$D140=""),"",DATE(YEAR(AsOfDate)+IF(DATE(YEAR(AsOfDate),MONTH($D140),DAY($D140))&lt;=AsOfDate,1,0),MONTH($D140),DAY($D140)))</f>
        <v/>
      </c>
      <c r="F140" s="16"/>
      <c r="G140" s="16"/>
      <c r="H140" s="16"/>
      <c r="I140" s="16"/>
      <c r="J140" s="16"/>
      <c r="K140" s="10" t="str">
        <f aca="false">IF(AE140=0,"",DATE(YEAR(AsOfDate)+IF(DATE(YEAR(AsOfDate),MONTH($F140),DAY($F140))&lt;=AsOfDate,1,0),MONTH($F140),DAY($F140)))</f>
        <v/>
      </c>
      <c r="L140" s="11" t="str">
        <f aca="false">IF(AE140=0,"",ROUND((AsOfDate-$F140)/365.25,1))</f>
        <v/>
      </c>
      <c r="M140" s="12" t="str">
        <f aca="false">IF(AE140=0,"",IF(AsOfDate&lt;AF140,"-",DATEDIF(AF140,AsOfDate,"y")&amp;"y "&amp;DATEDIF(AF140,AsOfDate,"ym")&amp;"m "&amp;DATEDIF(AF140,AsOfDate,"md")&amp;"d"))</f>
        <v/>
      </c>
      <c r="N140" s="13" t="str">
        <f aca="false">IF(AE140=0,"",O140*HoursPerDay)</f>
        <v/>
      </c>
      <c r="O140" s="13" t="str">
        <f aca="false">IF(AE140=0,"",AX140)</f>
        <v/>
      </c>
      <c r="P140" s="17"/>
      <c r="Q140" s="12"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IF(OR(AE140=0,W140=""),"",W140-U140+V140)</f>
        <v/>
      </c>
      <c r="U140" s="13" t="str">
        <f aca="false">IF(AE140=0,"",IF(NOT(LH_Ready),"",SUMIFS(INDEX(LH_Data,0,LH_ColAcc),INDEX(LH_Data,0,LH_ColFirst),$A140,INDEX(LH_Data,0,LH_ColSur),$B140,INDEX(LH_Data,0,LH_ColCat),BonusCat)*UnitFactor))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IF(AE140=0,"",X140-N(U140))</f>
        <v/>
      </c>
      <c r="Z140" s="12" t="str">
        <f aca="false">IF(AE140=0,"",IF(Y140&gt;0,"Yes","No"))</f>
        <v/>
      </c>
      <c r="AA140" s="12" t="str">
        <f aca="false">IF(AE140=0,"",IF(NOT(LH_Ready),"Paste Leave History export",IF(Y140&gt;0,"ACCRUE "&amp;TEXT(Y140,"0.##")&amp;" hrs ("&amp;TEXT(Y140/HoursPerDay,"0.##")&amp;" days)"&amp;IF(BA140=0," - no Bonus Leave line in EH yet",""),IF(Y140&lt;0,"CHECK - EH accrued "&amp;TEXT(-Y140,"0.##")&amp;" hrs more than policy",IF(AND(O140&gt;0,BA140=0),"CHECK - policy says "&amp;TEXT(N140,"0.##")&amp;" hrs to date but no Bonus Leave in EH",IF(O140&gt;0,"OK","-"))))))</f>
        <v/>
      </c>
      <c r="AB140" s="13" t="str">
        <f aca="false">IF(OR(AE140=0,T140=""),"",AY140*HoursPerDay-T140)</f>
        <v/>
      </c>
      <c r="AC140" s="12" t="str">
        <f aca="false">IF(AE140=0,"",BA140)</f>
        <v/>
      </c>
      <c r="AD140" s="12" t="str">
        <f aca="false">IF(AE140=0,"",TRIM(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IF(AE140=0,"",IF($J140&lt;&gt;"",$J140,$F140))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15"/>
      <c r="B141" s="15"/>
      <c r="C141" s="15"/>
      <c r="D141" s="16"/>
      <c r="E141" s="10" t="str">
        <f aca="false">IF(OR(AE141=0,$D141=""),"",DATE(YEAR(AsOfDate)+IF(DATE(YEAR(AsOfDate),MONTH($D141),DAY($D141))&lt;=AsOfDate,1,0),MONTH($D141),DAY($D141)))</f>
        <v/>
      </c>
      <c r="F141" s="16"/>
      <c r="G141" s="16"/>
      <c r="H141" s="16"/>
      <c r="I141" s="16"/>
      <c r="J141" s="16"/>
      <c r="K141" s="10" t="str">
        <f aca="false">IF(AE141=0,"",DATE(YEAR(AsOfDate)+IF(DATE(YEAR(AsOfDate),MONTH($F141),DAY($F141))&lt;=AsOfDate,1,0),MONTH($F141),DAY($F141)))</f>
        <v/>
      </c>
      <c r="L141" s="11" t="str">
        <f aca="false">IF(AE141=0,"",ROUND((AsOfDate-$F141)/365.25,1))</f>
        <v/>
      </c>
      <c r="M141" s="12" t="str">
        <f aca="false">IF(AE141=0,"",IF(AsOfDate&lt;AF141,"-",DATEDIF(AF141,AsOfDate,"y")&amp;"y "&amp;DATEDIF(AF141,AsOfDate,"ym")&amp;"m "&amp;DATEDIF(AF141,AsOfDate,"md")&amp;"d"))</f>
        <v/>
      </c>
      <c r="N141" s="13" t="str">
        <f aca="false">IF(AE141=0,"",O141*HoursPerDay)</f>
        <v/>
      </c>
      <c r="O141" s="13" t="str">
        <f aca="false">IF(AE141=0,"",AX141)</f>
        <v/>
      </c>
      <c r="P141" s="17"/>
      <c r="Q141" s="12"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IF(OR(AE141=0,W141=""),"",W141-U141+V141)</f>
        <v/>
      </c>
      <c r="U141" s="13" t="str">
        <f aca="false">IF(AE141=0,"",IF(NOT(LH_Ready),"",SUMIFS(INDEX(LH_Data,0,LH_ColAcc),INDEX(LH_Data,0,LH_ColFirst),$A141,INDEX(LH_Data,0,LH_ColSur),$B141,INDEX(LH_Data,0,LH_ColCat),BonusCat)*UnitFactor))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IF(AE141=0,"",X141-N(U141))</f>
        <v/>
      </c>
      <c r="Z141" s="12" t="str">
        <f aca="false">IF(AE141=0,"",IF(Y141&gt;0,"Yes","No"))</f>
        <v/>
      </c>
      <c r="AA141" s="12" t="str">
        <f aca="false">IF(AE141=0,"",IF(NOT(LH_Ready),"Paste Leave History export",IF(Y141&gt;0,"ACCRUE "&amp;TEXT(Y141,"0.##")&amp;" hrs ("&amp;TEXT(Y141/HoursPerDay,"0.##")&amp;" days)"&amp;IF(BA141=0," - no Bonus Leave line in EH yet",""),IF(Y141&lt;0,"CHECK - EH accrued "&amp;TEXT(-Y141,"0.##")&amp;" hrs more than policy",IF(AND(O141&gt;0,BA141=0),"CHECK - policy says "&amp;TEXT(N141,"0.##")&amp;" hrs to date but no Bonus Leave in EH",IF(O141&gt;0,"OK","-"))))))</f>
        <v/>
      </c>
      <c r="AB141" s="13" t="str">
        <f aca="false">IF(OR(AE141=0,T141=""),"",AY141*HoursPerDay-T141)</f>
        <v/>
      </c>
      <c r="AC141" s="12" t="str">
        <f aca="false">IF(AE141=0,"",BA141)</f>
        <v/>
      </c>
      <c r="AD141" s="12" t="str">
        <f aca="false">IF(AE141=0,"",TRIM(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IF(AE141=0,"",IF($J141&lt;&gt;"",$J141,$F141))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15"/>
      <c r="B142" s="15"/>
      <c r="C142" s="15"/>
      <c r="D142" s="16"/>
      <c r="E142" s="10" t="str">
        <f aca="false">IF(OR(AE142=0,$D142=""),"",DATE(YEAR(AsOfDate)+IF(DATE(YEAR(AsOfDate),MONTH($D142),DAY($D142))&lt;=AsOfDate,1,0),MONTH($D142),DAY($D142)))</f>
        <v/>
      </c>
      <c r="F142" s="16"/>
      <c r="G142" s="16"/>
      <c r="H142" s="16"/>
      <c r="I142" s="16"/>
      <c r="J142" s="16"/>
      <c r="K142" s="10" t="str">
        <f aca="false">IF(AE142=0,"",DATE(YEAR(AsOfDate)+IF(DATE(YEAR(AsOfDate),MONTH($F142),DAY($F142))&lt;=AsOfDate,1,0),MONTH($F142),DAY($F142)))</f>
        <v/>
      </c>
      <c r="L142" s="11" t="str">
        <f aca="false">IF(AE142=0,"",ROUND((AsOfDate-$F142)/365.25,1))</f>
        <v/>
      </c>
      <c r="M142" s="12" t="str">
        <f aca="false">IF(AE142=0,"",IF(AsOfDate&lt;AF142,"-",DATEDIF(AF142,AsOfDate,"y")&amp;"y "&amp;DATEDIF(AF142,AsOfDate,"ym")&amp;"m "&amp;DATEDIF(AF142,AsOfDate,"md")&amp;"d"))</f>
        <v/>
      </c>
      <c r="N142" s="13" t="str">
        <f aca="false">IF(AE142=0,"",O142*HoursPerDay)</f>
        <v/>
      </c>
      <c r="O142" s="13" t="str">
        <f aca="false">IF(AE142=0,"",AX142)</f>
        <v/>
      </c>
      <c r="P142" s="17"/>
      <c r="Q142" s="12"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IF(OR(AE142=0,W142=""),"",W142-U142+V142)</f>
        <v/>
      </c>
      <c r="U142" s="13" t="str">
        <f aca="false">IF(AE142=0,"",IF(NOT(LH_Ready),"",SUMIFS(INDEX(LH_Data,0,LH_ColAcc),INDEX(LH_Data,0,LH_ColFirst),$A142,INDEX(LH_Data,0,LH_ColSur),$B142,INDEX(LH_Data,0,LH_ColCat),BonusCat)*UnitFactor))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IF(AE142=0,"",X142-N(U142))</f>
        <v/>
      </c>
      <c r="Z142" s="12" t="str">
        <f aca="false">IF(AE142=0,"",IF(Y142&gt;0,"Yes","No"))</f>
        <v/>
      </c>
      <c r="AA142" s="12" t="str">
        <f aca="false">IF(AE142=0,"",IF(NOT(LH_Ready),"Paste Leave History export",IF(Y142&gt;0,"ACCRUE "&amp;TEXT(Y142,"0.##")&amp;" hrs ("&amp;TEXT(Y142/HoursPerDay,"0.##")&amp;" days)"&amp;IF(BA142=0," - no Bonus Leave line in EH yet",""),IF(Y142&lt;0,"CHECK - EH accrued "&amp;TEXT(-Y142,"0.##")&amp;" hrs more than policy",IF(AND(O142&gt;0,BA142=0),"CHECK - policy says "&amp;TEXT(N142,"0.##")&amp;" hrs to date but no Bonus Leave in EH",IF(O142&gt;0,"OK","-"))))))</f>
        <v/>
      </c>
      <c r="AB142" s="13" t="str">
        <f aca="false">IF(OR(AE142=0,T142=""),"",AY142*HoursPerDay-T142)</f>
        <v/>
      </c>
      <c r="AC142" s="12" t="str">
        <f aca="false">IF(AE142=0,"",BA142)</f>
        <v/>
      </c>
      <c r="AD142" s="12" t="str">
        <f aca="false">IF(AE142=0,"",TRIM(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IF(AE142=0,"",IF($J142&lt;&gt;"",$J142,$F142))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15"/>
      <c r="B143" s="15"/>
      <c r="C143" s="15"/>
      <c r="D143" s="16"/>
      <c r="E143" s="10" t="str">
        <f aca="false">IF(OR(AE143=0,$D143=""),"",DATE(YEAR(AsOfDate)+IF(DATE(YEAR(AsOfDate),MONTH($D143),DAY($D143))&lt;=AsOfDate,1,0),MONTH($D143),DAY($D143)))</f>
        <v/>
      </c>
      <c r="F143" s="16"/>
      <c r="G143" s="16"/>
      <c r="H143" s="16"/>
      <c r="I143" s="16"/>
      <c r="J143" s="16"/>
      <c r="K143" s="10" t="str">
        <f aca="false">IF(AE143=0,"",DATE(YEAR(AsOfDate)+IF(DATE(YEAR(AsOfDate),MONTH($F143),DAY($F143))&lt;=AsOfDate,1,0),MONTH($F143),DAY($F143)))</f>
        <v/>
      </c>
      <c r="L143" s="11" t="str">
        <f aca="false">IF(AE143=0,"",ROUND((AsOfDate-$F143)/365.25,1))</f>
        <v/>
      </c>
      <c r="M143" s="12" t="str">
        <f aca="false">IF(AE143=0,"",IF(AsOfDate&lt;AF143,"-",DATEDIF(AF143,AsOfDate,"y")&amp;"y "&amp;DATEDIF(AF143,AsOfDate,"ym")&amp;"m "&amp;DATEDIF(AF143,AsOfDate,"md")&amp;"d"))</f>
        <v/>
      </c>
      <c r="N143" s="13" t="str">
        <f aca="false">IF(AE143=0,"",O143*HoursPerDay)</f>
        <v/>
      </c>
      <c r="O143" s="13" t="str">
        <f aca="false">IF(AE143=0,"",AX143)</f>
        <v/>
      </c>
      <c r="P143" s="17"/>
      <c r="Q143" s="12"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IF(OR(AE143=0,W143=""),"",W143-U143+V143)</f>
        <v/>
      </c>
      <c r="U143" s="13" t="str">
        <f aca="false">IF(AE143=0,"",IF(NOT(LH_Ready),"",SUMIFS(INDEX(LH_Data,0,LH_ColAcc),INDEX(LH_Data,0,LH_ColFirst),$A143,INDEX(LH_Data,0,LH_ColSur),$B143,INDEX(LH_Data,0,LH_ColCat),BonusCat)*UnitFactor))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IF(AE143=0,"",X143-N(U143))</f>
        <v/>
      </c>
      <c r="Z143" s="12" t="str">
        <f aca="false">IF(AE143=0,"",IF(Y143&gt;0,"Yes","No"))</f>
        <v/>
      </c>
      <c r="AA143" s="12" t="str">
        <f aca="false">IF(AE143=0,"",IF(NOT(LH_Ready),"Paste Leave History export",IF(Y143&gt;0,"ACCRUE "&amp;TEXT(Y143,"0.##")&amp;" hrs ("&amp;TEXT(Y143/HoursPerDay,"0.##")&amp;" days)"&amp;IF(BA143=0," - no Bonus Leave line in EH yet",""),IF(Y143&lt;0,"CHECK - EH accrued "&amp;TEXT(-Y143,"0.##")&amp;" hrs more than policy",IF(AND(O143&gt;0,BA143=0),"CHECK - policy says "&amp;TEXT(N143,"0.##")&amp;" hrs to date but no Bonus Leave in EH",IF(O143&gt;0,"OK","-"))))))</f>
        <v/>
      </c>
      <c r="AB143" s="13" t="str">
        <f aca="false">IF(OR(AE143=0,T143=""),"",AY143*HoursPerDay-T143)</f>
        <v/>
      </c>
      <c r="AC143" s="12" t="str">
        <f aca="false">IF(AE143=0,"",BA143)</f>
        <v/>
      </c>
      <c r="AD143" s="12" t="str">
        <f aca="false">IF(AE143=0,"",TRIM(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IF(AE143=0,"",IF($J143&lt;&gt;"",$J143,$F143))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15"/>
      <c r="B144" s="15"/>
      <c r="C144" s="15"/>
      <c r="D144" s="16"/>
      <c r="E144" s="10" t="str">
        <f aca="false">IF(OR(AE144=0,$D144=""),"",DATE(YEAR(AsOfDate)+IF(DATE(YEAR(AsOfDate),MONTH($D144),DAY($D144))&lt;=AsOfDate,1,0),MONTH($D144),DAY($D144)))</f>
        <v/>
      </c>
      <c r="F144" s="16"/>
      <c r="G144" s="16"/>
      <c r="H144" s="16"/>
      <c r="I144" s="16"/>
      <c r="J144" s="16"/>
      <c r="K144" s="10" t="str">
        <f aca="false">IF(AE144=0,"",DATE(YEAR(AsOfDate)+IF(DATE(YEAR(AsOfDate),MONTH($F144),DAY($F144))&lt;=AsOfDate,1,0),MONTH($F144),DAY($F144)))</f>
        <v/>
      </c>
      <c r="L144" s="11" t="str">
        <f aca="false">IF(AE144=0,"",ROUND((AsOfDate-$F144)/365.25,1))</f>
        <v/>
      </c>
      <c r="M144" s="12" t="str">
        <f aca="false">IF(AE144=0,"",IF(AsOfDate&lt;AF144,"-",DATEDIF(AF144,AsOfDate,"y")&amp;"y "&amp;DATEDIF(AF144,AsOfDate,"ym")&amp;"m "&amp;DATEDIF(AF144,AsOfDate,"md")&amp;"d"))</f>
        <v/>
      </c>
      <c r="N144" s="13" t="str">
        <f aca="false">IF(AE144=0,"",O144*HoursPerDay)</f>
        <v/>
      </c>
      <c r="O144" s="13" t="str">
        <f aca="false">IF(AE144=0,"",AX144)</f>
        <v/>
      </c>
      <c r="P144" s="17"/>
      <c r="Q144" s="12"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IF(OR(AE144=0,W144=""),"",W144-U144+V144)</f>
        <v/>
      </c>
      <c r="U144" s="13" t="str">
        <f aca="false">IF(AE144=0,"",IF(NOT(LH_Ready),"",SUMIFS(INDEX(LH_Data,0,LH_ColAcc),INDEX(LH_Data,0,LH_ColFirst),$A144,INDEX(LH_Data,0,LH_ColSur),$B144,INDEX(LH_Data,0,LH_ColCat),BonusCat)*UnitFactor))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IF(AE144=0,"",X144-N(U144))</f>
        <v/>
      </c>
      <c r="Z144" s="12" t="str">
        <f aca="false">IF(AE144=0,"",IF(Y144&gt;0,"Yes","No"))</f>
        <v/>
      </c>
      <c r="AA144" s="12" t="str">
        <f aca="false">IF(AE144=0,"",IF(NOT(LH_Ready),"Paste Leave History export",IF(Y144&gt;0,"ACCRUE "&amp;TEXT(Y144,"0.##")&amp;" hrs ("&amp;TEXT(Y144/HoursPerDay,"0.##")&amp;" days)"&amp;IF(BA144=0," - no Bonus Leave line in EH yet",""),IF(Y144&lt;0,"CHECK - EH accrued "&amp;TEXT(-Y144,"0.##")&amp;" hrs more than policy",IF(AND(O144&gt;0,BA144=0),"CHECK - policy says "&amp;TEXT(N144,"0.##")&amp;" hrs to date but no Bonus Leave in EH",IF(O144&gt;0,"OK","-"))))))</f>
        <v/>
      </c>
      <c r="AB144" s="13" t="str">
        <f aca="false">IF(OR(AE144=0,T144=""),"",AY144*HoursPerDay-T144)</f>
        <v/>
      </c>
      <c r="AC144" s="12" t="str">
        <f aca="false">IF(AE144=0,"",BA144)</f>
        <v/>
      </c>
      <c r="AD144" s="12" t="str">
        <f aca="false">IF(AE144=0,"",TRIM(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IF(AE144=0,"",IF($J144&lt;&gt;"",$J144,$F144))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15"/>
      <c r="B145" s="15"/>
      <c r="C145" s="15"/>
      <c r="D145" s="16"/>
      <c r="E145" s="10" t="str">
        <f aca="false">IF(OR(AE145=0,$D145=""),"",DATE(YEAR(AsOfDate)+IF(DATE(YEAR(AsOfDate),MONTH($D145),DAY($D145))&lt;=AsOfDate,1,0),MONTH($D145),DAY($D145)))</f>
        <v/>
      </c>
      <c r="F145" s="16"/>
      <c r="G145" s="16"/>
      <c r="H145" s="16"/>
      <c r="I145" s="16"/>
      <c r="J145" s="16"/>
      <c r="K145" s="10" t="str">
        <f aca="false">IF(AE145=0,"",DATE(YEAR(AsOfDate)+IF(DATE(YEAR(AsOfDate),MONTH($F145),DAY($F145))&lt;=AsOfDate,1,0),MONTH($F145),DAY($F145)))</f>
        <v/>
      </c>
      <c r="L145" s="11" t="str">
        <f aca="false">IF(AE145=0,"",ROUND((AsOfDate-$F145)/365.25,1))</f>
        <v/>
      </c>
      <c r="M145" s="12" t="str">
        <f aca="false">IF(AE145=0,"",IF(AsOfDate&lt;AF145,"-",DATEDIF(AF145,AsOfDate,"y")&amp;"y "&amp;DATEDIF(AF145,AsOfDate,"ym")&amp;"m "&amp;DATEDIF(AF145,AsOfDate,"md")&amp;"d"))</f>
        <v/>
      </c>
      <c r="N145" s="13" t="str">
        <f aca="false">IF(AE145=0,"",O145*HoursPerDay)</f>
        <v/>
      </c>
      <c r="O145" s="13" t="str">
        <f aca="false">IF(AE145=0,"",AX145)</f>
        <v/>
      </c>
      <c r="P145" s="17"/>
      <c r="Q145" s="12"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IF(OR(AE145=0,W145=""),"",W145-U145+V145)</f>
        <v/>
      </c>
      <c r="U145" s="13" t="str">
        <f aca="false">IF(AE145=0,"",IF(NOT(LH_Ready),"",SUMIFS(INDEX(LH_Data,0,LH_ColAcc),INDEX(LH_Data,0,LH_ColFirst),$A145,INDEX(LH_Data,0,LH_ColSur),$B145,INDEX(LH_Data,0,LH_ColCat),BonusCat)*UnitFactor))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IF(AE145=0,"",X145-N(U145))</f>
        <v/>
      </c>
      <c r="Z145" s="12" t="str">
        <f aca="false">IF(AE145=0,"",IF(Y145&gt;0,"Yes","No"))</f>
        <v/>
      </c>
      <c r="AA145" s="12" t="str">
        <f aca="false">IF(AE145=0,"",IF(NOT(LH_Ready),"Paste Leave History export",IF(Y145&gt;0,"ACCRUE "&amp;TEXT(Y145,"0.##")&amp;" hrs ("&amp;TEXT(Y145/HoursPerDay,"0.##")&amp;" days)"&amp;IF(BA145=0," - no Bonus Leave line in EH yet",""),IF(Y145&lt;0,"CHECK - EH accrued "&amp;TEXT(-Y145,"0.##")&amp;" hrs more than policy",IF(AND(O145&gt;0,BA145=0),"CHECK - policy says "&amp;TEXT(N145,"0.##")&amp;" hrs to date but no Bonus Leave in EH",IF(O145&gt;0,"OK","-"))))))</f>
        <v/>
      </c>
      <c r="AB145" s="13" t="str">
        <f aca="false">IF(OR(AE145=0,T145=""),"",AY145*HoursPerDay-T145)</f>
        <v/>
      </c>
      <c r="AC145" s="12" t="str">
        <f aca="false">IF(AE145=0,"",BA145)</f>
        <v/>
      </c>
      <c r="AD145" s="12" t="str">
        <f aca="false">IF(AE145=0,"",TRIM(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IF(AE145=0,"",IF($J145&lt;&gt;"",$J145,$F145))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15"/>
      <c r="B146" s="15"/>
      <c r="C146" s="15"/>
      <c r="D146" s="16"/>
      <c r="E146" s="10" t="str">
        <f aca="false">IF(OR(AE146=0,$D146=""),"",DATE(YEAR(AsOfDate)+IF(DATE(YEAR(AsOfDate),MONTH($D146),DAY($D146))&lt;=AsOfDate,1,0),MONTH($D146),DAY($D146)))</f>
        <v/>
      </c>
      <c r="F146" s="16"/>
      <c r="G146" s="16"/>
      <c r="H146" s="16"/>
      <c r="I146" s="16"/>
      <c r="J146" s="16"/>
      <c r="K146" s="10" t="str">
        <f aca="false">IF(AE146=0,"",DATE(YEAR(AsOfDate)+IF(DATE(YEAR(AsOfDate),MONTH($F146),DAY($F146))&lt;=AsOfDate,1,0),MONTH($F146),DAY($F146)))</f>
        <v/>
      </c>
      <c r="L146" s="11" t="str">
        <f aca="false">IF(AE146=0,"",ROUND((AsOfDate-$F146)/365.25,1))</f>
        <v/>
      </c>
      <c r="M146" s="12" t="str">
        <f aca="false">IF(AE146=0,"",IF(AsOfDate&lt;AF146,"-",DATEDIF(AF146,AsOfDate,"y")&amp;"y "&amp;DATEDIF(AF146,AsOfDate,"ym")&amp;"m "&amp;DATEDIF(AF146,AsOfDate,"md")&amp;"d"))</f>
        <v/>
      </c>
      <c r="N146" s="13" t="str">
        <f aca="false">IF(AE146=0,"",O146*HoursPerDay)</f>
        <v/>
      </c>
      <c r="O146" s="13" t="str">
        <f aca="false">IF(AE146=0,"",AX146)</f>
        <v/>
      </c>
      <c r="P146" s="17"/>
      <c r="Q146" s="12"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IF(OR(AE146=0,W146=""),"",W146-U146+V146)</f>
        <v/>
      </c>
      <c r="U146" s="13" t="str">
        <f aca="false">IF(AE146=0,"",IF(NOT(LH_Ready),"",SUMIFS(INDEX(LH_Data,0,LH_ColAcc),INDEX(LH_Data,0,LH_ColFirst),$A146,INDEX(LH_Data,0,LH_ColSur),$B146,INDEX(LH_Data,0,LH_ColCat),BonusCat)*UnitFactor))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IF(AE146=0,"",X146-N(U146))</f>
        <v/>
      </c>
      <c r="Z146" s="12" t="str">
        <f aca="false">IF(AE146=0,"",IF(Y146&gt;0,"Yes","No"))</f>
        <v/>
      </c>
      <c r="AA146" s="12" t="str">
        <f aca="false">IF(AE146=0,"",IF(NOT(LH_Ready),"Paste Leave History export",IF(Y146&gt;0,"ACCRUE "&amp;TEXT(Y146,"0.##")&amp;" hrs ("&amp;TEXT(Y146/HoursPerDay,"0.##")&amp;" days)"&amp;IF(BA146=0," - no Bonus Leave line in EH yet",""),IF(Y146&lt;0,"CHECK - EH accrued "&amp;TEXT(-Y146,"0.##")&amp;" hrs more than policy",IF(AND(O146&gt;0,BA146=0),"CHECK - policy says "&amp;TEXT(N146,"0.##")&amp;" hrs to date but no Bonus Leave in EH",IF(O146&gt;0,"OK","-"))))))</f>
        <v/>
      </c>
      <c r="AB146" s="13" t="str">
        <f aca="false">IF(OR(AE146=0,T146=""),"",AY146*HoursPerDay-T146)</f>
        <v/>
      </c>
      <c r="AC146" s="12" t="str">
        <f aca="false">IF(AE146=0,"",BA146)</f>
        <v/>
      </c>
      <c r="AD146" s="12" t="str">
        <f aca="false">IF(AE146=0,"",TRIM(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IF(AE146=0,"",IF($J146&lt;&gt;"",$J146,$F146))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15"/>
      <c r="B147" s="15"/>
      <c r="C147" s="15"/>
      <c r="D147" s="16"/>
      <c r="E147" s="10" t="str">
        <f aca="false">IF(OR(AE147=0,$D147=""),"",DATE(YEAR(AsOfDate)+IF(DATE(YEAR(AsOfDate),MONTH($D147),DAY($D147))&lt;=AsOfDate,1,0),MONTH($D147),DAY($D147)))</f>
        <v/>
      </c>
      <c r="F147" s="16"/>
      <c r="G147" s="16"/>
      <c r="H147" s="16"/>
      <c r="I147" s="16"/>
      <c r="J147" s="16"/>
      <c r="K147" s="10" t="str">
        <f aca="false">IF(AE147=0,"",DATE(YEAR(AsOfDate)+IF(DATE(YEAR(AsOfDate),MONTH($F147),DAY($F147))&lt;=AsOfDate,1,0),MONTH($F147),DAY($F147)))</f>
        <v/>
      </c>
      <c r="L147" s="11" t="str">
        <f aca="false">IF(AE147=0,"",ROUND((AsOfDate-$F147)/365.25,1))</f>
        <v/>
      </c>
      <c r="M147" s="12" t="str">
        <f aca="false">IF(AE147=0,"",IF(AsOfDate&lt;AF147,"-",DATEDIF(AF147,AsOfDate,"y")&amp;"y "&amp;DATEDIF(AF147,AsOfDate,"ym")&amp;"m "&amp;DATEDIF(AF147,AsOfDate,"md")&amp;"d"))</f>
        <v/>
      </c>
      <c r="N147" s="13" t="str">
        <f aca="false">IF(AE147=0,"",O147*HoursPerDay)</f>
        <v/>
      </c>
      <c r="O147" s="13" t="str">
        <f aca="false">IF(AE147=0,"",AX147)</f>
        <v/>
      </c>
      <c r="P147" s="17"/>
      <c r="Q147" s="12"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IF(OR(AE147=0,W147=""),"",W147-U147+V147)</f>
        <v/>
      </c>
      <c r="U147" s="13" t="str">
        <f aca="false">IF(AE147=0,"",IF(NOT(LH_Ready),"",SUMIFS(INDEX(LH_Data,0,LH_ColAcc),INDEX(LH_Data,0,LH_ColFirst),$A147,INDEX(LH_Data,0,LH_ColSur),$B147,INDEX(LH_Data,0,LH_ColCat),BonusCat)*UnitFactor))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IF(AE147=0,"",X147-N(U147))</f>
        <v/>
      </c>
      <c r="Z147" s="12" t="str">
        <f aca="false">IF(AE147=0,"",IF(Y147&gt;0,"Yes","No"))</f>
        <v/>
      </c>
      <c r="AA147" s="12" t="str">
        <f aca="false">IF(AE147=0,"",IF(NOT(LH_Ready),"Paste Leave History export",IF(Y147&gt;0,"ACCRUE "&amp;TEXT(Y147,"0.##")&amp;" hrs ("&amp;TEXT(Y147/HoursPerDay,"0.##")&amp;" days)"&amp;IF(BA147=0," - no Bonus Leave line in EH yet",""),IF(Y147&lt;0,"CHECK - EH accrued "&amp;TEXT(-Y147,"0.##")&amp;" hrs more than policy",IF(AND(O147&gt;0,BA147=0),"CHECK - policy says "&amp;TEXT(N147,"0.##")&amp;" hrs to date but no Bonus Leave in EH",IF(O147&gt;0,"OK","-"))))))</f>
        <v/>
      </c>
      <c r="AB147" s="13" t="str">
        <f aca="false">IF(OR(AE147=0,T147=""),"",AY147*HoursPerDay-T147)</f>
        <v/>
      </c>
      <c r="AC147" s="12" t="str">
        <f aca="false">IF(AE147=0,"",BA147)</f>
        <v/>
      </c>
      <c r="AD147" s="12" t="str">
        <f aca="false">IF(AE147=0,"",TRIM(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IF(AE147=0,"",IF($J147&lt;&gt;"",$J147,$F147))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15"/>
      <c r="B148" s="15"/>
      <c r="C148" s="15"/>
      <c r="D148" s="16"/>
      <c r="E148" s="10" t="str">
        <f aca="false">IF(OR(AE148=0,$D148=""),"",DATE(YEAR(AsOfDate)+IF(DATE(YEAR(AsOfDate),MONTH($D148),DAY($D148))&lt;=AsOfDate,1,0),MONTH($D148),DAY($D148)))</f>
        <v/>
      </c>
      <c r="F148" s="16"/>
      <c r="G148" s="16"/>
      <c r="H148" s="16"/>
      <c r="I148" s="16"/>
      <c r="J148" s="16"/>
      <c r="K148" s="10" t="str">
        <f aca="false">IF(AE148=0,"",DATE(YEAR(AsOfDate)+IF(DATE(YEAR(AsOfDate),MONTH($F148),DAY($F148))&lt;=AsOfDate,1,0),MONTH($F148),DAY($F148)))</f>
        <v/>
      </c>
      <c r="L148" s="11" t="str">
        <f aca="false">IF(AE148=0,"",ROUND((AsOfDate-$F148)/365.25,1))</f>
        <v/>
      </c>
      <c r="M148" s="12" t="str">
        <f aca="false">IF(AE148=0,"",IF(AsOfDate&lt;AF148,"-",DATEDIF(AF148,AsOfDate,"y")&amp;"y "&amp;DATEDIF(AF148,AsOfDate,"ym")&amp;"m "&amp;DATEDIF(AF148,AsOfDate,"md")&amp;"d"))</f>
        <v/>
      </c>
      <c r="N148" s="13" t="str">
        <f aca="false">IF(AE148=0,"",O148*HoursPerDay)</f>
        <v/>
      </c>
      <c r="O148" s="13" t="str">
        <f aca="false">IF(AE148=0,"",AX148)</f>
        <v/>
      </c>
      <c r="P148" s="17"/>
      <c r="Q148" s="12"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IF(OR(AE148=0,W148=""),"",W148-U148+V148)</f>
        <v/>
      </c>
      <c r="U148" s="13" t="str">
        <f aca="false">IF(AE148=0,"",IF(NOT(LH_Ready),"",SUMIFS(INDEX(LH_Data,0,LH_ColAcc),INDEX(LH_Data,0,LH_ColFirst),$A148,INDEX(LH_Data,0,LH_ColSur),$B148,INDEX(LH_Data,0,LH_ColCat),BonusCat)*UnitFactor))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IF(AE148=0,"",X148-N(U148))</f>
        <v/>
      </c>
      <c r="Z148" s="12" t="str">
        <f aca="false">IF(AE148=0,"",IF(Y148&gt;0,"Yes","No"))</f>
        <v/>
      </c>
      <c r="AA148" s="12" t="str">
        <f aca="false">IF(AE148=0,"",IF(NOT(LH_Ready),"Paste Leave History export",IF(Y148&gt;0,"ACCRUE "&amp;TEXT(Y148,"0.##")&amp;" hrs ("&amp;TEXT(Y148/HoursPerDay,"0.##")&amp;" days)"&amp;IF(BA148=0," - no Bonus Leave line in EH yet",""),IF(Y148&lt;0,"CHECK - EH accrued "&amp;TEXT(-Y148,"0.##")&amp;" hrs more than policy",IF(AND(O148&gt;0,BA148=0),"CHECK - policy says "&amp;TEXT(N148,"0.##")&amp;" hrs to date but no Bonus Leave in EH",IF(O148&gt;0,"OK","-"))))))</f>
        <v/>
      </c>
      <c r="AB148" s="13" t="str">
        <f aca="false">IF(OR(AE148=0,T148=""),"",AY148*HoursPerDay-T148)</f>
        <v/>
      </c>
      <c r="AC148" s="12" t="str">
        <f aca="false">IF(AE148=0,"",BA148)</f>
        <v/>
      </c>
      <c r="AD148" s="12" t="str">
        <f aca="false">IF(AE148=0,"",TRIM(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IF(AE148=0,"",IF($J148&lt;&gt;"",$J148,$F148))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15"/>
      <c r="B149" s="15"/>
      <c r="C149" s="15"/>
      <c r="D149" s="16"/>
      <c r="E149" s="10" t="str">
        <f aca="false">IF(OR(AE149=0,$D149=""),"",DATE(YEAR(AsOfDate)+IF(DATE(YEAR(AsOfDate),MONTH($D149),DAY($D149))&lt;=AsOfDate,1,0),MONTH($D149),DAY($D149)))</f>
        <v/>
      </c>
      <c r="F149" s="16"/>
      <c r="G149" s="16"/>
      <c r="H149" s="16"/>
      <c r="I149" s="16"/>
      <c r="J149" s="16"/>
      <c r="K149" s="10" t="str">
        <f aca="false">IF(AE149=0,"",DATE(YEAR(AsOfDate)+IF(DATE(YEAR(AsOfDate),MONTH($F149),DAY($F149))&lt;=AsOfDate,1,0),MONTH($F149),DAY($F149)))</f>
        <v/>
      </c>
      <c r="L149" s="11" t="str">
        <f aca="false">IF(AE149=0,"",ROUND((AsOfDate-$F149)/365.25,1))</f>
        <v/>
      </c>
      <c r="M149" s="12" t="str">
        <f aca="false">IF(AE149=0,"",IF(AsOfDate&lt;AF149,"-",DATEDIF(AF149,AsOfDate,"y")&amp;"y "&amp;DATEDIF(AF149,AsOfDate,"ym")&amp;"m "&amp;DATEDIF(AF149,AsOfDate,"md")&amp;"d"))</f>
        <v/>
      </c>
      <c r="N149" s="13" t="str">
        <f aca="false">IF(AE149=0,"",O149*HoursPerDay)</f>
        <v/>
      </c>
      <c r="O149" s="13" t="str">
        <f aca="false">IF(AE149=0,"",AX149)</f>
        <v/>
      </c>
      <c r="P149" s="17"/>
      <c r="Q149" s="12"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IF(OR(AE149=0,W149=""),"",W149-U149+V149)</f>
        <v/>
      </c>
      <c r="U149" s="13" t="str">
        <f aca="false">IF(AE149=0,"",IF(NOT(LH_Ready),"",SUMIFS(INDEX(LH_Data,0,LH_ColAcc),INDEX(LH_Data,0,LH_ColFirst),$A149,INDEX(LH_Data,0,LH_ColSur),$B149,INDEX(LH_Data,0,LH_ColCat),BonusCat)*UnitFactor))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IF(AE149=0,"",X149-N(U149))</f>
        <v/>
      </c>
      <c r="Z149" s="12" t="str">
        <f aca="false">IF(AE149=0,"",IF(Y149&gt;0,"Yes","No"))</f>
        <v/>
      </c>
      <c r="AA149" s="12" t="str">
        <f aca="false">IF(AE149=0,"",IF(NOT(LH_Ready),"Paste Leave History export",IF(Y149&gt;0,"ACCRUE "&amp;TEXT(Y149,"0.##")&amp;" hrs ("&amp;TEXT(Y149/HoursPerDay,"0.##")&amp;" days)"&amp;IF(BA149=0," - no Bonus Leave line in EH yet",""),IF(Y149&lt;0,"CHECK - EH accrued "&amp;TEXT(-Y149,"0.##")&amp;" hrs more than policy",IF(AND(O149&gt;0,BA149=0),"CHECK - policy says "&amp;TEXT(N149,"0.##")&amp;" hrs to date but no Bonus Leave in EH",IF(O149&gt;0,"OK","-"))))))</f>
        <v/>
      </c>
      <c r="AB149" s="13" t="str">
        <f aca="false">IF(OR(AE149=0,T149=""),"",AY149*HoursPerDay-T149)</f>
        <v/>
      </c>
      <c r="AC149" s="12" t="str">
        <f aca="false">IF(AE149=0,"",BA149)</f>
        <v/>
      </c>
      <c r="AD149" s="12" t="str">
        <f aca="false">IF(AE149=0,"",TRIM(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IF(AE149=0,"",IF($J149&lt;&gt;"",$J149,$F149))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15"/>
      <c r="B150" s="15"/>
      <c r="C150" s="15"/>
      <c r="D150" s="16"/>
      <c r="E150" s="10" t="str">
        <f aca="false">IF(OR(AE150=0,$D150=""),"",DATE(YEAR(AsOfDate)+IF(DATE(YEAR(AsOfDate),MONTH($D150),DAY($D150))&lt;=AsOfDate,1,0),MONTH($D150),DAY($D150)))</f>
        <v/>
      </c>
      <c r="F150" s="16"/>
      <c r="G150" s="16"/>
      <c r="H150" s="16"/>
      <c r="I150" s="16"/>
      <c r="J150" s="16"/>
      <c r="K150" s="10" t="str">
        <f aca="false">IF(AE150=0,"",DATE(YEAR(AsOfDate)+IF(DATE(YEAR(AsOfDate),MONTH($F150),DAY($F150))&lt;=AsOfDate,1,0),MONTH($F150),DAY($F150)))</f>
        <v/>
      </c>
      <c r="L150" s="11" t="str">
        <f aca="false">IF(AE150=0,"",ROUND((AsOfDate-$F150)/365.25,1))</f>
        <v/>
      </c>
      <c r="M150" s="12" t="str">
        <f aca="false">IF(AE150=0,"",IF(AsOfDate&lt;AF150,"-",DATEDIF(AF150,AsOfDate,"y")&amp;"y "&amp;DATEDIF(AF150,AsOfDate,"ym")&amp;"m "&amp;DATEDIF(AF150,AsOfDate,"md")&amp;"d"))</f>
        <v/>
      </c>
      <c r="N150" s="13" t="str">
        <f aca="false">IF(AE150=0,"",O150*HoursPerDay)</f>
        <v/>
      </c>
      <c r="O150" s="13" t="str">
        <f aca="false">IF(AE150=0,"",AX150)</f>
        <v/>
      </c>
      <c r="P150" s="17"/>
      <c r="Q150" s="12"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IF(OR(AE150=0,W150=""),"",W150-U150+V150)</f>
        <v/>
      </c>
      <c r="U150" s="13" t="str">
        <f aca="false">IF(AE150=0,"",IF(NOT(LH_Ready),"",SUMIFS(INDEX(LH_Data,0,LH_ColAcc),INDEX(LH_Data,0,LH_ColFirst),$A150,INDEX(LH_Data,0,LH_ColSur),$B150,INDEX(LH_Data,0,LH_ColCat),BonusCat)*UnitFactor))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IF(AE150=0,"",X150-N(U150))</f>
        <v/>
      </c>
      <c r="Z150" s="12" t="str">
        <f aca="false">IF(AE150=0,"",IF(Y150&gt;0,"Yes","No"))</f>
        <v/>
      </c>
      <c r="AA150" s="12" t="str">
        <f aca="false">IF(AE150=0,"",IF(NOT(LH_Ready),"Paste Leave History export",IF(Y150&gt;0,"ACCRUE "&amp;TEXT(Y150,"0.##")&amp;" hrs ("&amp;TEXT(Y150/HoursPerDay,"0.##")&amp;" days)"&amp;IF(BA150=0," - no Bonus Leave line in EH yet",""),IF(Y150&lt;0,"CHECK - EH accrued "&amp;TEXT(-Y150,"0.##")&amp;" hrs more than policy",IF(AND(O150&gt;0,BA150=0),"CHECK - policy says "&amp;TEXT(N150,"0.##")&amp;" hrs to date but no Bonus Leave in EH",IF(O150&gt;0,"OK","-"))))))</f>
        <v/>
      </c>
      <c r="AB150" s="13" t="str">
        <f aca="false">IF(OR(AE150=0,T150=""),"",AY150*HoursPerDay-T150)</f>
        <v/>
      </c>
      <c r="AC150" s="12" t="str">
        <f aca="false">IF(AE150=0,"",BA150)</f>
        <v/>
      </c>
      <c r="AD150" s="12" t="str">
        <f aca="false">IF(AE150=0,"",TRIM(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IF(AE150=0,"",IF($J150&lt;&gt;"",$J150,$F150))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15"/>
      <c r="B151" s="15"/>
      <c r="C151" s="15"/>
      <c r="D151" s="16"/>
      <c r="E151" s="10" t="str">
        <f aca="false">IF(OR(AE151=0,$D151=""),"",DATE(YEAR(AsOfDate)+IF(DATE(YEAR(AsOfDate),MONTH($D151),DAY($D151))&lt;=AsOfDate,1,0),MONTH($D151),DAY($D151)))</f>
        <v/>
      </c>
      <c r="F151" s="16"/>
      <c r="G151" s="16"/>
      <c r="H151" s="16"/>
      <c r="I151" s="16"/>
      <c r="J151" s="16"/>
      <c r="K151" s="10" t="str">
        <f aca="false">IF(AE151=0,"",DATE(YEAR(AsOfDate)+IF(DATE(YEAR(AsOfDate),MONTH($F151),DAY($F151))&lt;=AsOfDate,1,0),MONTH($F151),DAY($F151)))</f>
        <v/>
      </c>
      <c r="L151" s="11" t="str">
        <f aca="false">IF(AE151=0,"",ROUND((AsOfDate-$F151)/365.25,1))</f>
        <v/>
      </c>
      <c r="M151" s="12" t="str">
        <f aca="false">IF(AE151=0,"",IF(AsOfDate&lt;AF151,"-",DATEDIF(AF151,AsOfDate,"y")&amp;"y "&amp;DATEDIF(AF151,AsOfDate,"ym")&amp;"m "&amp;DATEDIF(AF151,AsOfDate,"md")&amp;"d"))</f>
        <v/>
      </c>
      <c r="N151" s="13" t="str">
        <f aca="false">IF(AE151=0,"",O151*HoursPerDay)</f>
        <v/>
      </c>
      <c r="O151" s="13" t="str">
        <f aca="false">IF(AE151=0,"",AX151)</f>
        <v/>
      </c>
      <c r="P151" s="17"/>
      <c r="Q151" s="12"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IF(OR(AE151=0,W151=""),"",W151-U151+V151)</f>
        <v/>
      </c>
      <c r="U151" s="13" t="str">
        <f aca="false">IF(AE151=0,"",IF(NOT(LH_Ready),"",SUMIFS(INDEX(LH_Data,0,LH_ColAcc),INDEX(LH_Data,0,LH_ColFirst),$A151,INDEX(LH_Data,0,LH_ColSur),$B151,INDEX(LH_Data,0,LH_ColCat),BonusCat)*UnitFactor))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IF(AE151=0,"",X151-N(U151))</f>
        <v/>
      </c>
      <c r="Z151" s="12" t="str">
        <f aca="false">IF(AE151=0,"",IF(Y151&gt;0,"Yes","No"))</f>
        <v/>
      </c>
      <c r="AA151" s="12" t="str">
        <f aca="false">IF(AE151=0,"",IF(NOT(LH_Ready),"Paste Leave History export",IF(Y151&gt;0,"ACCRUE "&amp;TEXT(Y151,"0.##")&amp;" hrs ("&amp;TEXT(Y151/HoursPerDay,"0.##")&amp;" days)"&amp;IF(BA151=0," - no Bonus Leave line in EH yet",""),IF(Y151&lt;0,"CHECK - EH accrued "&amp;TEXT(-Y151,"0.##")&amp;" hrs more than policy",IF(AND(O151&gt;0,BA151=0),"CHECK - policy says "&amp;TEXT(N151,"0.##")&amp;" hrs to date but no Bonus Leave in EH",IF(O151&gt;0,"OK","-"))))))</f>
        <v/>
      </c>
      <c r="AB151" s="13" t="str">
        <f aca="false">IF(OR(AE151=0,T151=""),"",AY151*HoursPerDay-T151)</f>
        <v/>
      </c>
      <c r="AC151" s="12" t="str">
        <f aca="false">IF(AE151=0,"",BA151)</f>
        <v/>
      </c>
      <c r="AD151" s="12" t="str">
        <f aca="false">IF(AE151=0,"",TRIM(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IF(AE151=0,"",IF($J151&lt;&gt;"",$J151,$F151))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15"/>
      <c r="B152" s="15"/>
      <c r="C152" s="15"/>
      <c r="D152" s="16"/>
      <c r="E152" s="10" t="str">
        <f aca="false">IF(OR(AE152=0,$D152=""),"",DATE(YEAR(AsOfDate)+IF(DATE(YEAR(AsOfDate),MONTH($D152),DAY($D152))&lt;=AsOfDate,1,0),MONTH($D152),DAY($D152)))</f>
        <v/>
      </c>
      <c r="F152" s="16"/>
      <c r="G152" s="16"/>
      <c r="H152" s="16"/>
      <c r="I152" s="16"/>
      <c r="J152" s="16"/>
      <c r="K152" s="10" t="str">
        <f aca="false">IF(AE152=0,"",DATE(YEAR(AsOfDate)+IF(DATE(YEAR(AsOfDate),MONTH($F152),DAY($F152))&lt;=AsOfDate,1,0),MONTH($F152),DAY($F152)))</f>
        <v/>
      </c>
      <c r="L152" s="11" t="str">
        <f aca="false">IF(AE152=0,"",ROUND((AsOfDate-$F152)/365.25,1))</f>
        <v/>
      </c>
      <c r="M152" s="12" t="str">
        <f aca="false">IF(AE152=0,"",IF(AsOfDate&lt;AF152,"-",DATEDIF(AF152,AsOfDate,"y")&amp;"y "&amp;DATEDIF(AF152,AsOfDate,"ym")&amp;"m "&amp;DATEDIF(AF152,AsOfDate,"md")&amp;"d"))</f>
        <v/>
      </c>
      <c r="N152" s="13" t="str">
        <f aca="false">IF(AE152=0,"",O152*HoursPerDay)</f>
        <v/>
      </c>
      <c r="O152" s="13" t="str">
        <f aca="false">IF(AE152=0,"",AX152)</f>
        <v/>
      </c>
      <c r="P152" s="17"/>
      <c r="Q152" s="12"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IF(OR(AE152=0,W152=""),"",W152-U152+V152)</f>
        <v/>
      </c>
      <c r="U152" s="13" t="str">
        <f aca="false">IF(AE152=0,"",IF(NOT(LH_Ready),"",SUMIFS(INDEX(LH_Data,0,LH_ColAcc),INDEX(LH_Data,0,LH_ColFirst),$A152,INDEX(LH_Data,0,LH_ColSur),$B152,INDEX(LH_Data,0,LH_ColCat),BonusCat)*UnitFactor))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IF(AE152=0,"",X152-N(U152))</f>
        <v/>
      </c>
      <c r="Z152" s="12" t="str">
        <f aca="false">IF(AE152=0,"",IF(Y152&gt;0,"Yes","No"))</f>
        <v/>
      </c>
      <c r="AA152" s="12" t="str">
        <f aca="false">IF(AE152=0,"",IF(NOT(LH_Ready),"Paste Leave History export",IF(Y152&gt;0,"ACCRUE "&amp;TEXT(Y152,"0.##")&amp;" hrs ("&amp;TEXT(Y152/HoursPerDay,"0.##")&amp;" days)"&amp;IF(BA152=0," - no Bonus Leave line in EH yet",""),IF(Y152&lt;0,"CHECK - EH accrued "&amp;TEXT(-Y152,"0.##")&amp;" hrs more than policy",IF(AND(O152&gt;0,BA152=0),"CHECK - policy says "&amp;TEXT(N152,"0.##")&amp;" hrs to date but no Bonus Leave in EH",IF(O152&gt;0,"OK","-"))))))</f>
        <v/>
      </c>
      <c r="AB152" s="13" t="str">
        <f aca="false">IF(OR(AE152=0,T152=""),"",AY152*HoursPerDay-T152)</f>
        <v/>
      </c>
      <c r="AC152" s="12" t="str">
        <f aca="false">IF(AE152=0,"",BA152)</f>
        <v/>
      </c>
      <c r="AD152" s="12" t="str">
        <f aca="false">IF(AE152=0,"",TRIM(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IF(AE152=0,"",IF($J152&lt;&gt;"",$J152,$F152))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15"/>
      <c r="B153" s="15"/>
      <c r="C153" s="15"/>
      <c r="D153" s="16"/>
      <c r="E153" s="10" t="str">
        <f aca="false">IF(OR(AE153=0,$D153=""),"",DATE(YEAR(AsOfDate)+IF(DATE(YEAR(AsOfDate),MONTH($D153),DAY($D153))&lt;=AsOfDate,1,0),MONTH($D153),DAY($D153)))</f>
        <v/>
      </c>
      <c r="F153" s="16"/>
      <c r="G153" s="16"/>
      <c r="H153" s="16"/>
      <c r="I153" s="16"/>
      <c r="J153" s="16"/>
      <c r="K153" s="10" t="str">
        <f aca="false">IF(AE153=0,"",DATE(YEAR(AsOfDate)+IF(DATE(YEAR(AsOfDate),MONTH($F153),DAY($F153))&lt;=AsOfDate,1,0),MONTH($F153),DAY($F153)))</f>
        <v/>
      </c>
      <c r="L153" s="11" t="str">
        <f aca="false">IF(AE153=0,"",ROUND((AsOfDate-$F153)/365.25,1))</f>
        <v/>
      </c>
      <c r="M153" s="12" t="str">
        <f aca="false">IF(AE153=0,"",IF(AsOfDate&lt;AF153,"-",DATEDIF(AF153,AsOfDate,"y")&amp;"y "&amp;DATEDIF(AF153,AsOfDate,"ym")&amp;"m "&amp;DATEDIF(AF153,AsOfDate,"md")&amp;"d"))</f>
        <v/>
      </c>
      <c r="N153" s="13" t="str">
        <f aca="false">IF(AE153=0,"",O153*HoursPerDay)</f>
        <v/>
      </c>
      <c r="O153" s="13" t="str">
        <f aca="false">IF(AE153=0,"",AX153)</f>
        <v/>
      </c>
      <c r="P153" s="17"/>
      <c r="Q153" s="12"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IF(OR(AE153=0,W153=""),"",W153-U153+V153)</f>
        <v/>
      </c>
      <c r="U153" s="13" t="str">
        <f aca="false">IF(AE153=0,"",IF(NOT(LH_Ready),"",SUMIFS(INDEX(LH_Data,0,LH_ColAcc),INDEX(LH_Data,0,LH_ColFirst),$A153,INDEX(LH_Data,0,LH_ColSur),$B153,INDEX(LH_Data,0,LH_ColCat),BonusCat)*UnitFactor))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IF(AE153=0,"",X153-N(U153))</f>
        <v/>
      </c>
      <c r="Z153" s="12" t="str">
        <f aca="false">IF(AE153=0,"",IF(Y153&gt;0,"Yes","No"))</f>
        <v/>
      </c>
      <c r="AA153" s="12" t="str">
        <f aca="false">IF(AE153=0,"",IF(NOT(LH_Ready),"Paste Leave History export",IF(Y153&gt;0,"ACCRUE "&amp;TEXT(Y153,"0.##")&amp;" hrs ("&amp;TEXT(Y153/HoursPerDay,"0.##")&amp;" days)"&amp;IF(BA153=0," - no Bonus Leave line in EH yet",""),IF(Y153&lt;0,"CHECK - EH accrued "&amp;TEXT(-Y153,"0.##")&amp;" hrs more than policy",IF(AND(O153&gt;0,BA153=0),"CHECK - policy says "&amp;TEXT(N153,"0.##")&amp;" hrs to date but no Bonus Leave in EH",IF(O153&gt;0,"OK","-"))))))</f>
        <v/>
      </c>
      <c r="AB153" s="13" t="str">
        <f aca="false">IF(OR(AE153=0,T153=""),"",AY153*HoursPerDay-T153)</f>
        <v/>
      </c>
      <c r="AC153" s="12" t="str">
        <f aca="false">IF(AE153=0,"",BA153)</f>
        <v/>
      </c>
      <c r="AD153" s="12" t="str">
        <f aca="false">IF(AE153=0,"",TRIM(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IF(AE153=0,"",IF($J153&lt;&gt;"",$J153,$F153))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15"/>
      <c r="B154" s="15"/>
      <c r="C154" s="15"/>
      <c r="D154" s="16"/>
      <c r="E154" s="10" t="str">
        <f aca="false">IF(OR(AE154=0,$D154=""),"",DATE(YEAR(AsOfDate)+IF(DATE(YEAR(AsOfDate),MONTH($D154),DAY($D154))&lt;=AsOfDate,1,0),MONTH($D154),DAY($D154)))</f>
        <v/>
      </c>
      <c r="F154" s="16"/>
      <c r="G154" s="16"/>
      <c r="H154" s="16"/>
      <c r="I154" s="16"/>
      <c r="J154" s="16"/>
      <c r="K154" s="10" t="str">
        <f aca="false">IF(AE154=0,"",DATE(YEAR(AsOfDate)+IF(DATE(YEAR(AsOfDate),MONTH($F154),DAY($F154))&lt;=AsOfDate,1,0),MONTH($F154),DAY($F154)))</f>
        <v/>
      </c>
      <c r="L154" s="11" t="str">
        <f aca="false">IF(AE154=0,"",ROUND((AsOfDate-$F154)/365.25,1))</f>
        <v/>
      </c>
      <c r="M154" s="12" t="str">
        <f aca="false">IF(AE154=0,"",IF(AsOfDate&lt;AF154,"-",DATEDIF(AF154,AsOfDate,"y")&amp;"y "&amp;DATEDIF(AF154,AsOfDate,"ym")&amp;"m "&amp;DATEDIF(AF154,AsOfDate,"md")&amp;"d"))</f>
        <v/>
      </c>
      <c r="N154" s="13" t="str">
        <f aca="false">IF(AE154=0,"",O154*HoursPerDay)</f>
        <v/>
      </c>
      <c r="O154" s="13" t="str">
        <f aca="false">IF(AE154=0,"",AX154)</f>
        <v/>
      </c>
      <c r="P154" s="17"/>
      <c r="Q154" s="12"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IF(OR(AE154=0,W154=""),"",W154-U154+V154)</f>
        <v/>
      </c>
      <c r="U154" s="13" t="str">
        <f aca="false">IF(AE154=0,"",IF(NOT(LH_Ready),"",SUMIFS(INDEX(LH_Data,0,LH_ColAcc),INDEX(LH_Data,0,LH_ColFirst),$A154,INDEX(LH_Data,0,LH_ColSur),$B154,INDEX(LH_Data,0,LH_ColCat),BonusCat)*UnitFactor))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IF(AE154=0,"",X154-N(U154))</f>
        <v/>
      </c>
      <c r="Z154" s="12" t="str">
        <f aca="false">IF(AE154=0,"",IF(Y154&gt;0,"Yes","No"))</f>
        <v/>
      </c>
      <c r="AA154" s="12" t="str">
        <f aca="false">IF(AE154=0,"",IF(NOT(LH_Ready),"Paste Leave History export",IF(Y154&gt;0,"ACCRUE "&amp;TEXT(Y154,"0.##")&amp;" hrs ("&amp;TEXT(Y154/HoursPerDay,"0.##")&amp;" days)"&amp;IF(BA154=0," - no Bonus Leave line in EH yet",""),IF(Y154&lt;0,"CHECK - EH accrued "&amp;TEXT(-Y154,"0.##")&amp;" hrs more than policy",IF(AND(O154&gt;0,BA154=0),"CHECK - policy says "&amp;TEXT(N154,"0.##")&amp;" hrs to date but no Bonus Leave in EH",IF(O154&gt;0,"OK","-"))))))</f>
        <v/>
      </c>
      <c r="AB154" s="13" t="str">
        <f aca="false">IF(OR(AE154=0,T154=""),"",AY154*HoursPerDay-T154)</f>
        <v/>
      </c>
      <c r="AC154" s="12" t="str">
        <f aca="false">IF(AE154=0,"",BA154)</f>
        <v/>
      </c>
      <c r="AD154" s="12" t="str">
        <f aca="false">IF(AE154=0,"",TRIM(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IF(AE154=0,"",IF($J154&lt;&gt;"",$J154,$F154))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5">
      <formula>AA5="OK"</formula>
    </cfRule>
  </conditionalFormatting>
  <conditionalFormatting sqref="Z5:Z154">
    <cfRule type="expression" priority="5" aboveAverage="0" equalAverage="0" bottom="0" percent="0" rank="0" text="" dxfId="16">
      <formula>Z5="Yes"</formula>
    </cfRule>
  </conditionalFormatting>
  <conditionalFormatting sqref="R5:R154">
    <cfRule type="expression" priority="6" aboveAverage="0" equalAverage="0" bottom="0" percent="0" rank="0" text="" dxfId="17">
      <formula>LEFT(R5,3)="Yes"</formula>
    </cfRule>
  </conditionalFormatting>
  <conditionalFormatting sqref="Q5:Q154">
    <cfRule type="expression" priority="7" aboveAverage="0" equalAverage="0" bottom="0" percent="0" rank="0" text="" dxfId="18">
      <formula>Q5&lt;&gt;""</formula>
    </cfRule>
  </conditionalFormatting>
  <conditionalFormatting sqref="AD5:AD154">
    <cfRule type="expression" priority="8" aboveAverage="0" equalAverage="0" bottom="0" percent="0" rank="0" text="" dxfId="19">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97</v>
      </c>
      <c r="B1" s="2" t="s">
        <v>98</v>
      </c>
      <c r="C1" s="2" t="s">
        <v>99</v>
      </c>
      <c r="D1" s="2" t="s">
        <v>25</v>
      </c>
      <c r="E1" s="2" t="s">
        <v>100</v>
      </c>
      <c r="F1" s="2" t="s">
        <v>101</v>
      </c>
      <c r="G1" s="2" t="s">
        <v>102</v>
      </c>
      <c r="H1" s="2" t="s">
        <v>103</v>
      </c>
      <c r="I1" s="2" t="s">
        <v>104</v>
      </c>
      <c r="J1" s="2" t="s">
        <v>105</v>
      </c>
      <c r="K1" s="2" t="s">
        <v>106</v>
      </c>
      <c r="L1" s="2" t="s">
        <v>107</v>
      </c>
      <c r="N1" s="18" t="s">
        <v>108</v>
      </c>
    </row>
    <row r="2" customFormat="false" ht="15" hidden="false" customHeight="false" outlineLevel="0" collapsed="false">
      <c r="A2" s="19" t="n">
        <v>101</v>
      </c>
      <c r="B2" s="19"/>
      <c r="C2" s="19" t="s">
        <v>78</v>
      </c>
      <c r="D2" s="19" t="s">
        <v>79</v>
      </c>
      <c r="E2" s="19" t="s">
        <v>109</v>
      </c>
      <c r="F2" s="19" t="n">
        <v>64</v>
      </c>
      <c r="G2" s="19" t="n">
        <v>64</v>
      </c>
      <c r="H2" s="19" t="s">
        <v>110</v>
      </c>
      <c r="I2" s="19"/>
      <c r="J2" s="19" t="n">
        <v>0</v>
      </c>
      <c r="K2" s="19" t="n">
        <v>0</v>
      </c>
      <c r="L2" s="19" t="s">
        <v>111</v>
      </c>
      <c r="N2" s="20" t="s">
        <v>112</v>
      </c>
    </row>
    <row r="3" customFormat="false" ht="15" hidden="false" customHeight="false" outlineLevel="0" collapsed="false">
      <c r="A3" s="19" t="n">
        <v>101</v>
      </c>
      <c r="B3" s="19"/>
      <c r="C3" s="19" t="s">
        <v>78</v>
      </c>
      <c r="D3" s="19" t="s">
        <v>79</v>
      </c>
      <c r="E3" s="19" t="s">
        <v>109</v>
      </c>
      <c r="F3" s="19" t="n">
        <v>64</v>
      </c>
      <c r="G3" s="19" t="n">
        <v>64</v>
      </c>
      <c r="H3" s="19" t="s">
        <v>113</v>
      </c>
      <c r="I3" s="19"/>
      <c r="J3" s="19" t="n">
        <v>0</v>
      </c>
      <c r="K3" s="19" t="n">
        <v>0</v>
      </c>
      <c r="L3" s="19" t="s">
        <v>111</v>
      </c>
    </row>
    <row r="4" customFormat="false" ht="15" hidden="false" customHeight="false" outlineLevel="0" collapsed="false">
      <c r="A4" s="19" t="n">
        <v>101</v>
      </c>
      <c r="B4" s="19"/>
      <c r="C4" s="19" t="s">
        <v>78</v>
      </c>
      <c r="D4" s="19" t="s">
        <v>79</v>
      </c>
      <c r="E4" s="19" t="s">
        <v>109</v>
      </c>
      <c r="F4" s="19" t="n">
        <v>64</v>
      </c>
      <c r="G4" s="19" t="n">
        <v>64</v>
      </c>
      <c r="H4" s="19" t="s">
        <v>114</v>
      </c>
      <c r="I4" s="19"/>
      <c r="J4" s="19" t="n">
        <v>0</v>
      </c>
      <c r="K4" s="19" t="n">
        <v>0</v>
      </c>
      <c r="L4" s="19" t="s">
        <v>111</v>
      </c>
    </row>
    <row r="5" customFormat="false" ht="15" hidden="false" customHeight="false" outlineLevel="0" collapsed="false">
      <c r="A5" s="19" t="n">
        <v>101</v>
      </c>
      <c r="B5" s="19"/>
      <c r="C5" s="19" t="s">
        <v>78</v>
      </c>
      <c r="D5" s="19" t="s">
        <v>79</v>
      </c>
      <c r="E5" s="19" t="s">
        <v>109</v>
      </c>
      <c r="F5" s="19" t="n">
        <v>64</v>
      </c>
      <c r="G5" s="19" t="n">
        <v>56</v>
      </c>
      <c r="H5" s="19" t="s">
        <v>115</v>
      </c>
      <c r="I5" s="19"/>
      <c r="J5" s="19" t="n">
        <v>0</v>
      </c>
      <c r="K5" s="19" t="n">
        <v>8</v>
      </c>
      <c r="L5" s="19" t="s">
        <v>111</v>
      </c>
    </row>
    <row r="6" customFormat="false" ht="15" hidden="false" customHeight="false" outlineLevel="0" collapsed="false">
      <c r="A6" s="19" t="n">
        <v>101</v>
      </c>
      <c r="B6" s="19"/>
      <c r="C6" s="19" t="s">
        <v>78</v>
      </c>
      <c r="D6" s="19" t="s">
        <v>79</v>
      </c>
      <c r="E6" s="19" t="s">
        <v>109</v>
      </c>
      <c r="F6" s="19" t="n">
        <v>56</v>
      </c>
      <c r="G6" s="19" t="n">
        <v>56</v>
      </c>
      <c r="H6" s="19" t="s">
        <v>116</v>
      </c>
      <c r="I6" s="19"/>
      <c r="J6" s="19" t="n">
        <v>0</v>
      </c>
      <c r="K6" s="19" t="n">
        <v>0</v>
      </c>
      <c r="L6" s="19" t="s">
        <v>111</v>
      </c>
    </row>
    <row r="7" customFormat="false" ht="15" hidden="false" customHeight="false" outlineLevel="0" collapsed="false">
      <c r="A7" s="19" t="n">
        <v>101</v>
      </c>
      <c r="B7" s="19"/>
      <c r="C7" s="19" t="s">
        <v>78</v>
      </c>
      <c r="D7" s="19" t="s">
        <v>79</v>
      </c>
      <c r="E7" s="19" t="s">
        <v>109</v>
      </c>
      <c r="F7" s="19" t="n">
        <v>56</v>
      </c>
      <c r="G7" s="19" t="n">
        <v>56</v>
      </c>
      <c r="H7" s="19" t="s">
        <v>117</v>
      </c>
      <c r="I7" s="19"/>
      <c r="J7" s="19" t="n">
        <v>0</v>
      </c>
      <c r="K7" s="19" t="n">
        <v>0</v>
      </c>
      <c r="L7" s="19" t="s">
        <v>111</v>
      </c>
    </row>
    <row r="8" customFormat="false" ht="15" hidden="false" customHeight="false" outlineLevel="0" collapsed="false">
      <c r="A8" s="19" t="n">
        <v>101</v>
      </c>
      <c r="B8" s="19"/>
      <c r="C8" s="19" t="s">
        <v>78</v>
      </c>
      <c r="D8" s="19" t="s">
        <v>79</v>
      </c>
      <c r="E8" s="19" t="s">
        <v>118</v>
      </c>
      <c r="F8" s="19" t="n">
        <v>120</v>
      </c>
      <c r="G8" s="19" t="n">
        <v>120</v>
      </c>
      <c r="H8" s="19" t="s">
        <v>110</v>
      </c>
      <c r="I8" s="19"/>
      <c r="J8" s="19" t="n">
        <v>0</v>
      </c>
      <c r="K8" s="19" t="n">
        <v>0</v>
      </c>
      <c r="L8" s="19" t="s">
        <v>111</v>
      </c>
    </row>
    <row r="9" customFormat="false" ht="15" hidden="false" customHeight="false" outlineLevel="0" collapsed="false">
      <c r="A9" s="19" t="n">
        <v>101</v>
      </c>
      <c r="B9" s="19"/>
      <c r="C9" s="19" t="s">
        <v>78</v>
      </c>
      <c r="D9" s="19" t="s">
        <v>79</v>
      </c>
      <c r="E9" s="19" t="s">
        <v>118</v>
      </c>
      <c r="F9" s="19" t="n">
        <v>120</v>
      </c>
      <c r="G9" s="19" t="n">
        <v>125.84</v>
      </c>
      <c r="H9" s="19" t="s">
        <v>113</v>
      </c>
      <c r="I9" s="19"/>
      <c r="J9" s="19" t="n">
        <v>5.84</v>
      </c>
      <c r="K9" s="19" t="n">
        <v>0</v>
      </c>
      <c r="L9" s="19" t="s">
        <v>111</v>
      </c>
    </row>
    <row r="10" customFormat="false" ht="15" hidden="false" customHeight="false" outlineLevel="0" collapsed="false">
      <c r="A10" s="19" t="n">
        <v>101</v>
      </c>
      <c r="B10" s="19"/>
      <c r="C10" s="19" t="s">
        <v>78</v>
      </c>
      <c r="D10" s="19" t="s">
        <v>79</v>
      </c>
      <c r="E10" s="19" t="s">
        <v>118</v>
      </c>
      <c r="F10" s="19" t="n">
        <v>125.84</v>
      </c>
      <c r="G10" s="19" t="n">
        <v>125.84</v>
      </c>
      <c r="H10" s="19" t="s">
        <v>114</v>
      </c>
      <c r="I10" s="19"/>
      <c r="J10" s="19" t="n">
        <v>0</v>
      </c>
      <c r="K10" s="19" t="n">
        <v>0</v>
      </c>
      <c r="L10" s="19" t="s">
        <v>111</v>
      </c>
    </row>
    <row r="11" customFormat="false" ht="15" hidden="false" customHeight="false" outlineLevel="0" collapsed="false">
      <c r="A11" s="19" t="n">
        <v>101</v>
      </c>
      <c r="B11" s="19"/>
      <c r="C11" s="19" t="s">
        <v>78</v>
      </c>
      <c r="D11" s="19" t="s">
        <v>79</v>
      </c>
      <c r="E11" s="19" t="s">
        <v>118</v>
      </c>
      <c r="F11" s="19" t="n">
        <v>125.84</v>
      </c>
      <c r="G11" s="19" t="n">
        <v>125.84</v>
      </c>
      <c r="H11" s="19" t="s">
        <v>115</v>
      </c>
      <c r="I11" s="19"/>
      <c r="J11" s="19" t="n">
        <v>0</v>
      </c>
      <c r="K11" s="19" t="n">
        <v>0</v>
      </c>
      <c r="L11" s="19" t="s">
        <v>111</v>
      </c>
    </row>
    <row r="12" customFormat="false" ht="15" hidden="false" customHeight="false" outlineLevel="0" collapsed="false">
      <c r="A12" s="19" t="n">
        <v>101</v>
      </c>
      <c r="B12" s="19"/>
      <c r="C12" s="19" t="s">
        <v>78</v>
      </c>
      <c r="D12" s="19" t="s">
        <v>79</v>
      </c>
      <c r="E12" s="19" t="s">
        <v>118</v>
      </c>
      <c r="F12" s="19" t="n">
        <v>125.84</v>
      </c>
      <c r="G12" s="19" t="n">
        <v>125.84</v>
      </c>
      <c r="H12" s="19" t="s">
        <v>116</v>
      </c>
      <c r="I12" s="19"/>
      <c r="J12" s="19" t="n">
        <v>0</v>
      </c>
      <c r="K12" s="19" t="n">
        <v>0</v>
      </c>
      <c r="L12" s="19" t="s">
        <v>111</v>
      </c>
    </row>
    <row r="13" customFormat="false" ht="15" hidden="false" customHeight="false" outlineLevel="0" collapsed="false">
      <c r="A13" s="19" t="n">
        <v>101</v>
      </c>
      <c r="B13" s="19"/>
      <c r="C13" s="19" t="s">
        <v>78</v>
      </c>
      <c r="D13" s="19" t="s">
        <v>79</v>
      </c>
      <c r="E13" s="19" t="s">
        <v>118</v>
      </c>
      <c r="F13" s="19" t="n">
        <v>125.84</v>
      </c>
      <c r="G13" s="19" t="n">
        <v>125.84</v>
      </c>
      <c r="H13" s="19" t="s">
        <v>117</v>
      </c>
      <c r="I13" s="19"/>
      <c r="J13" s="19" t="n">
        <v>0</v>
      </c>
      <c r="K13" s="19" t="n">
        <v>0</v>
      </c>
      <c r="L13" s="19" t="s">
        <v>111</v>
      </c>
    </row>
    <row r="14" customFormat="false" ht="15" hidden="false" customHeight="false" outlineLevel="0" collapsed="false">
      <c r="A14" s="19" t="n">
        <v>102</v>
      </c>
      <c r="B14" s="19"/>
      <c r="C14" s="19" t="s">
        <v>81</v>
      </c>
      <c r="D14" s="19" t="s">
        <v>82</v>
      </c>
      <c r="E14" s="19" t="s">
        <v>109</v>
      </c>
      <c r="F14" s="19" t="n">
        <v>32</v>
      </c>
      <c r="G14" s="19" t="n">
        <v>32</v>
      </c>
      <c r="H14" s="19" t="s">
        <v>110</v>
      </c>
      <c r="I14" s="19"/>
      <c r="J14" s="19" t="n">
        <v>0</v>
      </c>
      <c r="K14" s="19" t="n">
        <v>0</v>
      </c>
      <c r="L14" s="19" t="s">
        <v>111</v>
      </c>
    </row>
    <row r="15" customFormat="false" ht="15" hidden="false" customHeight="false" outlineLevel="0" collapsed="false">
      <c r="A15" s="19" t="n">
        <v>102</v>
      </c>
      <c r="B15" s="19"/>
      <c r="C15" s="19" t="s">
        <v>81</v>
      </c>
      <c r="D15" s="19" t="s">
        <v>82</v>
      </c>
      <c r="E15" s="19" t="s">
        <v>109</v>
      </c>
      <c r="F15" s="19" t="n">
        <v>32</v>
      </c>
      <c r="G15" s="19" t="n">
        <v>32</v>
      </c>
      <c r="H15" s="19" t="s">
        <v>113</v>
      </c>
      <c r="I15" s="19"/>
      <c r="J15" s="19" t="n">
        <v>0</v>
      </c>
      <c r="K15" s="19" t="n">
        <v>0</v>
      </c>
      <c r="L15" s="19" t="s">
        <v>111</v>
      </c>
    </row>
    <row r="16" customFormat="false" ht="15" hidden="false" customHeight="false" outlineLevel="0" collapsed="false">
      <c r="A16" s="19" t="n">
        <v>102</v>
      </c>
      <c r="B16" s="19"/>
      <c r="C16" s="19" t="s">
        <v>81</v>
      </c>
      <c r="D16" s="19" t="s">
        <v>82</v>
      </c>
      <c r="E16" s="19" t="s">
        <v>109</v>
      </c>
      <c r="F16" s="19" t="n">
        <v>32</v>
      </c>
      <c r="G16" s="19" t="n">
        <v>32</v>
      </c>
      <c r="H16" s="19" t="s">
        <v>114</v>
      </c>
      <c r="I16" s="19"/>
      <c r="J16" s="19" t="n">
        <v>0</v>
      </c>
      <c r="K16" s="19" t="n">
        <v>0</v>
      </c>
      <c r="L16" s="19" t="s">
        <v>111</v>
      </c>
    </row>
    <row r="17" customFormat="false" ht="15" hidden="false" customHeight="false" outlineLevel="0" collapsed="false">
      <c r="A17" s="19" t="n">
        <v>102</v>
      </c>
      <c r="B17" s="19"/>
      <c r="C17" s="19" t="s">
        <v>81</v>
      </c>
      <c r="D17" s="19" t="s">
        <v>82</v>
      </c>
      <c r="E17" s="19" t="s">
        <v>109</v>
      </c>
      <c r="F17" s="19" t="n">
        <v>32</v>
      </c>
      <c r="G17" s="19" t="n">
        <v>32</v>
      </c>
      <c r="H17" s="19" t="s">
        <v>115</v>
      </c>
      <c r="I17" s="19"/>
      <c r="J17" s="19" t="n">
        <v>0</v>
      </c>
      <c r="K17" s="19" t="n">
        <v>0</v>
      </c>
      <c r="L17" s="19" t="s">
        <v>111</v>
      </c>
    </row>
    <row r="18" customFormat="false" ht="15" hidden="false" customHeight="false" outlineLevel="0" collapsed="false">
      <c r="A18" s="19" t="n">
        <v>102</v>
      </c>
      <c r="B18" s="19"/>
      <c r="C18" s="19" t="s">
        <v>81</v>
      </c>
      <c r="D18" s="19" t="s">
        <v>82</v>
      </c>
      <c r="E18" s="19" t="s">
        <v>109</v>
      </c>
      <c r="F18" s="19" t="n">
        <v>32</v>
      </c>
      <c r="G18" s="19" t="n">
        <v>32</v>
      </c>
      <c r="H18" s="19" t="s">
        <v>116</v>
      </c>
      <c r="I18" s="19"/>
      <c r="J18" s="19" t="n">
        <v>0</v>
      </c>
      <c r="K18" s="19" t="n">
        <v>0</v>
      </c>
      <c r="L18" s="19" t="s">
        <v>111</v>
      </c>
    </row>
    <row r="19" customFormat="false" ht="15" hidden="false" customHeight="false" outlineLevel="0" collapsed="false">
      <c r="A19" s="19" t="n">
        <v>102</v>
      </c>
      <c r="B19" s="19"/>
      <c r="C19" s="19" t="s">
        <v>81</v>
      </c>
      <c r="D19" s="19" t="s">
        <v>82</v>
      </c>
      <c r="E19" s="19" t="s">
        <v>109</v>
      </c>
      <c r="F19" s="19" t="n">
        <v>32</v>
      </c>
      <c r="G19" s="19" t="n">
        <v>32</v>
      </c>
      <c r="H19" s="19" t="s">
        <v>117</v>
      </c>
      <c r="I19" s="19"/>
      <c r="J19" s="19" t="n">
        <v>0</v>
      </c>
      <c r="K19" s="19" t="n">
        <v>0</v>
      </c>
      <c r="L19" s="19" t="s">
        <v>111</v>
      </c>
    </row>
    <row r="20" customFormat="false" ht="15" hidden="false" customHeight="false" outlineLevel="0" collapsed="false">
      <c r="A20" s="19" t="n">
        <v>104</v>
      </c>
      <c r="B20" s="19"/>
      <c r="C20" s="19" t="s">
        <v>87</v>
      </c>
      <c r="D20" s="19" t="s">
        <v>88</v>
      </c>
      <c r="E20" s="19" t="s">
        <v>109</v>
      </c>
      <c r="F20" s="19" t="n">
        <v>8</v>
      </c>
      <c r="G20" s="19" t="n">
        <v>8</v>
      </c>
      <c r="H20" s="19" t="s">
        <v>110</v>
      </c>
      <c r="I20" s="19"/>
      <c r="J20" s="19" t="n">
        <v>0</v>
      </c>
      <c r="K20" s="19" t="n">
        <v>0</v>
      </c>
      <c r="L20" s="19" t="s">
        <v>111</v>
      </c>
    </row>
    <row r="21" customFormat="false" ht="15" hidden="false" customHeight="false" outlineLevel="0" collapsed="false">
      <c r="A21" s="19" t="n">
        <v>104</v>
      </c>
      <c r="B21" s="19"/>
      <c r="C21" s="19" t="s">
        <v>87</v>
      </c>
      <c r="D21" s="19" t="s">
        <v>88</v>
      </c>
      <c r="E21" s="19" t="s">
        <v>109</v>
      </c>
      <c r="F21" s="19" t="n">
        <v>8</v>
      </c>
      <c r="G21" s="19" t="n">
        <v>8</v>
      </c>
      <c r="H21" s="19" t="s">
        <v>113</v>
      </c>
      <c r="I21" s="19"/>
      <c r="J21" s="19" t="n">
        <v>0</v>
      </c>
      <c r="K21" s="19" t="n">
        <v>0</v>
      </c>
      <c r="L21" s="19" t="s">
        <v>111</v>
      </c>
    </row>
    <row r="22" customFormat="false" ht="15" hidden="false" customHeight="false" outlineLevel="0" collapsed="false">
      <c r="A22" s="19" t="n">
        <v>104</v>
      </c>
      <c r="B22" s="19"/>
      <c r="C22" s="19" t="s">
        <v>87</v>
      </c>
      <c r="D22" s="19" t="s">
        <v>88</v>
      </c>
      <c r="E22" s="19" t="s">
        <v>109</v>
      </c>
      <c r="F22" s="19" t="n">
        <v>8</v>
      </c>
      <c r="G22" s="19" t="n">
        <v>0</v>
      </c>
      <c r="H22" s="19" t="s">
        <v>114</v>
      </c>
      <c r="I22" s="19"/>
      <c r="J22" s="19" t="n">
        <v>0</v>
      </c>
      <c r="K22" s="19" t="n">
        <v>8</v>
      </c>
      <c r="L22" s="19" t="s">
        <v>111</v>
      </c>
    </row>
    <row r="23" customFormat="false" ht="15" hidden="false" customHeight="false" outlineLevel="0" collapsed="false">
      <c r="A23" s="19" t="n">
        <v>104</v>
      </c>
      <c r="B23" s="19"/>
      <c r="C23" s="19" t="s">
        <v>87</v>
      </c>
      <c r="D23" s="19" t="s">
        <v>88</v>
      </c>
      <c r="E23" s="19" t="s">
        <v>109</v>
      </c>
      <c r="F23" s="19" t="n">
        <v>0</v>
      </c>
      <c r="G23" s="19" t="n">
        <v>0</v>
      </c>
      <c r="H23" s="19" t="s">
        <v>115</v>
      </c>
      <c r="I23" s="19"/>
      <c r="J23" s="19" t="n">
        <v>0</v>
      </c>
      <c r="K23" s="19" t="n">
        <v>0</v>
      </c>
      <c r="L23" s="19" t="s">
        <v>111</v>
      </c>
    </row>
    <row r="24" customFormat="false" ht="15" hidden="false" customHeight="false" outlineLevel="0" collapsed="false">
      <c r="A24" s="19" t="n">
        <v>104</v>
      </c>
      <c r="B24" s="19"/>
      <c r="C24" s="19" t="s">
        <v>87</v>
      </c>
      <c r="D24" s="19" t="s">
        <v>88</v>
      </c>
      <c r="E24" s="19" t="s">
        <v>109</v>
      </c>
      <c r="F24" s="19" t="n">
        <v>0</v>
      </c>
      <c r="G24" s="19" t="n">
        <v>0</v>
      </c>
      <c r="H24" s="19" t="s">
        <v>116</v>
      </c>
      <c r="I24" s="19"/>
      <c r="J24" s="19" t="n">
        <v>0</v>
      </c>
      <c r="K24" s="19" t="n">
        <v>0</v>
      </c>
      <c r="L24" s="19" t="s">
        <v>111</v>
      </c>
    </row>
    <row r="25" customFormat="false" ht="15" hidden="false" customHeight="false" outlineLevel="0" collapsed="false">
      <c r="A25" s="19" t="n">
        <v>104</v>
      </c>
      <c r="B25" s="19"/>
      <c r="C25" s="19" t="s">
        <v>87</v>
      </c>
      <c r="D25" s="19" t="s">
        <v>88</v>
      </c>
      <c r="E25" s="19" t="s">
        <v>109</v>
      </c>
      <c r="F25" s="19" t="n">
        <v>0</v>
      </c>
      <c r="G25" s="19" t="n">
        <v>0</v>
      </c>
      <c r="H25" s="19" t="s">
        <v>117</v>
      </c>
      <c r="I25" s="19"/>
      <c r="J25" s="19" t="n">
        <v>0</v>
      </c>
      <c r="K25" s="19" t="n">
        <v>0</v>
      </c>
      <c r="L25" s="19" t="s">
        <v>111</v>
      </c>
    </row>
    <row r="26" customFormat="false" ht="15" hidden="false" customHeight="false" outlineLevel="0" collapsed="false">
      <c r="A26" s="19" t="n">
        <v>105</v>
      </c>
      <c r="B26" s="19"/>
      <c r="C26" s="19" t="s">
        <v>89</v>
      </c>
      <c r="D26" s="19" t="s">
        <v>90</v>
      </c>
      <c r="E26" s="19" t="s">
        <v>109</v>
      </c>
      <c r="F26" s="19" t="n">
        <v>72</v>
      </c>
      <c r="G26" s="19" t="n">
        <v>72</v>
      </c>
      <c r="H26" s="19" t="s">
        <v>110</v>
      </c>
      <c r="I26" s="19"/>
      <c r="J26" s="19" t="n">
        <v>0</v>
      </c>
      <c r="K26" s="19" t="n">
        <v>0</v>
      </c>
      <c r="L26" s="19" t="s">
        <v>111</v>
      </c>
    </row>
    <row r="27" customFormat="false" ht="15" hidden="false" customHeight="false" outlineLevel="0" collapsed="false">
      <c r="A27" s="19" t="n">
        <v>105</v>
      </c>
      <c r="B27" s="19"/>
      <c r="C27" s="19" t="s">
        <v>89</v>
      </c>
      <c r="D27" s="19" t="s">
        <v>90</v>
      </c>
      <c r="E27" s="19" t="s">
        <v>109</v>
      </c>
      <c r="F27" s="19" t="n">
        <v>72</v>
      </c>
      <c r="G27" s="19" t="n">
        <v>72</v>
      </c>
      <c r="H27" s="19" t="s">
        <v>113</v>
      </c>
      <c r="I27" s="19"/>
      <c r="J27" s="19" t="n">
        <v>0</v>
      </c>
      <c r="K27" s="19" t="n">
        <v>0</v>
      </c>
      <c r="L27" s="19" t="s">
        <v>111</v>
      </c>
    </row>
    <row r="28" customFormat="false" ht="15" hidden="false" customHeight="false" outlineLevel="0" collapsed="false">
      <c r="A28" s="19" t="n">
        <v>105</v>
      </c>
      <c r="B28" s="19"/>
      <c r="C28" s="19" t="s">
        <v>89</v>
      </c>
      <c r="D28" s="19" t="s">
        <v>90</v>
      </c>
      <c r="E28" s="19" t="s">
        <v>109</v>
      </c>
      <c r="F28" s="19" t="n">
        <v>72</v>
      </c>
      <c r="G28" s="19" t="n">
        <v>72</v>
      </c>
      <c r="H28" s="19" t="s">
        <v>114</v>
      </c>
      <c r="I28" s="19"/>
      <c r="J28" s="19" t="n">
        <v>0</v>
      </c>
      <c r="K28" s="19" t="n">
        <v>0</v>
      </c>
      <c r="L28" s="19" t="s">
        <v>111</v>
      </c>
    </row>
    <row r="29" customFormat="false" ht="15" hidden="false" customHeight="false" outlineLevel="0" collapsed="false">
      <c r="A29" s="19" t="n">
        <v>105</v>
      </c>
      <c r="B29" s="19"/>
      <c r="C29" s="19" t="s">
        <v>89</v>
      </c>
      <c r="D29" s="19" t="s">
        <v>90</v>
      </c>
      <c r="E29" s="19" t="s">
        <v>109</v>
      </c>
      <c r="F29" s="19" t="n">
        <v>72</v>
      </c>
      <c r="G29" s="19" t="n">
        <v>72</v>
      </c>
      <c r="H29" s="19" t="s">
        <v>115</v>
      </c>
      <c r="I29" s="19"/>
      <c r="J29" s="19" t="n">
        <v>0</v>
      </c>
      <c r="K29" s="19" t="n">
        <v>0</v>
      </c>
      <c r="L29" s="19" t="s">
        <v>111</v>
      </c>
    </row>
    <row r="30" customFormat="false" ht="15" hidden="false" customHeight="false" outlineLevel="0" collapsed="false">
      <c r="A30" s="19" t="n">
        <v>105</v>
      </c>
      <c r="B30" s="19"/>
      <c r="C30" s="19" t="s">
        <v>89</v>
      </c>
      <c r="D30" s="19" t="s">
        <v>90</v>
      </c>
      <c r="E30" s="19" t="s">
        <v>109</v>
      </c>
      <c r="F30" s="19" t="n">
        <v>72</v>
      </c>
      <c r="G30" s="19" t="n">
        <v>80</v>
      </c>
      <c r="H30" s="19" t="s">
        <v>116</v>
      </c>
      <c r="I30" s="19"/>
      <c r="J30" s="19" t="n">
        <v>8</v>
      </c>
      <c r="K30" s="19" t="n">
        <v>0</v>
      </c>
      <c r="L30" s="19" t="s">
        <v>111</v>
      </c>
    </row>
    <row r="31" customFormat="false" ht="15" hidden="false" customHeight="false" outlineLevel="0" collapsed="false">
      <c r="A31" s="19" t="n">
        <v>105</v>
      </c>
      <c r="B31" s="19"/>
      <c r="C31" s="19" t="s">
        <v>89</v>
      </c>
      <c r="D31" s="19" t="s">
        <v>90</v>
      </c>
      <c r="E31" s="19" t="s">
        <v>109</v>
      </c>
      <c r="F31" s="19" t="n">
        <v>80</v>
      </c>
      <c r="G31" s="19" t="n">
        <v>80</v>
      </c>
      <c r="H31" s="19" t="s">
        <v>117</v>
      </c>
      <c r="I31" s="19"/>
      <c r="J31" s="19" t="n">
        <v>0</v>
      </c>
      <c r="K31" s="19" t="n">
        <v>0</v>
      </c>
      <c r="L31" s="19" t="s">
        <v>111</v>
      </c>
    </row>
    <row r="32" customFormat="false" ht="15" hidden="false" customHeight="false" outlineLevel="0" collapsed="false">
      <c r="A32" s="19" t="n">
        <v>108</v>
      </c>
      <c r="B32" s="19"/>
      <c r="C32" s="19" t="s">
        <v>95</v>
      </c>
      <c r="D32" s="19" t="s">
        <v>96</v>
      </c>
      <c r="E32" s="19" t="s">
        <v>109</v>
      </c>
      <c r="F32" s="19" t="n">
        <v>16</v>
      </c>
      <c r="G32" s="19" t="n">
        <v>16</v>
      </c>
      <c r="H32" s="19" t="s">
        <v>110</v>
      </c>
      <c r="I32" s="19"/>
      <c r="J32" s="19" t="n">
        <v>0</v>
      </c>
      <c r="K32" s="19" t="n">
        <v>0</v>
      </c>
      <c r="L32" s="19" t="s">
        <v>111</v>
      </c>
    </row>
    <row r="33" customFormat="false" ht="15" hidden="false" customHeight="false" outlineLevel="0" collapsed="false">
      <c r="A33" s="19" t="n">
        <v>108</v>
      </c>
      <c r="B33" s="19"/>
      <c r="C33" s="19" t="s">
        <v>95</v>
      </c>
      <c r="D33" s="19" t="s">
        <v>96</v>
      </c>
      <c r="E33" s="19" t="s">
        <v>109</v>
      </c>
      <c r="F33" s="19" t="n">
        <v>16</v>
      </c>
      <c r="G33" s="19" t="n">
        <v>16</v>
      </c>
      <c r="H33" s="19" t="s">
        <v>113</v>
      </c>
      <c r="I33" s="19"/>
      <c r="J33" s="19" t="n">
        <v>0</v>
      </c>
      <c r="K33" s="19" t="n">
        <v>0</v>
      </c>
      <c r="L33" s="19" t="s">
        <v>111</v>
      </c>
    </row>
    <row r="34" customFormat="false" ht="15" hidden="false" customHeight="false" outlineLevel="0" collapsed="false">
      <c r="A34" s="19" t="n">
        <v>108</v>
      </c>
      <c r="B34" s="19"/>
      <c r="C34" s="19" t="s">
        <v>95</v>
      </c>
      <c r="D34" s="19" t="s">
        <v>96</v>
      </c>
      <c r="E34" s="19" t="s">
        <v>109</v>
      </c>
      <c r="F34" s="19" t="n">
        <v>16</v>
      </c>
      <c r="G34" s="19" t="n">
        <v>16</v>
      </c>
      <c r="H34" s="19" t="s">
        <v>114</v>
      </c>
      <c r="I34" s="19"/>
      <c r="J34" s="19" t="n">
        <v>0</v>
      </c>
      <c r="K34" s="19" t="n">
        <v>0</v>
      </c>
      <c r="L34" s="19" t="s">
        <v>111</v>
      </c>
    </row>
    <row r="35" customFormat="false" ht="15" hidden="false" customHeight="false" outlineLevel="0" collapsed="false">
      <c r="A35" s="19" t="n">
        <v>108</v>
      </c>
      <c r="B35" s="19"/>
      <c r="C35" s="19" t="s">
        <v>95</v>
      </c>
      <c r="D35" s="19" t="s">
        <v>96</v>
      </c>
      <c r="E35" s="19" t="s">
        <v>109</v>
      </c>
      <c r="F35" s="19" t="n">
        <v>16</v>
      </c>
      <c r="G35" s="19" t="n">
        <v>16</v>
      </c>
      <c r="H35" s="19" t="s">
        <v>115</v>
      </c>
      <c r="I35" s="19"/>
      <c r="J35" s="19" t="n">
        <v>0</v>
      </c>
      <c r="K35" s="19" t="n">
        <v>0</v>
      </c>
      <c r="L35" s="19" t="s">
        <v>111</v>
      </c>
    </row>
    <row r="36" customFormat="false" ht="15" hidden="false" customHeight="false" outlineLevel="0" collapsed="false">
      <c r="A36" s="19" t="n">
        <v>108</v>
      </c>
      <c r="B36" s="19"/>
      <c r="C36" s="19" t="s">
        <v>95</v>
      </c>
      <c r="D36" s="19" t="s">
        <v>96</v>
      </c>
      <c r="E36" s="19" t="s">
        <v>109</v>
      </c>
      <c r="F36" s="19" t="n">
        <v>16</v>
      </c>
      <c r="G36" s="19" t="n">
        <v>16</v>
      </c>
      <c r="H36" s="19" t="s">
        <v>116</v>
      </c>
      <c r="I36" s="19"/>
      <c r="J36" s="19" t="n">
        <v>0</v>
      </c>
      <c r="K36" s="19" t="n">
        <v>0</v>
      </c>
      <c r="L36" s="19" t="s">
        <v>111</v>
      </c>
    </row>
    <row r="37" customFormat="false" ht="15" hidden="false" customHeight="false" outlineLevel="0" collapsed="false">
      <c r="A37" s="19" t="n">
        <v>108</v>
      </c>
      <c r="B37" s="19"/>
      <c r="C37" s="19" t="s">
        <v>95</v>
      </c>
      <c r="D37" s="19" t="s">
        <v>96</v>
      </c>
      <c r="E37" s="19" t="s">
        <v>109</v>
      </c>
      <c r="F37" s="19" t="n">
        <v>16</v>
      </c>
      <c r="G37" s="19" t="n">
        <v>16</v>
      </c>
      <c r="H37" s="19" t="s">
        <v>117</v>
      </c>
      <c r="I37" s="19"/>
      <c r="J37" s="19" t="n">
        <v>0</v>
      </c>
      <c r="K37" s="19" t="n">
        <v>0</v>
      </c>
      <c r="L37" s="19" t="s">
        <v>111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119</v>
      </c>
    </row>
    <row r="4" customFormat="false" ht="15" hidden="false" customHeight="false" outlineLevel="0" collapsed="false">
      <c r="B4" s="5" t="s">
        <v>120</v>
      </c>
      <c r="C4" s="5" t="s">
        <v>121</v>
      </c>
    </row>
    <row r="5" customFormat="false" ht="15" hidden="false" customHeight="false" outlineLevel="0" collapsed="false">
      <c r="B5" s="19" t="s">
        <v>122</v>
      </c>
      <c r="C5" s="16" t="n">
        <f aca="true">TODAY()</f>
        <v>46296</v>
      </c>
      <c r="F5" s="20" t="s">
        <v>123</v>
      </c>
    </row>
    <row r="6" customFormat="false" ht="15" hidden="false" customHeight="false" outlineLevel="0" collapsed="false">
      <c r="B6" s="19" t="s">
        <v>124</v>
      </c>
      <c r="C6" s="16" t="n">
        <v>46203</v>
      </c>
      <c r="F6" s="20" t="s">
        <v>125</v>
      </c>
    </row>
    <row r="7" customFormat="false" ht="15" hidden="false" customHeight="false" outlineLevel="0" collapsed="false">
      <c r="B7" s="19" t="s">
        <v>126</v>
      </c>
      <c r="C7" s="15" t="n">
        <v>8</v>
      </c>
      <c r="F7" s="20" t="s">
        <v>127</v>
      </c>
    </row>
    <row r="8" customFormat="false" ht="15" hidden="false" customHeight="false" outlineLevel="0" collapsed="false">
      <c r="B8" s="19" t="s">
        <v>128</v>
      </c>
      <c r="C8" s="15" t="s">
        <v>109</v>
      </c>
      <c r="F8" s="20" t="s">
        <v>129</v>
      </c>
    </row>
    <row r="9" customFormat="false" ht="15" hidden="false" customHeight="false" outlineLevel="0" collapsed="false">
      <c r="B9" s="19" t="s">
        <v>130</v>
      </c>
      <c r="C9" s="15" t="s">
        <v>111</v>
      </c>
      <c r="F9" s="20" t="s">
        <v>131</v>
      </c>
      <c r="G9" s="20" t="n">
        <f aca="false">IF(LHUnit="Days",HoursPerDay,1)</f>
        <v>1</v>
      </c>
    </row>
    <row r="11" customFormat="false" ht="15" hidden="false" customHeight="false" outlineLevel="0" collapsed="false">
      <c r="B11" s="5" t="s">
        <v>132</v>
      </c>
      <c r="C11" s="5" t="s">
        <v>133</v>
      </c>
      <c r="D11" s="5" t="s">
        <v>134</v>
      </c>
    </row>
    <row r="12" customFormat="false" ht="15" hidden="false" customHeight="false" outlineLevel="0" collapsed="false">
      <c r="B12" s="19" t="s">
        <v>135</v>
      </c>
      <c r="C12" s="15" t="s">
        <v>99</v>
      </c>
      <c r="D12" s="21" t="str">
        <f aca="false">IF(ISNUMBER(MATCH($C12,LH_Hdr,0)),"Yes","NO")</f>
        <v>Yes</v>
      </c>
      <c r="F12" s="20" t="s">
        <v>136</v>
      </c>
      <c r="G12" s="20" t="n">
        <f aca="false">IFERROR(MATCH($C12,LH_Hdr,0),0)</f>
        <v>3</v>
      </c>
    </row>
    <row r="13" customFormat="false" ht="15" hidden="false" customHeight="false" outlineLevel="0" collapsed="false">
      <c r="B13" s="19" t="s">
        <v>25</v>
      </c>
      <c r="C13" s="15" t="s">
        <v>25</v>
      </c>
      <c r="D13" s="21" t="str">
        <f aca="false">IF(ISNUMBER(MATCH($C13,LH_Hdr,0)),"Yes","NO")</f>
        <v>Yes</v>
      </c>
      <c r="G13" s="20" t="n">
        <f aca="false">IFERROR(MATCH($C13,LH_Hdr,0),0)</f>
        <v>4</v>
      </c>
    </row>
    <row r="14" customFormat="false" ht="15" hidden="false" customHeight="false" outlineLevel="0" collapsed="false">
      <c r="B14" s="19" t="s">
        <v>137</v>
      </c>
      <c r="C14" s="15" t="s">
        <v>100</v>
      </c>
      <c r="D14" s="21" t="str">
        <f aca="false">IF(ISNUMBER(MATCH($C14,LH_Hdr,0)),"Yes","NO")</f>
        <v>Yes</v>
      </c>
      <c r="G14" s="20" t="n">
        <f aca="false">IFERROR(MATCH($C14,LH_Hdr,0),0)</f>
        <v>5</v>
      </c>
    </row>
    <row r="15" customFormat="false" ht="15" hidden="false" customHeight="false" outlineLevel="0" collapsed="false">
      <c r="B15" s="19" t="s">
        <v>138</v>
      </c>
      <c r="C15" s="15" t="s">
        <v>105</v>
      </c>
      <c r="D15" s="21" t="str">
        <f aca="false">IF(ISNUMBER(MATCH($C15,LH_Hdr,0)),"Yes","NO")</f>
        <v>Yes</v>
      </c>
      <c r="G15" s="20" t="n">
        <f aca="false">IFERROR(MATCH($C15,LH_Hdr,0),0)</f>
        <v>10</v>
      </c>
    </row>
    <row r="16" customFormat="false" ht="15" hidden="false" customHeight="false" outlineLevel="0" collapsed="false">
      <c r="B16" s="19" t="s">
        <v>139</v>
      </c>
      <c r="C16" s="15" t="s">
        <v>106</v>
      </c>
      <c r="D16" s="21" t="str">
        <f aca="false">IF(ISNUMBER(MATCH($C16,LH_Hdr,0)),"Yes","NO")</f>
        <v>Yes</v>
      </c>
      <c r="G16" s="20" t="n">
        <f aca="false">IFERROR(MATCH($C16,LH_Hdr,0),0)</f>
        <v>11</v>
      </c>
    </row>
    <row r="17" customFormat="false" ht="15" hidden="false" customHeight="false" outlineLevel="0" collapsed="false">
      <c r="B17" s="19" t="s">
        <v>140</v>
      </c>
      <c r="C17" s="15" t="s">
        <v>102</v>
      </c>
      <c r="D17" s="21" t="str">
        <f aca="false">IF(ISNUMBER(MATCH($C17,LH_Hdr,0)),"Yes","NO")</f>
        <v>Yes</v>
      </c>
      <c r="G17" s="20" t="n">
        <f aca="false">IFERROR(MATCH($C17,LH_Hdr,0),0)</f>
        <v>7</v>
      </c>
    </row>
    <row r="18" customFormat="false" ht="15" hidden="false" customHeight="false" outlineLevel="0" collapsed="false">
      <c r="B18" s="2" t="s">
        <v>141</v>
      </c>
      <c r="D18" s="21" t="str">
        <f aca="false">IF(LH_Ready,"YES","NO")</f>
        <v>YES</v>
      </c>
      <c r="G18" s="22" t="b">
        <f aca="false">AND(LH_ColFirst&gt;0,LH_ColSur&gt;0,LH_ColCat&gt;0,LH_ColAcc&gt;0,LH_ColTaken&gt;0,LH_ColClose&gt;0)</f>
        <v>1</v>
      </c>
    </row>
    <row r="20" customFormat="false" ht="15" hidden="false" customHeight="false" outlineLevel="0" collapsed="false">
      <c r="B20" s="5" t="s">
        <v>142</v>
      </c>
      <c r="C20" s="5" t="s">
        <v>121</v>
      </c>
    </row>
    <row r="21" customFormat="false" ht="15" hidden="false" customHeight="false" outlineLevel="0" collapsed="false">
      <c r="B21" s="19" t="s">
        <v>143</v>
      </c>
      <c r="C21" s="15" t="n">
        <v>36</v>
      </c>
      <c r="F21" s="20" t="s">
        <v>144</v>
      </c>
    </row>
    <row r="22" customFormat="false" ht="15" hidden="false" customHeight="false" outlineLevel="0" collapsed="false">
      <c r="B22" s="19" t="s">
        <v>145</v>
      </c>
      <c r="C22" s="15" t="n">
        <v>4</v>
      </c>
      <c r="F22" s="20" t="s">
        <v>146</v>
      </c>
    </row>
    <row r="23" customFormat="false" ht="15" hidden="false" customHeight="false" outlineLevel="0" collapsed="false">
      <c r="B23" s="19" t="s">
        <v>147</v>
      </c>
      <c r="C23" s="15" t="n">
        <v>60</v>
      </c>
      <c r="F23" s="20" t="s">
        <v>148</v>
      </c>
    </row>
    <row r="24" customFormat="false" ht="15" hidden="false" customHeight="false" outlineLevel="0" collapsed="false">
      <c r="B24" s="19" t="s">
        <v>149</v>
      </c>
      <c r="C24" s="15" t="n">
        <v>2</v>
      </c>
      <c r="F24" s="20" t="s">
        <v>148</v>
      </c>
    </row>
    <row r="25" customFormat="false" ht="15" hidden="false" customHeight="false" outlineLevel="0" collapsed="false">
      <c r="B25" s="19" t="s">
        <v>150</v>
      </c>
      <c r="C25" s="15" t="n">
        <v>3</v>
      </c>
      <c r="F25" s="20" t="s">
        <v>151</v>
      </c>
    </row>
    <row r="26" customFormat="false" ht="15" hidden="false" customHeight="false" outlineLevel="0" collapsed="false">
      <c r="B26" s="19" t="s">
        <v>152</v>
      </c>
      <c r="C26" s="15" t="n">
        <v>60</v>
      </c>
      <c r="F26" s="20" t="s">
        <v>153</v>
      </c>
    </row>
    <row r="27" customFormat="false" ht="15" hidden="false" customHeight="false" outlineLevel="0" collapsed="false">
      <c r="B27" s="19" t="s">
        <v>154</v>
      </c>
      <c r="C27" s="15" t="n">
        <v>4</v>
      </c>
      <c r="F27" s="20" t="s">
        <v>155</v>
      </c>
    </row>
    <row r="28" customFormat="false" ht="15" hidden="false" customHeight="false" outlineLevel="0" collapsed="false">
      <c r="B28" s="19" t="s">
        <v>156</v>
      </c>
      <c r="C28" s="15" t="n">
        <v>24</v>
      </c>
      <c r="F28" s="20" t="s">
        <v>157</v>
      </c>
    </row>
    <row r="29" customFormat="false" ht="15" hidden="false" customHeight="false" outlineLevel="0" collapsed="false">
      <c r="B29" s="19" t="s">
        <v>158</v>
      </c>
      <c r="C29" s="12" t="n">
        <f aca="false">1+INT((FT_Y5-1-FT_First)/FT_Int1)</f>
        <v>6</v>
      </c>
    </row>
    <row r="30" customFormat="false" ht="15" hidden="false" customHeight="false" outlineLevel="0" collapsed="false">
      <c r="B30" s="19" t="s">
        <v>159</v>
      </c>
      <c r="C30" s="12" t="n">
        <f aca="false">FT_AnnivDays+INT(11/FT_Int2)</f>
        <v>5</v>
      </c>
    </row>
    <row r="33" customFormat="false" ht="15" hidden="false" customHeight="true" outlineLevel="0" collapsed="false">
      <c r="B33" s="23" t="s">
        <v>160</v>
      </c>
      <c r="C33" s="23"/>
      <c r="D33" s="23"/>
      <c r="E33" s="23"/>
      <c r="F33" s="23"/>
    </row>
    <row r="34" customFormat="false" ht="15" hidden="false" customHeight="true" outlineLevel="0" collapsed="false">
      <c r="B34" s="24" t="s">
        <v>161</v>
      </c>
      <c r="C34" s="24"/>
      <c r="D34" s="24"/>
      <c r="E34" s="24"/>
      <c r="F34" s="24"/>
    </row>
    <row r="35" customFormat="false" ht="43.5" hidden="false" customHeight="true" outlineLevel="0" collapsed="false">
      <c r="B35" s="24" t="s">
        <v>162</v>
      </c>
      <c r="C35" s="24"/>
      <c r="D35" s="24"/>
      <c r="E35" s="24"/>
      <c r="F35" s="24"/>
    </row>
    <row r="36" customFormat="false" ht="30" hidden="false" customHeight="true" outlineLevel="0" collapsed="false">
      <c r="B36" s="24" t="s">
        <v>163</v>
      </c>
      <c r="C36" s="24"/>
      <c r="D36" s="24"/>
      <c r="E36" s="24"/>
      <c r="F36" s="24"/>
    </row>
    <row r="37" customFormat="false" ht="30" hidden="false" customHeight="true" outlineLevel="0" collapsed="false">
      <c r="B37" s="24" t="s">
        <v>164</v>
      </c>
      <c r="C37" s="24"/>
      <c r="D37" s="24"/>
      <c r="E37" s="24"/>
      <c r="F37" s="24"/>
    </row>
    <row r="38" customFormat="false" ht="30" hidden="false" customHeight="true" outlineLevel="0" collapsed="false">
      <c r="B38" s="24" t="s">
        <v>165</v>
      </c>
      <c r="C38" s="24"/>
      <c r="D38" s="24"/>
      <c r="E38" s="24"/>
      <c r="F38" s="24"/>
    </row>
    <row r="39" customFormat="false" ht="43.5" hidden="false" customHeight="true" outlineLevel="0" collapsed="false">
      <c r="B39" s="24" t="s">
        <v>166</v>
      </c>
      <c r="C39" s="24"/>
      <c r="D39" s="24"/>
      <c r="E39" s="24"/>
      <c r="F39" s="24"/>
    </row>
    <row r="40" customFormat="false" ht="30" hidden="false" customHeight="true" outlineLevel="0" collapsed="false">
      <c r="B40" s="24" t="s">
        <v>167</v>
      </c>
      <c r="C40" s="24"/>
      <c r="D40" s="24"/>
      <c r="E40" s="24"/>
      <c r="F40" s="24"/>
    </row>
    <row r="41" customFormat="false" ht="30" hidden="false" customHeight="true" outlineLevel="0" collapsed="false">
      <c r="B41" s="24" t="s">
        <v>168</v>
      </c>
      <c r="C41" s="24"/>
      <c r="D41" s="24"/>
      <c r="E41" s="24"/>
      <c r="F41" s="24"/>
    </row>
    <row r="42" customFormat="false" ht="15" hidden="false" customHeight="false" outlineLevel="0" collapsed="false">
      <c r="B42" s="24"/>
      <c r="C42" s="24"/>
      <c r="D42" s="24"/>
      <c r="E42" s="24"/>
      <c r="F42" s="24"/>
    </row>
    <row r="43" customFormat="false" ht="15" hidden="false" customHeight="true" outlineLevel="0" collapsed="false">
      <c r="B43" s="23" t="s">
        <v>169</v>
      </c>
      <c r="C43" s="23"/>
      <c r="D43" s="23"/>
      <c r="E43" s="23"/>
      <c r="F43" s="23"/>
    </row>
    <row r="44" customFormat="false" ht="30" hidden="false" customHeight="true" outlineLevel="0" collapsed="false">
      <c r="B44" s="24" t="s">
        <v>170</v>
      </c>
      <c r="C44" s="24"/>
      <c r="D44" s="24"/>
      <c r="E44" s="24"/>
      <c r="F44" s="24"/>
    </row>
    <row r="45" customFormat="false" ht="15" hidden="false" customHeight="true" outlineLevel="0" collapsed="false">
      <c r="B45" s="24" t="s">
        <v>171</v>
      </c>
      <c r="C45" s="24"/>
      <c r="D45" s="24"/>
      <c r="E45" s="24"/>
      <c r="F45" s="24"/>
    </row>
    <row r="46" customFormat="false" ht="43.5" hidden="false" customHeight="true" outlineLevel="0" collapsed="false">
      <c r="B46" s="24" t="s">
        <v>172</v>
      </c>
      <c r="C46" s="24"/>
      <c r="D46" s="24"/>
      <c r="E46" s="24"/>
      <c r="F46" s="24"/>
    </row>
    <row r="47" customFormat="false" ht="15" hidden="false" customHeight="false" outlineLevel="0" collapsed="false">
      <c r="B47" s="24"/>
      <c r="C47" s="24"/>
      <c r="D47" s="24"/>
      <c r="E47" s="24"/>
      <c r="F47" s="24"/>
    </row>
    <row r="48" customFormat="false" ht="43.5" hidden="false" customHeight="true" outlineLevel="0" collapsed="false">
      <c r="B48" s="23" t="s">
        <v>173</v>
      </c>
      <c r="C48" s="23"/>
      <c r="D48" s="23"/>
      <c r="E48" s="23"/>
      <c r="F48" s="23"/>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2026-10-01T01:59:09Z</dcterms:created>
  <dc:creator>openpyxl</dc:creator>
  <dc:description/>
  <dc:language>en-US</dc:language>
  <cp:lastModifiedBy/>
  <dcterms:modified xsi:type="dcterms:W3CDTF">2026-10-01T01:59:09Z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