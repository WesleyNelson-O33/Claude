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ff" sheetId="1" state="visible" r:id="rId3"/>
    <sheet name="EH Export" sheetId="2" state="visible" r:id="rId4"/>
    <sheet name="Settings" sheetId="3" state="visible" r:id="rId5"/>
  </sheets>
  <definedNames>
    <definedName function="false" hidden="true" localSheetId="0" name="_xlnm._FilterDatabase" vbProcedure="false">Staff!$A$4:$U$154</definedName>
    <definedName function="false" hidden="false" name="AsOfDate" vbProcedure="false">Settings!$C$5</definedName>
    <definedName function="false" hidden="false" name="BonusCat" vbProcedure="false">Settings!$C$7</definedName>
    <definedName function="false" hidden="false" name="EHUnit" vbProcedure="false">Settings!$C$8</definedName>
    <definedName function="false" hidden="false" name="EH_ColBal" vbProcedure="false">Settings!$F$14</definedName>
    <definedName function="false" hidden="false" name="EH_ColCat" vbProcedure="false">Settings!$F$13</definedName>
    <definedName function="false" hidden="false" name="EH_ColFirst" vbProcedure="false">Settings!$F$11</definedName>
    <definedName function="false" hidden="false" name="EH_ColSur" vbProcedure="false">Settings!$F$12</definedName>
    <definedName function="false" hidden="false" name="EH_Data" vbProcedure="false">'EH Export'!$A$2:$AZ$3000</definedName>
    <definedName function="false" hidden="false" name="EH_Hdr" vbProcedure="false">'EH Export'!$A$1:$AZ$1</definedName>
    <definedName function="false" hidden="false" name="EH_HdrBal" vbProcedure="false">Settings!$C$14</definedName>
    <definedName function="false" hidden="false" name="EH_HdrCat" vbProcedure="false">Settings!$C$13</definedName>
    <definedName function="false" hidden="false" name="EH_HdrFirst" vbProcedure="false">Settings!$C$11</definedName>
    <definedName function="false" hidden="false" name="EH_HdrSur" vbProcedure="false">Settings!$C$12</definedName>
    <definedName function="false" hidden="false" name="EH_Ready" vbProcedure="false">Settings!$F$15</definedName>
    <definedName function="false" hidden="false" name="FT_AnnivDays" vbProcedure="false">Settings!$C$21</definedName>
    <definedName function="false" hidden="false" name="FT_First" vbProcedure="false">Settings!$C$18</definedName>
    <definedName function="false" hidden="false" name="FT_Int1" vbProcedure="false">Settings!$C$19</definedName>
    <definedName function="false" hidden="false" name="FT_Int2" vbProcedure="false">Settings!$C$22</definedName>
    <definedName function="false" hidden="false" name="FT_PerYear" vbProcedure="false">Settings!$C$27</definedName>
    <definedName function="false" hidden="false" name="FT_PreY5" vbProcedure="false">Settings!$C$26</definedName>
    <definedName function="false" hidden="false" name="FT_Y5" vbProcedure="false">Settings!$C$20</definedName>
    <definedName function="false" hidden="false" name="HoursPerDay" vbProcedure="false">Settings!$C$6</definedName>
    <definedName function="false" hidden="false" name="PT_First" vbProcedure="false">Settings!$C$23</definedName>
    <definedName function="false" hidden="false" name="PT_Int" vbProcedure="false">Settings!$C$24</definedName>
    <definedName function="false" hidden="false" name="PT_MinHours" vbProcedure="false">Settings!$C$25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<sst xmlns="http://schemas.openxmlformats.org/spreadsheetml/2006/main" count="166" uniqueCount="125">
  <si>
    <t xml:space="preserve">CTS BONUS LEAVE TRACKER</t>
  </si>
  <si>
    <t xml:space="preserve">Type in the yellow columns. Grey columns are formulas. Green rows are examples - delete them. Filter column U to see who needs action.</t>
  </si>
  <si>
    <t xml:space="preserve">First Name</t>
  </si>
  <si>
    <t xml:space="preserve">Surname</t>
  </si>
  <si>
    <t xml:space="preserve">Department</t>
  </si>
  <si>
    <t xml:space="preserve">Start Date</t>
  </si>
  <si>
    <t xml:space="preserve">Type</t>
  </si>
  <si>
    <t xml:space="preserve">Hrs / Week</t>
  </si>
  <si>
    <t xml:space="preserve">Status Change Date</t>
  </si>
  <si>
    <t xml:space="preserve">New Type</t>
  </si>
  <si>
    <t xml:space="preserve">New Hrs / Week</t>
  </si>
  <si>
    <t xml:space="preserve">Unpaid / Parental Leave Days</t>
  </si>
  <si>
    <t xml:space="preserve">Termination Date</t>
  </si>
  <si>
    <t xml:space="preserve">Status Change</t>
  </si>
  <si>
    <t xml:space="preserve">Eligible?</t>
  </si>
  <si>
    <t xml:space="preserve">Service</t>
  </si>
  <si>
    <t xml:space="preserve">Days Due (policy)</t>
  </si>
  <si>
    <t xml:space="preserve">Hours Due</t>
  </si>
  <si>
    <t xml:space="preserve">Next Accrual</t>
  </si>
  <si>
    <t xml:space="preserve">EH Balance (days)</t>
  </si>
  <si>
    <t xml:space="preserve">Days To Add</t>
  </si>
  <si>
    <t xml:space="preserve">Hours To Add</t>
  </si>
  <si>
    <t xml:space="preserve">Action</t>
  </si>
  <si>
    <t xml:space="preserve">h active</t>
  </si>
  <si>
    <t xml:space="preserve">h term</t>
  </si>
  <si>
    <t xml:space="preserve">h asof</t>
  </si>
  <si>
    <t xml:space="preserve">h M0</t>
  </si>
  <si>
    <t xml:space="preserve">h B1</t>
  </si>
  <si>
    <t xml:space="preserve">h P0</t>
  </si>
  <si>
    <t xml:space="preserve">h P1</t>
  </si>
  <si>
    <t xml:space="preserve">h PC</t>
  </si>
  <si>
    <t xml:space="preserve">h F(P0,B1)</t>
  </si>
  <si>
    <t xml:space="preserve">h F(P1,B1)</t>
  </si>
  <si>
    <t xml:space="preserve">h F(P1,M0)</t>
  </si>
  <si>
    <t xml:space="preserve">h nextoff</t>
  </si>
  <si>
    <t xml:space="preserve">h change</t>
  </si>
  <si>
    <t xml:space="preserve">Jane</t>
  </si>
  <si>
    <t xml:space="preserve">Citizen</t>
  </si>
  <si>
    <t xml:space="preserve">Operations</t>
  </si>
  <si>
    <t xml:space="preserve">Full-Time</t>
  </si>
  <si>
    <t xml:space="preserve">Tom</t>
  </si>
  <si>
    <t xml:space="preserve">Nguyen</t>
  </si>
  <si>
    <t xml:space="preserve">Sales</t>
  </si>
  <si>
    <t xml:space="preserve">Part-Time</t>
  </si>
  <si>
    <t xml:space="preserve">Sam</t>
  </si>
  <si>
    <t xml:space="preserve">Lee</t>
  </si>
  <si>
    <t xml:space="preserve">Warehouse</t>
  </si>
  <si>
    <t xml:space="preserve">Casual</t>
  </si>
  <si>
    <t xml:space="preserve">Priya</t>
  </si>
  <si>
    <t xml:space="preserve">Patel</t>
  </si>
  <si>
    <t xml:space="preserve">Admin</t>
  </si>
  <si>
    <t xml:space="preserve">Liam</t>
  </si>
  <si>
    <t xml:space="preserve">Brown</t>
  </si>
  <si>
    <t xml:space="preserve">Technical</t>
  </si>
  <si>
    <t xml:space="preserve">Olivia</t>
  </si>
  <si>
    <t xml:space="preserve">Smith</t>
  </si>
  <si>
    <t xml:space="preserve">Noah</t>
  </si>
  <si>
    <t xml:space="preserve">Wilson</t>
  </si>
  <si>
    <t xml:space="preserve">Ava</t>
  </si>
  <si>
    <t xml:space="preserve">Jones</t>
  </si>
  <si>
    <t xml:space="preserve">Employee ID</t>
  </si>
  <si>
    <t xml:space="preserve">Location</t>
  </si>
  <si>
    <t xml:space="preserve">Leave Category</t>
  </si>
  <si>
    <t xml:space="preserve">Accrued Amount</t>
  </si>
  <si>
    <t xml:space="preserve">Accrued Value</t>
  </si>
  <si>
    <t xml:space="preserve">SAMPLE - clear this sheet, then paste the EH Leave Liability Report at A1 (headers in row 1, paste as values).</t>
  </si>
  <si>
    <t xml:space="preserve">E001</t>
  </si>
  <si>
    <t xml:space="preserve">Head Office</t>
  </si>
  <si>
    <t xml:space="preserve">Annual Leave</t>
  </si>
  <si>
    <t xml:space="preserve">Bonus Leave</t>
  </si>
  <si>
    <t xml:space="preserve">E002</t>
  </si>
  <si>
    <t xml:space="preserve">E004</t>
  </si>
  <si>
    <t xml:space="preserve">E005</t>
  </si>
  <si>
    <t xml:space="preserve">E007</t>
  </si>
  <si>
    <t xml:space="preserve">SETTINGS</t>
  </si>
  <si>
    <t xml:space="preserve">General</t>
  </si>
  <si>
    <t xml:space="preserve">Value</t>
  </si>
  <si>
    <t xml:space="preserve">As-of date</t>
  </si>
  <si>
    <t xml:space="preserve">Type a fixed date for a month-end report.</t>
  </si>
  <si>
    <t xml:space="preserve">Hours per Bonus Leave day</t>
  </si>
  <si>
    <t xml:space="preserve">Policy p.3</t>
  </si>
  <si>
    <t xml:space="preserve">Bonus Leave category name in EH</t>
  </si>
  <si>
    <t xml:space="preserve">Must match the Leave Category text in the EH export exactly.</t>
  </si>
  <si>
    <t xml:space="preserve">EH balance shown in</t>
  </si>
  <si>
    <t xml:space="preserve">Hours</t>
  </si>
  <si>
    <t xml:space="preserve">Hours or Days</t>
  </si>
  <si>
    <t xml:space="preserve">EH export column headers (row 1 of the paste)</t>
  </si>
  <si>
    <t xml:space="preserve">Header text</t>
  </si>
  <si>
    <t xml:space="preserve">Found?</t>
  </si>
  <si>
    <t xml:space="preserve">First name column</t>
  </si>
  <si>
    <t xml:space="preserve">Change these so they match your export exactly. All four must say Yes.</t>
  </si>
  <si>
    <t xml:space="preserve">Surname column</t>
  </si>
  <si>
    <t xml:space="preserve">Leave category column</t>
  </si>
  <si>
    <t xml:space="preserve">Balance column</t>
  </si>
  <si>
    <t xml:space="preserve">EH export ready?</t>
  </si>
  <si>
    <t xml:space="preserve">Policy rules (CTS Bonus Leave Policy 2026 v1.0)</t>
  </si>
  <si>
    <t xml:space="preserve">Full-time: first day at (months)</t>
  </si>
  <si>
    <t xml:space="preserve">3 years - p.5</t>
  </si>
  <si>
    <t xml:space="preserve">Full-time: months between days, years 3-5</t>
  </si>
  <si>
    <t xml:space="preserve">1 day every 4 months - p.5</t>
  </si>
  <si>
    <t xml:space="preserve">Full-time: 5-year milestone (months)</t>
  </si>
  <si>
    <t xml:space="preserve">p.5</t>
  </si>
  <si>
    <t xml:space="preserve">Full-time: days on 5-yr and later anniversaries</t>
  </si>
  <si>
    <t xml:space="preserve">Full-time: months between days after year 5</t>
  </si>
  <si>
    <t xml:space="preserve">1 day every 3 months - p.5</t>
  </si>
  <si>
    <t xml:space="preserve">Part-time: first day at (months)</t>
  </si>
  <si>
    <t xml:space="preserve">5 years - p.5-6</t>
  </si>
  <si>
    <t xml:space="preserve">Part-time: months between days</t>
  </si>
  <si>
    <t xml:space="preserve">1 day every 4 months - p.6</t>
  </si>
  <si>
    <t xml:space="preserve">Part-time: minimum hours per week</t>
  </si>
  <si>
    <t xml:space="preserve">Under 24 hrs = not eligible - p.4</t>
  </si>
  <si>
    <t xml:space="preserve">Full-time days before 5-yr milestone (calc)</t>
  </si>
  <si>
    <t xml:space="preserve">Full-time days per year from year 6 (calc)</t>
  </si>
  <si>
    <t xml:space="preserve">HOW TO USE</t>
  </si>
  <si>
    <t xml:space="preserve">1. Staff tab: type each person in the yellow columns. Type = Full-Time, Part-Time or Casual. Hrs/Week matters for part-timers only (under 24 = not eligible).</t>
  </si>
  <si>
    <t xml:space="preserve">2. If someone changed from full-time to part-time or casual (or the other way), enter the date and new type in columns G to I. Column L writes it out and says if accrual stopped or started.</t>
  </si>
  <si>
    <t xml:space="preserve">3. Unpaid or parental leave: enter the number of days in column J. The policy pauses qualifying service for that time, so every milestone moves out by those days.</t>
  </si>
  <si>
    <t xml:space="preserve">4. EH Export tab: paste the Leave Liability Report from Employment Hero at A1. The Staff tab then shows the EH balance, the days still to add, and an Action.</t>
  </si>
  <si>
    <t xml:space="preserve">5. Filter column U on the Staff tab: ADD = top up in EH, CHECK = EH has more than policy, TERMINATED = forfeit the balance, OK = nothing to do.</t>
  </si>
  <si>
    <t xml:space="preserve">POLICY IN ONE LINE EACH</t>
  </si>
  <si>
    <t xml:space="preserve">Full-time: 1 day at 3 years, then 1 day every 4 months. At 5 years 2 days, then 1 day every 3 months (5 a year). Policy p.5 and Schedule 1 p.9.</t>
  </si>
  <si>
    <t xml:space="preserve">Part-time 24+ hrs: nothing until 5 years, then 1 day every 4 months (3 a year). Never moves to 5 a year. Policy p.5-6.</t>
  </si>
  <si>
    <t xml:space="preserve">Casual, contractor, part-time under 24 hrs: not eligible. Policy p.3-4.</t>
  </si>
  <si>
    <t xml:space="preserve">No pro-rata (p.7). Status on the accrual date decides the pathway (p.7-8). Termination forfeits the balance (p.8). 1 day = 8 hours (p.3).</t>
  </si>
  <si>
    <t xml:space="preserve">ASSUMPTIONS: EH balance is in hours. Staff are matched to the export by First Name + Surname. Termination date = last day worked. One status change per person (tell me if you need two).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</si>
</sst>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##;\-0.##;\-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&lt;function F at 0x7f17d80accc0&gt;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2E75B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&lt;function F at 0x7f17d80accc0&gt;"/>
        <charset val="1"/>
        <family val="0"/>
        <b val="1"/>
        <color rgb="FFC00000"/>
        <sz val="10"/>
      </font>
      <fill>
        <patternFill>
          <bgColor rgb="FFFCE4D6"/>
        </patternFill>
      </fill>
    </dxf>
    <dxf>
      <font>
        <name val="&lt;function F at 0x7f17d80accc0&gt;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&lt;function F at 0x7f17d80accc0&gt;"/>
        <charset val="1"/>
        <family val="0"/>
        <color rgb="FF006100"/>
        <sz val="10"/>
      </font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000"/>
      <rgbColor rgb="FFFF9900"/>
      <rgbColor rgb="FFFF6600"/>
      <rgbColor rgb="FF555555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13"/>
    <col collapsed="false" customWidth="true" hidden="false" outlineLevel="0" max="3" min="3" style="0" width="14"/>
    <col collapsed="false" customWidth="true" hidden="false" outlineLevel="0" max="5" min="4" style="0" width="11"/>
    <col collapsed="false" customWidth="true" hidden="false" outlineLevel="0" max="6" min="6" style="0" width="8"/>
    <col collapsed="false" customWidth="true" hidden="false" outlineLevel="0" max="8" min="7" style="0" width="11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  <col collapsed="false" customWidth="true" hidden="false" outlineLevel="0" max="13" min="13" style="0" width="24"/>
    <col collapsed="false" customWidth="true" hidden="false" outlineLevel="0" max="15" min="14" style="0" width="9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20" min="19" style="0" width="8"/>
    <col collapsed="false" customWidth="true" hidden="false" outlineLevel="0" max="21" min="21" style="0" width="36"/>
    <col collapsed="false" customWidth="true" hidden="true" outlineLevel="1" max="34" min="22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"As at "&amp;TEXT(AsOfDate,"dd/mm/yyyy")&amp;"   |   Staff: "&amp;COUNTIF($V$5:$V$154,1)&amp;"   |   Accruing: "&amp;COUNTIF($M$5:$M$154,"Yes*")&amp;"   |   Days to add in EH: "&amp;TEXT(SUMIF($S$5:$S$154,"&gt;0"),"0.##")&amp;"   |   Terminated with EH balance: "&amp;COUNTIF($U$5:$U$154,"TERMINATED*")</f>
        <v>As at 30/09/2026   |   Staff: 8   |   Accruing: 4   |   Days to add in EH: 7   |   Terminated with EH balance: 1</v>
      </c>
    </row>
    <row r="3" customFormat="false" ht="15" hidden="false" customHeight="false" outlineLevel="0" collapsed="false">
      <c r="A3" s="3" t="s">
        <v>1</v>
      </c>
    </row>
    <row r="4" customFormat="false" ht="42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</row>
    <row r="5" customFormat="false" ht="15" hidden="false" customHeight="false" outlineLevel="0" collapsed="false">
      <c r="A5" s="6" t="s">
        <v>36</v>
      </c>
      <c r="B5" s="6" t="s">
        <v>37</v>
      </c>
      <c r="C5" s="6" t="s">
        <v>38</v>
      </c>
      <c r="D5" s="7" t="n">
        <v>44242</v>
      </c>
      <c r="E5" s="6" t="s">
        <v>39</v>
      </c>
      <c r="F5" s="8" t="n">
        <v>38</v>
      </c>
      <c r="G5" s="7"/>
      <c r="H5" s="6"/>
      <c r="I5" s="8"/>
      <c r="J5" s="8"/>
      <c r="K5" s="7"/>
      <c r="L5" s="9" t="str">
        <f aca="false">IF(V5=0,"",IF($G5="","",$E5&amp;" to "&amp;$H5&amp;IF($H5="Part-Time"," "&amp;N($I5)&amp;" hrs","")&amp;" on "&amp;TEXT($G5,"dd/mm/yyyy")&amp;IF($G5&gt;AsOfDate," (future)",IF(AA5=AC5,"",IF(AC5="None"," - STOPPED accruing",IF(AA5="None"," - now qualifying"," - pathway changed"))))))</f>
        <v/>
      </c>
      <c r="M5" s="9" t="str">
        <f aca="false">IF(V5=0,"",IF(W5=1,"Terminated",IF(AC5="None",IF(O5&gt;0,"No longer accruing","Not eligible - "&amp;IF(AND(AC5="None",IF(AH5&lt;&gt;"",$H5,$E5)="Part-Time"),"under "&amp;PT_MinHours&amp;" hrs",IF(AH5&lt;&gt;"",$H5,$E5))),IF(O5&gt;0,"Yes - accruing","Not yet - from "&amp;TEXT(Q5,"dd/mm/yyyy")))))</f>
        <v>Yes - accruing</v>
      </c>
      <c r="N5" s="9" t="str">
        <f aca="false">IF(V5=0,"",IF(Y5&lt;0,"-",INT(Y5/12)&amp;"y "&amp;MOD(Y5,12)&amp;"m"))</f>
        <v>5y 7m</v>
      </c>
      <c r="O5" s="10" t="n">
        <f aca="false">IF(V5=0,"",AD5+IF(AH5="",0,AF5-AE5))</f>
        <v>10</v>
      </c>
      <c r="P5" s="10" t="n">
        <f aca="false">IF(V5=0,"",O5*HoursPerDay)</f>
        <v>80</v>
      </c>
      <c r="Q5" s="11" t="n">
        <f aca="false">IF(V5=0,"",IF(OR(W5=1,AC5="None"),"",EDATE(($D5+N($J5)),AG5)))</f>
        <v>46341</v>
      </c>
      <c r="R5" s="10" t="n">
        <f aca="false">IF(V5=0,"",IF(NOT(EH_Ready),"",SUMIFS(INDEX(EH_Data,0,EH_ColBal),INDEX(EH_Data,0,EH_ColFirst),$A5,INDEX(EH_Data,0,EH_ColSur),$B5,INDEX(EH_Data,0,EH_ColCat),BonusCat)/IF(EHUnit="Hours",HoursPerDay,1)))</f>
        <v>8</v>
      </c>
      <c r="S5" s="10" t="n">
        <f aca="false">IF(OR(V5=0,R5="",W5=1),"",O5-R5)</f>
        <v>2</v>
      </c>
      <c r="T5" s="10" t="n">
        <f aca="false">IF(S5="","",S5*HoursPerDay)</f>
        <v>16</v>
      </c>
      <c r="U5" s="9" t="str">
        <f aca="false">IF(V5=0,"",IF(W5=1,IF(N(R5)&gt;0,"TERMINATED - forfeit "&amp;TEXT(R5,"0.##")&amp;" days in EH","Terminated"),IF(NOT(EH_Ready),"Paste EH export (see Settings)",IF(S5&gt;0,"ADD "&amp;TEXT(S5,"0.##")&amp;" day(s) = "&amp;TEXT(T5,"0.##")&amp;" hrs in EH",IF(S5&lt;0,"CHECK - EH has "&amp;TEXT(-S5,"0.##")&amp;" days more than policy",IF(O5&gt;0,"OK","-"))))))</f>
        <v>ADD 2 day(s) = 16 hrs in EH</v>
      </c>
      <c r="V5" s="9" t="n">
        <f aca="false">IF(OR(LEN($A5&amp;$B5)=0,$D5=""),0,1)</f>
        <v>1</v>
      </c>
      <c r="W5" s="9" t="n">
        <f aca="false">IF(V5=0,0,IF(AND($K5&lt;&gt;"",$K5&lt;=AsOfDate),1,0))</f>
        <v>0</v>
      </c>
      <c r="X5" s="11" t="n">
        <f aca="false">IF(V5=0,"",IF($K5="",AsOfDate,MIN(AsOfDate,$K5)))</f>
        <v>46295</v>
      </c>
      <c r="Y5" s="9" t="n">
        <f aca="false">IF(V5=0,"",IF(X5&lt;($D5+N($J5)),-1,12*(YEAR(X5)-YEAR(($D5+N($J5))))+MONTH(X5)-MONTH(($D5+N($J5)))-IF(DAY(X5)&lt;MIN(DAY(($D5+N($J5))),DAY(EOMONTH(X5,0))),1,0)))</f>
        <v>67</v>
      </c>
      <c r="Z5" s="9" t="n">
        <f aca="false">IF(V5=0,"",IF(AH5="",Y5,IF((AH5-1)&lt;($D5+N($J5)),-1,12*(YEAR((AH5-1))-YEAR(($D5+N($J5))))+MONTH((AH5-1))-MONTH(($D5+N($J5)))-IF(DAY((AH5-1))&lt;MIN(DAY(($D5+N($J5))),DAY(EOMONTH((AH5-1),0))),1,0))))</f>
        <v>67</v>
      </c>
      <c r="AA5" s="9" t="str">
        <f aca="false">IF(V5=0,"",IF($E5="Full-Time","FT",IF(AND($E5="Part-Time",N($F5)&gt;=PT_MinHours),"PT","None")))</f>
        <v>FT</v>
      </c>
      <c r="AB5" s="9" t="str">
        <f aca="false">IF(V5=0,"",IF($H5="Full-Time","FT",IF(AND($H5="Part-Time",N($I5)&gt;=PT_MinHours),"PT","None")))</f>
        <v>None</v>
      </c>
      <c r="AC5" s="9" t="str">
        <f aca="false">IF(V5=0,"",IF(AH5&lt;&gt;"",AB5,AA5))</f>
        <v>FT</v>
      </c>
      <c r="AD5" s="9" t="n">
        <f aca="false">IF(V5=0,"",IF(AA5="FT",IF(Z5&lt;FT_First,0,IF(Z5&lt;FT_Y5,1+INT((Z5-FT_First)/FT_Int1),FT_PreY5+FT_PerYear*INT((Z5-FT_Y5)/12)+FT_AnnivDays+INT(MOD(Z5-FT_Y5,12)/FT_Int2))),IF(AA5="PT",IF(Z5&lt;PT_First,0,1+INT((Z5-PT_First)/PT_Int)),0)))</f>
        <v>10</v>
      </c>
      <c r="AE5" s="9" t="n">
        <f aca="false">IF(V5=0,"",IF(AB5="FT",IF(Z5&lt;FT_First,0,IF(Z5&lt;FT_Y5,1+INT((Z5-FT_First)/FT_Int1),FT_PreY5+FT_PerYear*INT((Z5-FT_Y5)/12)+FT_AnnivDays+INT(MOD(Z5-FT_Y5,12)/FT_Int2))),IF(AB5="PT",IF(Z5&lt;PT_First,0,1+INT((Z5-PT_First)/PT_Int)),0)))</f>
        <v>0</v>
      </c>
      <c r="AF5" s="9" t="n">
        <f aca="false">IF(V5=0,"",IF(AB5="FT",IF(Y5&lt;FT_First,0,IF(Y5&lt;FT_Y5,1+INT((Y5-FT_First)/FT_Int1),FT_PreY5+FT_PerYear*INT((Y5-FT_Y5)/12)+FT_AnnivDays+INT(MOD(Y5-FT_Y5,12)/FT_Int2))),IF(AB5="PT",IF(Y5&lt;PT_First,0,1+INT((Y5-PT_First)/PT_Int)),0)))</f>
        <v>0</v>
      </c>
      <c r="AG5" s="9" t="n">
        <f aca="false">IF(V5=0,"",IF(AC5="FT",IF(Y5&lt;FT_First,FT_First,IF(Y5&lt;FT_Y5,MIN(FT_Y5,FT_First+FT_Int1*(INT((Y5-FT_First)/FT_Int1)+1)),FT_Y5+12*INT((Y5-FT_Y5)/12)+FT_Int2*(INT(MOD(Y5-FT_Y5,12)/FT_Int2)+1))),IF(AC5="PT",IF(Y5&lt;PT_First,PT_First,PT_First+PT_Int*(INT((Y5-PT_First)/PT_Int)+1)),"")))</f>
        <v>69</v>
      </c>
      <c r="AH5" s="11" t="str">
        <f aca="false">IF(V5=0,"",IF($G5="","",IF($G5&gt;X5,"",$G5)))</f>
        <v/>
      </c>
    </row>
    <row r="6" customFormat="false" ht="15" hidden="false" customHeight="false" outlineLevel="0" collapsed="false">
      <c r="A6" s="6" t="s">
        <v>40</v>
      </c>
      <c r="B6" s="6" t="s">
        <v>41</v>
      </c>
      <c r="C6" s="6" t="s">
        <v>42</v>
      </c>
      <c r="D6" s="7" t="n">
        <v>43983</v>
      </c>
      <c r="E6" s="6" t="s">
        <v>43</v>
      </c>
      <c r="F6" s="8" t="n">
        <v>24</v>
      </c>
      <c r="G6" s="7"/>
      <c r="H6" s="6"/>
      <c r="I6" s="8"/>
      <c r="J6" s="8"/>
      <c r="K6" s="7"/>
      <c r="L6" s="9" t="str">
        <f aca="false">IF(V6=0,"",IF($G6="","",$E6&amp;" to "&amp;$H6&amp;IF($H6="Part-Time"," "&amp;N($I6)&amp;" hrs","")&amp;" on "&amp;TEXT($G6,"dd/mm/yyyy")&amp;IF($G6&gt;AsOfDate," (future)",IF(AA6=AC6,"",IF(AC6="None"," - STOPPED accruing",IF(AA6="None"," - now qualifying"," - pathway changed"))))))</f>
        <v/>
      </c>
      <c r="M6" s="9" t="str">
        <f aca="false">IF(V6=0,"",IF(W6=1,"Terminated",IF(AC6="None",IF(O6&gt;0,"No longer accruing","Not eligible - "&amp;IF(AND(AC6="None",IF(AH6&lt;&gt;"",$H6,$E6)="Part-Time"),"under "&amp;PT_MinHours&amp;" hrs",IF(AH6&lt;&gt;"",$H6,$E6))),IF(O6&gt;0,"Yes - accruing","Not yet - from "&amp;TEXT(Q6,"dd/mm/yyyy")))))</f>
        <v>Yes - accruing</v>
      </c>
      <c r="N6" s="9" t="str">
        <f aca="false">IF(V6=0,"",IF(Y6&lt;0,"-",INT(Y6/12)&amp;"y "&amp;MOD(Y6,12)&amp;"m"))</f>
        <v>6y 3m</v>
      </c>
      <c r="O6" s="10" t="n">
        <f aca="false">IF(V6=0,"",AD6+IF(AH6="",0,AF6-AE6))</f>
        <v>4</v>
      </c>
      <c r="P6" s="10" t="n">
        <f aca="false">IF(V6=0,"",O6*HoursPerDay)</f>
        <v>32</v>
      </c>
      <c r="Q6" s="11" t="n">
        <f aca="false">IF(V6=0,"",IF(OR(W6=1,AC6="None"),"",EDATE(($D6+N($J6)),AG6)))</f>
        <v>46296</v>
      </c>
      <c r="R6" s="10" t="n">
        <f aca="false">IF(V6=0,"",IF(NOT(EH_Ready),"",SUMIFS(INDEX(EH_Data,0,EH_ColBal),INDEX(EH_Data,0,EH_ColFirst),$A6,INDEX(EH_Data,0,EH_ColSur),$B6,INDEX(EH_Data,0,EH_ColCat),BonusCat)/IF(EHUnit="Hours",HoursPerDay,1)))</f>
        <v>4</v>
      </c>
      <c r="S6" s="10" t="n">
        <f aca="false">IF(OR(V6=0,R6="",W6=1),"",O6-R6)</f>
        <v>0</v>
      </c>
      <c r="T6" s="10" t="n">
        <f aca="false">IF(S6="","",S6*HoursPerDay)</f>
        <v>0</v>
      </c>
      <c r="U6" s="9" t="str">
        <f aca="false">IF(V6=0,"",IF(W6=1,IF(N(R6)&gt;0,"TERMINATED - forfeit "&amp;TEXT(R6,"0.##")&amp;" days in EH","Terminated"),IF(NOT(EH_Ready),"Paste EH export (see Settings)",IF(S6&gt;0,"ADD "&amp;TEXT(S6,"0.##")&amp;" day(s) = "&amp;TEXT(T6,"0.##")&amp;" hrs in EH",IF(S6&lt;0,"CHECK - EH has "&amp;TEXT(-S6,"0.##")&amp;" days more than policy",IF(O6&gt;0,"OK","-"))))))</f>
        <v>OK</v>
      </c>
      <c r="V6" s="9" t="n">
        <f aca="false">IF(OR(LEN($A6&amp;$B6)=0,$D6=""),0,1)</f>
        <v>1</v>
      </c>
      <c r="W6" s="9" t="n">
        <f aca="false">IF(V6=0,0,IF(AND($K6&lt;&gt;"",$K6&lt;=AsOfDate),1,0))</f>
        <v>0</v>
      </c>
      <c r="X6" s="11" t="n">
        <f aca="false">IF(V6=0,"",IF($K6="",AsOfDate,MIN(AsOfDate,$K6)))</f>
        <v>46295</v>
      </c>
      <c r="Y6" s="9" t="n">
        <f aca="false">IF(V6=0,"",IF(X6&lt;($D6+N($J6)),-1,12*(YEAR(X6)-YEAR(($D6+N($J6))))+MONTH(X6)-MONTH(($D6+N($J6)))-IF(DAY(X6)&lt;MIN(DAY(($D6+N($J6))),DAY(EOMONTH(X6,0))),1,0)))</f>
        <v>75</v>
      </c>
      <c r="Z6" s="9" t="n">
        <f aca="false">IF(V6=0,"",IF(AH6="",Y6,IF((AH6-1)&lt;($D6+N($J6)),-1,12*(YEAR((AH6-1))-YEAR(($D6+N($J6))))+MONTH((AH6-1))-MONTH(($D6+N($J6)))-IF(DAY((AH6-1))&lt;MIN(DAY(($D6+N($J6))),DAY(EOMONTH((AH6-1),0))),1,0))))</f>
        <v>75</v>
      </c>
      <c r="AA6" s="9" t="str">
        <f aca="false">IF(V6=0,"",IF($E6="Full-Time","FT",IF(AND($E6="Part-Time",N($F6)&gt;=PT_MinHours),"PT","None")))</f>
        <v>PT</v>
      </c>
      <c r="AB6" s="9" t="str">
        <f aca="false">IF(V6=0,"",IF($H6="Full-Time","FT",IF(AND($H6="Part-Time",N($I6)&gt;=PT_MinHours),"PT","None")))</f>
        <v>None</v>
      </c>
      <c r="AC6" s="9" t="str">
        <f aca="false">IF(V6=0,"",IF(AH6&lt;&gt;"",AB6,AA6))</f>
        <v>PT</v>
      </c>
      <c r="AD6" s="9" t="n">
        <f aca="false">IF(V6=0,"",IF(AA6="FT",IF(Z6&lt;FT_First,0,IF(Z6&lt;FT_Y5,1+INT((Z6-FT_First)/FT_Int1),FT_PreY5+FT_PerYear*INT((Z6-FT_Y5)/12)+FT_AnnivDays+INT(MOD(Z6-FT_Y5,12)/FT_Int2))),IF(AA6="PT",IF(Z6&lt;PT_First,0,1+INT((Z6-PT_First)/PT_Int)),0)))</f>
        <v>4</v>
      </c>
      <c r="AE6" s="9" t="n">
        <f aca="false">IF(V6=0,"",IF(AB6="FT",IF(Z6&lt;FT_First,0,IF(Z6&lt;FT_Y5,1+INT((Z6-FT_First)/FT_Int1),FT_PreY5+FT_PerYear*INT((Z6-FT_Y5)/12)+FT_AnnivDays+INT(MOD(Z6-FT_Y5,12)/FT_Int2))),IF(AB6="PT",IF(Z6&lt;PT_First,0,1+INT((Z6-PT_First)/PT_Int)),0)))</f>
        <v>0</v>
      </c>
      <c r="AF6" s="9" t="n">
        <f aca="false">IF(V6=0,"",IF(AB6="FT",IF(Y6&lt;FT_First,0,IF(Y6&lt;FT_Y5,1+INT((Y6-FT_First)/FT_Int1),FT_PreY5+FT_PerYear*INT((Y6-FT_Y5)/12)+FT_AnnivDays+INT(MOD(Y6-FT_Y5,12)/FT_Int2))),IF(AB6="PT",IF(Y6&lt;PT_First,0,1+INT((Y6-PT_First)/PT_Int)),0)))</f>
        <v>0</v>
      </c>
      <c r="AG6" s="9" t="n">
        <f aca="false">IF(V6=0,"",IF(AC6="FT",IF(Y6&lt;FT_First,FT_First,IF(Y6&lt;FT_Y5,MIN(FT_Y5,FT_First+FT_Int1*(INT((Y6-FT_First)/FT_Int1)+1)),FT_Y5+12*INT((Y6-FT_Y5)/12)+FT_Int2*(INT(MOD(Y6-FT_Y5,12)/FT_Int2)+1))),IF(AC6="PT",IF(Y6&lt;PT_First,PT_First,PT_First+PT_Int*(INT((Y6-PT_First)/PT_Int)+1)),"")))</f>
        <v>76</v>
      </c>
      <c r="AH6" s="11" t="str">
        <f aca="false">IF(V6=0,"",IF($G6="","",IF($G6&gt;X6,"",$G6)))</f>
        <v/>
      </c>
    </row>
    <row r="7" customFormat="false" ht="15" hidden="false" customHeight="false" outlineLevel="0" collapsed="false">
      <c r="A7" s="6" t="s">
        <v>44</v>
      </c>
      <c r="B7" s="6" t="s">
        <v>45</v>
      </c>
      <c r="C7" s="6" t="s">
        <v>46</v>
      </c>
      <c r="D7" s="7" t="n">
        <v>43528</v>
      </c>
      <c r="E7" s="6" t="s">
        <v>47</v>
      </c>
      <c r="F7" s="8"/>
      <c r="G7" s="7"/>
      <c r="H7" s="6"/>
      <c r="I7" s="8"/>
      <c r="J7" s="8"/>
      <c r="K7" s="7"/>
      <c r="L7" s="9" t="str">
        <f aca="false">IF(V7=0,"",IF($G7="","",$E7&amp;" to "&amp;$H7&amp;IF($H7="Part-Time"," "&amp;N($I7)&amp;" hrs","")&amp;" on "&amp;TEXT($G7,"dd/mm/yyyy")&amp;IF($G7&gt;AsOfDate," (future)",IF(AA7=AC7,"",IF(AC7="None"," - STOPPED accruing",IF(AA7="None"," - now qualifying"," - pathway changed"))))))</f>
        <v/>
      </c>
      <c r="M7" s="9" t="str">
        <f aca="false">IF(V7=0,"",IF(W7=1,"Terminated",IF(AC7="None",IF(O7&gt;0,"No longer accruing","Not eligible - "&amp;IF(AND(AC7="None",IF(AH7&lt;&gt;"",$H7,$E7)="Part-Time"),"under "&amp;PT_MinHours&amp;" hrs",IF(AH7&lt;&gt;"",$H7,$E7))),IF(O7&gt;0,"Yes - accruing","Not yet - from "&amp;TEXT(Q7,"dd/mm/yyyy")))))</f>
        <v>Not eligible - Casual</v>
      </c>
      <c r="N7" s="9" t="str">
        <f aca="false">IF(V7=0,"",IF(Y7&lt;0,"-",INT(Y7/12)&amp;"y "&amp;MOD(Y7,12)&amp;"m"))</f>
        <v>7y 6m</v>
      </c>
      <c r="O7" s="10" t="n">
        <f aca="false">IF(V7=0,"",AD7+IF(AH7="",0,AF7-AE7))</f>
        <v>0</v>
      </c>
      <c r="P7" s="10" t="n">
        <f aca="false">IF(V7=0,"",O7*HoursPerDay)</f>
        <v>0</v>
      </c>
      <c r="Q7" s="11" t="str">
        <f aca="false">IF(V7=0,"",IF(OR(W7=1,AC7="None"),"",EDATE(($D7+N($J7)),AG7)))</f>
        <v/>
      </c>
      <c r="R7" s="10" t="n">
        <f aca="false">IF(V7=0,"",IF(NOT(EH_Ready),"",SUMIFS(INDEX(EH_Data,0,EH_ColBal),INDEX(EH_Data,0,EH_ColFirst),$A7,INDEX(EH_Data,0,EH_ColSur),$B7,INDEX(EH_Data,0,EH_ColCat),BonusCat)/IF(EHUnit="Hours",HoursPerDay,1)))</f>
        <v>0</v>
      </c>
      <c r="S7" s="10" t="n">
        <f aca="false">IF(OR(V7=0,R7="",W7=1),"",O7-R7)</f>
        <v>0</v>
      </c>
      <c r="T7" s="10" t="n">
        <f aca="false">IF(S7="","",S7*HoursPerDay)</f>
        <v>0</v>
      </c>
      <c r="U7" s="9" t="str">
        <f aca="false">IF(V7=0,"",IF(W7=1,IF(N(R7)&gt;0,"TERMINATED - forfeit "&amp;TEXT(R7,"0.##")&amp;" days in EH","Terminated"),IF(NOT(EH_Ready),"Paste EH export (see Settings)",IF(S7&gt;0,"ADD "&amp;TEXT(S7,"0.##")&amp;" day(s) = "&amp;TEXT(T7,"0.##")&amp;" hrs in EH",IF(S7&lt;0,"CHECK - EH has "&amp;TEXT(-S7,"0.##")&amp;" days more than policy",IF(O7&gt;0,"OK","-"))))))</f>
        <v>-</v>
      </c>
      <c r="V7" s="9" t="n">
        <f aca="false">IF(OR(LEN($A7&amp;$B7)=0,$D7=""),0,1)</f>
        <v>1</v>
      </c>
      <c r="W7" s="9" t="n">
        <f aca="false">IF(V7=0,0,IF(AND($K7&lt;&gt;"",$K7&lt;=AsOfDate),1,0))</f>
        <v>0</v>
      </c>
      <c r="X7" s="11" t="n">
        <f aca="false">IF(V7=0,"",IF($K7="",AsOfDate,MIN(AsOfDate,$K7)))</f>
        <v>46295</v>
      </c>
      <c r="Y7" s="9" t="n">
        <f aca="false">IF(V7=0,"",IF(X7&lt;($D7+N($J7)),-1,12*(YEAR(X7)-YEAR(($D7+N($J7))))+MONTH(X7)-MONTH(($D7+N($J7)))-IF(DAY(X7)&lt;MIN(DAY(($D7+N($J7))),DAY(EOMONTH(X7,0))),1,0)))</f>
        <v>90</v>
      </c>
      <c r="Z7" s="9" t="n">
        <f aca="false">IF(V7=0,"",IF(AH7="",Y7,IF((AH7-1)&lt;($D7+N($J7)),-1,12*(YEAR((AH7-1))-YEAR(($D7+N($J7))))+MONTH((AH7-1))-MONTH(($D7+N($J7)))-IF(DAY((AH7-1))&lt;MIN(DAY(($D7+N($J7))),DAY(EOMONTH((AH7-1),0))),1,0))))</f>
        <v>90</v>
      </c>
      <c r="AA7" s="9" t="str">
        <f aca="false">IF(V7=0,"",IF($E7="Full-Time","FT",IF(AND($E7="Part-Time",N($F7)&gt;=PT_MinHours),"PT","None")))</f>
        <v>None</v>
      </c>
      <c r="AB7" s="9" t="str">
        <f aca="false">IF(V7=0,"",IF($H7="Full-Time","FT",IF(AND($H7="Part-Time",N($I7)&gt;=PT_MinHours),"PT","None")))</f>
        <v>None</v>
      </c>
      <c r="AC7" s="9" t="str">
        <f aca="false">IF(V7=0,"",IF(AH7&lt;&gt;"",AB7,AA7))</f>
        <v>None</v>
      </c>
      <c r="AD7" s="9" t="n">
        <f aca="false">IF(V7=0,"",IF(AA7="FT",IF(Z7&lt;FT_First,0,IF(Z7&lt;FT_Y5,1+INT((Z7-FT_First)/FT_Int1),FT_PreY5+FT_PerYear*INT((Z7-FT_Y5)/12)+FT_AnnivDays+INT(MOD(Z7-FT_Y5,12)/FT_Int2))),IF(AA7="PT",IF(Z7&lt;PT_First,0,1+INT((Z7-PT_First)/PT_Int)),0)))</f>
        <v>0</v>
      </c>
      <c r="AE7" s="9" t="n">
        <f aca="false">IF(V7=0,"",IF(AB7="FT",IF(Z7&lt;FT_First,0,IF(Z7&lt;FT_Y5,1+INT((Z7-FT_First)/FT_Int1),FT_PreY5+FT_PerYear*INT((Z7-FT_Y5)/12)+FT_AnnivDays+INT(MOD(Z7-FT_Y5,12)/FT_Int2))),IF(AB7="PT",IF(Z7&lt;PT_First,0,1+INT((Z7-PT_First)/PT_Int)),0)))</f>
        <v>0</v>
      </c>
      <c r="AF7" s="9" t="n">
        <f aca="false">IF(V7=0,"",IF(AB7="FT",IF(Y7&lt;FT_First,0,IF(Y7&lt;FT_Y5,1+INT((Y7-FT_First)/FT_Int1),FT_PreY5+FT_PerYear*INT((Y7-FT_Y5)/12)+FT_AnnivDays+INT(MOD(Y7-FT_Y5,12)/FT_Int2))),IF(AB7="PT",IF(Y7&lt;PT_First,0,1+INT((Y7-PT_First)/PT_Int)),0)))</f>
        <v>0</v>
      </c>
      <c r="AG7" s="9" t="str">
        <f aca="false">IF(V7=0,"",IF(AC7="FT",IF(Y7&lt;FT_First,FT_First,IF(Y7&lt;FT_Y5,MIN(FT_Y5,FT_First+FT_Int1*(INT((Y7-FT_First)/FT_Int1)+1)),FT_Y5+12*INT((Y7-FT_Y5)/12)+FT_Int2*(INT(MOD(Y7-FT_Y5,12)/FT_Int2)+1))),IF(AC7="PT",IF(Y7&lt;PT_First,PT_First,PT_First+PT_Int*(INT((Y7-PT_First)/PT_Int)+1)),"")))</f>
        <v/>
      </c>
      <c r="AH7" s="11" t="str">
        <f aca="false">IF(V7=0,"",IF($G7="","",IF($G7&gt;X7,"",$G7)))</f>
        <v/>
      </c>
    </row>
    <row r="8" customFormat="false" ht="15" hidden="false" customHeight="false" outlineLevel="0" collapsed="false">
      <c r="A8" s="6" t="s">
        <v>48</v>
      </c>
      <c r="B8" s="6" t="s">
        <v>49</v>
      </c>
      <c r="C8" s="6" t="s">
        <v>50</v>
      </c>
      <c r="D8" s="7" t="n">
        <v>44621</v>
      </c>
      <c r="E8" s="6" t="s">
        <v>39</v>
      </c>
      <c r="F8" s="8" t="n">
        <v>38</v>
      </c>
      <c r="G8" s="7" t="n">
        <v>45839</v>
      </c>
      <c r="H8" s="6" t="s">
        <v>43</v>
      </c>
      <c r="I8" s="8" t="n">
        <v>20</v>
      </c>
      <c r="J8" s="8"/>
      <c r="K8" s="7"/>
      <c r="L8" s="9" t="str">
        <f aca="false">IF(V8=0,"",IF($G8="","",$E8&amp;" to "&amp;$H8&amp;IF($H8="Part-Time"," "&amp;N($I8)&amp;" hrs","")&amp;" on "&amp;TEXT($G8,"dd/mm/yyyy")&amp;IF($G8&gt;AsOfDate," (future)",IF(AA8=AC8,"",IF(AC8="None"," - STOPPED accruing",IF(AA8="None"," - now qualifying"," - pathway changed"))))))</f>
        <v>Full-Time to Part-Time 20 hrs on 01/07/2025 - STOPPED accruing</v>
      </c>
      <c r="M8" s="9" t="str">
        <f aca="false">IF(V8=0,"",IF(W8=1,"Terminated",IF(AC8="None",IF(O8&gt;0,"No longer accruing","Not eligible - "&amp;IF(AND(AC8="None",IF(AH8&lt;&gt;"",$H8,$E8)="Part-Time"),"under "&amp;PT_MinHours&amp;" hrs",IF(AH8&lt;&gt;"",$H8,$E8))),IF(O8&gt;0,"Yes - accruing","Not yet - from "&amp;TEXT(Q8,"dd/mm/yyyy")))))</f>
        <v>No longer accruing</v>
      </c>
      <c r="N8" s="9" t="str">
        <f aca="false">IF(V8=0,"",IF(Y8&lt;0,"-",INT(Y8/12)&amp;"y "&amp;MOD(Y8,12)&amp;"m"))</f>
        <v>4y 6m</v>
      </c>
      <c r="O8" s="10" t="n">
        <f aca="false">IF(V8=0,"",AD8+IF(AH8="",0,AF8-AE8))</f>
        <v>1</v>
      </c>
      <c r="P8" s="10" t="n">
        <f aca="false">IF(V8=0,"",O8*HoursPerDay)</f>
        <v>8</v>
      </c>
      <c r="Q8" s="11" t="str">
        <f aca="false">IF(V8=0,"",IF(OR(W8=1,AC8="None"),"",EDATE(($D8+N($J8)),AG8)))</f>
        <v/>
      </c>
      <c r="R8" s="10" t="n">
        <f aca="false">IF(V8=0,"",IF(NOT(EH_Ready),"",SUMIFS(INDEX(EH_Data,0,EH_ColBal),INDEX(EH_Data,0,EH_ColFirst),$A8,INDEX(EH_Data,0,EH_ColSur),$B8,INDEX(EH_Data,0,EH_ColCat),BonusCat)/IF(EHUnit="Hours",HoursPerDay,1)))</f>
        <v>1</v>
      </c>
      <c r="S8" s="10" t="n">
        <f aca="false">IF(OR(V8=0,R8="",W8=1),"",O8-R8)</f>
        <v>0</v>
      </c>
      <c r="T8" s="10" t="n">
        <f aca="false">IF(S8="","",S8*HoursPerDay)</f>
        <v>0</v>
      </c>
      <c r="U8" s="9" t="str">
        <f aca="false">IF(V8=0,"",IF(W8=1,IF(N(R8)&gt;0,"TERMINATED - forfeit "&amp;TEXT(R8,"0.##")&amp;" days in EH","Terminated"),IF(NOT(EH_Ready),"Paste EH export (see Settings)",IF(S8&gt;0,"ADD "&amp;TEXT(S8,"0.##")&amp;" day(s) = "&amp;TEXT(T8,"0.##")&amp;" hrs in EH",IF(S8&lt;0,"CHECK - EH has "&amp;TEXT(-S8,"0.##")&amp;" days more than policy",IF(O8&gt;0,"OK","-"))))))</f>
        <v>OK</v>
      </c>
      <c r="V8" s="9" t="n">
        <f aca="false">IF(OR(LEN($A8&amp;$B8)=0,$D8=""),0,1)</f>
        <v>1</v>
      </c>
      <c r="W8" s="9" t="n">
        <f aca="false">IF(V8=0,0,IF(AND($K8&lt;&gt;"",$K8&lt;=AsOfDate),1,0))</f>
        <v>0</v>
      </c>
      <c r="X8" s="11" t="n">
        <f aca="false">IF(V8=0,"",IF($K8="",AsOfDate,MIN(AsOfDate,$K8)))</f>
        <v>46295</v>
      </c>
      <c r="Y8" s="9" t="n">
        <f aca="false">IF(V8=0,"",IF(X8&lt;($D8+N($J8)),-1,12*(YEAR(X8)-YEAR(($D8+N($J8))))+MONTH(X8)-MONTH(($D8+N($J8)))-IF(DAY(X8)&lt;MIN(DAY(($D8+N($J8))),DAY(EOMONTH(X8,0))),1,0)))</f>
        <v>54</v>
      </c>
      <c r="Z8" s="9" t="n">
        <f aca="false">IF(V8=0,"",IF(AH8="",Y8,IF((AH8-1)&lt;($D8+N($J8)),-1,12*(YEAR((AH8-1))-YEAR(($D8+N($J8))))+MONTH((AH8-1))-MONTH(($D8+N($J8)))-IF(DAY((AH8-1))&lt;MIN(DAY(($D8+N($J8))),DAY(EOMONTH((AH8-1),0))),1,0))))</f>
        <v>39</v>
      </c>
      <c r="AA8" s="9" t="str">
        <f aca="false">IF(V8=0,"",IF($E8="Full-Time","FT",IF(AND($E8="Part-Time",N($F8)&gt;=PT_MinHours),"PT","None")))</f>
        <v>FT</v>
      </c>
      <c r="AB8" s="9" t="str">
        <f aca="false">IF(V8=0,"",IF($H8="Full-Time","FT",IF(AND($H8="Part-Time",N($I8)&gt;=PT_MinHours),"PT","None")))</f>
        <v>None</v>
      </c>
      <c r="AC8" s="9" t="str">
        <f aca="false">IF(V8=0,"",IF(AH8&lt;&gt;"",AB8,AA8))</f>
        <v>None</v>
      </c>
      <c r="AD8" s="9" t="n">
        <f aca="false">IF(V8=0,"",IF(AA8="FT",IF(Z8&lt;FT_First,0,IF(Z8&lt;FT_Y5,1+INT((Z8-FT_First)/FT_Int1),FT_PreY5+FT_PerYear*INT((Z8-FT_Y5)/12)+FT_AnnivDays+INT(MOD(Z8-FT_Y5,12)/FT_Int2))),IF(AA8="PT",IF(Z8&lt;PT_First,0,1+INT((Z8-PT_First)/PT_Int)),0)))</f>
        <v>1</v>
      </c>
      <c r="AE8" s="9" t="n">
        <f aca="false">IF(V8=0,"",IF(AB8="FT",IF(Z8&lt;FT_First,0,IF(Z8&lt;FT_Y5,1+INT((Z8-FT_First)/FT_Int1),FT_PreY5+FT_PerYear*INT((Z8-FT_Y5)/12)+FT_AnnivDays+INT(MOD(Z8-FT_Y5,12)/FT_Int2))),IF(AB8="PT",IF(Z8&lt;PT_First,0,1+INT((Z8-PT_First)/PT_Int)),0)))</f>
        <v>0</v>
      </c>
      <c r="AF8" s="9" t="n">
        <f aca="false">IF(V8=0,"",IF(AB8="FT",IF(Y8&lt;FT_First,0,IF(Y8&lt;FT_Y5,1+INT((Y8-FT_First)/FT_Int1),FT_PreY5+FT_PerYear*INT((Y8-FT_Y5)/12)+FT_AnnivDays+INT(MOD(Y8-FT_Y5,12)/FT_Int2))),IF(AB8="PT",IF(Y8&lt;PT_First,0,1+INT((Y8-PT_First)/PT_Int)),0)))</f>
        <v>0</v>
      </c>
      <c r="AG8" s="9" t="str">
        <f aca="false">IF(V8=0,"",IF(AC8="FT",IF(Y8&lt;FT_First,FT_First,IF(Y8&lt;FT_Y5,MIN(FT_Y5,FT_First+FT_Int1*(INT((Y8-FT_First)/FT_Int1)+1)),FT_Y5+12*INT((Y8-FT_Y5)/12)+FT_Int2*(INT(MOD(Y8-FT_Y5,12)/FT_Int2)+1))),IF(AC8="PT",IF(Y8&lt;PT_First,PT_First,PT_First+PT_Int*(INT((Y8-PT_First)/PT_Int)+1)),"")))</f>
        <v/>
      </c>
      <c r="AH8" s="11" t="n">
        <f aca="false">IF(V8=0,"",IF($G8="","",IF($G8&gt;X8,"",$G8)))</f>
        <v>45839</v>
      </c>
    </row>
    <row r="9" customFormat="false" ht="15" hidden="false" customHeight="false" outlineLevel="0" collapsed="false">
      <c r="A9" s="6" t="s">
        <v>51</v>
      </c>
      <c r="B9" s="6" t="s">
        <v>52</v>
      </c>
      <c r="C9" s="6" t="s">
        <v>53</v>
      </c>
      <c r="D9" s="7" t="n">
        <v>43840</v>
      </c>
      <c r="E9" s="6" t="s">
        <v>43</v>
      </c>
      <c r="F9" s="8" t="n">
        <v>30</v>
      </c>
      <c r="G9" s="7" t="n">
        <v>45292</v>
      </c>
      <c r="H9" s="6" t="s">
        <v>39</v>
      </c>
      <c r="I9" s="8" t="n">
        <v>38</v>
      </c>
      <c r="J9" s="8"/>
      <c r="K9" s="7"/>
      <c r="L9" s="9" t="str">
        <f aca="false">IF(V9=0,"",IF($G9="","",$E9&amp;" to "&amp;$H9&amp;IF($H9="Part-Time"," "&amp;N($I9)&amp;" hrs","")&amp;" on "&amp;TEXT($G9,"dd/mm/yyyy")&amp;IF($G9&gt;AsOfDate," (future)",IF(AA9=AC9,"",IF(AC9="None"," - STOPPED accruing",IF(AA9="None"," - now qualifying"," - pathway changed"))))))</f>
        <v>Part-Time to Full-Time on 01/01/2024 - pathway changed</v>
      </c>
      <c r="M9" s="9" t="str">
        <f aca="false">IF(V9=0,"",IF(W9=1,"Terminated",IF(AC9="None",IF(O9&gt;0,"No longer accruing","Not eligible - "&amp;IF(AND(AC9="None",IF(AH9&lt;&gt;"",$H9,$E9)="Part-Time"),"under "&amp;PT_MinHours&amp;" hrs",IF(AH9&lt;&gt;"",$H9,$E9))),IF(O9&gt;0,"Yes - accruing","Not yet - from "&amp;TEXT(Q9,"dd/mm/yyyy")))))</f>
        <v>Yes - accruing</v>
      </c>
      <c r="N9" s="9" t="str">
        <f aca="false">IF(V9=0,"",IF(Y9&lt;0,"-",INT(Y9/12)&amp;"y "&amp;MOD(Y9,12)&amp;"m"))</f>
        <v>6y 8m</v>
      </c>
      <c r="O9" s="10" t="n">
        <f aca="false">IF(V9=0,"",AD9+IF(AH9="",0,AF9-AE9))</f>
        <v>12</v>
      </c>
      <c r="P9" s="10" t="n">
        <f aca="false">IF(V9=0,"",O9*HoursPerDay)</f>
        <v>96</v>
      </c>
      <c r="Q9" s="11" t="n">
        <f aca="false">IF(V9=0,"",IF(OR(W9=1,AC9="None"),"",EDATE(($D9+N($J9)),AG9)))</f>
        <v>46305</v>
      </c>
      <c r="R9" s="10" t="n">
        <f aca="false">IF(V9=0,"",IF(NOT(EH_Ready),"",SUMIFS(INDEX(EH_Data,0,EH_ColBal),INDEX(EH_Data,0,EH_ColFirst),$A9,INDEX(EH_Data,0,EH_ColSur),$B9,INDEX(EH_Data,0,EH_ColCat),BonusCat)/IF(EHUnit="Hours",HoursPerDay,1)))</f>
        <v>10</v>
      </c>
      <c r="S9" s="10" t="n">
        <f aca="false">IF(OR(V9=0,R9="",W9=1),"",O9-R9)</f>
        <v>2</v>
      </c>
      <c r="T9" s="10" t="n">
        <f aca="false">IF(S9="","",S9*HoursPerDay)</f>
        <v>16</v>
      </c>
      <c r="U9" s="9" t="str">
        <f aca="false">IF(V9=0,"",IF(W9=1,IF(N(R9)&gt;0,"TERMINATED - forfeit "&amp;TEXT(R9,"0.##")&amp;" days in EH","Terminated"),IF(NOT(EH_Ready),"Paste EH export (see Settings)",IF(S9&gt;0,"ADD "&amp;TEXT(S9,"0.##")&amp;" day(s) = "&amp;TEXT(T9,"0.##")&amp;" hrs in EH",IF(S9&lt;0,"CHECK - EH has "&amp;TEXT(-S9,"0.##")&amp;" days more than policy",IF(O9&gt;0,"OK","-"))))))</f>
        <v>ADD 2 day(s) = 16 hrs in EH</v>
      </c>
      <c r="V9" s="9" t="n">
        <f aca="false">IF(OR(LEN($A9&amp;$B9)=0,$D9=""),0,1)</f>
        <v>1</v>
      </c>
      <c r="W9" s="9" t="n">
        <f aca="false">IF(V9=0,0,IF(AND($K9&lt;&gt;"",$K9&lt;=AsOfDate),1,0))</f>
        <v>0</v>
      </c>
      <c r="X9" s="11" t="n">
        <f aca="false">IF(V9=0,"",IF($K9="",AsOfDate,MIN(AsOfDate,$K9)))</f>
        <v>46295</v>
      </c>
      <c r="Y9" s="9" t="n">
        <f aca="false">IF(V9=0,"",IF(X9&lt;($D9+N($J9)),-1,12*(YEAR(X9)-YEAR(($D9+N($J9))))+MONTH(X9)-MONTH(($D9+N($J9)))-IF(DAY(X9)&lt;MIN(DAY(($D9+N($J9))),DAY(EOMONTH(X9,0))),1,0)))</f>
        <v>80</v>
      </c>
      <c r="Z9" s="9" t="n">
        <f aca="false">IF(V9=0,"",IF(AH9="",Y9,IF((AH9-1)&lt;($D9+N($J9)),-1,12*(YEAR((AH9-1))-YEAR(($D9+N($J9))))+MONTH((AH9-1))-MONTH(($D9+N($J9)))-IF(DAY((AH9-1))&lt;MIN(DAY(($D9+N($J9))),DAY(EOMONTH((AH9-1),0))),1,0))))</f>
        <v>47</v>
      </c>
      <c r="AA9" s="9" t="str">
        <f aca="false">IF(V9=0,"",IF($E9="Full-Time","FT",IF(AND($E9="Part-Time",N($F9)&gt;=PT_MinHours),"PT","None")))</f>
        <v>PT</v>
      </c>
      <c r="AB9" s="9" t="str">
        <f aca="false">IF(V9=0,"",IF($H9="Full-Time","FT",IF(AND($H9="Part-Time",N($I9)&gt;=PT_MinHours),"PT","None")))</f>
        <v>FT</v>
      </c>
      <c r="AC9" s="9" t="str">
        <f aca="false">IF(V9=0,"",IF(AH9&lt;&gt;"",AB9,AA9))</f>
        <v>FT</v>
      </c>
      <c r="AD9" s="9" t="n">
        <f aca="false">IF(V9=0,"",IF(AA9="FT",IF(Z9&lt;FT_First,0,IF(Z9&lt;FT_Y5,1+INT((Z9-FT_First)/FT_Int1),FT_PreY5+FT_PerYear*INT((Z9-FT_Y5)/12)+FT_AnnivDays+INT(MOD(Z9-FT_Y5,12)/FT_Int2))),IF(AA9="PT",IF(Z9&lt;PT_First,0,1+INT((Z9-PT_First)/PT_Int)),0)))</f>
        <v>0</v>
      </c>
      <c r="AE9" s="9" t="n">
        <f aca="false">IF(V9=0,"",IF(AB9="FT",IF(Z9&lt;FT_First,0,IF(Z9&lt;FT_Y5,1+INT((Z9-FT_First)/FT_Int1),FT_PreY5+FT_PerYear*INT((Z9-FT_Y5)/12)+FT_AnnivDays+INT(MOD(Z9-FT_Y5,12)/FT_Int2))),IF(AB9="PT",IF(Z9&lt;PT_First,0,1+INT((Z9-PT_First)/PT_Int)),0)))</f>
        <v>3</v>
      </c>
      <c r="AF9" s="9" t="n">
        <f aca="false">IF(V9=0,"",IF(AB9="FT",IF(Y9&lt;FT_First,0,IF(Y9&lt;FT_Y5,1+INT((Y9-FT_First)/FT_Int1),FT_PreY5+FT_PerYear*INT((Y9-FT_Y5)/12)+FT_AnnivDays+INT(MOD(Y9-FT_Y5,12)/FT_Int2))),IF(AB9="PT",IF(Y9&lt;PT_First,0,1+INT((Y9-PT_First)/PT_Int)),0)))</f>
        <v>15</v>
      </c>
      <c r="AG9" s="9" t="n">
        <f aca="false">IF(V9=0,"",IF(AC9="FT",IF(Y9&lt;FT_First,FT_First,IF(Y9&lt;FT_Y5,MIN(FT_Y5,FT_First+FT_Int1*(INT((Y9-FT_First)/FT_Int1)+1)),FT_Y5+12*INT((Y9-FT_Y5)/12)+FT_Int2*(INT(MOD(Y9-FT_Y5,12)/FT_Int2)+1))),IF(AC9="PT",IF(Y9&lt;PT_First,PT_First,PT_First+PT_Int*(INT((Y9-PT_First)/PT_Int)+1)),"")))</f>
        <v>81</v>
      </c>
      <c r="AH9" s="11" t="n">
        <f aca="false">IF(V9=0,"",IF($G9="","",IF($G9&gt;X9,"",$G9)))</f>
        <v>45292</v>
      </c>
    </row>
    <row r="10" customFormat="false" ht="15" hidden="false" customHeight="false" outlineLevel="0" collapsed="false">
      <c r="A10" s="6" t="s">
        <v>54</v>
      </c>
      <c r="B10" s="6" t="s">
        <v>55</v>
      </c>
      <c r="C10" s="6" t="s">
        <v>38</v>
      </c>
      <c r="D10" s="7" t="n">
        <v>44686</v>
      </c>
      <c r="E10" s="6" t="s">
        <v>39</v>
      </c>
      <c r="F10" s="8" t="n">
        <v>38</v>
      </c>
      <c r="G10" s="7"/>
      <c r="H10" s="6"/>
      <c r="I10" s="8"/>
      <c r="J10" s="8" t="n">
        <v>181</v>
      </c>
      <c r="K10" s="7"/>
      <c r="L10" s="9" t="str">
        <f aca="false">IF(V10=0,"",IF($G10="","",$E10&amp;" to "&amp;$H10&amp;IF($H10="Part-Time"," "&amp;N($I10)&amp;" hrs","")&amp;" on "&amp;TEXT($G10,"dd/mm/yyyy")&amp;IF($G10&gt;AsOfDate," (future)",IF(AA10=AC10,"",IF(AC10="None"," - STOPPED accruing",IF(AA10="None"," - now qualifying"," - pathway changed"))))))</f>
        <v/>
      </c>
      <c r="M10" s="9" t="str">
        <f aca="false">IF(V10=0,"",IF(W10=1,"Terminated",IF(AC10="None",IF(O10&gt;0,"No longer accruing","Not eligible - "&amp;IF(AND(AC10="None",IF(AH10&lt;&gt;"",$H10,$E10)="Part-Time"),"under "&amp;PT_MinHours&amp;" hrs",IF(AH10&lt;&gt;"",$H10,$E10))),IF(O10&gt;0,"Yes - accruing","Not yet - from "&amp;TEXT(Q10,"dd/mm/yyyy")))))</f>
        <v>Yes - accruing</v>
      </c>
      <c r="N10" s="9" t="str">
        <f aca="false">IF(V10=0,"",IF(Y10&lt;0,"-",INT(Y10/12)&amp;"y "&amp;MOD(Y10,12)&amp;"m"))</f>
        <v>3y 10m</v>
      </c>
      <c r="O10" s="10" t="n">
        <f aca="false">IF(V10=0,"",AD10+IF(AH10="",0,AF10-AE10))</f>
        <v>3</v>
      </c>
      <c r="P10" s="10" t="n">
        <f aca="false">IF(V10=0,"",O10*HoursPerDay)</f>
        <v>24</v>
      </c>
      <c r="Q10" s="11" t="n">
        <f aca="false">IF(V10=0,"",IF(OR(W10=1,AC10="None"),"",EDATE(($D10+N($J10)),AG10)))</f>
        <v>46328</v>
      </c>
      <c r="R10" s="10" t="n">
        <f aca="false">IF(V10=0,"",IF(NOT(EH_Ready),"",SUMIFS(INDEX(EH_Data,0,EH_ColBal),INDEX(EH_Data,0,EH_ColFirst),$A10,INDEX(EH_Data,0,EH_ColSur),$B10,INDEX(EH_Data,0,EH_ColCat),BonusCat)/IF(EHUnit="Hours",HoursPerDay,1)))</f>
        <v>0</v>
      </c>
      <c r="S10" s="10" t="n">
        <f aca="false">IF(OR(V10=0,R10="",W10=1),"",O10-R10)</f>
        <v>3</v>
      </c>
      <c r="T10" s="10" t="n">
        <f aca="false">IF(S10="","",S10*HoursPerDay)</f>
        <v>24</v>
      </c>
      <c r="U10" s="9" t="str">
        <f aca="false">IF(V10=0,"",IF(W10=1,IF(N(R10)&gt;0,"TERMINATED - forfeit "&amp;TEXT(R10,"0.##")&amp;" days in EH","Terminated"),IF(NOT(EH_Ready),"Paste EH export (see Settings)",IF(S10&gt;0,"ADD "&amp;TEXT(S10,"0.##")&amp;" day(s) = "&amp;TEXT(T10,"0.##")&amp;" hrs in EH",IF(S10&lt;0,"CHECK - EH has "&amp;TEXT(-S10,"0.##")&amp;" days more than policy",IF(O10&gt;0,"OK","-"))))))</f>
        <v>ADD 3 day(s) = 24 hrs in EH</v>
      </c>
      <c r="V10" s="9" t="n">
        <f aca="false">IF(OR(LEN($A10&amp;$B10)=0,$D10=""),0,1)</f>
        <v>1</v>
      </c>
      <c r="W10" s="9" t="n">
        <f aca="false">IF(V10=0,0,IF(AND($K10&lt;&gt;"",$K10&lt;=AsOfDate),1,0))</f>
        <v>0</v>
      </c>
      <c r="X10" s="11" t="n">
        <f aca="false">IF(V10=0,"",IF($K10="",AsOfDate,MIN(AsOfDate,$K10)))</f>
        <v>46295</v>
      </c>
      <c r="Y10" s="9" t="n">
        <f aca="false">IF(V10=0,"",IF(X10&lt;($D10+N($J10)),-1,12*(YEAR(X10)-YEAR(($D10+N($J10))))+MONTH(X10)-MONTH(($D10+N($J10)))-IF(DAY(X10)&lt;MIN(DAY(($D10+N($J10))),DAY(EOMONTH(X10,0))),1,0)))</f>
        <v>46</v>
      </c>
      <c r="Z10" s="9" t="n">
        <f aca="false">IF(V10=0,"",IF(AH10="",Y10,IF((AH10-1)&lt;($D10+N($J10)),-1,12*(YEAR((AH10-1))-YEAR(($D10+N($J10))))+MONTH((AH10-1))-MONTH(($D10+N($J10)))-IF(DAY((AH10-1))&lt;MIN(DAY(($D10+N($J10))),DAY(EOMONTH((AH10-1),0))),1,0))))</f>
        <v>46</v>
      </c>
      <c r="AA10" s="9" t="str">
        <f aca="false">IF(V10=0,"",IF($E10="Full-Time","FT",IF(AND($E10="Part-Time",N($F10)&gt;=PT_MinHours),"PT","None")))</f>
        <v>FT</v>
      </c>
      <c r="AB10" s="9" t="str">
        <f aca="false">IF(V10=0,"",IF($H10="Full-Time","FT",IF(AND($H10="Part-Time",N($I10)&gt;=PT_MinHours),"PT","None")))</f>
        <v>None</v>
      </c>
      <c r="AC10" s="9" t="str">
        <f aca="false">IF(V10=0,"",IF(AH10&lt;&gt;"",AB10,AA10))</f>
        <v>FT</v>
      </c>
      <c r="AD10" s="9" t="n">
        <f aca="false">IF(V10=0,"",IF(AA10="FT",IF(Z10&lt;FT_First,0,IF(Z10&lt;FT_Y5,1+INT((Z10-FT_First)/FT_Int1),FT_PreY5+FT_PerYear*INT((Z10-FT_Y5)/12)+FT_AnnivDays+INT(MOD(Z10-FT_Y5,12)/FT_Int2))),IF(AA10="PT",IF(Z10&lt;PT_First,0,1+INT((Z10-PT_First)/PT_Int)),0)))</f>
        <v>3</v>
      </c>
      <c r="AE10" s="9" t="n">
        <f aca="false">IF(V10=0,"",IF(AB10="FT",IF(Z10&lt;FT_First,0,IF(Z10&lt;FT_Y5,1+INT((Z10-FT_First)/FT_Int1),FT_PreY5+FT_PerYear*INT((Z10-FT_Y5)/12)+FT_AnnivDays+INT(MOD(Z10-FT_Y5,12)/FT_Int2))),IF(AB10="PT",IF(Z10&lt;PT_First,0,1+INT((Z10-PT_First)/PT_Int)),0)))</f>
        <v>0</v>
      </c>
      <c r="AF10" s="9" t="n">
        <f aca="false">IF(V10=0,"",IF(AB10="FT",IF(Y10&lt;FT_First,0,IF(Y10&lt;FT_Y5,1+INT((Y10-FT_First)/FT_Int1),FT_PreY5+FT_PerYear*INT((Y10-FT_Y5)/12)+FT_AnnivDays+INT(MOD(Y10-FT_Y5,12)/FT_Int2))),IF(AB10="PT",IF(Y10&lt;PT_First,0,1+INT((Y10-PT_First)/PT_Int)),0)))</f>
        <v>0</v>
      </c>
      <c r="AG10" s="9" t="n">
        <f aca="false">IF(V10=0,"",IF(AC10="FT",IF(Y10&lt;FT_First,FT_First,IF(Y10&lt;FT_Y5,MIN(FT_Y5,FT_First+FT_Int1*(INT((Y10-FT_First)/FT_Int1)+1)),FT_Y5+12*INT((Y10-FT_Y5)/12)+FT_Int2*(INT(MOD(Y10-FT_Y5,12)/FT_Int2)+1))),IF(AC10="PT",IF(Y10&lt;PT_First,PT_First,PT_First+PT_Int*(INT((Y10-PT_First)/PT_Int)+1)),"")))</f>
        <v>48</v>
      </c>
      <c r="AH10" s="11" t="str">
        <f aca="false">IF(V10=0,"",IF($G10="","",IF($G10&gt;X10,"",$G10)))</f>
        <v/>
      </c>
    </row>
    <row r="11" customFormat="false" ht="15" hidden="false" customHeight="false" outlineLevel="0" collapsed="false">
      <c r="A11" s="6" t="s">
        <v>56</v>
      </c>
      <c r="B11" s="6" t="s">
        <v>57</v>
      </c>
      <c r="C11" s="6" t="s">
        <v>42</v>
      </c>
      <c r="D11" s="7" t="n">
        <v>43313</v>
      </c>
      <c r="E11" s="6" t="s">
        <v>39</v>
      </c>
      <c r="F11" s="8" t="n">
        <v>38</v>
      </c>
      <c r="G11" s="7"/>
      <c r="H11" s="6"/>
      <c r="I11" s="8"/>
      <c r="J11" s="8"/>
      <c r="K11" s="7" t="n">
        <v>46249</v>
      </c>
      <c r="L11" s="9" t="str">
        <f aca="false">IF(V11=0,"",IF($G11="","",$E11&amp;" to "&amp;$H11&amp;IF($H11="Part-Time"," "&amp;N($I11)&amp;" hrs","")&amp;" on "&amp;TEXT($G11,"dd/mm/yyyy")&amp;IF($G11&gt;AsOfDate," (future)",IF(AA11=AC11,"",IF(AC11="None"," - STOPPED accruing",IF(AA11="None"," - now qualifying"," - pathway changed"))))))</f>
        <v/>
      </c>
      <c r="M11" s="9" t="str">
        <f aca="false">IF(V11=0,"",IF(W11=1,"Terminated",IF(AC11="None",IF(O11&gt;0,"No longer accruing","Not eligible - "&amp;IF(AND(AC11="None",IF(AH11&lt;&gt;"",$H11,$E11)="Part-Time"),"under "&amp;PT_MinHours&amp;" hrs",IF(AH11&lt;&gt;"",$H11,$E11))),IF(O11&gt;0,"Yes - accruing","Not yet - from "&amp;TEXT(Q11,"dd/mm/yyyy")))))</f>
        <v>Terminated</v>
      </c>
      <c r="N11" s="9" t="str">
        <f aca="false">IF(V11=0,"",IF(Y11&lt;0,"-",INT(Y11/12)&amp;"y "&amp;MOD(Y11,12)&amp;"m"))</f>
        <v>8y 0m</v>
      </c>
      <c r="O11" s="10" t="n">
        <f aca="false">IF(V11=0,"",AD11+IF(AH11="",0,AF11-AE11))</f>
        <v>23</v>
      </c>
      <c r="P11" s="10" t="n">
        <f aca="false">IF(V11=0,"",O11*HoursPerDay)</f>
        <v>184</v>
      </c>
      <c r="Q11" s="11" t="str">
        <f aca="false">IF(V11=0,"",IF(OR(W11=1,AC11="None"),"",EDATE(($D11+N($J11)),AG11)))</f>
        <v/>
      </c>
      <c r="R11" s="10" t="n">
        <f aca="false">IF(V11=0,"",IF(NOT(EH_Ready),"",SUMIFS(INDEX(EH_Data,0,EH_ColBal),INDEX(EH_Data,0,EH_ColFirst),$A11,INDEX(EH_Data,0,EH_ColSur),$B11,INDEX(EH_Data,0,EH_ColCat),BonusCat)/IF(EHUnit="Hours",HoursPerDay,1)))</f>
        <v>5</v>
      </c>
      <c r="S11" s="10" t="str">
        <f aca="false">IF(OR(V11=0,R11="",W11=1),"",O11-R11)</f>
        <v/>
      </c>
      <c r="T11" s="10" t="str">
        <f aca="false">IF(S11="","",S11*HoursPerDay)</f>
        <v/>
      </c>
      <c r="U11" s="9" t="str">
        <f aca="false">IF(V11=0,"",IF(W11=1,IF(N(R11)&gt;0,"TERMINATED - forfeit "&amp;TEXT(R11,"0.##")&amp;" days in EH","Terminated"),IF(NOT(EH_Ready),"Paste EH export (see Settings)",IF(S11&gt;0,"ADD "&amp;TEXT(S11,"0.##")&amp;" day(s) = "&amp;TEXT(T11,"0.##")&amp;" hrs in EH",IF(S11&lt;0,"CHECK - EH has "&amp;TEXT(-S11,"0.##")&amp;" days more than policy",IF(O11&gt;0,"OK","-"))))))</f>
        <v>TERMINATED - forfeit 5 days in EH</v>
      </c>
      <c r="V11" s="9" t="n">
        <f aca="false">IF(OR(LEN($A11&amp;$B11)=0,$D11=""),0,1)</f>
        <v>1</v>
      </c>
      <c r="W11" s="9" t="n">
        <f aca="false">IF(V11=0,0,IF(AND($K11&lt;&gt;"",$K11&lt;=AsOfDate),1,0))</f>
        <v>1</v>
      </c>
      <c r="X11" s="11" t="n">
        <f aca="false">IF(V11=0,"",IF($K11="",AsOfDate,MIN(AsOfDate,$K11)))</f>
        <v>46249</v>
      </c>
      <c r="Y11" s="9" t="n">
        <f aca="false">IF(V11=0,"",IF(X11&lt;($D11+N($J11)),-1,12*(YEAR(X11)-YEAR(($D11+N($J11))))+MONTH(X11)-MONTH(($D11+N($J11)))-IF(DAY(X11)&lt;MIN(DAY(($D11+N($J11))),DAY(EOMONTH(X11,0))),1,0)))</f>
        <v>96</v>
      </c>
      <c r="Z11" s="9" t="n">
        <f aca="false">IF(V11=0,"",IF(AH11="",Y11,IF((AH11-1)&lt;($D11+N($J11)),-1,12*(YEAR((AH11-1))-YEAR(($D11+N($J11))))+MONTH((AH11-1))-MONTH(($D11+N($J11)))-IF(DAY((AH11-1))&lt;MIN(DAY(($D11+N($J11))),DAY(EOMONTH((AH11-1),0))),1,0))))</f>
        <v>96</v>
      </c>
      <c r="AA11" s="9" t="str">
        <f aca="false">IF(V11=0,"",IF($E11="Full-Time","FT",IF(AND($E11="Part-Time",N($F11)&gt;=PT_MinHours),"PT","None")))</f>
        <v>FT</v>
      </c>
      <c r="AB11" s="9" t="str">
        <f aca="false">IF(V11=0,"",IF($H11="Full-Time","FT",IF(AND($H11="Part-Time",N($I11)&gt;=PT_MinHours),"PT","None")))</f>
        <v>None</v>
      </c>
      <c r="AC11" s="9" t="str">
        <f aca="false">IF(V11=0,"",IF(AH11&lt;&gt;"",AB11,AA11))</f>
        <v>FT</v>
      </c>
      <c r="AD11" s="9" t="n">
        <f aca="false">IF(V11=0,"",IF(AA11="FT",IF(Z11&lt;FT_First,0,IF(Z11&lt;FT_Y5,1+INT((Z11-FT_First)/FT_Int1),FT_PreY5+FT_PerYear*INT((Z11-FT_Y5)/12)+FT_AnnivDays+INT(MOD(Z11-FT_Y5,12)/FT_Int2))),IF(AA11="PT",IF(Z11&lt;PT_First,0,1+INT((Z11-PT_First)/PT_Int)),0)))</f>
        <v>23</v>
      </c>
      <c r="AE11" s="9" t="n">
        <f aca="false">IF(V11=0,"",IF(AB11="FT",IF(Z11&lt;FT_First,0,IF(Z11&lt;FT_Y5,1+INT((Z11-FT_First)/FT_Int1),FT_PreY5+FT_PerYear*INT((Z11-FT_Y5)/12)+FT_AnnivDays+INT(MOD(Z11-FT_Y5,12)/FT_Int2))),IF(AB11="PT",IF(Z11&lt;PT_First,0,1+INT((Z11-PT_First)/PT_Int)),0)))</f>
        <v>0</v>
      </c>
      <c r="AF11" s="9" t="n">
        <f aca="false">IF(V11=0,"",IF(AB11="FT",IF(Y11&lt;FT_First,0,IF(Y11&lt;FT_Y5,1+INT((Y11-FT_First)/FT_Int1),FT_PreY5+FT_PerYear*INT((Y11-FT_Y5)/12)+FT_AnnivDays+INT(MOD(Y11-FT_Y5,12)/FT_Int2))),IF(AB11="PT",IF(Y11&lt;PT_First,0,1+INT((Y11-PT_First)/PT_Int)),0)))</f>
        <v>0</v>
      </c>
      <c r="AG11" s="9" t="n">
        <f aca="false">IF(V11=0,"",IF(AC11="FT",IF(Y11&lt;FT_First,FT_First,IF(Y11&lt;FT_Y5,MIN(FT_Y5,FT_First+FT_Int1*(INT((Y11-FT_First)/FT_Int1)+1)),FT_Y5+12*INT((Y11-FT_Y5)/12)+FT_Int2*(INT(MOD(Y11-FT_Y5,12)/FT_Int2)+1))),IF(AC11="PT",IF(Y11&lt;PT_First,PT_First,PT_First+PT_Int*(INT((Y11-PT_First)/PT_Int)+1)),"")))</f>
        <v>99</v>
      </c>
      <c r="AH11" s="11" t="str">
        <f aca="false">IF(V11=0,"",IF($G11="","",IF($G11&gt;X11,"",$G11)))</f>
        <v/>
      </c>
    </row>
    <row r="12" customFormat="false" ht="15" hidden="false" customHeight="false" outlineLevel="0" collapsed="false">
      <c r="A12" s="6" t="s">
        <v>58</v>
      </c>
      <c r="B12" s="6" t="s">
        <v>59</v>
      </c>
      <c r="C12" s="6" t="s">
        <v>50</v>
      </c>
      <c r="D12" s="7" t="n">
        <v>45627</v>
      </c>
      <c r="E12" s="6" t="s">
        <v>39</v>
      </c>
      <c r="F12" s="8" t="n">
        <v>38</v>
      </c>
      <c r="G12" s="7"/>
      <c r="H12" s="6"/>
      <c r="I12" s="8"/>
      <c r="J12" s="8"/>
      <c r="K12" s="7"/>
      <c r="L12" s="9" t="str">
        <f aca="false">IF(V12=0,"",IF($G12="","",$E12&amp;" to "&amp;$H12&amp;IF($H12="Part-Time"," "&amp;N($I12)&amp;" hrs","")&amp;" on "&amp;TEXT($G12,"dd/mm/yyyy")&amp;IF($G12&gt;AsOfDate," (future)",IF(AA12=AC12,"",IF(AC12="None"," - STOPPED accruing",IF(AA12="None"," - now qualifying"," - pathway changed"))))))</f>
        <v/>
      </c>
      <c r="M12" s="9" t="str">
        <f aca="false">IF(V12=0,"",IF(W12=1,"Terminated",IF(AC12="None",IF(O12&gt;0,"No longer accruing","Not eligible - "&amp;IF(AND(AC12="None",IF(AH12&lt;&gt;"",$H12,$E12)="Part-Time"),"under "&amp;PT_MinHours&amp;" hrs",IF(AH12&lt;&gt;"",$H12,$E12))),IF(O12&gt;0,"Yes - accruing","Not yet - from "&amp;TEXT(Q12,"dd/mm/yyyy")))))</f>
        <v>Not yet - from 01/12/2027</v>
      </c>
      <c r="N12" s="9" t="str">
        <f aca="false">IF(V12=0,"",IF(Y12&lt;0,"-",INT(Y12/12)&amp;"y "&amp;MOD(Y12,12)&amp;"m"))</f>
        <v>1y 9m</v>
      </c>
      <c r="O12" s="10" t="n">
        <f aca="false">IF(V12=0,"",AD12+IF(AH12="",0,AF12-AE12))</f>
        <v>0</v>
      </c>
      <c r="P12" s="10" t="n">
        <f aca="false">IF(V12=0,"",O12*HoursPerDay)</f>
        <v>0</v>
      </c>
      <c r="Q12" s="11" t="n">
        <f aca="false">IF(V12=0,"",IF(OR(W12=1,AC12="None"),"",EDATE(($D12+N($J12)),AG12)))</f>
        <v>46722</v>
      </c>
      <c r="R12" s="10" t="n">
        <f aca="false">IF(V12=0,"",IF(NOT(EH_Ready),"",SUMIFS(INDEX(EH_Data,0,EH_ColBal),INDEX(EH_Data,0,EH_ColFirst),$A12,INDEX(EH_Data,0,EH_ColSur),$B12,INDEX(EH_Data,0,EH_ColCat),BonusCat)/IF(EHUnit="Hours",HoursPerDay,1)))</f>
        <v>0</v>
      </c>
      <c r="S12" s="10" t="n">
        <f aca="false">IF(OR(V12=0,R12="",W12=1),"",O12-R12)</f>
        <v>0</v>
      </c>
      <c r="T12" s="10" t="n">
        <f aca="false">IF(S12="","",S12*HoursPerDay)</f>
        <v>0</v>
      </c>
      <c r="U12" s="9" t="str">
        <f aca="false">IF(V12=0,"",IF(W12=1,IF(N(R12)&gt;0,"TERMINATED - forfeit "&amp;TEXT(R12,"0.##")&amp;" days in EH","Terminated"),IF(NOT(EH_Ready),"Paste EH export (see Settings)",IF(S12&gt;0,"ADD "&amp;TEXT(S12,"0.##")&amp;" day(s) = "&amp;TEXT(T12,"0.##")&amp;" hrs in EH",IF(S12&lt;0,"CHECK - EH has "&amp;TEXT(-S12,"0.##")&amp;" days more than policy",IF(O12&gt;0,"OK","-"))))))</f>
        <v>-</v>
      </c>
      <c r="V12" s="9" t="n">
        <f aca="false">IF(OR(LEN($A12&amp;$B12)=0,$D12=""),0,1)</f>
        <v>1</v>
      </c>
      <c r="W12" s="9" t="n">
        <f aca="false">IF(V12=0,0,IF(AND($K12&lt;&gt;"",$K12&lt;=AsOfDate),1,0))</f>
        <v>0</v>
      </c>
      <c r="X12" s="11" t="n">
        <f aca="false">IF(V12=0,"",IF($K12="",AsOfDate,MIN(AsOfDate,$K12)))</f>
        <v>46295</v>
      </c>
      <c r="Y12" s="9" t="n">
        <f aca="false">IF(V12=0,"",IF(X12&lt;($D12+N($J12)),-1,12*(YEAR(X12)-YEAR(($D12+N($J12))))+MONTH(X12)-MONTH(($D12+N($J12)))-IF(DAY(X12)&lt;MIN(DAY(($D12+N($J12))),DAY(EOMONTH(X12,0))),1,0)))</f>
        <v>21</v>
      </c>
      <c r="Z12" s="9" t="n">
        <f aca="false">IF(V12=0,"",IF(AH12="",Y12,IF((AH12-1)&lt;($D12+N($J12)),-1,12*(YEAR((AH12-1))-YEAR(($D12+N($J12))))+MONTH((AH12-1))-MONTH(($D12+N($J12)))-IF(DAY((AH12-1))&lt;MIN(DAY(($D12+N($J12))),DAY(EOMONTH((AH12-1),0))),1,0))))</f>
        <v>21</v>
      </c>
      <c r="AA12" s="9" t="str">
        <f aca="false">IF(V12=0,"",IF($E12="Full-Time","FT",IF(AND($E12="Part-Time",N($F12)&gt;=PT_MinHours),"PT","None")))</f>
        <v>FT</v>
      </c>
      <c r="AB12" s="9" t="str">
        <f aca="false">IF(V12=0,"",IF($H12="Full-Time","FT",IF(AND($H12="Part-Time",N($I12)&gt;=PT_MinHours),"PT","None")))</f>
        <v>None</v>
      </c>
      <c r="AC12" s="9" t="str">
        <f aca="false">IF(V12=0,"",IF(AH12&lt;&gt;"",AB12,AA12))</f>
        <v>FT</v>
      </c>
      <c r="AD12" s="9" t="n">
        <f aca="false">IF(V12=0,"",IF(AA12="FT",IF(Z12&lt;FT_First,0,IF(Z12&lt;FT_Y5,1+INT((Z12-FT_First)/FT_Int1),FT_PreY5+FT_PerYear*INT((Z12-FT_Y5)/12)+FT_AnnivDays+INT(MOD(Z12-FT_Y5,12)/FT_Int2))),IF(AA12="PT",IF(Z12&lt;PT_First,0,1+INT((Z12-PT_First)/PT_Int)),0)))</f>
        <v>0</v>
      </c>
      <c r="AE12" s="9" t="n">
        <f aca="false">IF(V12=0,"",IF(AB12="FT",IF(Z12&lt;FT_First,0,IF(Z12&lt;FT_Y5,1+INT((Z12-FT_First)/FT_Int1),FT_PreY5+FT_PerYear*INT((Z12-FT_Y5)/12)+FT_AnnivDays+INT(MOD(Z12-FT_Y5,12)/FT_Int2))),IF(AB12="PT",IF(Z12&lt;PT_First,0,1+INT((Z12-PT_First)/PT_Int)),0)))</f>
        <v>0</v>
      </c>
      <c r="AF12" s="9" t="n">
        <f aca="false">IF(V12=0,"",IF(AB12="FT",IF(Y12&lt;FT_First,0,IF(Y12&lt;FT_Y5,1+INT((Y12-FT_First)/FT_Int1),FT_PreY5+FT_PerYear*INT((Y12-FT_Y5)/12)+FT_AnnivDays+INT(MOD(Y12-FT_Y5,12)/FT_Int2))),IF(AB12="PT",IF(Y12&lt;PT_First,0,1+INT((Y12-PT_First)/PT_Int)),0)))</f>
        <v>0</v>
      </c>
      <c r="AG12" s="9" t="n">
        <f aca="false">IF(V12=0,"",IF(AC12="FT",IF(Y12&lt;FT_First,FT_First,IF(Y12&lt;FT_Y5,MIN(FT_Y5,FT_First+FT_Int1*(INT((Y12-FT_First)/FT_Int1)+1)),FT_Y5+12*INT((Y12-FT_Y5)/12)+FT_Int2*(INT(MOD(Y12-FT_Y5,12)/FT_Int2)+1))),IF(AC12="PT",IF(Y12&lt;PT_First,PT_First,PT_First+PT_Int*(INT((Y12-PT_First)/PT_Int)+1)),"")))</f>
        <v>36</v>
      </c>
      <c r="AH12" s="11" t="str">
        <f aca="false">IF(V12=0,"",IF($G12="","",IF($G12&gt;X12,"",$G12)))</f>
        <v/>
      </c>
    </row>
    <row r="13" customFormat="false" ht="15" hidden="false" customHeight="false" outlineLevel="0" collapsed="false">
      <c r="A13" s="12"/>
      <c r="B13" s="12"/>
      <c r="C13" s="12"/>
      <c r="D13" s="13"/>
      <c r="E13" s="12"/>
      <c r="F13" s="14"/>
      <c r="G13" s="13"/>
      <c r="H13" s="12"/>
      <c r="I13" s="14"/>
      <c r="J13" s="14"/>
      <c r="K13" s="13"/>
      <c r="L13" s="9" t="str">
        <f aca="false">IF(V13=0,"",IF($G13="","",$E13&amp;" to "&amp;$H13&amp;IF($H13="Part-Time"," "&amp;N($I13)&amp;" hrs","")&amp;" on "&amp;TEXT($G13,"dd/mm/yyyy")&amp;IF($G13&gt;AsOfDate," (future)",IF(AA13=AC13,"",IF(AC13="None"," - STOPPED accruing",IF(AA13="None"," - now qualifying"," - pathway changed"))))))</f>
        <v/>
      </c>
      <c r="M13" s="9" t="str">
        <f aca="false">IF(V13=0,"",IF(W13=1,"Terminated",IF(AC13="None",IF(O13&gt;0,"No longer accruing","Not eligible - "&amp;IF(AND(AC13="None",IF(AH13&lt;&gt;"",$H13,$E13)="Part-Time"),"under "&amp;PT_MinHours&amp;" hrs",IF(AH13&lt;&gt;"",$H13,$E13))),IF(O13&gt;0,"Yes - accruing","Not yet - from "&amp;TEXT(Q13,"dd/mm/yyyy")))))</f>
        <v/>
      </c>
      <c r="N13" s="9" t="str">
        <f aca="false">IF(V13=0,"",IF(Y13&lt;0,"-",INT(Y13/12)&amp;"y "&amp;MOD(Y13,12)&amp;"m"))</f>
        <v/>
      </c>
      <c r="O13" s="10" t="str">
        <f aca="false">IF(V13=0,"",AD13+IF(AH13="",0,AF13-AE13))</f>
        <v/>
      </c>
      <c r="P13" s="10" t="str">
        <f aca="false">IF(V13=0,"",O13*HoursPerDay)</f>
        <v/>
      </c>
      <c r="Q13" s="11" t="str">
        <f aca="false">IF(V13=0,"",IF(OR(W13=1,AC13="None"),"",EDATE(($D13+N($J13)),AG13)))</f>
        <v/>
      </c>
      <c r="R13" s="10" t="str">
        <f aca="false">IF(V13=0,"",IF(NOT(EH_Ready),"",SUMIFS(INDEX(EH_Data,0,EH_ColBal),INDEX(EH_Data,0,EH_ColFirst),$A13,INDEX(EH_Data,0,EH_ColSur),$B13,INDEX(EH_Data,0,EH_ColCat),BonusCat)/IF(EHUnit="Hours",HoursPerDay,1)))</f>
        <v/>
      </c>
      <c r="S13" s="10" t="str">
        <f aca="false">IF(OR(V13=0,R13="",W13=1),"",O13-R13)</f>
        <v/>
      </c>
      <c r="T13" s="10" t="str">
        <f aca="false">IF(S13="","",S13*HoursPerDay)</f>
        <v/>
      </c>
      <c r="U13" s="9" t="str">
        <f aca="false">IF(V13=0,"",IF(W13=1,IF(N(R13)&gt;0,"TERMINATED - forfeit "&amp;TEXT(R13,"0.##")&amp;" days in EH","Terminated"),IF(NOT(EH_Ready),"Paste EH export (see Settings)",IF(S13&gt;0,"ADD "&amp;TEXT(S13,"0.##")&amp;" day(s) = "&amp;TEXT(T13,"0.##")&amp;" hrs in EH",IF(S13&lt;0,"CHECK - EH has "&amp;TEXT(-S13,"0.##")&amp;" days more than policy",IF(O13&gt;0,"OK","-"))))))</f>
        <v/>
      </c>
      <c r="V13" s="9" t="n">
        <f aca="false">IF(OR(LEN($A13&amp;$B13)=0,$D13=""),0,1)</f>
        <v>0</v>
      </c>
      <c r="W13" s="9" t="n">
        <f aca="false">IF(V13=0,0,IF(AND($K13&lt;&gt;"",$K13&lt;=AsOfDate),1,0))</f>
        <v>0</v>
      </c>
      <c r="X13" s="11" t="str">
        <f aca="false">IF(V13=0,"",IF($K13="",AsOfDate,MIN(AsOfDate,$K13)))</f>
        <v/>
      </c>
      <c r="Y13" s="9" t="str">
        <f aca="false">IF(V13=0,"",IF(X13&lt;($D13+N($J13)),-1,12*(YEAR(X13)-YEAR(($D13+N($J13))))+MONTH(X13)-MONTH(($D13+N($J13)))-IF(DAY(X13)&lt;MIN(DAY(($D13+N($J13))),DAY(EOMONTH(X13,0))),1,0)))</f>
        <v/>
      </c>
      <c r="Z13" s="9" t="str">
        <f aca="false">IF(V13=0,"",IF(AH13="",Y13,IF((AH13-1)&lt;($D13+N($J13)),-1,12*(YEAR((AH13-1))-YEAR(($D13+N($J13))))+MONTH((AH13-1))-MONTH(($D13+N($J13)))-IF(DAY((AH13-1))&lt;MIN(DAY(($D13+N($J13))),DAY(EOMONTH((AH13-1),0))),1,0))))</f>
        <v/>
      </c>
      <c r="AA13" s="9" t="str">
        <f aca="false">IF(V13=0,"",IF($E13="Full-Time","FT",IF(AND($E13="Part-Time",N($F13)&gt;=PT_MinHours),"PT","None")))</f>
        <v/>
      </c>
      <c r="AB13" s="9" t="str">
        <f aca="false">IF(V13=0,"",IF($H13="Full-Time","FT",IF(AND($H13="Part-Time",N($I13)&gt;=PT_MinHours),"PT","None")))</f>
        <v/>
      </c>
      <c r="AC13" s="9" t="str">
        <f aca="false">IF(V13=0,"",IF(AH13&lt;&gt;"",AB13,AA13))</f>
        <v/>
      </c>
      <c r="AD13" s="9" t="str">
        <f aca="false">IF(V13=0,"",IF(AA13="FT",IF(Z13&lt;FT_First,0,IF(Z13&lt;FT_Y5,1+INT((Z13-FT_First)/FT_Int1),FT_PreY5+FT_PerYear*INT((Z13-FT_Y5)/12)+FT_AnnivDays+INT(MOD(Z13-FT_Y5,12)/FT_Int2))),IF(AA13="PT",IF(Z13&lt;PT_First,0,1+INT((Z13-PT_First)/PT_Int)),0)))</f>
        <v/>
      </c>
      <c r="AE13" s="9" t="str">
        <f aca="false">IF(V13=0,"",IF(AB13="FT",IF(Z13&lt;FT_First,0,IF(Z13&lt;FT_Y5,1+INT((Z13-FT_First)/FT_Int1),FT_PreY5+FT_PerYear*INT((Z13-FT_Y5)/12)+FT_AnnivDays+INT(MOD(Z13-FT_Y5,12)/FT_Int2))),IF(AB13="PT",IF(Z13&lt;PT_First,0,1+INT((Z13-PT_First)/PT_Int)),0)))</f>
        <v/>
      </c>
      <c r="AF13" s="9" t="str">
        <f aca="false">IF(V13=0,"",IF(AB13="FT",IF(Y13&lt;FT_First,0,IF(Y13&lt;FT_Y5,1+INT((Y13-FT_First)/FT_Int1),FT_PreY5+FT_PerYear*INT((Y13-FT_Y5)/12)+FT_AnnivDays+INT(MOD(Y13-FT_Y5,12)/FT_Int2))),IF(AB13="PT",IF(Y13&lt;PT_First,0,1+INT((Y13-PT_First)/PT_Int)),0)))</f>
        <v/>
      </c>
      <c r="AG13" s="9" t="str">
        <f aca="false">IF(V13=0,"",IF(AC13="FT",IF(Y13&lt;FT_First,FT_First,IF(Y13&lt;FT_Y5,MIN(FT_Y5,FT_First+FT_Int1*(INT((Y13-FT_First)/FT_Int1)+1)),FT_Y5+12*INT((Y13-FT_Y5)/12)+FT_Int2*(INT(MOD(Y13-FT_Y5,12)/FT_Int2)+1))),IF(AC13="PT",IF(Y13&lt;PT_First,PT_First,PT_First+PT_Int*(INT((Y13-PT_First)/PT_Int)+1)),"")))</f>
        <v/>
      </c>
      <c r="AH13" s="11" t="str">
        <f aca="false">IF(V13=0,"",IF($G13="","",IF($G13&gt;X13,"",$G13)))</f>
        <v/>
      </c>
    </row>
    <row r="14" customFormat="false" ht="15" hidden="false" customHeight="false" outlineLevel="0" collapsed="false">
      <c r="A14" s="12"/>
      <c r="B14" s="12"/>
      <c r="C14" s="12"/>
      <c r="D14" s="13"/>
      <c r="E14" s="12"/>
      <c r="F14" s="14"/>
      <c r="G14" s="13"/>
      <c r="H14" s="12"/>
      <c r="I14" s="14"/>
      <c r="J14" s="14"/>
      <c r="K14" s="13"/>
      <c r="L14" s="9" t="str">
        <f aca="false">IF(V14=0,"",IF($G14="","",$E14&amp;" to "&amp;$H14&amp;IF($H14="Part-Time"," "&amp;N($I14)&amp;" hrs","")&amp;" on "&amp;TEXT($G14,"dd/mm/yyyy")&amp;IF($G14&gt;AsOfDate," (future)",IF(AA14=AC14,"",IF(AC14="None"," - STOPPED accruing",IF(AA14="None"," - now qualifying"," - pathway changed"))))))</f>
        <v/>
      </c>
      <c r="M14" s="9" t="str">
        <f aca="false">IF(V14=0,"",IF(W14=1,"Terminated",IF(AC14="None",IF(O14&gt;0,"No longer accruing","Not eligible - "&amp;IF(AND(AC14="None",IF(AH14&lt;&gt;"",$H14,$E14)="Part-Time"),"under "&amp;PT_MinHours&amp;" hrs",IF(AH14&lt;&gt;"",$H14,$E14))),IF(O14&gt;0,"Yes - accruing","Not yet - from "&amp;TEXT(Q14,"dd/mm/yyyy")))))</f>
        <v/>
      </c>
      <c r="N14" s="9" t="str">
        <f aca="false">IF(V14=0,"",IF(Y14&lt;0,"-",INT(Y14/12)&amp;"y "&amp;MOD(Y14,12)&amp;"m"))</f>
        <v/>
      </c>
      <c r="O14" s="10" t="str">
        <f aca="false">IF(V14=0,"",AD14+IF(AH14="",0,AF14-AE14))</f>
        <v/>
      </c>
      <c r="P14" s="10" t="str">
        <f aca="false">IF(V14=0,"",O14*HoursPerDay)</f>
        <v/>
      </c>
      <c r="Q14" s="11" t="str">
        <f aca="false">IF(V14=0,"",IF(OR(W14=1,AC14="None"),"",EDATE(($D14+N($J14)),AG14)))</f>
        <v/>
      </c>
      <c r="R14" s="10" t="str">
        <f aca="false">IF(V14=0,"",IF(NOT(EH_Ready),"",SUMIFS(INDEX(EH_Data,0,EH_ColBal),INDEX(EH_Data,0,EH_ColFirst),$A14,INDEX(EH_Data,0,EH_ColSur),$B14,INDEX(EH_Data,0,EH_ColCat),BonusCat)/IF(EHUnit="Hours",HoursPerDay,1)))</f>
        <v/>
      </c>
      <c r="S14" s="10" t="str">
        <f aca="false">IF(OR(V14=0,R14="",W14=1),"",O14-R14)</f>
        <v/>
      </c>
      <c r="T14" s="10" t="str">
        <f aca="false">IF(S14="","",S14*HoursPerDay)</f>
        <v/>
      </c>
      <c r="U14" s="9" t="str">
        <f aca="false">IF(V14=0,"",IF(W14=1,IF(N(R14)&gt;0,"TERMINATED - forfeit "&amp;TEXT(R14,"0.##")&amp;" days in EH","Terminated"),IF(NOT(EH_Ready),"Paste EH export (see Settings)",IF(S14&gt;0,"ADD "&amp;TEXT(S14,"0.##")&amp;" day(s) = "&amp;TEXT(T14,"0.##")&amp;" hrs in EH",IF(S14&lt;0,"CHECK - EH has "&amp;TEXT(-S14,"0.##")&amp;" days more than policy",IF(O14&gt;0,"OK","-"))))))</f>
        <v/>
      </c>
      <c r="V14" s="9" t="n">
        <f aca="false">IF(OR(LEN($A14&amp;$B14)=0,$D14=""),0,1)</f>
        <v>0</v>
      </c>
      <c r="W14" s="9" t="n">
        <f aca="false">IF(V14=0,0,IF(AND($K14&lt;&gt;"",$K14&lt;=AsOfDate),1,0))</f>
        <v>0</v>
      </c>
      <c r="X14" s="11" t="str">
        <f aca="false">IF(V14=0,"",IF($K14="",AsOfDate,MIN(AsOfDate,$K14)))</f>
        <v/>
      </c>
      <c r="Y14" s="9" t="str">
        <f aca="false">IF(V14=0,"",IF(X14&lt;($D14+N($J14)),-1,12*(YEAR(X14)-YEAR(($D14+N($J14))))+MONTH(X14)-MONTH(($D14+N($J14)))-IF(DAY(X14)&lt;MIN(DAY(($D14+N($J14))),DAY(EOMONTH(X14,0))),1,0)))</f>
        <v/>
      </c>
      <c r="Z14" s="9" t="str">
        <f aca="false">IF(V14=0,"",IF(AH14="",Y14,IF((AH14-1)&lt;($D14+N($J14)),-1,12*(YEAR((AH14-1))-YEAR(($D14+N($J14))))+MONTH((AH14-1))-MONTH(($D14+N($J14)))-IF(DAY((AH14-1))&lt;MIN(DAY(($D14+N($J14))),DAY(EOMONTH((AH14-1),0))),1,0))))</f>
        <v/>
      </c>
      <c r="AA14" s="9" t="str">
        <f aca="false">IF(V14=0,"",IF($E14="Full-Time","FT",IF(AND($E14="Part-Time",N($F14)&gt;=PT_MinHours),"PT","None")))</f>
        <v/>
      </c>
      <c r="AB14" s="9" t="str">
        <f aca="false">IF(V14=0,"",IF($H14="Full-Time","FT",IF(AND($H14="Part-Time",N($I14)&gt;=PT_MinHours),"PT","None")))</f>
        <v/>
      </c>
      <c r="AC14" s="9" t="str">
        <f aca="false">IF(V14=0,"",IF(AH14&lt;&gt;"",AB14,AA14))</f>
        <v/>
      </c>
      <c r="AD14" s="9" t="str">
        <f aca="false">IF(V14=0,"",IF(AA14="FT",IF(Z14&lt;FT_First,0,IF(Z14&lt;FT_Y5,1+INT((Z14-FT_First)/FT_Int1),FT_PreY5+FT_PerYear*INT((Z14-FT_Y5)/12)+FT_AnnivDays+INT(MOD(Z14-FT_Y5,12)/FT_Int2))),IF(AA14="PT",IF(Z14&lt;PT_First,0,1+INT((Z14-PT_First)/PT_Int)),0)))</f>
        <v/>
      </c>
      <c r="AE14" s="9" t="str">
        <f aca="false">IF(V14=0,"",IF(AB14="FT",IF(Z14&lt;FT_First,0,IF(Z14&lt;FT_Y5,1+INT((Z14-FT_First)/FT_Int1),FT_PreY5+FT_PerYear*INT((Z14-FT_Y5)/12)+FT_AnnivDays+INT(MOD(Z14-FT_Y5,12)/FT_Int2))),IF(AB14="PT",IF(Z14&lt;PT_First,0,1+INT((Z14-PT_First)/PT_Int)),0)))</f>
        <v/>
      </c>
      <c r="AF14" s="9" t="str">
        <f aca="false">IF(V14=0,"",IF(AB14="FT",IF(Y14&lt;FT_First,0,IF(Y14&lt;FT_Y5,1+INT((Y14-FT_First)/FT_Int1),FT_PreY5+FT_PerYear*INT((Y14-FT_Y5)/12)+FT_AnnivDays+INT(MOD(Y14-FT_Y5,12)/FT_Int2))),IF(AB14="PT",IF(Y14&lt;PT_First,0,1+INT((Y14-PT_First)/PT_Int)),0)))</f>
        <v/>
      </c>
      <c r="AG14" s="9" t="str">
        <f aca="false">IF(V14=0,"",IF(AC14="FT",IF(Y14&lt;FT_First,FT_First,IF(Y14&lt;FT_Y5,MIN(FT_Y5,FT_First+FT_Int1*(INT((Y14-FT_First)/FT_Int1)+1)),FT_Y5+12*INT((Y14-FT_Y5)/12)+FT_Int2*(INT(MOD(Y14-FT_Y5,12)/FT_Int2)+1))),IF(AC14="PT",IF(Y14&lt;PT_First,PT_First,PT_First+PT_Int*(INT((Y14-PT_First)/PT_Int)+1)),"")))</f>
        <v/>
      </c>
      <c r="AH14" s="11" t="str">
        <f aca="false">IF(V14=0,"",IF($G14="","",IF($G14&gt;X14,"",$G14)))</f>
        <v/>
      </c>
    </row>
    <row r="15" customFormat="false" ht="15" hidden="false" customHeight="false" outlineLevel="0" collapsed="false">
      <c r="A15" s="12"/>
      <c r="B15" s="12"/>
      <c r="C15" s="12"/>
      <c r="D15" s="13"/>
      <c r="E15" s="12"/>
      <c r="F15" s="14"/>
      <c r="G15" s="13"/>
      <c r="H15" s="12"/>
      <c r="I15" s="14"/>
      <c r="J15" s="14"/>
      <c r="K15" s="13"/>
      <c r="L15" s="9" t="str">
        <f aca="false">IF(V15=0,"",IF($G15="","",$E15&amp;" to "&amp;$H15&amp;IF($H15="Part-Time"," "&amp;N($I15)&amp;" hrs","")&amp;" on "&amp;TEXT($G15,"dd/mm/yyyy")&amp;IF($G15&gt;AsOfDate," (future)",IF(AA15=AC15,"",IF(AC15="None"," - STOPPED accruing",IF(AA15="None"," - now qualifying"," - pathway changed"))))))</f>
        <v/>
      </c>
      <c r="M15" s="9" t="str">
        <f aca="false">IF(V15=0,"",IF(W15=1,"Terminated",IF(AC15="None",IF(O15&gt;0,"No longer accruing","Not eligible - "&amp;IF(AND(AC15="None",IF(AH15&lt;&gt;"",$H15,$E15)="Part-Time"),"under "&amp;PT_MinHours&amp;" hrs",IF(AH15&lt;&gt;"",$H15,$E15))),IF(O15&gt;0,"Yes - accruing","Not yet - from "&amp;TEXT(Q15,"dd/mm/yyyy")))))</f>
        <v/>
      </c>
      <c r="N15" s="9" t="str">
        <f aca="false">IF(V15=0,"",IF(Y15&lt;0,"-",INT(Y15/12)&amp;"y "&amp;MOD(Y15,12)&amp;"m"))</f>
        <v/>
      </c>
      <c r="O15" s="10" t="str">
        <f aca="false">IF(V15=0,"",AD15+IF(AH15="",0,AF15-AE15))</f>
        <v/>
      </c>
      <c r="P15" s="10" t="str">
        <f aca="false">IF(V15=0,"",O15*HoursPerDay)</f>
        <v/>
      </c>
      <c r="Q15" s="11" t="str">
        <f aca="false">IF(V15=0,"",IF(OR(W15=1,AC15="None"),"",EDATE(($D15+N($J15)),AG15)))</f>
        <v/>
      </c>
      <c r="R15" s="10" t="str">
        <f aca="false">IF(V15=0,"",IF(NOT(EH_Ready),"",SUMIFS(INDEX(EH_Data,0,EH_ColBal),INDEX(EH_Data,0,EH_ColFirst),$A15,INDEX(EH_Data,0,EH_ColSur),$B15,INDEX(EH_Data,0,EH_ColCat),BonusCat)/IF(EHUnit="Hours",HoursPerDay,1)))</f>
        <v/>
      </c>
      <c r="S15" s="10" t="str">
        <f aca="false">IF(OR(V15=0,R15="",W15=1),"",O15-R15)</f>
        <v/>
      </c>
      <c r="T15" s="10" t="str">
        <f aca="false">IF(S15="","",S15*HoursPerDay)</f>
        <v/>
      </c>
      <c r="U15" s="9" t="str">
        <f aca="false">IF(V15=0,"",IF(W15=1,IF(N(R15)&gt;0,"TERMINATED - forfeit "&amp;TEXT(R15,"0.##")&amp;" days in EH","Terminated"),IF(NOT(EH_Ready),"Paste EH export (see Settings)",IF(S15&gt;0,"ADD "&amp;TEXT(S15,"0.##")&amp;" day(s) = "&amp;TEXT(T15,"0.##")&amp;" hrs in EH",IF(S15&lt;0,"CHECK - EH has "&amp;TEXT(-S15,"0.##")&amp;" days more than policy",IF(O15&gt;0,"OK","-"))))))</f>
        <v/>
      </c>
      <c r="V15" s="9" t="n">
        <f aca="false">IF(OR(LEN($A15&amp;$B15)=0,$D15=""),0,1)</f>
        <v>0</v>
      </c>
      <c r="W15" s="9" t="n">
        <f aca="false">IF(V15=0,0,IF(AND($K15&lt;&gt;"",$K15&lt;=AsOfDate),1,0))</f>
        <v>0</v>
      </c>
      <c r="X15" s="11" t="str">
        <f aca="false">IF(V15=0,"",IF($K15="",AsOfDate,MIN(AsOfDate,$K15)))</f>
        <v/>
      </c>
      <c r="Y15" s="9" t="str">
        <f aca="false">IF(V15=0,"",IF(X15&lt;($D15+N($J15)),-1,12*(YEAR(X15)-YEAR(($D15+N($J15))))+MONTH(X15)-MONTH(($D15+N($J15)))-IF(DAY(X15)&lt;MIN(DAY(($D15+N($J15))),DAY(EOMONTH(X15,0))),1,0)))</f>
        <v/>
      </c>
      <c r="Z15" s="9" t="str">
        <f aca="false">IF(V15=0,"",IF(AH15="",Y15,IF((AH15-1)&lt;($D15+N($J15)),-1,12*(YEAR((AH15-1))-YEAR(($D15+N($J15))))+MONTH((AH15-1))-MONTH(($D15+N($J15)))-IF(DAY((AH15-1))&lt;MIN(DAY(($D15+N($J15))),DAY(EOMONTH((AH15-1),0))),1,0))))</f>
        <v/>
      </c>
      <c r="AA15" s="9" t="str">
        <f aca="false">IF(V15=0,"",IF($E15="Full-Time","FT",IF(AND($E15="Part-Time",N($F15)&gt;=PT_MinHours),"PT","None")))</f>
        <v/>
      </c>
      <c r="AB15" s="9" t="str">
        <f aca="false">IF(V15=0,"",IF($H15="Full-Time","FT",IF(AND($H15="Part-Time",N($I15)&gt;=PT_MinHours),"PT","None")))</f>
        <v/>
      </c>
      <c r="AC15" s="9" t="str">
        <f aca="false">IF(V15=0,"",IF(AH15&lt;&gt;"",AB15,AA15))</f>
        <v/>
      </c>
      <c r="AD15" s="9" t="str">
        <f aca="false">IF(V15=0,"",IF(AA15="FT",IF(Z15&lt;FT_First,0,IF(Z15&lt;FT_Y5,1+INT((Z15-FT_First)/FT_Int1),FT_PreY5+FT_PerYear*INT((Z15-FT_Y5)/12)+FT_AnnivDays+INT(MOD(Z15-FT_Y5,12)/FT_Int2))),IF(AA15="PT",IF(Z15&lt;PT_First,0,1+INT((Z15-PT_First)/PT_Int)),0)))</f>
        <v/>
      </c>
      <c r="AE15" s="9" t="str">
        <f aca="false">IF(V15=0,"",IF(AB15="FT",IF(Z15&lt;FT_First,0,IF(Z15&lt;FT_Y5,1+INT((Z15-FT_First)/FT_Int1),FT_PreY5+FT_PerYear*INT((Z15-FT_Y5)/12)+FT_AnnivDays+INT(MOD(Z15-FT_Y5,12)/FT_Int2))),IF(AB15="PT",IF(Z15&lt;PT_First,0,1+INT((Z15-PT_First)/PT_Int)),0)))</f>
        <v/>
      </c>
      <c r="AF15" s="9" t="str">
        <f aca="false">IF(V15=0,"",IF(AB15="FT",IF(Y15&lt;FT_First,0,IF(Y15&lt;FT_Y5,1+INT((Y15-FT_First)/FT_Int1),FT_PreY5+FT_PerYear*INT((Y15-FT_Y5)/12)+FT_AnnivDays+INT(MOD(Y15-FT_Y5,12)/FT_Int2))),IF(AB15="PT",IF(Y15&lt;PT_First,0,1+INT((Y15-PT_First)/PT_Int)),0)))</f>
        <v/>
      </c>
      <c r="AG15" s="9" t="str">
        <f aca="false">IF(V15=0,"",IF(AC15="FT",IF(Y15&lt;FT_First,FT_First,IF(Y15&lt;FT_Y5,MIN(FT_Y5,FT_First+FT_Int1*(INT((Y15-FT_First)/FT_Int1)+1)),FT_Y5+12*INT((Y15-FT_Y5)/12)+FT_Int2*(INT(MOD(Y15-FT_Y5,12)/FT_Int2)+1))),IF(AC15="PT",IF(Y15&lt;PT_First,PT_First,PT_First+PT_Int*(INT((Y15-PT_First)/PT_Int)+1)),"")))</f>
        <v/>
      </c>
      <c r="AH15" s="11" t="str">
        <f aca="false">IF(V15=0,"",IF($G15="","",IF($G15&gt;X15,"",$G15)))</f>
        <v/>
      </c>
    </row>
    <row r="16" customFormat="false" ht="15" hidden="false" customHeight="false" outlineLevel="0" collapsed="false">
      <c r="A16" s="12"/>
      <c r="B16" s="12"/>
      <c r="C16" s="12"/>
      <c r="D16" s="13"/>
      <c r="E16" s="12"/>
      <c r="F16" s="14"/>
      <c r="G16" s="13"/>
      <c r="H16" s="12"/>
      <c r="I16" s="14"/>
      <c r="J16" s="14"/>
      <c r="K16" s="13"/>
      <c r="L16" s="9" t="str">
        <f aca="false">IF(V16=0,"",IF($G16="","",$E16&amp;" to "&amp;$H16&amp;IF($H16="Part-Time"," "&amp;N($I16)&amp;" hrs","")&amp;" on "&amp;TEXT($G16,"dd/mm/yyyy")&amp;IF($G16&gt;AsOfDate," (future)",IF(AA16=AC16,"",IF(AC16="None"," - STOPPED accruing",IF(AA16="None"," - now qualifying"," - pathway changed"))))))</f>
        <v/>
      </c>
      <c r="M16" s="9" t="str">
        <f aca="false">IF(V16=0,"",IF(W16=1,"Terminated",IF(AC16="None",IF(O16&gt;0,"No longer accruing","Not eligible - "&amp;IF(AND(AC16="None",IF(AH16&lt;&gt;"",$H16,$E16)="Part-Time"),"under "&amp;PT_MinHours&amp;" hrs",IF(AH16&lt;&gt;"",$H16,$E16))),IF(O16&gt;0,"Yes - accruing","Not yet - from "&amp;TEXT(Q16,"dd/mm/yyyy")))))</f>
        <v/>
      </c>
      <c r="N16" s="9" t="str">
        <f aca="false">IF(V16=0,"",IF(Y16&lt;0,"-",INT(Y16/12)&amp;"y "&amp;MOD(Y16,12)&amp;"m"))</f>
        <v/>
      </c>
      <c r="O16" s="10" t="str">
        <f aca="false">IF(V16=0,"",AD16+IF(AH16="",0,AF16-AE16))</f>
        <v/>
      </c>
      <c r="P16" s="10" t="str">
        <f aca="false">IF(V16=0,"",O16*HoursPerDay)</f>
        <v/>
      </c>
      <c r="Q16" s="11" t="str">
        <f aca="false">IF(V16=0,"",IF(OR(W16=1,AC16="None"),"",EDATE(($D16+N($J16)),AG16)))</f>
        <v/>
      </c>
      <c r="R16" s="10" t="str">
        <f aca="false">IF(V16=0,"",IF(NOT(EH_Ready),"",SUMIFS(INDEX(EH_Data,0,EH_ColBal),INDEX(EH_Data,0,EH_ColFirst),$A16,INDEX(EH_Data,0,EH_ColSur),$B16,INDEX(EH_Data,0,EH_ColCat),BonusCat)/IF(EHUnit="Hours",HoursPerDay,1)))</f>
        <v/>
      </c>
      <c r="S16" s="10" t="str">
        <f aca="false">IF(OR(V16=0,R16="",W16=1),"",O16-R16)</f>
        <v/>
      </c>
      <c r="T16" s="10" t="str">
        <f aca="false">IF(S16="","",S16*HoursPerDay)</f>
        <v/>
      </c>
      <c r="U16" s="9" t="str">
        <f aca="false">IF(V16=0,"",IF(W16=1,IF(N(R16)&gt;0,"TERMINATED - forfeit "&amp;TEXT(R16,"0.##")&amp;" days in EH","Terminated"),IF(NOT(EH_Ready),"Paste EH export (see Settings)",IF(S16&gt;0,"ADD "&amp;TEXT(S16,"0.##")&amp;" day(s) = "&amp;TEXT(T16,"0.##")&amp;" hrs in EH",IF(S16&lt;0,"CHECK - EH has "&amp;TEXT(-S16,"0.##")&amp;" days more than policy",IF(O16&gt;0,"OK","-"))))))</f>
        <v/>
      </c>
      <c r="V16" s="9" t="n">
        <f aca="false">IF(OR(LEN($A16&amp;$B16)=0,$D16=""),0,1)</f>
        <v>0</v>
      </c>
      <c r="W16" s="9" t="n">
        <f aca="false">IF(V16=0,0,IF(AND($K16&lt;&gt;"",$K16&lt;=AsOfDate),1,0))</f>
        <v>0</v>
      </c>
      <c r="X16" s="11" t="str">
        <f aca="false">IF(V16=0,"",IF($K16="",AsOfDate,MIN(AsOfDate,$K16)))</f>
        <v/>
      </c>
      <c r="Y16" s="9" t="str">
        <f aca="false">IF(V16=0,"",IF(X16&lt;($D16+N($J16)),-1,12*(YEAR(X16)-YEAR(($D16+N($J16))))+MONTH(X16)-MONTH(($D16+N($J16)))-IF(DAY(X16)&lt;MIN(DAY(($D16+N($J16))),DAY(EOMONTH(X16,0))),1,0)))</f>
        <v/>
      </c>
      <c r="Z16" s="9" t="str">
        <f aca="false">IF(V16=0,"",IF(AH16="",Y16,IF((AH16-1)&lt;($D16+N($J16)),-1,12*(YEAR((AH16-1))-YEAR(($D16+N($J16))))+MONTH((AH16-1))-MONTH(($D16+N($J16)))-IF(DAY((AH16-1))&lt;MIN(DAY(($D16+N($J16))),DAY(EOMONTH((AH16-1),0))),1,0))))</f>
        <v/>
      </c>
      <c r="AA16" s="9" t="str">
        <f aca="false">IF(V16=0,"",IF($E16="Full-Time","FT",IF(AND($E16="Part-Time",N($F16)&gt;=PT_MinHours),"PT","None")))</f>
        <v/>
      </c>
      <c r="AB16" s="9" t="str">
        <f aca="false">IF(V16=0,"",IF($H16="Full-Time","FT",IF(AND($H16="Part-Time",N($I16)&gt;=PT_MinHours),"PT","None")))</f>
        <v/>
      </c>
      <c r="AC16" s="9" t="str">
        <f aca="false">IF(V16=0,"",IF(AH16&lt;&gt;"",AB16,AA16))</f>
        <v/>
      </c>
      <c r="AD16" s="9" t="str">
        <f aca="false">IF(V16=0,"",IF(AA16="FT",IF(Z16&lt;FT_First,0,IF(Z16&lt;FT_Y5,1+INT((Z16-FT_First)/FT_Int1),FT_PreY5+FT_PerYear*INT((Z16-FT_Y5)/12)+FT_AnnivDays+INT(MOD(Z16-FT_Y5,12)/FT_Int2))),IF(AA16="PT",IF(Z16&lt;PT_First,0,1+INT((Z16-PT_First)/PT_Int)),0)))</f>
        <v/>
      </c>
      <c r="AE16" s="9" t="str">
        <f aca="false">IF(V16=0,"",IF(AB16="FT",IF(Z16&lt;FT_First,0,IF(Z16&lt;FT_Y5,1+INT((Z16-FT_First)/FT_Int1),FT_PreY5+FT_PerYear*INT((Z16-FT_Y5)/12)+FT_AnnivDays+INT(MOD(Z16-FT_Y5,12)/FT_Int2))),IF(AB16="PT",IF(Z16&lt;PT_First,0,1+INT((Z16-PT_First)/PT_Int)),0)))</f>
        <v/>
      </c>
      <c r="AF16" s="9" t="str">
        <f aca="false">IF(V16=0,"",IF(AB16="FT",IF(Y16&lt;FT_First,0,IF(Y16&lt;FT_Y5,1+INT((Y16-FT_First)/FT_Int1),FT_PreY5+FT_PerYear*INT((Y16-FT_Y5)/12)+FT_AnnivDays+INT(MOD(Y16-FT_Y5,12)/FT_Int2))),IF(AB16="PT",IF(Y16&lt;PT_First,0,1+INT((Y16-PT_First)/PT_Int)),0)))</f>
        <v/>
      </c>
      <c r="AG16" s="9" t="str">
        <f aca="false">IF(V16=0,"",IF(AC16="FT",IF(Y16&lt;FT_First,FT_First,IF(Y16&lt;FT_Y5,MIN(FT_Y5,FT_First+FT_Int1*(INT((Y16-FT_First)/FT_Int1)+1)),FT_Y5+12*INT((Y16-FT_Y5)/12)+FT_Int2*(INT(MOD(Y16-FT_Y5,12)/FT_Int2)+1))),IF(AC16="PT",IF(Y16&lt;PT_First,PT_First,PT_First+PT_Int*(INT((Y16-PT_First)/PT_Int)+1)),"")))</f>
        <v/>
      </c>
      <c r="AH16" s="11" t="str">
        <f aca="false">IF(V16=0,"",IF($G16="","",IF($G16&gt;X16,"",$G16)))</f>
        <v/>
      </c>
    </row>
    <row r="17" customFormat="false" ht="15" hidden="false" customHeight="false" outlineLevel="0" collapsed="false">
      <c r="A17" s="12"/>
      <c r="B17" s="12"/>
      <c r="C17" s="12"/>
      <c r="D17" s="13"/>
      <c r="E17" s="12"/>
      <c r="F17" s="14"/>
      <c r="G17" s="13"/>
      <c r="H17" s="12"/>
      <c r="I17" s="14"/>
      <c r="J17" s="14"/>
      <c r="K17" s="13"/>
      <c r="L17" s="9" t="str">
        <f aca="false">IF(V17=0,"",IF($G17="","",$E17&amp;" to "&amp;$H17&amp;IF($H17="Part-Time"," "&amp;N($I17)&amp;" hrs","")&amp;" on "&amp;TEXT($G17,"dd/mm/yyyy")&amp;IF($G17&gt;AsOfDate," (future)",IF(AA17=AC17,"",IF(AC17="None"," - STOPPED accruing",IF(AA17="None"," - now qualifying"," - pathway changed"))))))</f>
        <v/>
      </c>
      <c r="M17" s="9" t="str">
        <f aca="false">IF(V17=0,"",IF(W17=1,"Terminated",IF(AC17="None",IF(O17&gt;0,"No longer accruing","Not eligible - "&amp;IF(AND(AC17="None",IF(AH17&lt;&gt;"",$H17,$E17)="Part-Time"),"under "&amp;PT_MinHours&amp;" hrs",IF(AH17&lt;&gt;"",$H17,$E17))),IF(O17&gt;0,"Yes - accruing","Not yet - from "&amp;TEXT(Q17,"dd/mm/yyyy")))))</f>
        <v/>
      </c>
      <c r="N17" s="9" t="str">
        <f aca="false">IF(V17=0,"",IF(Y17&lt;0,"-",INT(Y17/12)&amp;"y "&amp;MOD(Y17,12)&amp;"m"))</f>
        <v/>
      </c>
      <c r="O17" s="10" t="str">
        <f aca="false">IF(V17=0,"",AD17+IF(AH17="",0,AF17-AE17))</f>
        <v/>
      </c>
      <c r="P17" s="10" t="str">
        <f aca="false">IF(V17=0,"",O17*HoursPerDay)</f>
        <v/>
      </c>
      <c r="Q17" s="11" t="str">
        <f aca="false">IF(V17=0,"",IF(OR(W17=1,AC17="None"),"",EDATE(($D17+N($J17)),AG17)))</f>
        <v/>
      </c>
      <c r="R17" s="10" t="str">
        <f aca="false">IF(V17=0,"",IF(NOT(EH_Ready),"",SUMIFS(INDEX(EH_Data,0,EH_ColBal),INDEX(EH_Data,0,EH_ColFirst),$A17,INDEX(EH_Data,0,EH_ColSur),$B17,INDEX(EH_Data,0,EH_ColCat),BonusCat)/IF(EHUnit="Hours",HoursPerDay,1)))</f>
        <v/>
      </c>
      <c r="S17" s="10" t="str">
        <f aca="false">IF(OR(V17=0,R17="",W17=1),"",O17-R17)</f>
        <v/>
      </c>
      <c r="T17" s="10" t="str">
        <f aca="false">IF(S17="","",S17*HoursPerDay)</f>
        <v/>
      </c>
      <c r="U17" s="9" t="str">
        <f aca="false">IF(V17=0,"",IF(W17=1,IF(N(R17)&gt;0,"TERMINATED - forfeit "&amp;TEXT(R17,"0.##")&amp;" days in EH","Terminated"),IF(NOT(EH_Ready),"Paste EH export (see Settings)",IF(S17&gt;0,"ADD "&amp;TEXT(S17,"0.##")&amp;" day(s) = "&amp;TEXT(T17,"0.##")&amp;" hrs in EH",IF(S17&lt;0,"CHECK - EH has "&amp;TEXT(-S17,"0.##")&amp;" days more than policy",IF(O17&gt;0,"OK","-"))))))</f>
        <v/>
      </c>
      <c r="V17" s="9" t="n">
        <f aca="false">IF(OR(LEN($A17&amp;$B17)=0,$D17=""),0,1)</f>
        <v>0</v>
      </c>
      <c r="W17" s="9" t="n">
        <f aca="false">IF(V17=0,0,IF(AND($K17&lt;&gt;"",$K17&lt;=AsOfDate),1,0))</f>
        <v>0</v>
      </c>
      <c r="X17" s="11" t="str">
        <f aca="false">IF(V17=0,"",IF($K17="",AsOfDate,MIN(AsOfDate,$K17)))</f>
        <v/>
      </c>
      <c r="Y17" s="9" t="str">
        <f aca="false">IF(V17=0,"",IF(X17&lt;($D17+N($J17)),-1,12*(YEAR(X17)-YEAR(($D17+N($J17))))+MONTH(X17)-MONTH(($D17+N($J17)))-IF(DAY(X17)&lt;MIN(DAY(($D17+N($J17))),DAY(EOMONTH(X17,0))),1,0)))</f>
        <v/>
      </c>
      <c r="Z17" s="9" t="str">
        <f aca="false">IF(V17=0,"",IF(AH17="",Y17,IF((AH17-1)&lt;($D17+N($J17)),-1,12*(YEAR((AH17-1))-YEAR(($D17+N($J17))))+MONTH((AH17-1))-MONTH(($D17+N($J17)))-IF(DAY((AH17-1))&lt;MIN(DAY(($D17+N($J17))),DAY(EOMONTH((AH17-1),0))),1,0))))</f>
        <v/>
      </c>
      <c r="AA17" s="9" t="str">
        <f aca="false">IF(V17=0,"",IF($E17="Full-Time","FT",IF(AND($E17="Part-Time",N($F17)&gt;=PT_MinHours),"PT","None")))</f>
        <v/>
      </c>
      <c r="AB17" s="9" t="str">
        <f aca="false">IF(V17=0,"",IF($H17="Full-Time","FT",IF(AND($H17="Part-Time",N($I17)&gt;=PT_MinHours),"PT","None")))</f>
        <v/>
      </c>
      <c r="AC17" s="9" t="str">
        <f aca="false">IF(V17=0,"",IF(AH17&lt;&gt;"",AB17,AA17))</f>
        <v/>
      </c>
      <c r="AD17" s="9" t="str">
        <f aca="false">IF(V17=0,"",IF(AA17="FT",IF(Z17&lt;FT_First,0,IF(Z17&lt;FT_Y5,1+INT((Z17-FT_First)/FT_Int1),FT_PreY5+FT_PerYear*INT((Z17-FT_Y5)/12)+FT_AnnivDays+INT(MOD(Z17-FT_Y5,12)/FT_Int2))),IF(AA17="PT",IF(Z17&lt;PT_First,0,1+INT((Z17-PT_First)/PT_Int)),0)))</f>
        <v/>
      </c>
      <c r="AE17" s="9" t="str">
        <f aca="false">IF(V17=0,"",IF(AB17="FT",IF(Z17&lt;FT_First,0,IF(Z17&lt;FT_Y5,1+INT((Z17-FT_First)/FT_Int1),FT_PreY5+FT_PerYear*INT((Z17-FT_Y5)/12)+FT_AnnivDays+INT(MOD(Z17-FT_Y5,12)/FT_Int2))),IF(AB17="PT",IF(Z17&lt;PT_First,0,1+INT((Z17-PT_First)/PT_Int)),0)))</f>
        <v/>
      </c>
      <c r="AF17" s="9" t="str">
        <f aca="false">IF(V17=0,"",IF(AB17="FT",IF(Y17&lt;FT_First,0,IF(Y17&lt;FT_Y5,1+INT((Y17-FT_First)/FT_Int1),FT_PreY5+FT_PerYear*INT((Y17-FT_Y5)/12)+FT_AnnivDays+INT(MOD(Y17-FT_Y5,12)/FT_Int2))),IF(AB17="PT",IF(Y17&lt;PT_First,0,1+INT((Y17-PT_First)/PT_Int)),0)))</f>
        <v/>
      </c>
      <c r="AG17" s="9" t="str">
        <f aca="false">IF(V17=0,"",IF(AC17="FT",IF(Y17&lt;FT_First,FT_First,IF(Y17&lt;FT_Y5,MIN(FT_Y5,FT_First+FT_Int1*(INT((Y17-FT_First)/FT_Int1)+1)),FT_Y5+12*INT((Y17-FT_Y5)/12)+FT_Int2*(INT(MOD(Y17-FT_Y5,12)/FT_Int2)+1))),IF(AC17="PT",IF(Y17&lt;PT_First,PT_First,PT_First+PT_Int*(INT((Y17-PT_First)/PT_Int)+1)),"")))</f>
        <v/>
      </c>
      <c r="AH17" s="11" t="str">
        <f aca="false">IF(V17=0,"",IF($G17="","",IF($G17&gt;X17,"",$G17)))</f>
        <v/>
      </c>
    </row>
    <row r="18" customFormat="false" ht="15" hidden="false" customHeight="false" outlineLevel="0" collapsed="false">
      <c r="A18" s="12"/>
      <c r="B18" s="12"/>
      <c r="C18" s="12"/>
      <c r="D18" s="13"/>
      <c r="E18" s="12"/>
      <c r="F18" s="14"/>
      <c r="G18" s="13"/>
      <c r="H18" s="12"/>
      <c r="I18" s="14"/>
      <c r="J18" s="14"/>
      <c r="K18" s="13"/>
      <c r="L18" s="9" t="str">
        <f aca="false">IF(V18=0,"",IF($G18="","",$E18&amp;" to "&amp;$H18&amp;IF($H18="Part-Time"," "&amp;N($I18)&amp;" hrs","")&amp;" on "&amp;TEXT($G18,"dd/mm/yyyy")&amp;IF($G18&gt;AsOfDate," (future)",IF(AA18=AC18,"",IF(AC18="None"," - STOPPED accruing",IF(AA18="None"," - now qualifying"," - pathway changed"))))))</f>
        <v/>
      </c>
      <c r="M18" s="9" t="str">
        <f aca="false">IF(V18=0,"",IF(W18=1,"Terminated",IF(AC18="None",IF(O18&gt;0,"No longer accruing","Not eligible - "&amp;IF(AND(AC18="None",IF(AH18&lt;&gt;"",$H18,$E18)="Part-Time"),"under "&amp;PT_MinHours&amp;" hrs",IF(AH18&lt;&gt;"",$H18,$E18))),IF(O18&gt;0,"Yes - accruing","Not yet - from "&amp;TEXT(Q18,"dd/mm/yyyy")))))</f>
        <v/>
      </c>
      <c r="N18" s="9" t="str">
        <f aca="false">IF(V18=0,"",IF(Y18&lt;0,"-",INT(Y18/12)&amp;"y "&amp;MOD(Y18,12)&amp;"m"))</f>
        <v/>
      </c>
      <c r="O18" s="10" t="str">
        <f aca="false">IF(V18=0,"",AD18+IF(AH18="",0,AF18-AE18))</f>
        <v/>
      </c>
      <c r="P18" s="10" t="str">
        <f aca="false">IF(V18=0,"",O18*HoursPerDay)</f>
        <v/>
      </c>
      <c r="Q18" s="11" t="str">
        <f aca="false">IF(V18=0,"",IF(OR(W18=1,AC18="None"),"",EDATE(($D18+N($J18)),AG18)))</f>
        <v/>
      </c>
      <c r="R18" s="10" t="str">
        <f aca="false">IF(V18=0,"",IF(NOT(EH_Ready),"",SUMIFS(INDEX(EH_Data,0,EH_ColBal),INDEX(EH_Data,0,EH_ColFirst),$A18,INDEX(EH_Data,0,EH_ColSur),$B18,INDEX(EH_Data,0,EH_ColCat),BonusCat)/IF(EHUnit="Hours",HoursPerDay,1)))</f>
        <v/>
      </c>
      <c r="S18" s="10" t="str">
        <f aca="false">IF(OR(V18=0,R18="",W18=1),"",O18-R18)</f>
        <v/>
      </c>
      <c r="T18" s="10" t="str">
        <f aca="false">IF(S18="","",S18*HoursPerDay)</f>
        <v/>
      </c>
      <c r="U18" s="9" t="str">
        <f aca="false">IF(V18=0,"",IF(W18=1,IF(N(R18)&gt;0,"TERMINATED - forfeit "&amp;TEXT(R18,"0.##")&amp;" days in EH","Terminated"),IF(NOT(EH_Ready),"Paste EH export (see Settings)",IF(S18&gt;0,"ADD "&amp;TEXT(S18,"0.##")&amp;" day(s) = "&amp;TEXT(T18,"0.##")&amp;" hrs in EH",IF(S18&lt;0,"CHECK - EH has "&amp;TEXT(-S18,"0.##")&amp;" days more than policy",IF(O18&gt;0,"OK","-"))))))</f>
        <v/>
      </c>
      <c r="V18" s="9" t="n">
        <f aca="false">IF(OR(LEN($A18&amp;$B18)=0,$D18=""),0,1)</f>
        <v>0</v>
      </c>
      <c r="W18" s="9" t="n">
        <f aca="false">IF(V18=0,0,IF(AND($K18&lt;&gt;"",$K18&lt;=AsOfDate),1,0))</f>
        <v>0</v>
      </c>
      <c r="X18" s="11" t="str">
        <f aca="false">IF(V18=0,"",IF($K18="",AsOfDate,MIN(AsOfDate,$K18)))</f>
        <v/>
      </c>
      <c r="Y18" s="9" t="str">
        <f aca="false">IF(V18=0,"",IF(X18&lt;($D18+N($J18)),-1,12*(YEAR(X18)-YEAR(($D18+N($J18))))+MONTH(X18)-MONTH(($D18+N($J18)))-IF(DAY(X18)&lt;MIN(DAY(($D18+N($J18))),DAY(EOMONTH(X18,0))),1,0)))</f>
        <v/>
      </c>
      <c r="Z18" s="9" t="str">
        <f aca="false">IF(V18=0,"",IF(AH18="",Y18,IF((AH18-1)&lt;($D18+N($J18)),-1,12*(YEAR((AH18-1))-YEAR(($D18+N($J18))))+MONTH((AH18-1))-MONTH(($D18+N($J18)))-IF(DAY((AH18-1))&lt;MIN(DAY(($D18+N($J18))),DAY(EOMONTH((AH18-1),0))),1,0))))</f>
        <v/>
      </c>
      <c r="AA18" s="9" t="str">
        <f aca="false">IF(V18=0,"",IF($E18="Full-Time","FT",IF(AND($E18="Part-Time",N($F18)&gt;=PT_MinHours),"PT","None")))</f>
        <v/>
      </c>
      <c r="AB18" s="9" t="str">
        <f aca="false">IF(V18=0,"",IF($H18="Full-Time","FT",IF(AND($H18="Part-Time",N($I18)&gt;=PT_MinHours),"PT","None")))</f>
        <v/>
      </c>
      <c r="AC18" s="9" t="str">
        <f aca="false">IF(V18=0,"",IF(AH18&lt;&gt;"",AB18,AA18))</f>
        <v/>
      </c>
      <c r="AD18" s="9" t="str">
        <f aca="false">IF(V18=0,"",IF(AA18="FT",IF(Z18&lt;FT_First,0,IF(Z18&lt;FT_Y5,1+INT((Z18-FT_First)/FT_Int1),FT_PreY5+FT_PerYear*INT((Z18-FT_Y5)/12)+FT_AnnivDays+INT(MOD(Z18-FT_Y5,12)/FT_Int2))),IF(AA18="PT",IF(Z18&lt;PT_First,0,1+INT((Z18-PT_First)/PT_Int)),0)))</f>
        <v/>
      </c>
      <c r="AE18" s="9" t="str">
        <f aca="false">IF(V18=0,"",IF(AB18="FT",IF(Z18&lt;FT_First,0,IF(Z18&lt;FT_Y5,1+INT((Z18-FT_First)/FT_Int1),FT_PreY5+FT_PerYear*INT((Z18-FT_Y5)/12)+FT_AnnivDays+INT(MOD(Z18-FT_Y5,12)/FT_Int2))),IF(AB18="PT",IF(Z18&lt;PT_First,0,1+INT((Z18-PT_First)/PT_Int)),0)))</f>
        <v/>
      </c>
      <c r="AF18" s="9" t="str">
        <f aca="false">IF(V18=0,"",IF(AB18="FT",IF(Y18&lt;FT_First,0,IF(Y18&lt;FT_Y5,1+INT((Y18-FT_First)/FT_Int1),FT_PreY5+FT_PerYear*INT((Y18-FT_Y5)/12)+FT_AnnivDays+INT(MOD(Y18-FT_Y5,12)/FT_Int2))),IF(AB18="PT",IF(Y18&lt;PT_First,0,1+INT((Y18-PT_First)/PT_Int)),0)))</f>
        <v/>
      </c>
      <c r="AG18" s="9" t="str">
        <f aca="false">IF(V18=0,"",IF(AC18="FT",IF(Y18&lt;FT_First,FT_First,IF(Y18&lt;FT_Y5,MIN(FT_Y5,FT_First+FT_Int1*(INT((Y18-FT_First)/FT_Int1)+1)),FT_Y5+12*INT((Y18-FT_Y5)/12)+FT_Int2*(INT(MOD(Y18-FT_Y5,12)/FT_Int2)+1))),IF(AC18="PT",IF(Y18&lt;PT_First,PT_First,PT_First+PT_Int*(INT((Y18-PT_First)/PT_Int)+1)),"")))</f>
        <v/>
      </c>
      <c r="AH18" s="11" t="str">
        <f aca="false">IF(V18=0,"",IF($G18="","",IF($G18&gt;X18,"",$G18)))</f>
        <v/>
      </c>
    </row>
    <row r="19" customFormat="false" ht="15" hidden="false" customHeight="false" outlineLevel="0" collapsed="false">
      <c r="A19" s="12"/>
      <c r="B19" s="12"/>
      <c r="C19" s="12"/>
      <c r="D19" s="13"/>
      <c r="E19" s="12"/>
      <c r="F19" s="14"/>
      <c r="G19" s="13"/>
      <c r="H19" s="12"/>
      <c r="I19" s="14"/>
      <c r="J19" s="14"/>
      <c r="K19" s="13"/>
      <c r="L19" s="9" t="str">
        <f aca="false">IF(V19=0,"",IF($G19="","",$E19&amp;" to "&amp;$H19&amp;IF($H19="Part-Time"," "&amp;N($I19)&amp;" hrs","")&amp;" on "&amp;TEXT($G19,"dd/mm/yyyy")&amp;IF($G19&gt;AsOfDate," (future)",IF(AA19=AC19,"",IF(AC19="None"," - STOPPED accruing",IF(AA19="None"," - now qualifying"," - pathway changed"))))))</f>
        <v/>
      </c>
      <c r="M19" s="9" t="str">
        <f aca="false">IF(V19=0,"",IF(W19=1,"Terminated",IF(AC19="None",IF(O19&gt;0,"No longer accruing","Not eligible - "&amp;IF(AND(AC19="None",IF(AH19&lt;&gt;"",$H19,$E19)="Part-Time"),"under "&amp;PT_MinHours&amp;" hrs",IF(AH19&lt;&gt;"",$H19,$E19))),IF(O19&gt;0,"Yes - accruing","Not yet - from "&amp;TEXT(Q19,"dd/mm/yyyy")))))</f>
        <v/>
      </c>
      <c r="N19" s="9" t="str">
        <f aca="false">IF(V19=0,"",IF(Y19&lt;0,"-",INT(Y19/12)&amp;"y "&amp;MOD(Y19,12)&amp;"m"))</f>
        <v/>
      </c>
      <c r="O19" s="10" t="str">
        <f aca="false">IF(V19=0,"",AD19+IF(AH19="",0,AF19-AE19))</f>
        <v/>
      </c>
      <c r="P19" s="10" t="str">
        <f aca="false">IF(V19=0,"",O19*HoursPerDay)</f>
        <v/>
      </c>
      <c r="Q19" s="11" t="str">
        <f aca="false">IF(V19=0,"",IF(OR(W19=1,AC19="None"),"",EDATE(($D19+N($J19)),AG19)))</f>
        <v/>
      </c>
      <c r="R19" s="10" t="str">
        <f aca="false">IF(V19=0,"",IF(NOT(EH_Ready),"",SUMIFS(INDEX(EH_Data,0,EH_ColBal),INDEX(EH_Data,0,EH_ColFirst),$A19,INDEX(EH_Data,0,EH_ColSur),$B19,INDEX(EH_Data,0,EH_ColCat),BonusCat)/IF(EHUnit="Hours",HoursPerDay,1)))</f>
        <v/>
      </c>
      <c r="S19" s="10" t="str">
        <f aca="false">IF(OR(V19=0,R19="",W19=1),"",O19-R19)</f>
        <v/>
      </c>
      <c r="T19" s="10" t="str">
        <f aca="false">IF(S19="","",S19*HoursPerDay)</f>
        <v/>
      </c>
      <c r="U19" s="9" t="str">
        <f aca="false">IF(V19=0,"",IF(W19=1,IF(N(R19)&gt;0,"TERMINATED - forfeit "&amp;TEXT(R19,"0.##")&amp;" days in EH","Terminated"),IF(NOT(EH_Ready),"Paste EH export (see Settings)",IF(S19&gt;0,"ADD "&amp;TEXT(S19,"0.##")&amp;" day(s) = "&amp;TEXT(T19,"0.##")&amp;" hrs in EH",IF(S19&lt;0,"CHECK - EH has "&amp;TEXT(-S19,"0.##")&amp;" days more than policy",IF(O19&gt;0,"OK","-"))))))</f>
        <v/>
      </c>
      <c r="V19" s="9" t="n">
        <f aca="false">IF(OR(LEN($A19&amp;$B19)=0,$D19=""),0,1)</f>
        <v>0</v>
      </c>
      <c r="W19" s="9" t="n">
        <f aca="false">IF(V19=0,0,IF(AND($K19&lt;&gt;"",$K19&lt;=AsOfDate),1,0))</f>
        <v>0</v>
      </c>
      <c r="X19" s="11" t="str">
        <f aca="false">IF(V19=0,"",IF($K19="",AsOfDate,MIN(AsOfDate,$K19)))</f>
        <v/>
      </c>
      <c r="Y19" s="9" t="str">
        <f aca="false">IF(V19=0,"",IF(X19&lt;($D19+N($J19)),-1,12*(YEAR(X19)-YEAR(($D19+N($J19))))+MONTH(X19)-MONTH(($D19+N($J19)))-IF(DAY(X19)&lt;MIN(DAY(($D19+N($J19))),DAY(EOMONTH(X19,0))),1,0)))</f>
        <v/>
      </c>
      <c r="Z19" s="9" t="str">
        <f aca="false">IF(V19=0,"",IF(AH19="",Y19,IF((AH19-1)&lt;($D19+N($J19)),-1,12*(YEAR((AH19-1))-YEAR(($D19+N($J19))))+MONTH((AH19-1))-MONTH(($D19+N($J19)))-IF(DAY((AH19-1))&lt;MIN(DAY(($D19+N($J19))),DAY(EOMONTH((AH19-1),0))),1,0))))</f>
        <v/>
      </c>
      <c r="AA19" s="9" t="str">
        <f aca="false">IF(V19=0,"",IF($E19="Full-Time","FT",IF(AND($E19="Part-Time",N($F19)&gt;=PT_MinHours),"PT","None")))</f>
        <v/>
      </c>
      <c r="AB19" s="9" t="str">
        <f aca="false">IF(V19=0,"",IF($H19="Full-Time","FT",IF(AND($H19="Part-Time",N($I19)&gt;=PT_MinHours),"PT","None")))</f>
        <v/>
      </c>
      <c r="AC19" s="9" t="str">
        <f aca="false">IF(V19=0,"",IF(AH19&lt;&gt;"",AB19,AA19))</f>
        <v/>
      </c>
      <c r="AD19" s="9" t="str">
        <f aca="false">IF(V19=0,"",IF(AA19="FT",IF(Z19&lt;FT_First,0,IF(Z19&lt;FT_Y5,1+INT((Z19-FT_First)/FT_Int1),FT_PreY5+FT_PerYear*INT((Z19-FT_Y5)/12)+FT_AnnivDays+INT(MOD(Z19-FT_Y5,12)/FT_Int2))),IF(AA19="PT",IF(Z19&lt;PT_First,0,1+INT((Z19-PT_First)/PT_Int)),0)))</f>
        <v/>
      </c>
      <c r="AE19" s="9" t="str">
        <f aca="false">IF(V19=0,"",IF(AB19="FT",IF(Z19&lt;FT_First,0,IF(Z19&lt;FT_Y5,1+INT((Z19-FT_First)/FT_Int1),FT_PreY5+FT_PerYear*INT((Z19-FT_Y5)/12)+FT_AnnivDays+INT(MOD(Z19-FT_Y5,12)/FT_Int2))),IF(AB19="PT",IF(Z19&lt;PT_First,0,1+INT((Z19-PT_First)/PT_Int)),0)))</f>
        <v/>
      </c>
      <c r="AF19" s="9" t="str">
        <f aca="false">IF(V19=0,"",IF(AB19="FT",IF(Y19&lt;FT_First,0,IF(Y19&lt;FT_Y5,1+INT((Y19-FT_First)/FT_Int1),FT_PreY5+FT_PerYear*INT((Y19-FT_Y5)/12)+FT_AnnivDays+INT(MOD(Y19-FT_Y5,12)/FT_Int2))),IF(AB19="PT",IF(Y19&lt;PT_First,0,1+INT((Y19-PT_First)/PT_Int)),0)))</f>
        <v/>
      </c>
      <c r="AG19" s="9" t="str">
        <f aca="false">IF(V19=0,"",IF(AC19="FT",IF(Y19&lt;FT_First,FT_First,IF(Y19&lt;FT_Y5,MIN(FT_Y5,FT_First+FT_Int1*(INT((Y19-FT_First)/FT_Int1)+1)),FT_Y5+12*INT((Y19-FT_Y5)/12)+FT_Int2*(INT(MOD(Y19-FT_Y5,12)/FT_Int2)+1))),IF(AC19="PT",IF(Y19&lt;PT_First,PT_First,PT_First+PT_Int*(INT((Y19-PT_First)/PT_Int)+1)),"")))</f>
        <v/>
      </c>
      <c r="AH19" s="11" t="str">
        <f aca="false">IF(V19=0,"",IF($G19="","",IF($G19&gt;X19,"",$G19)))</f>
        <v/>
      </c>
    </row>
    <row r="20" customFormat="false" ht="15" hidden="false" customHeight="false" outlineLevel="0" collapsed="false">
      <c r="A20" s="12"/>
      <c r="B20" s="12"/>
      <c r="C20" s="12"/>
      <c r="D20" s="13"/>
      <c r="E20" s="12"/>
      <c r="F20" s="14"/>
      <c r="G20" s="13"/>
      <c r="H20" s="12"/>
      <c r="I20" s="14"/>
      <c r="J20" s="14"/>
      <c r="K20" s="13"/>
      <c r="L20" s="9" t="str">
        <f aca="false">IF(V20=0,"",IF($G20="","",$E20&amp;" to "&amp;$H20&amp;IF($H20="Part-Time"," "&amp;N($I20)&amp;" hrs","")&amp;" on "&amp;TEXT($G20,"dd/mm/yyyy")&amp;IF($G20&gt;AsOfDate," (future)",IF(AA20=AC20,"",IF(AC20="None"," - STOPPED accruing",IF(AA20="None"," - now qualifying"," - pathway changed"))))))</f>
        <v/>
      </c>
      <c r="M20" s="9" t="str">
        <f aca="false">IF(V20=0,"",IF(W20=1,"Terminated",IF(AC20="None",IF(O20&gt;0,"No longer accruing","Not eligible - "&amp;IF(AND(AC20="None",IF(AH20&lt;&gt;"",$H20,$E20)="Part-Time"),"under "&amp;PT_MinHours&amp;" hrs",IF(AH20&lt;&gt;"",$H20,$E20))),IF(O20&gt;0,"Yes - accruing","Not yet - from "&amp;TEXT(Q20,"dd/mm/yyyy")))))</f>
        <v/>
      </c>
      <c r="N20" s="9" t="str">
        <f aca="false">IF(V20=0,"",IF(Y20&lt;0,"-",INT(Y20/12)&amp;"y "&amp;MOD(Y20,12)&amp;"m"))</f>
        <v/>
      </c>
      <c r="O20" s="10" t="str">
        <f aca="false">IF(V20=0,"",AD20+IF(AH20="",0,AF20-AE20))</f>
        <v/>
      </c>
      <c r="P20" s="10" t="str">
        <f aca="false">IF(V20=0,"",O20*HoursPerDay)</f>
        <v/>
      </c>
      <c r="Q20" s="11" t="str">
        <f aca="false">IF(V20=0,"",IF(OR(W20=1,AC20="None"),"",EDATE(($D20+N($J20)),AG20)))</f>
        <v/>
      </c>
      <c r="R20" s="10" t="str">
        <f aca="false">IF(V20=0,"",IF(NOT(EH_Ready),"",SUMIFS(INDEX(EH_Data,0,EH_ColBal),INDEX(EH_Data,0,EH_ColFirst),$A20,INDEX(EH_Data,0,EH_ColSur),$B20,INDEX(EH_Data,0,EH_ColCat),BonusCat)/IF(EHUnit="Hours",HoursPerDay,1)))</f>
        <v/>
      </c>
      <c r="S20" s="10" t="str">
        <f aca="false">IF(OR(V20=0,R20="",W20=1),"",O20-R20)</f>
        <v/>
      </c>
      <c r="T20" s="10" t="str">
        <f aca="false">IF(S20="","",S20*HoursPerDay)</f>
        <v/>
      </c>
      <c r="U20" s="9" t="str">
        <f aca="false">IF(V20=0,"",IF(W20=1,IF(N(R20)&gt;0,"TERMINATED - forfeit "&amp;TEXT(R20,"0.##")&amp;" days in EH","Terminated"),IF(NOT(EH_Ready),"Paste EH export (see Settings)",IF(S20&gt;0,"ADD "&amp;TEXT(S20,"0.##")&amp;" day(s) = "&amp;TEXT(T20,"0.##")&amp;" hrs in EH",IF(S20&lt;0,"CHECK - EH has "&amp;TEXT(-S20,"0.##")&amp;" days more than policy",IF(O20&gt;0,"OK","-"))))))</f>
        <v/>
      </c>
      <c r="V20" s="9" t="n">
        <f aca="false">IF(OR(LEN($A20&amp;$B20)=0,$D20=""),0,1)</f>
        <v>0</v>
      </c>
      <c r="W20" s="9" t="n">
        <f aca="false">IF(V20=0,0,IF(AND($K20&lt;&gt;"",$K20&lt;=AsOfDate),1,0))</f>
        <v>0</v>
      </c>
      <c r="X20" s="11" t="str">
        <f aca="false">IF(V20=0,"",IF($K20="",AsOfDate,MIN(AsOfDate,$K20)))</f>
        <v/>
      </c>
      <c r="Y20" s="9" t="str">
        <f aca="false">IF(V20=0,"",IF(X20&lt;($D20+N($J20)),-1,12*(YEAR(X20)-YEAR(($D20+N($J20))))+MONTH(X20)-MONTH(($D20+N($J20)))-IF(DAY(X20)&lt;MIN(DAY(($D20+N($J20))),DAY(EOMONTH(X20,0))),1,0)))</f>
        <v/>
      </c>
      <c r="Z20" s="9" t="str">
        <f aca="false">IF(V20=0,"",IF(AH20="",Y20,IF((AH20-1)&lt;($D20+N($J20)),-1,12*(YEAR((AH20-1))-YEAR(($D20+N($J20))))+MONTH((AH20-1))-MONTH(($D20+N($J20)))-IF(DAY((AH20-1))&lt;MIN(DAY(($D20+N($J20))),DAY(EOMONTH((AH20-1),0))),1,0))))</f>
        <v/>
      </c>
      <c r="AA20" s="9" t="str">
        <f aca="false">IF(V20=0,"",IF($E20="Full-Time","FT",IF(AND($E20="Part-Time",N($F20)&gt;=PT_MinHours),"PT","None")))</f>
        <v/>
      </c>
      <c r="AB20" s="9" t="str">
        <f aca="false">IF(V20=0,"",IF($H20="Full-Time","FT",IF(AND($H20="Part-Time",N($I20)&gt;=PT_MinHours),"PT","None")))</f>
        <v/>
      </c>
      <c r="AC20" s="9" t="str">
        <f aca="false">IF(V20=0,"",IF(AH20&lt;&gt;"",AB20,AA20))</f>
        <v/>
      </c>
      <c r="AD20" s="9" t="str">
        <f aca="false">IF(V20=0,"",IF(AA20="FT",IF(Z20&lt;FT_First,0,IF(Z20&lt;FT_Y5,1+INT((Z20-FT_First)/FT_Int1),FT_PreY5+FT_PerYear*INT((Z20-FT_Y5)/12)+FT_AnnivDays+INT(MOD(Z20-FT_Y5,12)/FT_Int2))),IF(AA20="PT",IF(Z20&lt;PT_First,0,1+INT((Z20-PT_First)/PT_Int)),0)))</f>
        <v/>
      </c>
      <c r="AE20" s="9" t="str">
        <f aca="false">IF(V20=0,"",IF(AB20="FT",IF(Z20&lt;FT_First,0,IF(Z20&lt;FT_Y5,1+INT((Z20-FT_First)/FT_Int1),FT_PreY5+FT_PerYear*INT((Z20-FT_Y5)/12)+FT_AnnivDays+INT(MOD(Z20-FT_Y5,12)/FT_Int2))),IF(AB20="PT",IF(Z20&lt;PT_First,0,1+INT((Z20-PT_First)/PT_Int)),0)))</f>
        <v/>
      </c>
      <c r="AF20" s="9" t="str">
        <f aca="false">IF(V20=0,"",IF(AB20="FT",IF(Y20&lt;FT_First,0,IF(Y20&lt;FT_Y5,1+INT((Y20-FT_First)/FT_Int1),FT_PreY5+FT_PerYear*INT((Y20-FT_Y5)/12)+FT_AnnivDays+INT(MOD(Y20-FT_Y5,12)/FT_Int2))),IF(AB20="PT",IF(Y20&lt;PT_First,0,1+INT((Y20-PT_First)/PT_Int)),0)))</f>
        <v/>
      </c>
      <c r="AG20" s="9" t="str">
        <f aca="false">IF(V20=0,"",IF(AC20="FT",IF(Y20&lt;FT_First,FT_First,IF(Y20&lt;FT_Y5,MIN(FT_Y5,FT_First+FT_Int1*(INT((Y20-FT_First)/FT_Int1)+1)),FT_Y5+12*INT((Y20-FT_Y5)/12)+FT_Int2*(INT(MOD(Y20-FT_Y5,12)/FT_Int2)+1))),IF(AC20="PT",IF(Y20&lt;PT_First,PT_First,PT_First+PT_Int*(INT((Y20-PT_First)/PT_Int)+1)),"")))</f>
        <v/>
      </c>
      <c r="AH20" s="11" t="str">
        <f aca="false">IF(V20=0,"",IF($G20="","",IF($G20&gt;X20,"",$G20)))</f>
        <v/>
      </c>
    </row>
    <row r="21" customFormat="false" ht="15" hidden="false" customHeight="false" outlineLevel="0" collapsed="false">
      <c r="A21" s="12"/>
      <c r="B21" s="12"/>
      <c r="C21" s="12"/>
      <c r="D21" s="13"/>
      <c r="E21" s="12"/>
      <c r="F21" s="14"/>
      <c r="G21" s="13"/>
      <c r="H21" s="12"/>
      <c r="I21" s="14"/>
      <c r="J21" s="14"/>
      <c r="K21" s="13"/>
      <c r="L21" s="9" t="str">
        <f aca="false">IF(V21=0,"",IF($G21="","",$E21&amp;" to "&amp;$H21&amp;IF($H21="Part-Time"," "&amp;N($I21)&amp;" hrs","")&amp;" on "&amp;TEXT($G21,"dd/mm/yyyy")&amp;IF($G21&gt;AsOfDate," (future)",IF(AA21=AC21,"",IF(AC21="None"," - STOPPED accruing",IF(AA21="None"," - now qualifying"," - pathway changed"))))))</f>
        <v/>
      </c>
      <c r="M21" s="9" t="str">
        <f aca="false">IF(V21=0,"",IF(W21=1,"Terminated",IF(AC21="None",IF(O21&gt;0,"No longer accruing","Not eligible - "&amp;IF(AND(AC21="None",IF(AH21&lt;&gt;"",$H21,$E21)="Part-Time"),"under "&amp;PT_MinHours&amp;" hrs",IF(AH21&lt;&gt;"",$H21,$E21))),IF(O21&gt;0,"Yes - accruing","Not yet - from "&amp;TEXT(Q21,"dd/mm/yyyy")))))</f>
        <v/>
      </c>
      <c r="N21" s="9" t="str">
        <f aca="false">IF(V21=0,"",IF(Y21&lt;0,"-",INT(Y21/12)&amp;"y "&amp;MOD(Y21,12)&amp;"m"))</f>
        <v/>
      </c>
      <c r="O21" s="10" t="str">
        <f aca="false">IF(V21=0,"",AD21+IF(AH21="",0,AF21-AE21))</f>
        <v/>
      </c>
      <c r="P21" s="10" t="str">
        <f aca="false">IF(V21=0,"",O21*HoursPerDay)</f>
        <v/>
      </c>
      <c r="Q21" s="11" t="str">
        <f aca="false">IF(V21=0,"",IF(OR(W21=1,AC21="None"),"",EDATE(($D21+N($J21)),AG21)))</f>
        <v/>
      </c>
      <c r="R21" s="10" t="str">
        <f aca="false">IF(V21=0,"",IF(NOT(EH_Ready),"",SUMIFS(INDEX(EH_Data,0,EH_ColBal),INDEX(EH_Data,0,EH_ColFirst),$A21,INDEX(EH_Data,0,EH_ColSur),$B21,INDEX(EH_Data,0,EH_ColCat),BonusCat)/IF(EHUnit="Hours",HoursPerDay,1)))</f>
        <v/>
      </c>
      <c r="S21" s="10" t="str">
        <f aca="false">IF(OR(V21=0,R21="",W21=1),"",O21-R21)</f>
        <v/>
      </c>
      <c r="T21" s="10" t="str">
        <f aca="false">IF(S21="","",S21*HoursPerDay)</f>
        <v/>
      </c>
      <c r="U21" s="9" t="str">
        <f aca="false">IF(V21=0,"",IF(W21=1,IF(N(R21)&gt;0,"TERMINATED - forfeit "&amp;TEXT(R21,"0.##")&amp;" days in EH","Terminated"),IF(NOT(EH_Ready),"Paste EH export (see Settings)",IF(S21&gt;0,"ADD "&amp;TEXT(S21,"0.##")&amp;" day(s) = "&amp;TEXT(T21,"0.##")&amp;" hrs in EH",IF(S21&lt;0,"CHECK - EH has "&amp;TEXT(-S21,"0.##")&amp;" days more than policy",IF(O21&gt;0,"OK","-"))))))</f>
        <v/>
      </c>
      <c r="V21" s="9" t="n">
        <f aca="false">IF(OR(LEN($A21&amp;$B21)=0,$D21=""),0,1)</f>
        <v>0</v>
      </c>
      <c r="W21" s="9" t="n">
        <f aca="false">IF(V21=0,0,IF(AND($K21&lt;&gt;"",$K21&lt;=AsOfDate),1,0))</f>
        <v>0</v>
      </c>
      <c r="X21" s="11" t="str">
        <f aca="false">IF(V21=0,"",IF($K21="",AsOfDate,MIN(AsOfDate,$K21)))</f>
        <v/>
      </c>
      <c r="Y21" s="9" t="str">
        <f aca="false">IF(V21=0,"",IF(X21&lt;($D21+N($J21)),-1,12*(YEAR(X21)-YEAR(($D21+N($J21))))+MONTH(X21)-MONTH(($D21+N($J21)))-IF(DAY(X21)&lt;MIN(DAY(($D21+N($J21))),DAY(EOMONTH(X21,0))),1,0)))</f>
        <v/>
      </c>
      <c r="Z21" s="9" t="str">
        <f aca="false">IF(V21=0,"",IF(AH21="",Y21,IF((AH21-1)&lt;($D21+N($J21)),-1,12*(YEAR((AH21-1))-YEAR(($D21+N($J21))))+MONTH((AH21-1))-MONTH(($D21+N($J21)))-IF(DAY((AH21-1))&lt;MIN(DAY(($D21+N($J21))),DAY(EOMONTH((AH21-1),0))),1,0))))</f>
        <v/>
      </c>
      <c r="AA21" s="9" t="str">
        <f aca="false">IF(V21=0,"",IF($E21="Full-Time","FT",IF(AND($E21="Part-Time",N($F21)&gt;=PT_MinHours),"PT","None")))</f>
        <v/>
      </c>
      <c r="AB21" s="9" t="str">
        <f aca="false">IF(V21=0,"",IF($H21="Full-Time","FT",IF(AND($H21="Part-Time",N($I21)&gt;=PT_MinHours),"PT","None")))</f>
        <v/>
      </c>
      <c r="AC21" s="9" t="str">
        <f aca="false">IF(V21=0,"",IF(AH21&lt;&gt;"",AB21,AA21))</f>
        <v/>
      </c>
      <c r="AD21" s="9" t="str">
        <f aca="false">IF(V21=0,"",IF(AA21="FT",IF(Z21&lt;FT_First,0,IF(Z21&lt;FT_Y5,1+INT((Z21-FT_First)/FT_Int1),FT_PreY5+FT_PerYear*INT((Z21-FT_Y5)/12)+FT_AnnivDays+INT(MOD(Z21-FT_Y5,12)/FT_Int2))),IF(AA21="PT",IF(Z21&lt;PT_First,0,1+INT((Z21-PT_First)/PT_Int)),0)))</f>
        <v/>
      </c>
      <c r="AE21" s="9" t="str">
        <f aca="false">IF(V21=0,"",IF(AB21="FT",IF(Z21&lt;FT_First,0,IF(Z21&lt;FT_Y5,1+INT((Z21-FT_First)/FT_Int1),FT_PreY5+FT_PerYear*INT((Z21-FT_Y5)/12)+FT_AnnivDays+INT(MOD(Z21-FT_Y5,12)/FT_Int2))),IF(AB21="PT",IF(Z21&lt;PT_First,0,1+INT((Z21-PT_First)/PT_Int)),0)))</f>
        <v/>
      </c>
      <c r="AF21" s="9" t="str">
        <f aca="false">IF(V21=0,"",IF(AB21="FT",IF(Y21&lt;FT_First,0,IF(Y21&lt;FT_Y5,1+INT((Y21-FT_First)/FT_Int1),FT_PreY5+FT_PerYear*INT((Y21-FT_Y5)/12)+FT_AnnivDays+INT(MOD(Y21-FT_Y5,12)/FT_Int2))),IF(AB21="PT",IF(Y21&lt;PT_First,0,1+INT((Y21-PT_First)/PT_Int)),0)))</f>
        <v/>
      </c>
      <c r="AG21" s="9" t="str">
        <f aca="false">IF(V21=0,"",IF(AC21="FT",IF(Y21&lt;FT_First,FT_First,IF(Y21&lt;FT_Y5,MIN(FT_Y5,FT_First+FT_Int1*(INT((Y21-FT_First)/FT_Int1)+1)),FT_Y5+12*INT((Y21-FT_Y5)/12)+FT_Int2*(INT(MOD(Y21-FT_Y5,12)/FT_Int2)+1))),IF(AC21="PT",IF(Y21&lt;PT_First,PT_First,PT_First+PT_Int*(INT((Y21-PT_First)/PT_Int)+1)),"")))</f>
        <v/>
      </c>
      <c r="AH21" s="11" t="str">
        <f aca="false">IF(V21=0,"",IF($G21="","",IF($G21&gt;X21,"",$G21)))</f>
        <v/>
      </c>
    </row>
    <row r="22" customFormat="false" ht="15" hidden="false" customHeight="false" outlineLevel="0" collapsed="false">
      <c r="A22" s="12"/>
      <c r="B22" s="12"/>
      <c r="C22" s="12"/>
      <c r="D22" s="13"/>
      <c r="E22" s="12"/>
      <c r="F22" s="14"/>
      <c r="G22" s="13"/>
      <c r="H22" s="12"/>
      <c r="I22" s="14"/>
      <c r="J22" s="14"/>
      <c r="K22" s="13"/>
      <c r="L22" s="9" t="str">
        <f aca="false">IF(V22=0,"",IF($G22="","",$E22&amp;" to "&amp;$H22&amp;IF($H22="Part-Time"," "&amp;N($I22)&amp;" hrs","")&amp;" on "&amp;TEXT($G22,"dd/mm/yyyy")&amp;IF($G22&gt;AsOfDate," (future)",IF(AA22=AC22,"",IF(AC22="None"," - STOPPED accruing",IF(AA22="None"," - now qualifying"," - pathway changed"))))))</f>
        <v/>
      </c>
      <c r="M22" s="9" t="str">
        <f aca="false">IF(V22=0,"",IF(W22=1,"Terminated",IF(AC22="None",IF(O22&gt;0,"No longer accruing","Not eligible - "&amp;IF(AND(AC22="None",IF(AH22&lt;&gt;"",$H22,$E22)="Part-Time"),"under "&amp;PT_MinHours&amp;" hrs",IF(AH22&lt;&gt;"",$H22,$E22))),IF(O22&gt;0,"Yes - accruing","Not yet - from "&amp;TEXT(Q22,"dd/mm/yyyy")))))</f>
        <v/>
      </c>
      <c r="N22" s="9" t="str">
        <f aca="false">IF(V22=0,"",IF(Y22&lt;0,"-",INT(Y22/12)&amp;"y "&amp;MOD(Y22,12)&amp;"m"))</f>
        <v/>
      </c>
      <c r="O22" s="10" t="str">
        <f aca="false">IF(V22=0,"",AD22+IF(AH22="",0,AF22-AE22))</f>
        <v/>
      </c>
      <c r="P22" s="10" t="str">
        <f aca="false">IF(V22=0,"",O22*HoursPerDay)</f>
        <v/>
      </c>
      <c r="Q22" s="11" t="str">
        <f aca="false">IF(V22=0,"",IF(OR(W22=1,AC22="None"),"",EDATE(($D22+N($J22)),AG22)))</f>
        <v/>
      </c>
      <c r="R22" s="10" t="str">
        <f aca="false">IF(V22=0,"",IF(NOT(EH_Ready),"",SUMIFS(INDEX(EH_Data,0,EH_ColBal),INDEX(EH_Data,0,EH_ColFirst),$A22,INDEX(EH_Data,0,EH_ColSur),$B22,INDEX(EH_Data,0,EH_ColCat),BonusCat)/IF(EHUnit="Hours",HoursPerDay,1)))</f>
        <v/>
      </c>
      <c r="S22" s="10" t="str">
        <f aca="false">IF(OR(V22=0,R22="",W22=1),"",O22-R22)</f>
        <v/>
      </c>
      <c r="T22" s="10" t="str">
        <f aca="false">IF(S22="","",S22*HoursPerDay)</f>
        <v/>
      </c>
      <c r="U22" s="9" t="str">
        <f aca="false">IF(V22=0,"",IF(W22=1,IF(N(R22)&gt;0,"TERMINATED - forfeit "&amp;TEXT(R22,"0.##")&amp;" days in EH","Terminated"),IF(NOT(EH_Ready),"Paste EH export (see Settings)",IF(S22&gt;0,"ADD "&amp;TEXT(S22,"0.##")&amp;" day(s) = "&amp;TEXT(T22,"0.##")&amp;" hrs in EH",IF(S22&lt;0,"CHECK - EH has "&amp;TEXT(-S22,"0.##")&amp;" days more than policy",IF(O22&gt;0,"OK","-"))))))</f>
        <v/>
      </c>
      <c r="V22" s="9" t="n">
        <f aca="false">IF(OR(LEN($A22&amp;$B22)=0,$D22=""),0,1)</f>
        <v>0</v>
      </c>
      <c r="W22" s="9" t="n">
        <f aca="false">IF(V22=0,0,IF(AND($K22&lt;&gt;"",$K22&lt;=AsOfDate),1,0))</f>
        <v>0</v>
      </c>
      <c r="X22" s="11" t="str">
        <f aca="false">IF(V22=0,"",IF($K22="",AsOfDate,MIN(AsOfDate,$K22)))</f>
        <v/>
      </c>
      <c r="Y22" s="9" t="str">
        <f aca="false">IF(V22=0,"",IF(X22&lt;($D22+N($J22)),-1,12*(YEAR(X22)-YEAR(($D22+N($J22))))+MONTH(X22)-MONTH(($D22+N($J22)))-IF(DAY(X22)&lt;MIN(DAY(($D22+N($J22))),DAY(EOMONTH(X22,0))),1,0)))</f>
        <v/>
      </c>
      <c r="Z22" s="9" t="str">
        <f aca="false">IF(V22=0,"",IF(AH22="",Y22,IF((AH22-1)&lt;($D22+N($J22)),-1,12*(YEAR((AH22-1))-YEAR(($D22+N($J22))))+MONTH((AH22-1))-MONTH(($D22+N($J22)))-IF(DAY((AH22-1))&lt;MIN(DAY(($D22+N($J22))),DAY(EOMONTH((AH22-1),0))),1,0))))</f>
        <v/>
      </c>
      <c r="AA22" s="9" t="str">
        <f aca="false">IF(V22=0,"",IF($E22="Full-Time","FT",IF(AND($E22="Part-Time",N($F22)&gt;=PT_MinHours),"PT","None")))</f>
        <v/>
      </c>
      <c r="AB22" s="9" t="str">
        <f aca="false">IF(V22=0,"",IF($H22="Full-Time","FT",IF(AND($H22="Part-Time",N($I22)&gt;=PT_MinHours),"PT","None")))</f>
        <v/>
      </c>
      <c r="AC22" s="9" t="str">
        <f aca="false">IF(V22=0,"",IF(AH22&lt;&gt;"",AB22,AA22))</f>
        <v/>
      </c>
      <c r="AD22" s="9" t="str">
        <f aca="false">IF(V22=0,"",IF(AA22="FT",IF(Z22&lt;FT_First,0,IF(Z22&lt;FT_Y5,1+INT((Z22-FT_First)/FT_Int1),FT_PreY5+FT_PerYear*INT((Z22-FT_Y5)/12)+FT_AnnivDays+INT(MOD(Z22-FT_Y5,12)/FT_Int2))),IF(AA22="PT",IF(Z22&lt;PT_First,0,1+INT((Z22-PT_First)/PT_Int)),0)))</f>
        <v/>
      </c>
      <c r="AE22" s="9" t="str">
        <f aca="false">IF(V22=0,"",IF(AB22="FT",IF(Z22&lt;FT_First,0,IF(Z22&lt;FT_Y5,1+INT((Z22-FT_First)/FT_Int1),FT_PreY5+FT_PerYear*INT((Z22-FT_Y5)/12)+FT_AnnivDays+INT(MOD(Z22-FT_Y5,12)/FT_Int2))),IF(AB22="PT",IF(Z22&lt;PT_First,0,1+INT((Z22-PT_First)/PT_Int)),0)))</f>
        <v/>
      </c>
      <c r="AF22" s="9" t="str">
        <f aca="false">IF(V22=0,"",IF(AB22="FT",IF(Y22&lt;FT_First,0,IF(Y22&lt;FT_Y5,1+INT((Y22-FT_First)/FT_Int1),FT_PreY5+FT_PerYear*INT((Y22-FT_Y5)/12)+FT_AnnivDays+INT(MOD(Y22-FT_Y5,12)/FT_Int2))),IF(AB22="PT",IF(Y22&lt;PT_First,0,1+INT((Y22-PT_First)/PT_Int)),0)))</f>
        <v/>
      </c>
      <c r="AG22" s="9" t="str">
        <f aca="false">IF(V22=0,"",IF(AC22="FT",IF(Y22&lt;FT_First,FT_First,IF(Y22&lt;FT_Y5,MIN(FT_Y5,FT_First+FT_Int1*(INT((Y22-FT_First)/FT_Int1)+1)),FT_Y5+12*INT((Y22-FT_Y5)/12)+FT_Int2*(INT(MOD(Y22-FT_Y5,12)/FT_Int2)+1))),IF(AC22="PT",IF(Y22&lt;PT_First,PT_First,PT_First+PT_Int*(INT((Y22-PT_First)/PT_Int)+1)),"")))</f>
        <v/>
      </c>
      <c r="AH22" s="11" t="str">
        <f aca="false">IF(V22=0,"",IF($G22="","",IF($G22&gt;X22,"",$G22)))</f>
        <v/>
      </c>
    </row>
    <row r="23" customFormat="false" ht="15" hidden="false" customHeight="false" outlineLevel="0" collapsed="false">
      <c r="A23" s="12"/>
      <c r="B23" s="12"/>
      <c r="C23" s="12"/>
      <c r="D23" s="13"/>
      <c r="E23" s="12"/>
      <c r="F23" s="14"/>
      <c r="G23" s="13"/>
      <c r="H23" s="12"/>
      <c r="I23" s="14"/>
      <c r="J23" s="14"/>
      <c r="K23" s="13"/>
      <c r="L23" s="9" t="str">
        <f aca="false">IF(V23=0,"",IF($G23="","",$E23&amp;" to "&amp;$H23&amp;IF($H23="Part-Time"," "&amp;N($I23)&amp;" hrs","")&amp;" on "&amp;TEXT($G23,"dd/mm/yyyy")&amp;IF($G23&gt;AsOfDate," (future)",IF(AA23=AC23,"",IF(AC23="None"," - STOPPED accruing",IF(AA23="None"," - now qualifying"," - pathway changed"))))))</f>
        <v/>
      </c>
      <c r="M23" s="9" t="str">
        <f aca="false">IF(V23=0,"",IF(W23=1,"Terminated",IF(AC23="None",IF(O23&gt;0,"No longer accruing","Not eligible - "&amp;IF(AND(AC23="None",IF(AH23&lt;&gt;"",$H23,$E23)="Part-Time"),"under "&amp;PT_MinHours&amp;" hrs",IF(AH23&lt;&gt;"",$H23,$E23))),IF(O23&gt;0,"Yes - accruing","Not yet - from "&amp;TEXT(Q23,"dd/mm/yyyy")))))</f>
        <v/>
      </c>
      <c r="N23" s="9" t="str">
        <f aca="false">IF(V23=0,"",IF(Y23&lt;0,"-",INT(Y23/12)&amp;"y "&amp;MOD(Y23,12)&amp;"m"))</f>
        <v/>
      </c>
      <c r="O23" s="10" t="str">
        <f aca="false">IF(V23=0,"",AD23+IF(AH23="",0,AF23-AE23))</f>
        <v/>
      </c>
      <c r="P23" s="10" t="str">
        <f aca="false">IF(V23=0,"",O23*HoursPerDay)</f>
        <v/>
      </c>
      <c r="Q23" s="11" t="str">
        <f aca="false">IF(V23=0,"",IF(OR(W23=1,AC23="None"),"",EDATE(($D23+N($J23)),AG23)))</f>
        <v/>
      </c>
      <c r="R23" s="10" t="str">
        <f aca="false">IF(V23=0,"",IF(NOT(EH_Ready),"",SUMIFS(INDEX(EH_Data,0,EH_ColBal),INDEX(EH_Data,0,EH_ColFirst),$A23,INDEX(EH_Data,0,EH_ColSur),$B23,INDEX(EH_Data,0,EH_ColCat),BonusCat)/IF(EHUnit="Hours",HoursPerDay,1)))</f>
        <v/>
      </c>
      <c r="S23" s="10" t="str">
        <f aca="false">IF(OR(V23=0,R23="",W23=1),"",O23-R23)</f>
        <v/>
      </c>
      <c r="T23" s="10" t="str">
        <f aca="false">IF(S23="","",S23*HoursPerDay)</f>
        <v/>
      </c>
      <c r="U23" s="9" t="str">
        <f aca="false">IF(V23=0,"",IF(W23=1,IF(N(R23)&gt;0,"TERMINATED - forfeit "&amp;TEXT(R23,"0.##")&amp;" days in EH","Terminated"),IF(NOT(EH_Ready),"Paste EH export (see Settings)",IF(S23&gt;0,"ADD "&amp;TEXT(S23,"0.##")&amp;" day(s) = "&amp;TEXT(T23,"0.##")&amp;" hrs in EH",IF(S23&lt;0,"CHECK - EH has "&amp;TEXT(-S23,"0.##")&amp;" days more than policy",IF(O23&gt;0,"OK","-"))))))</f>
        <v/>
      </c>
      <c r="V23" s="9" t="n">
        <f aca="false">IF(OR(LEN($A23&amp;$B23)=0,$D23=""),0,1)</f>
        <v>0</v>
      </c>
      <c r="W23" s="9" t="n">
        <f aca="false">IF(V23=0,0,IF(AND($K23&lt;&gt;"",$K23&lt;=AsOfDate),1,0))</f>
        <v>0</v>
      </c>
      <c r="X23" s="11" t="str">
        <f aca="false">IF(V23=0,"",IF($K23="",AsOfDate,MIN(AsOfDate,$K23)))</f>
        <v/>
      </c>
      <c r="Y23" s="9" t="str">
        <f aca="false">IF(V23=0,"",IF(X23&lt;($D23+N($J23)),-1,12*(YEAR(X23)-YEAR(($D23+N($J23))))+MONTH(X23)-MONTH(($D23+N($J23)))-IF(DAY(X23)&lt;MIN(DAY(($D23+N($J23))),DAY(EOMONTH(X23,0))),1,0)))</f>
        <v/>
      </c>
      <c r="Z23" s="9" t="str">
        <f aca="false">IF(V23=0,"",IF(AH23="",Y23,IF((AH23-1)&lt;($D23+N($J23)),-1,12*(YEAR((AH23-1))-YEAR(($D23+N($J23))))+MONTH((AH23-1))-MONTH(($D23+N($J23)))-IF(DAY((AH23-1))&lt;MIN(DAY(($D23+N($J23))),DAY(EOMONTH((AH23-1),0))),1,0))))</f>
        <v/>
      </c>
      <c r="AA23" s="9" t="str">
        <f aca="false">IF(V23=0,"",IF($E23="Full-Time","FT",IF(AND($E23="Part-Time",N($F23)&gt;=PT_MinHours),"PT","None")))</f>
        <v/>
      </c>
      <c r="AB23" s="9" t="str">
        <f aca="false">IF(V23=0,"",IF($H23="Full-Time","FT",IF(AND($H23="Part-Time",N($I23)&gt;=PT_MinHours),"PT","None")))</f>
        <v/>
      </c>
      <c r="AC23" s="9" t="str">
        <f aca="false">IF(V23=0,"",IF(AH23&lt;&gt;"",AB23,AA23))</f>
        <v/>
      </c>
      <c r="AD23" s="9" t="str">
        <f aca="false">IF(V23=0,"",IF(AA23="FT",IF(Z23&lt;FT_First,0,IF(Z23&lt;FT_Y5,1+INT((Z23-FT_First)/FT_Int1),FT_PreY5+FT_PerYear*INT((Z23-FT_Y5)/12)+FT_AnnivDays+INT(MOD(Z23-FT_Y5,12)/FT_Int2))),IF(AA23="PT",IF(Z23&lt;PT_First,0,1+INT((Z23-PT_First)/PT_Int)),0)))</f>
        <v/>
      </c>
      <c r="AE23" s="9" t="str">
        <f aca="false">IF(V23=0,"",IF(AB23="FT",IF(Z23&lt;FT_First,0,IF(Z23&lt;FT_Y5,1+INT((Z23-FT_First)/FT_Int1),FT_PreY5+FT_PerYear*INT((Z23-FT_Y5)/12)+FT_AnnivDays+INT(MOD(Z23-FT_Y5,12)/FT_Int2))),IF(AB23="PT",IF(Z23&lt;PT_First,0,1+INT((Z23-PT_First)/PT_Int)),0)))</f>
        <v/>
      </c>
      <c r="AF23" s="9" t="str">
        <f aca="false">IF(V23=0,"",IF(AB23="FT",IF(Y23&lt;FT_First,0,IF(Y23&lt;FT_Y5,1+INT((Y23-FT_First)/FT_Int1),FT_PreY5+FT_PerYear*INT((Y23-FT_Y5)/12)+FT_AnnivDays+INT(MOD(Y23-FT_Y5,12)/FT_Int2))),IF(AB23="PT",IF(Y23&lt;PT_First,0,1+INT((Y23-PT_First)/PT_Int)),0)))</f>
        <v/>
      </c>
      <c r="AG23" s="9" t="str">
        <f aca="false">IF(V23=0,"",IF(AC23="FT",IF(Y23&lt;FT_First,FT_First,IF(Y23&lt;FT_Y5,MIN(FT_Y5,FT_First+FT_Int1*(INT((Y23-FT_First)/FT_Int1)+1)),FT_Y5+12*INT((Y23-FT_Y5)/12)+FT_Int2*(INT(MOD(Y23-FT_Y5,12)/FT_Int2)+1))),IF(AC23="PT",IF(Y23&lt;PT_First,PT_First,PT_First+PT_Int*(INT((Y23-PT_First)/PT_Int)+1)),"")))</f>
        <v/>
      </c>
      <c r="AH23" s="11" t="str">
        <f aca="false">IF(V23=0,"",IF($G23="","",IF($G23&gt;X23,"",$G23)))</f>
        <v/>
      </c>
    </row>
    <row r="24" customFormat="false" ht="15" hidden="false" customHeight="false" outlineLevel="0" collapsed="false">
      <c r="A24" s="12"/>
      <c r="B24" s="12"/>
      <c r="C24" s="12"/>
      <c r="D24" s="13"/>
      <c r="E24" s="12"/>
      <c r="F24" s="14"/>
      <c r="G24" s="13"/>
      <c r="H24" s="12"/>
      <c r="I24" s="14"/>
      <c r="J24" s="14"/>
      <c r="K24" s="13"/>
      <c r="L24" s="9" t="str">
        <f aca="false">IF(V24=0,"",IF($G24="","",$E24&amp;" to "&amp;$H24&amp;IF($H24="Part-Time"," "&amp;N($I24)&amp;" hrs","")&amp;" on "&amp;TEXT($G24,"dd/mm/yyyy")&amp;IF($G24&gt;AsOfDate," (future)",IF(AA24=AC24,"",IF(AC24="None"," - STOPPED accruing",IF(AA24="None"," - now qualifying"," - pathway changed"))))))</f>
        <v/>
      </c>
      <c r="M24" s="9" t="str">
        <f aca="false">IF(V24=0,"",IF(W24=1,"Terminated",IF(AC24="None",IF(O24&gt;0,"No longer accruing","Not eligible - "&amp;IF(AND(AC24="None",IF(AH24&lt;&gt;"",$H24,$E24)="Part-Time"),"under "&amp;PT_MinHours&amp;" hrs",IF(AH24&lt;&gt;"",$H24,$E24))),IF(O24&gt;0,"Yes - accruing","Not yet - from "&amp;TEXT(Q24,"dd/mm/yyyy")))))</f>
        <v/>
      </c>
      <c r="N24" s="9" t="str">
        <f aca="false">IF(V24=0,"",IF(Y24&lt;0,"-",INT(Y24/12)&amp;"y "&amp;MOD(Y24,12)&amp;"m"))</f>
        <v/>
      </c>
      <c r="O24" s="10" t="str">
        <f aca="false">IF(V24=0,"",AD24+IF(AH24="",0,AF24-AE24))</f>
        <v/>
      </c>
      <c r="P24" s="10" t="str">
        <f aca="false">IF(V24=0,"",O24*HoursPerDay)</f>
        <v/>
      </c>
      <c r="Q24" s="11" t="str">
        <f aca="false">IF(V24=0,"",IF(OR(W24=1,AC24="None"),"",EDATE(($D24+N($J24)),AG24)))</f>
        <v/>
      </c>
      <c r="R24" s="10" t="str">
        <f aca="false">IF(V24=0,"",IF(NOT(EH_Ready),"",SUMIFS(INDEX(EH_Data,0,EH_ColBal),INDEX(EH_Data,0,EH_ColFirst),$A24,INDEX(EH_Data,0,EH_ColSur),$B24,INDEX(EH_Data,0,EH_ColCat),BonusCat)/IF(EHUnit="Hours",HoursPerDay,1)))</f>
        <v/>
      </c>
      <c r="S24" s="10" t="str">
        <f aca="false">IF(OR(V24=0,R24="",W24=1),"",O24-R24)</f>
        <v/>
      </c>
      <c r="T24" s="10" t="str">
        <f aca="false">IF(S24="","",S24*HoursPerDay)</f>
        <v/>
      </c>
      <c r="U24" s="9" t="str">
        <f aca="false">IF(V24=0,"",IF(W24=1,IF(N(R24)&gt;0,"TERMINATED - forfeit "&amp;TEXT(R24,"0.##")&amp;" days in EH","Terminated"),IF(NOT(EH_Ready),"Paste EH export (see Settings)",IF(S24&gt;0,"ADD "&amp;TEXT(S24,"0.##")&amp;" day(s) = "&amp;TEXT(T24,"0.##")&amp;" hrs in EH",IF(S24&lt;0,"CHECK - EH has "&amp;TEXT(-S24,"0.##")&amp;" days more than policy",IF(O24&gt;0,"OK","-"))))))</f>
        <v/>
      </c>
      <c r="V24" s="9" t="n">
        <f aca="false">IF(OR(LEN($A24&amp;$B24)=0,$D24=""),0,1)</f>
        <v>0</v>
      </c>
      <c r="W24" s="9" t="n">
        <f aca="false">IF(V24=0,0,IF(AND($K24&lt;&gt;"",$K24&lt;=AsOfDate),1,0))</f>
        <v>0</v>
      </c>
      <c r="X24" s="11" t="str">
        <f aca="false">IF(V24=0,"",IF($K24="",AsOfDate,MIN(AsOfDate,$K24)))</f>
        <v/>
      </c>
      <c r="Y24" s="9" t="str">
        <f aca="false">IF(V24=0,"",IF(X24&lt;($D24+N($J24)),-1,12*(YEAR(X24)-YEAR(($D24+N($J24))))+MONTH(X24)-MONTH(($D24+N($J24)))-IF(DAY(X24)&lt;MIN(DAY(($D24+N($J24))),DAY(EOMONTH(X24,0))),1,0)))</f>
        <v/>
      </c>
      <c r="Z24" s="9" t="str">
        <f aca="false">IF(V24=0,"",IF(AH24="",Y24,IF((AH24-1)&lt;($D24+N($J24)),-1,12*(YEAR((AH24-1))-YEAR(($D24+N($J24))))+MONTH((AH24-1))-MONTH(($D24+N($J24)))-IF(DAY((AH24-1))&lt;MIN(DAY(($D24+N($J24))),DAY(EOMONTH((AH24-1),0))),1,0))))</f>
        <v/>
      </c>
      <c r="AA24" s="9" t="str">
        <f aca="false">IF(V24=0,"",IF($E24="Full-Time","FT",IF(AND($E24="Part-Time",N($F24)&gt;=PT_MinHours),"PT","None")))</f>
        <v/>
      </c>
      <c r="AB24" s="9" t="str">
        <f aca="false">IF(V24=0,"",IF($H24="Full-Time","FT",IF(AND($H24="Part-Time",N($I24)&gt;=PT_MinHours),"PT","None")))</f>
        <v/>
      </c>
      <c r="AC24" s="9" t="str">
        <f aca="false">IF(V24=0,"",IF(AH24&lt;&gt;"",AB24,AA24))</f>
        <v/>
      </c>
      <c r="AD24" s="9" t="str">
        <f aca="false">IF(V24=0,"",IF(AA24="FT",IF(Z24&lt;FT_First,0,IF(Z24&lt;FT_Y5,1+INT((Z24-FT_First)/FT_Int1),FT_PreY5+FT_PerYear*INT((Z24-FT_Y5)/12)+FT_AnnivDays+INT(MOD(Z24-FT_Y5,12)/FT_Int2))),IF(AA24="PT",IF(Z24&lt;PT_First,0,1+INT((Z24-PT_First)/PT_Int)),0)))</f>
        <v/>
      </c>
      <c r="AE24" s="9" t="str">
        <f aca="false">IF(V24=0,"",IF(AB24="FT",IF(Z24&lt;FT_First,0,IF(Z24&lt;FT_Y5,1+INT((Z24-FT_First)/FT_Int1),FT_PreY5+FT_PerYear*INT((Z24-FT_Y5)/12)+FT_AnnivDays+INT(MOD(Z24-FT_Y5,12)/FT_Int2))),IF(AB24="PT",IF(Z24&lt;PT_First,0,1+INT((Z24-PT_First)/PT_Int)),0)))</f>
        <v/>
      </c>
      <c r="AF24" s="9" t="str">
        <f aca="false">IF(V24=0,"",IF(AB24="FT",IF(Y24&lt;FT_First,0,IF(Y24&lt;FT_Y5,1+INT((Y24-FT_First)/FT_Int1),FT_PreY5+FT_PerYear*INT((Y24-FT_Y5)/12)+FT_AnnivDays+INT(MOD(Y24-FT_Y5,12)/FT_Int2))),IF(AB24="PT",IF(Y24&lt;PT_First,0,1+INT((Y24-PT_First)/PT_Int)),0)))</f>
        <v/>
      </c>
      <c r="AG24" s="9" t="str">
        <f aca="false">IF(V24=0,"",IF(AC24="FT",IF(Y24&lt;FT_First,FT_First,IF(Y24&lt;FT_Y5,MIN(FT_Y5,FT_First+FT_Int1*(INT((Y24-FT_First)/FT_Int1)+1)),FT_Y5+12*INT((Y24-FT_Y5)/12)+FT_Int2*(INT(MOD(Y24-FT_Y5,12)/FT_Int2)+1))),IF(AC24="PT",IF(Y24&lt;PT_First,PT_First,PT_First+PT_Int*(INT((Y24-PT_First)/PT_Int)+1)),"")))</f>
        <v/>
      </c>
      <c r="AH24" s="11" t="str">
        <f aca="false">IF(V24=0,"",IF($G24="","",IF($G24&gt;X24,"",$G24)))</f>
        <v/>
      </c>
    </row>
    <row r="25" customFormat="false" ht="15" hidden="false" customHeight="false" outlineLevel="0" collapsed="false">
      <c r="A25" s="12"/>
      <c r="B25" s="12"/>
      <c r="C25" s="12"/>
      <c r="D25" s="13"/>
      <c r="E25" s="12"/>
      <c r="F25" s="14"/>
      <c r="G25" s="13"/>
      <c r="H25" s="12"/>
      <c r="I25" s="14"/>
      <c r="J25" s="14"/>
      <c r="K25" s="13"/>
      <c r="L25" s="9" t="str">
        <f aca="false">IF(V25=0,"",IF($G25="","",$E25&amp;" to "&amp;$H25&amp;IF($H25="Part-Time"," "&amp;N($I25)&amp;" hrs","")&amp;" on "&amp;TEXT($G25,"dd/mm/yyyy")&amp;IF($G25&gt;AsOfDate," (future)",IF(AA25=AC25,"",IF(AC25="None"," - STOPPED accruing",IF(AA25="None"," - now qualifying"," - pathway changed"))))))</f>
        <v/>
      </c>
      <c r="M25" s="9" t="str">
        <f aca="false">IF(V25=0,"",IF(W25=1,"Terminated",IF(AC25="None",IF(O25&gt;0,"No longer accruing","Not eligible - "&amp;IF(AND(AC25="None",IF(AH25&lt;&gt;"",$H25,$E25)="Part-Time"),"under "&amp;PT_MinHours&amp;" hrs",IF(AH25&lt;&gt;"",$H25,$E25))),IF(O25&gt;0,"Yes - accruing","Not yet - from "&amp;TEXT(Q25,"dd/mm/yyyy")))))</f>
        <v/>
      </c>
      <c r="N25" s="9" t="str">
        <f aca="false">IF(V25=0,"",IF(Y25&lt;0,"-",INT(Y25/12)&amp;"y "&amp;MOD(Y25,12)&amp;"m"))</f>
        <v/>
      </c>
      <c r="O25" s="10" t="str">
        <f aca="false">IF(V25=0,"",AD25+IF(AH25="",0,AF25-AE25))</f>
        <v/>
      </c>
      <c r="P25" s="10" t="str">
        <f aca="false">IF(V25=0,"",O25*HoursPerDay)</f>
        <v/>
      </c>
      <c r="Q25" s="11" t="str">
        <f aca="false">IF(V25=0,"",IF(OR(W25=1,AC25="None"),"",EDATE(($D25+N($J25)),AG25)))</f>
        <v/>
      </c>
      <c r="R25" s="10" t="str">
        <f aca="false">IF(V25=0,"",IF(NOT(EH_Ready),"",SUMIFS(INDEX(EH_Data,0,EH_ColBal),INDEX(EH_Data,0,EH_ColFirst),$A25,INDEX(EH_Data,0,EH_ColSur),$B25,INDEX(EH_Data,0,EH_ColCat),BonusCat)/IF(EHUnit="Hours",HoursPerDay,1)))</f>
        <v/>
      </c>
      <c r="S25" s="10" t="str">
        <f aca="false">IF(OR(V25=0,R25="",W25=1),"",O25-R25)</f>
        <v/>
      </c>
      <c r="T25" s="10" t="str">
        <f aca="false">IF(S25="","",S25*HoursPerDay)</f>
        <v/>
      </c>
      <c r="U25" s="9" t="str">
        <f aca="false">IF(V25=0,"",IF(W25=1,IF(N(R25)&gt;0,"TERMINATED - forfeit "&amp;TEXT(R25,"0.##")&amp;" days in EH","Terminated"),IF(NOT(EH_Ready),"Paste EH export (see Settings)",IF(S25&gt;0,"ADD "&amp;TEXT(S25,"0.##")&amp;" day(s) = "&amp;TEXT(T25,"0.##")&amp;" hrs in EH",IF(S25&lt;0,"CHECK - EH has "&amp;TEXT(-S25,"0.##")&amp;" days more than policy",IF(O25&gt;0,"OK","-"))))))</f>
        <v/>
      </c>
      <c r="V25" s="9" t="n">
        <f aca="false">IF(OR(LEN($A25&amp;$B25)=0,$D25=""),0,1)</f>
        <v>0</v>
      </c>
      <c r="W25" s="9" t="n">
        <f aca="false">IF(V25=0,0,IF(AND($K25&lt;&gt;"",$K25&lt;=AsOfDate),1,0))</f>
        <v>0</v>
      </c>
      <c r="X25" s="11" t="str">
        <f aca="false">IF(V25=0,"",IF($K25="",AsOfDate,MIN(AsOfDate,$K25)))</f>
        <v/>
      </c>
      <c r="Y25" s="9" t="str">
        <f aca="false">IF(V25=0,"",IF(X25&lt;($D25+N($J25)),-1,12*(YEAR(X25)-YEAR(($D25+N($J25))))+MONTH(X25)-MONTH(($D25+N($J25)))-IF(DAY(X25)&lt;MIN(DAY(($D25+N($J25))),DAY(EOMONTH(X25,0))),1,0)))</f>
        <v/>
      </c>
      <c r="Z25" s="9" t="str">
        <f aca="false">IF(V25=0,"",IF(AH25="",Y25,IF((AH25-1)&lt;($D25+N($J25)),-1,12*(YEAR((AH25-1))-YEAR(($D25+N($J25))))+MONTH((AH25-1))-MONTH(($D25+N($J25)))-IF(DAY((AH25-1))&lt;MIN(DAY(($D25+N($J25))),DAY(EOMONTH((AH25-1),0))),1,0))))</f>
        <v/>
      </c>
      <c r="AA25" s="9" t="str">
        <f aca="false">IF(V25=0,"",IF($E25="Full-Time","FT",IF(AND($E25="Part-Time",N($F25)&gt;=PT_MinHours),"PT","None")))</f>
        <v/>
      </c>
      <c r="AB25" s="9" t="str">
        <f aca="false">IF(V25=0,"",IF($H25="Full-Time","FT",IF(AND($H25="Part-Time",N($I25)&gt;=PT_MinHours),"PT","None")))</f>
        <v/>
      </c>
      <c r="AC25" s="9" t="str">
        <f aca="false">IF(V25=0,"",IF(AH25&lt;&gt;"",AB25,AA25))</f>
        <v/>
      </c>
      <c r="AD25" s="9" t="str">
        <f aca="false">IF(V25=0,"",IF(AA25="FT",IF(Z25&lt;FT_First,0,IF(Z25&lt;FT_Y5,1+INT((Z25-FT_First)/FT_Int1),FT_PreY5+FT_PerYear*INT((Z25-FT_Y5)/12)+FT_AnnivDays+INT(MOD(Z25-FT_Y5,12)/FT_Int2))),IF(AA25="PT",IF(Z25&lt;PT_First,0,1+INT((Z25-PT_First)/PT_Int)),0)))</f>
        <v/>
      </c>
      <c r="AE25" s="9" t="str">
        <f aca="false">IF(V25=0,"",IF(AB25="FT",IF(Z25&lt;FT_First,0,IF(Z25&lt;FT_Y5,1+INT((Z25-FT_First)/FT_Int1),FT_PreY5+FT_PerYear*INT((Z25-FT_Y5)/12)+FT_AnnivDays+INT(MOD(Z25-FT_Y5,12)/FT_Int2))),IF(AB25="PT",IF(Z25&lt;PT_First,0,1+INT((Z25-PT_First)/PT_Int)),0)))</f>
        <v/>
      </c>
      <c r="AF25" s="9" t="str">
        <f aca="false">IF(V25=0,"",IF(AB25="FT",IF(Y25&lt;FT_First,0,IF(Y25&lt;FT_Y5,1+INT((Y25-FT_First)/FT_Int1),FT_PreY5+FT_PerYear*INT((Y25-FT_Y5)/12)+FT_AnnivDays+INT(MOD(Y25-FT_Y5,12)/FT_Int2))),IF(AB25="PT",IF(Y25&lt;PT_First,0,1+INT((Y25-PT_First)/PT_Int)),0)))</f>
        <v/>
      </c>
      <c r="AG25" s="9" t="str">
        <f aca="false">IF(V25=0,"",IF(AC25="FT",IF(Y25&lt;FT_First,FT_First,IF(Y25&lt;FT_Y5,MIN(FT_Y5,FT_First+FT_Int1*(INT((Y25-FT_First)/FT_Int1)+1)),FT_Y5+12*INT((Y25-FT_Y5)/12)+FT_Int2*(INT(MOD(Y25-FT_Y5,12)/FT_Int2)+1))),IF(AC25="PT",IF(Y25&lt;PT_First,PT_First,PT_First+PT_Int*(INT((Y25-PT_First)/PT_Int)+1)),"")))</f>
        <v/>
      </c>
      <c r="AH25" s="11" t="str">
        <f aca="false">IF(V25=0,"",IF($G25="","",IF($G25&gt;X25,"",$G25)))</f>
        <v/>
      </c>
    </row>
    <row r="26" customFormat="false" ht="15" hidden="false" customHeight="false" outlineLevel="0" collapsed="false">
      <c r="A26" s="12"/>
      <c r="B26" s="12"/>
      <c r="C26" s="12"/>
      <c r="D26" s="13"/>
      <c r="E26" s="12"/>
      <c r="F26" s="14"/>
      <c r="G26" s="13"/>
      <c r="H26" s="12"/>
      <c r="I26" s="14"/>
      <c r="J26" s="14"/>
      <c r="K26" s="13"/>
      <c r="L26" s="9" t="str">
        <f aca="false">IF(V26=0,"",IF($G26="","",$E26&amp;" to "&amp;$H26&amp;IF($H26="Part-Time"," "&amp;N($I26)&amp;" hrs","")&amp;" on "&amp;TEXT($G26,"dd/mm/yyyy")&amp;IF($G26&gt;AsOfDate," (future)",IF(AA26=AC26,"",IF(AC26="None"," - STOPPED accruing",IF(AA26="None"," - now qualifying"," - pathway changed"))))))</f>
        <v/>
      </c>
      <c r="M26" s="9" t="str">
        <f aca="false">IF(V26=0,"",IF(W26=1,"Terminated",IF(AC26="None",IF(O26&gt;0,"No longer accruing","Not eligible - "&amp;IF(AND(AC26="None",IF(AH26&lt;&gt;"",$H26,$E26)="Part-Time"),"under "&amp;PT_MinHours&amp;" hrs",IF(AH26&lt;&gt;"",$H26,$E26))),IF(O26&gt;0,"Yes - accruing","Not yet - from "&amp;TEXT(Q26,"dd/mm/yyyy")))))</f>
        <v/>
      </c>
      <c r="N26" s="9" t="str">
        <f aca="false">IF(V26=0,"",IF(Y26&lt;0,"-",INT(Y26/12)&amp;"y "&amp;MOD(Y26,12)&amp;"m"))</f>
        <v/>
      </c>
      <c r="O26" s="10" t="str">
        <f aca="false">IF(V26=0,"",AD26+IF(AH26="",0,AF26-AE26))</f>
        <v/>
      </c>
      <c r="P26" s="10" t="str">
        <f aca="false">IF(V26=0,"",O26*HoursPerDay)</f>
        <v/>
      </c>
      <c r="Q26" s="11" t="str">
        <f aca="false">IF(V26=0,"",IF(OR(W26=1,AC26="None"),"",EDATE(($D26+N($J26)),AG26)))</f>
        <v/>
      </c>
      <c r="R26" s="10" t="str">
        <f aca="false">IF(V26=0,"",IF(NOT(EH_Ready),"",SUMIFS(INDEX(EH_Data,0,EH_ColBal),INDEX(EH_Data,0,EH_ColFirst),$A26,INDEX(EH_Data,0,EH_ColSur),$B26,INDEX(EH_Data,0,EH_ColCat),BonusCat)/IF(EHUnit="Hours",HoursPerDay,1)))</f>
        <v/>
      </c>
      <c r="S26" s="10" t="str">
        <f aca="false">IF(OR(V26=0,R26="",W26=1),"",O26-R26)</f>
        <v/>
      </c>
      <c r="T26" s="10" t="str">
        <f aca="false">IF(S26="","",S26*HoursPerDay)</f>
        <v/>
      </c>
      <c r="U26" s="9" t="str">
        <f aca="false">IF(V26=0,"",IF(W26=1,IF(N(R26)&gt;0,"TERMINATED - forfeit "&amp;TEXT(R26,"0.##")&amp;" days in EH","Terminated"),IF(NOT(EH_Ready),"Paste EH export (see Settings)",IF(S26&gt;0,"ADD "&amp;TEXT(S26,"0.##")&amp;" day(s) = "&amp;TEXT(T26,"0.##")&amp;" hrs in EH",IF(S26&lt;0,"CHECK - EH has "&amp;TEXT(-S26,"0.##")&amp;" days more than policy",IF(O26&gt;0,"OK","-"))))))</f>
        <v/>
      </c>
      <c r="V26" s="9" t="n">
        <f aca="false">IF(OR(LEN($A26&amp;$B26)=0,$D26=""),0,1)</f>
        <v>0</v>
      </c>
      <c r="W26" s="9" t="n">
        <f aca="false">IF(V26=0,0,IF(AND($K26&lt;&gt;"",$K26&lt;=AsOfDate),1,0))</f>
        <v>0</v>
      </c>
      <c r="X26" s="11" t="str">
        <f aca="false">IF(V26=0,"",IF($K26="",AsOfDate,MIN(AsOfDate,$K26)))</f>
        <v/>
      </c>
      <c r="Y26" s="9" t="str">
        <f aca="false">IF(V26=0,"",IF(X26&lt;($D26+N($J26)),-1,12*(YEAR(X26)-YEAR(($D26+N($J26))))+MONTH(X26)-MONTH(($D26+N($J26)))-IF(DAY(X26)&lt;MIN(DAY(($D26+N($J26))),DAY(EOMONTH(X26,0))),1,0)))</f>
        <v/>
      </c>
      <c r="Z26" s="9" t="str">
        <f aca="false">IF(V26=0,"",IF(AH26="",Y26,IF((AH26-1)&lt;($D26+N($J26)),-1,12*(YEAR((AH26-1))-YEAR(($D26+N($J26))))+MONTH((AH26-1))-MONTH(($D26+N($J26)))-IF(DAY((AH26-1))&lt;MIN(DAY(($D26+N($J26))),DAY(EOMONTH((AH26-1),0))),1,0))))</f>
        <v/>
      </c>
      <c r="AA26" s="9" t="str">
        <f aca="false">IF(V26=0,"",IF($E26="Full-Time","FT",IF(AND($E26="Part-Time",N($F26)&gt;=PT_MinHours),"PT","None")))</f>
        <v/>
      </c>
      <c r="AB26" s="9" t="str">
        <f aca="false">IF(V26=0,"",IF($H26="Full-Time","FT",IF(AND($H26="Part-Time",N($I26)&gt;=PT_MinHours),"PT","None")))</f>
        <v/>
      </c>
      <c r="AC26" s="9" t="str">
        <f aca="false">IF(V26=0,"",IF(AH26&lt;&gt;"",AB26,AA26))</f>
        <v/>
      </c>
      <c r="AD26" s="9" t="str">
        <f aca="false">IF(V26=0,"",IF(AA26="FT",IF(Z26&lt;FT_First,0,IF(Z26&lt;FT_Y5,1+INT((Z26-FT_First)/FT_Int1),FT_PreY5+FT_PerYear*INT((Z26-FT_Y5)/12)+FT_AnnivDays+INT(MOD(Z26-FT_Y5,12)/FT_Int2))),IF(AA26="PT",IF(Z26&lt;PT_First,0,1+INT((Z26-PT_First)/PT_Int)),0)))</f>
        <v/>
      </c>
      <c r="AE26" s="9" t="str">
        <f aca="false">IF(V26=0,"",IF(AB26="FT",IF(Z26&lt;FT_First,0,IF(Z26&lt;FT_Y5,1+INT((Z26-FT_First)/FT_Int1),FT_PreY5+FT_PerYear*INT((Z26-FT_Y5)/12)+FT_AnnivDays+INT(MOD(Z26-FT_Y5,12)/FT_Int2))),IF(AB26="PT",IF(Z26&lt;PT_First,0,1+INT((Z26-PT_First)/PT_Int)),0)))</f>
        <v/>
      </c>
      <c r="AF26" s="9" t="str">
        <f aca="false">IF(V26=0,"",IF(AB26="FT",IF(Y26&lt;FT_First,0,IF(Y26&lt;FT_Y5,1+INT((Y26-FT_First)/FT_Int1),FT_PreY5+FT_PerYear*INT((Y26-FT_Y5)/12)+FT_AnnivDays+INT(MOD(Y26-FT_Y5,12)/FT_Int2))),IF(AB26="PT",IF(Y26&lt;PT_First,0,1+INT((Y26-PT_First)/PT_Int)),0)))</f>
        <v/>
      </c>
      <c r="AG26" s="9" t="str">
        <f aca="false">IF(V26=0,"",IF(AC26="FT",IF(Y26&lt;FT_First,FT_First,IF(Y26&lt;FT_Y5,MIN(FT_Y5,FT_First+FT_Int1*(INT((Y26-FT_First)/FT_Int1)+1)),FT_Y5+12*INT((Y26-FT_Y5)/12)+FT_Int2*(INT(MOD(Y26-FT_Y5,12)/FT_Int2)+1))),IF(AC26="PT",IF(Y26&lt;PT_First,PT_First,PT_First+PT_Int*(INT((Y26-PT_First)/PT_Int)+1)),"")))</f>
        <v/>
      </c>
      <c r="AH26" s="11" t="str">
        <f aca="false">IF(V26=0,"",IF($G26="","",IF($G26&gt;X26,"",$G26)))</f>
        <v/>
      </c>
    </row>
    <row r="27" customFormat="false" ht="15" hidden="false" customHeight="false" outlineLevel="0" collapsed="false">
      <c r="A27" s="12"/>
      <c r="B27" s="12"/>
      <c r="C27" s="12"/>
      <c r="D27" s="13"/>
      <c r="E27" s="12"/>
      <c r="F27" s="14"/>
      <c r="G27" s="13"/>
      <c r="H27" s="12"/>
      <c r="I27" s="14"/>
      <c r="J27" s="14"/>
      <c r="K27" s="13"/>
      <c r="L27" s="9" t="str">
        <f aca="false">IF(V27=0,"",IF($G27="","",$E27&amp;" to "&amp;$H27&amp;IF($H27="Part-Time"," "&amp;N($I27)&amp;" hrs","")&amp;" on "&amp;TEXT($G27,"dd/mm/yyyy")&amp;IF($G27&gt;AsOfDate," (future)",IF(AA27=AC27,"",IF(AC27="None"," - STOPPED accruing",IF(AA27="None"," - now qualifying"," - pathway changed"))))))</f>
        <v/>
      </c>
      <c r="M27" s="9" t="str">
        <f aca="false">IF(V27=0,"",IF(W27=1,"Terminated",IF(AC27="None",IF(O27&gt;0,"No longer accruing","Not eligible - "&amp;IF(AND(AC27="None",IF(AH27&lt;&gt;"",$H27,$E27)="Part-Time"),"under "&amp;PT_MinHours&amp;" hrs",IF(AH27&lt;&gt;"",$H27,$E27))),IF(O27&gt;0,"Yes - accruing","Not yet - from "&amp;TEXT(Q27,"dd/mm/yyyy")))))</f>
        <v/>
      </c>
      <c r="N27" s="9" t="str">
        <f aca="false">IF(V27=0,"",IF(Y27&lt;0,"-",INT(Y27/12)&amp;"y "&amp;MOD(Y27,12)&amp;"m"))</f>
        <v/>
      </c>
      <c r="O27" s="10" t="str">
        <f aca="false">IF(V27=0,"",AD27+IF(AH27="",0,AF27-AE27))</f>
        <v/>
      </c>
      <c r="P27" s="10" t="str">
        <f aca="false">IF(V27=0,"",O27*HoursPerDay)</f>
        <v/>
      </c>
      <c r="Q27" s="11" t="str">
        <f aca="false">IF(V27=0,"",IF(OR(W27=1,AC27="None"),"",EDATE(($D27+N($J27)),AG27)))</f>
        <v/>
      </c>
      <c r="R27" s="10" t="str">
        <f aca="false">IF(V27=0,"",IF(NOT(EH_Ready),"",SUMIFS(INDEX(EH_Data,0,EH_ColBal),INDEX(EH_Data,0,EH_ColFirst),$A27,INDEX(EH_Data,0,EH_ColSur),$B27,INDEX(EH_Data,0,EH_ColCat),BonusCat)/IF(EHUnit="Hours",HoursPerDay,1)))</f>
        <v/>
      </c>
      <c r="S27" s="10" t="str">
        <f aca="false">IF(OR(V27=0,R27="",W27=1),"",O27-R27)</f>
        <v/>
      </c>
      <c r="T27" s="10" t="str">
        <f aca="false">IF(S27="","",S27*HoursPerDay)</f>
        <v/>
      </c>
      <c r="U27" s="9" t="str">
        <f aca="false">IF(V27=0,"",IF(W27=1,IF(N(R27)&gt;0,"TERMINATED - forfeit "&amp;TEXT(R27,"0.##")&amp;" days in EH","Terminated"),IF(NOT(EH_Ready),"Paste EH export (see Settings)",IF(S27&gt;0,"ADD "&amp;TEXT(S27,"0.##")&amp;" day(s) = "&amp;TEXT(T27,"0.##")&amp;" hrs in EH",IF(S27&lt;0,"CHECK - EH has "&amp;TEXT(-S27,"0.##")&amp;" days more than policy",IF(O27&gt;0,"OK","-"))))))</f>
        <v/>
      </c>
      <c r="V27" s="9" t="n">
        <f aca="false">IF(OR(LEN($A27&amp;$B27)=0,$D27=""),0,1)</f>
        <v>0</v>
      </c>
      <c r="W27" s="9" t="n">
        <f aca="false">IF(V27=0,0,IF(AND($K27&lt;&gt;"",$K27&lt;=AsOfDate),1,0))</f>
        <v>0</v>
      </c>
      <c r="X27" s="11" t="str">
        <f aca="false">IF(V27=0,"",IF($K27="",AsOfDate,MIN(AsOfDate,$K27)))</f>
        <v/>
      </c>
      <c r="Y27" s="9" t="str">
        <f aca="false">IF(V27=0,"",IF(X27&lt;($D27+N($J27)),-1,12*(YEAR(X27)-YEAR(($D27+N($J27))))+MONTH(X27)-MONTH(($D27+N($J27)))-IF(DAY(X27)&lt;MIN(DAY(($D27+N($J27))),DAY(EOMONTH(X27,0))),1,0)))</f>
        <v/>
      </c>
      <c r="Z27" s="9" t="str">
        <f aca="false">IF(V27=0,"",IF(AH27="",Y27,IF((AH27-1)&lt;($D27+N($J27)),-1,12*(YEAR((AH27-1))-YEAR(($D27+N($J27))))+MONTH((AH27-1))-MONTH(($D27+N($J27)))-IF(DAY((AH27-1))&lt;MIN(DAY(($D27+N($J27))),DAY(EOMONTH((AH27-1),0))),1,0))))</f>
        <v/>
      </c>
      <c r="AA27" s="9" t="str">
        <f aca="false">IF(V27=0,"",IF($E27="Full-Time","FT",IF(AND($E27="Part-Time",N($F27)&gt;=PT_MinHours),"PT","None")))</f>
        <v/>
      </c>
      <c r="AB27" s="9" t="str">
        <f aca="false">IF(V27=0,"",IF($H27="Full-Time","FT",IF(AND($H27="Part-Time",N($I27)&gt;=PT_MinHours),"PT","None")))</f>
        <v/>
      </c>
      <c r="AC27" s="9" t="str">
        <f aca="false">IF(V27=0,"",IF(AH27&lt;&gt;"",AB27,AA27))</f>
        <v/>
      </c>
      <c r="AD27" s="9" t="str">
        <f aca="false">IF(V27=0,"",IF(AA27="FT",IF(Z27&lt;FT_First,0,IF(Z27&lt;FT_Y5,1+INT((Z27-FT_First)/FT_Int1),FT_PreY5+FT_PerYear*INT((Z27-FT_Y5)/12)+FT_AnnivDays+INT(MOD(Z27-FT_Y5,12)/FT_Int2))),IF(AA27="PT",IF(Z27&lt;PT_First,0,1+INT((Z27-PT_First)/PT_Int)),0)))</f>
        <v/>
      </c>
      <c r="AE27" s="9" t="str">
        <f aca="false">IF(V27=0,"",IF(AB27="FT",IF(Z27&lt;FT_First,0,IF(Z27&lt;FT_Y5,1+INT((Z27-FT_First)/FT_Int1),FT_PreY5+FT_PerYear*INT((Z27-FT_Y5)/12)+FT_AnnivDays+INT(MOD(Z27-FT_Y5,12)/FT_Int2))),IF(AB27="PT",IF(Z27&lt;PT_First,0,1+INT((Z27-PT_First)/PT_Int)),0)))</f>
        <v/>
      </c>
      <c r="AF27" s="9" t="str">
        <f aca="false">IF(V27=0,"",IF(AB27="FT",IF(Y27&lt;FT_First,0,IF(Y27&lt;FT_Y5,1+INT((Y27-FT_First)/FT_Int1),FT_PreY5+FT_PerYear*INT((Y27-FT_Y5)/12)+FT_AnnivDays+INT(MOD(Y27-FT_Y5,12)/FT_Int2))),IF(AB27="PT",IF(Y27&lt;PT_First,0,1+INT((Y27-PT_First)/PT_Int)),0)))</f>
        <v/>
      </c>
      <c r="AG27" s="9" t="str">
        <f aca="false">IF(V27=0,"",IF(AC27="FT",IF(Y27&lt;FT_First,FT_First,IF(Y27&lt;FT_Y5,MIN(FT_Y5,FT_First+FT_Int1*(INT((Y27-FT_First)/FT_Int1)+1)),FT_Y5+12*INT((Y27-FT_Y5)/12)+FT_Int2*(INT(MOD(Y27-FT_Y5,12)/FT_Int2)+1))),IF(AC27="PT",IF(Y27&lt;PT_First,PT_First,PT_First+PT_Int*(INT((Y27-PT_First)/PT_Int)+1)),"")))</f>
        <v/>
      </c>
      <c r="AH27" s="11" t="str">
        <f aca="false">IF(V27=0,"",IF($G27="","",IF($G27&gt;X27,"",$G27)))</f>
        <v/>
      </c>
    </row>
    <row r="28" customFormat="false" ht="15" hidden="false" customHeight="false" outlineLevel="0" collapsed="false">
      <c r="A28" s="12"/>
      <c r="B28" s="12"/>
      <c r="C28" s="12"/>
      <c r="D28" s="13"/>
      <c r="E28" s="12"/>
      <c r="F28" s="14"/>
      <c r="G28" s="13"/>
      <c r="H28" s="12"/>
      <c r="I28" s="14"/>
      <c r="J28" s="14"/>
      <c r="K28" s="13"/>
      <c r="L28" s="9" t="str">
        <f aca="false">IF(V28=0,"",IF($G28="","",$E28&amp;" to "&amp;$H28&amp;IF($H28="Part-Time"," "&amp;N($I28)&amp;" hrs","")&amp;" on "&amp;TEXT($G28,"dd/mm/yyyy")&amp;IF($G28&gt;AsOfDate," (future)",IF(AA28=AC28,"",IF(AC28="None"," - STOPPED accruing",IF(AA28="None"," - now qualifying"," - pathway changed"))))))</f>
        <v/>
      </c>
      <c r="M28" s="9" t="str">
        <f aca="false">IF(V28=0,"",IF(W28=1,"Terminated",IF(AC28="None",IF(O28&gt;0,"No longer accruing","Not eligible - "&amp;IF(AND(AC28="None",IF(AH28&lt;&gt;"",$H28,$E28)="Part-Time"),"under "&amp;PT_MinHours&amp;" hrs",IF(AH28&lt;&gt;"",$H28,$E28))),IF(O28&gt;0,"Yes - accruing","Not yet - from "&amp;TEXT(Q28,"dd/mm/yyyy")))))</f>
        <v/>
      </c>
      <c r="N28" s="9" t="str">
        <f aca="false">IF(V28=0,"",IF(Y28&lt;0,"-",INT(Y28/12)&amp;"y "&amp;MOD(Y28,12)&amp;"m"))</f>
        <v/>
      </c>
      <c r="O28" s="10" t="str">
        <f aca="false">IF(V28=0,"",AD28+IF(AH28="",0,AF28-AE28))</f>
        <v/>
      </c>
      <c r="P28" s="10" t="str">
        <f aca="false">IF(V28=0,"",O28*HoursPerDay)</f>
        <v/>
      </c>
      <c r="Q28" s="11" t="str">
        <f aca="false">IF(V28=0,"",IF(OR(W28=1,AC28="None"),"",EDATE(($D28+N($J28)),AG28)))</f>
        <v/>
      </c>
      <c r="R28" s="10" t="str">
        <f aca="false">IF(V28=0,"",IF(NOT(EH_Ready),"",SUMIFS(INDEX(EH_Data,0,EH_ColBal),INDEX(EH_Data,0,EH_ColFirst),$A28,INDEX(EH_Data,0,EH_ColSur),$B28,INDEX(EH_Data,0,EH_ColCat),BonusCat)/IF(EHUnit="Hours",HoursPerDay,1)))</f>
        <v/>
      </c>
      <c r="S28" s="10" t="str">
        <f aca="false">IF(OR(V28=0,R28="",W28=1),"",O28-R28)</f>
        <v/>
      </c>
      <c r="T28" s="10" t="str">
        <f aca="false">IF(S28="","",S28*HoursPerDay)</f>
        <v/>
      </c>
      <c r="U28" s="9" t="str">
        <f aca="false">IF(V28=0,"",IF(W28=1,IF(N(R28)&gt;0,"TERMINATED - forfeit "&amp;TEXT(R28,"0.##")&amp;" days in EH","Terminated"),IF(NOT(EH_Ready),"Paste EH export (see Settings)",IF(S28&gt;0,"ADD "&amp;TEXT(S28,"0.##")&amp;" day(s) = "&amp;TEXT(T28,"0.##")&amp;" hrs in EH",IF(S28&lt;0,"CHECK - EH has "&amp;TEXT(-S28,"0.##")&amp;" days more than policy",IF(O28&gt;0,"OK","-"))))))</f>
        <v/>
      </c>
      <c r="V28" s="9" t="n">
        <f aca="false">IF(OR(LEN($A28&amp;$B28)=0,$D28=""),0,1)</f>
        <v>0</v>
      </c>
      <c r="W28" s="9" t="n">
        <f aca="false">IF(V28=0,0,IF(AND($K28&lt;&gt;"",$K28&lt;=AsOfDate),1,0))</f>
        <v>0</v>
      </c>
      <c r="X28" s="11" t="str">
        <f aca="false">IF(V28=0,"",IF($K28="",AsOfDate,MIN(AsOfDate,$K28)))</f>
        <v/>
      </c>
      <c r="Y28" s="9" t="str">
        <f aca="false">IF(V28=0,"",IF(X28&lt;($D28+N($J28)),-1,12*(YEAR(X28)-YEAR(($D28+N($J28))))+MONTH(X28)-MONTH(($D28+N($J28)))-IF(DAY(X28)&lt;MIN(DAY(($D28+N($J28))),DAY(EOMONTH(X28,0))),1,0)))</f>
        <v/>
      </c>
      <c r="Z28" s="9" t="str">
        <f aca="false">IF(V28=0,"",IF(AH28="",Y28,IF((AH28-1)&lt;($D28+N($J28)),-1,12*(YEAR((AH28-1))-YEAR(($D28+N($J28))))+MONTH((AH28-1))-MONTH(($D28+N($J28)))-IF(DAY((AH28-1))&lt;MIN(DAY(($D28+N($J28))),DAY(EOMONTH((AH28-1),0))),1,0))))</f>
        <v/>
      </c>
      <c r="AA28" s="9" t="str">
        <f aca="false">IF(V28=0,"",IF($E28="Full-Time","FT",IF(AND($E28="Part-Time",N($F28)&gt;=PT_MinHours),"PT","None")))</f>
        <v/>
      </c>
      <c r="AB28" s="9" t="str">
        <f aca="false">IF(V28=0,"",IF($H28="Full-Time","FT",IF(AND($H28="Part-Time",N($I28)&gt;=PT_MinHours),"PT","None")))</f>
        <v/>
      </c>
      <c r="AC28" s="9" t="str">
        <f aca="false">IF(V28=0,"",IF(AH28&lt;&gt;"",AB28,AA28))</f>
        <v/>
      </c>
      <c r="AD28" s="9" t="str">
        <f aca="false">IF(V28=0,"",IF(AA28="FT",IF(Z28&lt;FT_First,0,IF(Z28&lt;FT_Y5,1+INT((Z28-FT_First)/FT_Int1),FT_PreY5+FT_PerYear*INT((Z28-FT_Y5)/12)+FT_AnnivDays+INT(MOD(Z28-FT_Y5,12)/FT_Int2))),IF(AA28="PT",IF(Z28&lt;PT_First,0,1+INT((Z28-PT_First)/PT_Int)),0)))</f>
        <v/>
      </c>
      <c r="AE28" s="9" t="str">
        <f aca="false">IF(V28=0,"",IF(AB28="FT",IF(Z28&lt;FT_First,0,IF(Z28&lt;FT_Y5,1+INT((Z28-FT_First)/FT_Int1),FT_PreY5+FT_PerYear*INT((Z28-FT_Y5)/12)+FT_AnnivDays+INT(MOD(Z28-FT_Y5,12)/FT_Int2))),IF(AB28="PT",IF(Z28&lt;PT_First,0,1+INT((Z28-PT_First)/PT_Int)),0)))</f>
        <v/>
      </c>
      <c r="AF28" s="9" t="str">
        <f aca="false">IF(V28=0,"",IF(AB28="FT",IF(Y28&lt;FT_First,0,IF(Y28&lt;FT_Y5,1+INT((Y28-FT_First)/FT_Int1),FT_PreY5+FT_PerYear*INT((Y28-FT_Y5)/12)+FT_AnnivDays+INT(MOD(Y28-FT_Y5,12)/FT_Int2))),IF(AB28="PT",IF(Y28&lt;PT_First,0,1+INT((Y28-PT_First)/PT_Int)),0)))</f>
        <v/>
      </c>
      <c r="AG28" s="9" t="str">
        <f aca="false">IF(V28=0,"",IF(AC28="FT",IF(Y28&lt;FT_First,FT_First,IF(Y28&lt;FT_Y5,MIN(FT_Y5,FT_First+FT_Int1*(INT((Y28-FT_First)/FT_Int1)+1)),FT_Y5+12*INT((Y28-FT_Y5)/12)+FT_Int2*(INT(MOD(Y28-FT_Y5,12)/FT_Int2)+1))),IF(AC28="PT",IF(Y28&lt;PT_First,PT_First,PT_First+PT_Int*(INT((Y28-PT_First)/PT_Int)+1)),"")))</f>
        <v/>
      </c>
      <c r="AH28" s="11" t="str">
        <f aca="false">IF(V28=0,"",IF($G28="","",IF($G28&gt;X28,"",$G28)))</f>
        <v/>
      </c>
    </row>
    <row r="29" customFormat="false" ht="15" hidden="false" customHeight="false" outlineLevel="0" collapsed="false">
      <c r="A29" s="12"/>
      <c r="B29" s="12"/>
      <c r="C29" s="12"/>
      <c r="D29" s="13"/>
      <c r="E29" s="12"/>
      <c r="F29" s="14"/>
      <c r="G29" s="13"/>
      <c r="H29" s="12"/>
      <c r="I29" s="14"/>
      <c r="J29" s="14"/>
      <c r="K29" s="13"/>
      <c r="L29" s="9" t="str">
        <f aca="false">IF(V29=0,"",IF($G29="","",$E29&amp;" to "&amp;$H29&amp;IF($H29="Part-Time"," "&amp;N($I29)&amp;" hrs","")&amp;" on "&amp;TEXT($G29,"dd/mm/yyyy")&amp;IF($G29&gt;AsOfDate," (future)",IF(AA29=AC29,"",IF(AC29="None"," - STOPPED accruing",IF(AA29="None"," - now qualifying"," - pathway changed"))))))</f>
        <v/>
      </c>
      <c r="M29" s="9" t="str">
        <f aca="false">IF(V29=0,"",IF(W29=1,"Terminated",IF(AC29="None",IF(O29&gt;0,"No longer accruing","Not eligible - "&amp;IF(AND(AC29="None",IF(AH29&lt;&gt;"",$H29,$E29)="Part-Time"),"under "&amp;PT_MinHours&amp;" hrs",IF(AH29&lt;&gt;"",$H29,$E29))),IF(O29&gt;0,"Yes - accruing","Not yet - from "&amp;TEXT(Q29,"dd/mm/yyyy")))))</f>
        <v/>
      </c>
      <c r="N29" s="9" t="str">
        <f aca="false">IF(V29=0,"",IF(Y29&lt;0,"-",INT(Y29/12)&amp;"y "&amp;MOD(Y29,12)&amp;"m"))</f>
        <v/>
      </c>
      <c r="O29" s="10" t="str">
        <f aca="false">IF(V29=0,"",AD29+IF(AH29="",0,AF29-AE29))</f>
        <v/>
      </c>
      <c r="P29" s="10" t="str">
        <f aca="false">IF(V29=0,"",O29*HoursPerDay)</f>
        <v/>
      </c>
      <c r="Q29" s="11" t="str">
        <f aca="false">IF(V29=0,"",IF(OR(W29=1,AC29="None"),"",EDATE(($D29+N($J29)),AG29)))</f>
        <v/>
      </c>
      <c r="R29" s="10" t="str">
        <f aca="false">IF(V29=0,"",IF(NOT(EH_Ready),"",SUMIFS(INDEX(EH_Data,0,EH_ColBal),INDEX(EH_Data,0,EH_ColFirst),$A29,INDEX(EH_Data,0,EH_ColSur),$B29,INDEX(EH_Data,0,EH_ColCat),BonusCat)/IF(EHUnit="Hours",HoursPerDay,1)))</f>
        <v/>
      </c>
      <c r="S29" s="10" t="str">
        <f aca="false">IF(OR(V29=0,R29="",W29=1),"",O29-R29)</f>
        <v/>
      </c>
      <c r="T29" s="10" t="str">
        <f aca="false">IF(S29="","",S29*HoursPerDay)</f>
        <v/>
      </c>
      <c r="U29" s="9" t="str">
        <f aca="false">IF(V29=0,"",IF(W29=1,IF(N(R29)&gt;0,"TERMINATED - forfeit "&amp;TEXT(R29,"0.##")&amp;" days in EH","Terminated"),IF(NOT(EH_Ready),"Paste EH export (see Settings)",IF(S29&gt;0,"ADD "&amp;TEXT(S29,"0.##")&amp;" day(s) = "&amp;TEXT(T29,"0.##")&amp;" hrs in EH",IF(S29&lt;0,"CHECK - EH has "&amp;TEXT(-S29,"0.##")&amp;" days more than policy",IF(O29&gt;0,"OK","-"))))))</f>
        <v/>
      </c>
      <c r="V29" s="9" t="n">
        <f aca="false">IF(OR(LEN($A29&amp;$B29)=0,$D29=""),0,1)</f>
        <v>0</v>
      </c>
      <c r="W29" s="9" t="n">
        <f aca="false">IF(V29=0,0,IF(AND($K29&lt;&gt;"",$K29&lt;=AsOfDate),1,0))</f>
        <v>0</v>
      </c>
      <c r="X29" s="11" t="str">
        <f aca="false">IF(V29=0,"",IF($K29="",AsOfDate,MIN(AsOfDate,$K29)))</f>
        <v/>
      </c>
      <c r="Y29" s="9" t="str">
        <f aca="false">IF(V29=0,"",IF(X29&lt;($D29+N($J29)),-1,12*(YEAR(X29)-YEAR(($D29+N($J29))))+MONTH(X29)-MONTH(($D29+N($J29)))-IF(DAY(X29)&lt;MIN(DAY(($D29+N($J29))),DAY(EOMONTH(X29,0))),1,0)))</f>
        <v/>
      </c>
      <c r="Z29" s="9" t="str">
        <f aca="false">IF(V29=0,"",IF(AH29="",Y29,IF((AH29-1)&lt;($D29+N($J29)),-1,12*(YEAR((AH29-1))-YEAR(($D29+N($J29))))+MONTH((AH29-1))-MONTH(($D29+N($J29)))-IF(DAY((AH29-1))&lt;MIN(DAY(($D29+N($J29))),DAY(EOMONTH((AH29-1),0))),1,0))))</f>
        <v/>
      </c>
      <c r="AA29" s="9" t="str">
        <f aca="false">IF(V29=0,"",IF($E29="Full-Time","FT",IF(AND($E29="Part-Time",N($F29)&gt;=PT_MinHours),"PT","None")))</f>
        <v/>
      </c>
      <c r="AB29" s="9" t="str">
        <f aca="false">IF(V29=0,"",IF($H29="Full-Time","FT",IF(AND($H29="Part-Time",N($I29)&gt;=PT_MinHours),"PT","None")))</f>
        <v/>
      </c>
      <c r="AC29" s="9" t="str">
        <f aca="false">IF(V29=0,"",IF(AH29&lt;&gt;"",AB29,AA29))</f>
        <v/>
      </c>
      <c r="AD29" s="9" t="str">
        <f aca="false">IF(V29=0,"",IF(AA29="FT",IF(Z29&lt;FT_First,0,IF(Z29&lt;FT_Y5,1+INT((Z29-FT_First)/FT_Int1),FT_PreY5+FT_PerYear*INT((Z29-FT_Y5)/12)+FT_AnnivDays+INT(MOD(Z29-FT_Y5,12)/FT_Int2))),IF(AA29="PT",IF(Z29&lt;PT_First,0,1+INT((Z29-PT_First)/PT_Int)),0)))</f>
        <v/>
      </c>
      <c r="AE29" s="9" t="str">
        <f aca="false">IF(V29=0,"",IF(AB29="FT",IF(Z29&lt;FT_First,0,IF(Z29&lt;FT_Y5,1+INT((Z29-FT_First)/FT_Int1),FT_PreY5+FT_PerYear*INT((Z29-FT_Y5)/12)+FT_AnnivDays+INT(MOD(Z29-FT_Y5,12)/FT_Int2))),IF(AB29="PT",IF(Z29&lt;PT_First,0,1+INT((Z29-PT_First)/PT_Int)),0)))</f>
        <v/>
      </c>
      <c r="AF29" s="9" t="str">
        <f aca="false">IF(V29=0,"",IF(AB29="FT",IF(Y29&lt;FT_First,0,IF(Y29&lt;FT_Y5,1+INT((Y29-FT_First)/FT_Int1),FT_PreY5+FT_PerYear*INT((Y29-FT_Y5)/12)+FT_AnnivDays+INT(MOD(Y29-FT_Y5,12)/FT_Int2))),IF(AB29="PT",IF(Y29&lt;PT_First,0,1+INT((Y29-PT_First)/PT_Int)),0)))</f>
        <v/>
      </c>
      <c r="AG29" s="9" t="str">
        <f aca="false">IF(V29=0,"",IF(AC29="FT",IF(Y29&lt;FT_First,FT_First,IF(Y29&lt;FT_Y5,MIN(FT_Y5,FT_First+FT_Int1*(INT((Y29-FT_First)/FT_Int1)+1)),FT_Y5+12*INT((Y29-FT_Y5)/12)+FT_Int2*(INT(MOD(Y29-FT_Y5,12)/FT_Int2)+1))),IF(AC29="PT",IF(Y29&lt;PT_First,PT_First,PT_First+PT_Int*(INT((Y29-PT_First)/PT_Int)+1)),"")))</f>
        <v/>
      </c>
      <c r="AH29" s="11" t="str">
        <f aca="false">IF(V29=0,"",IF($G29="","",IF($G29&gt;X29,"",$G29)))</f>
        <v/>
      </c>
    </row>
    <row r="30" customFormat="false" ht="15" hidden="false" customHeight="false" outlineLevel="0" collapsed="false">
      <c r="A30" s="12"/>
      <c r="B30" s="12"/>
      <c r="C30" s="12"/>
      <c r="D30" s="13"/>
      <c r="E30" s="12"/>
      <c r="F30" s="14"/>
      <c r="G30" s="13"/>
      <c r="H30" s="12"/>
      <c r="I30" s="14"/>
      <c r="J30" s="14"/>
      <c r="K30" s="13"/>
      <c r="L30" s="9" t="str">
        <f aca="false">IF(V30=0,"",IF($G30="","",$E30&amp;" to "&amp;$H30&amp;IF($H30="Part-Time"," "&amp;N($I30)&amp;" hrs","")&amp;" on "&amp;TEXT($G30,"dd/mm/yyyy")&amp;IF($G30&gt;AsOfDate," (future)",IF(AA30=AC30,"",IF(AC30="None"," - STOPPED accruing",IF(AA30="None"," - now qualifying"," - pathway changed"))))))</f>
        <v/>
      </c>
      <c r="M30" s="9" t="str">
        <f aca="false">IF(V30=0,"",IF(W30=1,"Terminated",IF(AC30="None",IF(O30&gt;0,"No longer accruing","Not eligible - "&amp;IF(AND(AC30="None",IF(AH30&lt;&gt;"",$H30,$E30)="Part-Time"),"under "&amp;PT_MinHours&amp;" hrs",IF(AH30&lt;&gt;"",$H30,$E30))),IF(O30&gt;0,"Yes - accruing","Not yet - from "&amp;TEXT(Q30,"dd/mm/yyyy")))))</f>
        <v/>
      </c>
      <c r="N30" s="9" t="str">
        <f aca="false">IF(V30=0,"",IF(Y30&lt;0,"-",INT(Y30/12)&amp;"y "&amp;MOD(Y30,12)&amp;"m"))</f>
        <v/>
      </c>
      <c r="O30" s="10" t="str">
        <f aca="false">IF(V30=0,"",AD30+IF(AH30="",0,AF30-AE30))</f>
        <v/>
      </c>
      <c r="P30" s="10" t="str">
        <f aca="false">IF(V30=0,"",O30*HoursPerDay)</f>
        <v/>
      </c>
      <c r="Q30" s="11" t="str">
        <f aca="false">IF(V30=0,"",IF(OR(W30=1,AC30="None"),"",EDATE(($D30+N($J30)),AG30)))</f>
        <v/>
      </c>
      <c r="R30" s="10" t="str">
        <f aca="false">IF(V30=0,"",IF(NOT(EH_Ready),"",SUMIFS(INDEX(EH_Data,0,EH_ColBal),INDEX(EH_Data,0,EH_ColFirst),$A30,INDEX(EH_Data,0,EH_ColSur),$B30,INDEX(EH_Data,0,EH_ColCat),BonusCat)/IF(EHUnit="Hours",HoursPerDay,1)))</f>
        <v/>
      </c>
      <c r="S30" s="10" t="str">
        <f aca="false">IF(OR(V30=0,R30="",W30=1),"",O30-R30)</f>
        <v/>
      </c>
      <c r="T30" s="10" t="str">
        <f aca="false">IF(S30="","",S30*HoursPerDay)</f>
        <v/>
      </c>
      <c r="U30" s="9" t="str">
        <f aca="false">IF(V30=0,"",IF(W30=1,IF(N(R30)&gt;0,"TERMINATED - forfeit "&amp;TEXT(R30,"0.##")&amp;" days in EH","Terminated"),IF(NOT(EH_Ready),"Paste EH export (see Settings)",IF(S30&gt;0,"ADD "&amp;TEXT(S30,"0.##")&amp;" day(s) = "&amp;TEXT(T30,"0.##")&amp;" hrs in EH",IF(S30&lt;0,"CHECK - EH has "&amp;TEXT(-S30,"0.##")&amp;" days more than policy",IF(O30&gt;0,"OK","-"))))))</f>
        <v/>
      </c>
      <c r="V30" s="9" t="n">
        <f aca="false">IF(OR(LEN($A30&amp;$B30)=0,$D30=""),0,1)</f>
        <v>0</v>
      </c>
      <c r="W30" s="9" t="n">
        <f aca="false">IF(V30=0,0,IF(AND($K30&lt;&gt;"",$K30&lt;=AsOfDate),1,0))</f>
        <v>0</v>
      </c>
      <c r="X30" s="11" t="str">
        <f aca="false">IF(V30=0,"",IF($K30="",AsOfDate,MIN(AsOfDate,$K30)))</f>
        <v/>
      </c>
      <c r="Y30" s="9" t="str">
        <f aca="false">IF(V30=0,"",IF(X30&lt;($D30+N($J30)),-1,12*(YEAR(X30)-YEAR(($D30+N($J30))))+MONTH(X30)-MONTH(($D30+N($J30)))-IF(DAY(X30)&lt;MIN(DAY(($D30+N($J30))),DAY(EOMONTH(X30,0))),1,0)))</f>
        <v/>
      </c>
      <c r="Z30" s="9" t="str">
        <f aca="false">IF(V30=0,"",IF(AH30="",Y30,IF((AH30-1)&lt;($D30+N($J30)),-1,12*(YEAR((AH30-1))-YEAR(($D30+N($J30))))+MONTH((AH30-1))-MONTH(($D30+N($J30)))-IF(DAY((AH30-1))&lt;MIN(DAY(($D30+N($J30))),DAY(EOMONTH((AH30-1),0))),1,0))))</f>
        <v/>
      </c>
      <c r="AA30" s="9" t="str">
        <f aca="false">IF(V30=0,"",IF($E30="Full-Time","FT",IF(AND($E30="Part-Time",N($F30)&gt;=PT_MinHours),"PT","None")))</f>
        <v/>
      </c>
      <c r="AB30" s="9" t="str">
        <f aca="false">IF(V30=0,"",IF($H30="Full-Time","FT",IF(AND($H30="Part-Time",N($I30)&gt;=PT_MinHours),"PT","None")))</f>
        <v/>
      </c>
      <c r="AC30" s="9" t="str">
        <f aca="false">IF(V30=0,"",IF(AH30&lt;&gt;"",AB30,AA30))</f>
        <v/>
      </c>
      <c r="AD30" s="9" t="str">
        <f aca="false">IF(V30=0,"",IF(AA30="FT",IF(Z30&lt;FT_First,0,IF(Z30&lt;FT_Y5,1+INT((Z30-FT_First)/FT_Int1),FT_PreY5+FT_PerYear*INT((Z30-FT_Y5)/12)+FT_AnnivDays+INT(MOD(Z30-FT_Y5,12)/FT_Int2))),IF(AA30="PT",IF(Z30&lt;PT_First,0,1+INT((Z30-PT_First)/PT_Int)),0)))</f>
        <v/>
      </c>
      <c r="AE30" s="9" t="str">
        <f aca="false">IF(V30=0,"",IF(AB30="FT",IF(Z30&lt;FT_First,0,IF(Z30&lt;FT_Y5,1+INT((Z30-FT_First)/FT_Int1),FT_PreY5+FT_PerYear*INT((Z30-FT_Y5)/12)+FT_AnnivDays+INT(MOD(Z30-FT_Y5,12)/FT_Int2))),IF(AB30="PT",IF(Z30&lt;PT_First,0,1+INT((Z30-PT_First)/PT_Int)),0)))</f>
        <v/>
      </c>
      <c r="AF30" s="9" t="str">
        <f aca="false">IF(V30=0,"",IF(AB30="FT",IF(Y30&lt;FT_First,0,IF(Y30&lt;FT_Y5,1+INT((Y30-FT_First)/FT_Int1),FT_PreY5+FT_PerYear*INT((Y30-FT_Y5)/12)+FT_AnnivDays+INT(MOD(Y30-FT_Y5,12)/FT_Int2))),IF(AB30="PT",IF(Y30&lt;PT_First,0,1+INT((Y30-PT_First)/PT_Int)),0)))</f>
        <v/>
      </c>
      <c r="AG30" s="9" t="str">
        <f aca="false">IF(V30=0,"",IF(AC30="FT",IF(Y30&lt;FT_First,FT_First,IF(Y30&lt;FT_Y5,MIN(FT_Y5,FT_First+FT_Int1*(INT((Y30-FT_First)/FT_Int1)+1)),FT_Y5+12*INT((Y30-FT_Y5)/12)+FT_Int2*(INT(MOD(Y30-FT_Y5,12)/FT_Int2)+1))),IF(AC30="PT",IF(Y30&lt;PT_First,PT_First,PT_First+PT_Int*(INT((Y30-PT_First)/PT_Int)+1)),"")))</f>
        <v/>
      </c>
      <c r="AH30" s="11" t="str">
        <f aca="false">IF(V30=0,"",IF($G30="","",IF($G30&gt;X30,"",$G30)))</f>
        <v/>
      </c>
    </row>
    <row r="31" customFormat="false" ht="15" hidden="false" customHeight="false" outlineLevel="0" collapsed="false">
      <c r="A31" s="12"/>
      <c r="B31" s="12"/>
      <c r="C31" s="12"/>
      <c r="D31" s="13"/>
      <c r="E31" s="12"/>
      <c r="F31" s="14"/>
      <c r="G31" s="13"/>
      <c r="H31" s="12"/>
      <c r="I31" s="14"/>
      <c r="J31" s="14"/>
      <c r="K31" s="13"/>
      <c r="L31" s="9" t="str">
        <f aca="false">IF(V31=0,"",IF($G31="","",$E31&amp;" to "&amp;$H31&amp;IF($H31="Part-Time"," "&amp;N($I31)&amp;" hrs","")&amp;" on "&amp;TEXT($G31,"dd/mm/yyyy")&amp;IF($G31&gt;AsOfDate," (future)",IF(AA31=AC31,"",IF(AC31="None"," - STOPPED accruing",IF(AA31="None"," - now qualifying"," - pathway changed"))))))</f>
        <v/>
      </c>
      <c r="M31" s="9" t="str">
        <f aca="false">IF(V31=0,"",IF(W31=1,"Terminated",IF(AC31="None",IF(O31&gt;0,"No longer accruing","Not eligible - "&amp;IF(AND(AC31="None",IF(AH31&lt;&gt;"",$H31,$E31)="Part-Time"),"under "&amp;PT_MinHours&amp;" hrs",IF(AH31&lt;&gt;"",$H31,$E31))),IF(O31&gt;0,"Yes - accruing","Not yet - from "&amp;TEXT(Q31,"dd/mm/yyyy")))))</f>
        <v/>
      </c>
      <c r="N31" s="9" t="str">
        <f aca="false">IF(V31=0,"",IF(Y31&lt;0,"-",INT(Y31/12)&amp;"y "&amp;MOD(Y31,12)&amp;"m"))</f>
        <v/>
      </c>
      <c r="O31" s="10" t="str">
        <f aca="false">IF(V31=0,"",AD31+IF(AH31="",0,AF31-AE31))</f>
        <v/>
      </c>
      <c r="P31" s="10" t="str">
        <f aca="false">IF(V31=0,"",O31*HoursPerDay)</f>
        <v/>
      </c>
      <c r="Q31" s="11" t="str">
        <f aca="false">IF(V31=0,"",IF(OR(W31=1,AC31="None"),"",EDATE(($D31+N($J31)),AG31)))</f>
        <v/>
      </c>
      <c r="R31" s="10" t="str">
        <f aca="false">IF(V31=0,"",IF(NOT(EH_Ready),"",SUMIFS(INDEX(EH_Data,0,EH_ColBal),INDEX(EH_Data,0,EH_ColFirst),$A31,INDEX(EH_Data,0,EH_ColSur),$B31,INDEX(EH_Data,0,EH_ColCat),BonusCat)/IF(EHUnit="Hours",HoursPerDay,1)))</f>
        <v/>
      </c>
      <c r="S31" s="10" t="str">
        <f aca="false">IF(OR(V31=0,R31="",W31=1),"",O31-R31)</f>
        <v/>
      </c>
      <c r="T31" s="10" t="str">
        <f aca="false">IF(S31="","",S31*HoursPerDay)</f>
        <v/>
      </c>
      <c r="U31" s="9" t="str">
        <f aca="false">IF(V31=0,"",IF(W31=1,IF(N(R31)&gt;0,"TERMINATED - forfeit "&amp;TEXT(R31,"0.##")&amp;" days in EH","Terminated"),IF(NOT(EH_Ready),"Paste EH export (see Settings)",IF(S31&gt;0,"ADD "&amp;TEXT(S31,"0.##")&amp;" day(s) = "&amp;TEXT(T31,"0.##")&amp;" hrs in EH",IF(S31&lt;0,"CHECK - EH has "&amp;TEXT(-S31,"0.##")&amp;" days more than policy",IF(O31&gt;0,"OK","-"))))))</f>
        <v/>
      </c>
      <c r="V31" s="9" t="n">
        <f aca="false">IF(OR(LEN($A31&amp;$B31)=0,$D31=""),0,1)</f>
        <v>0</v>
      </c>
      <c r="W31" s="9" t="n">
        <f aca="false">IF(V31=0,0,IF(AND($K31&lt;&gt;"",$K31&lt;=AsOfDate),1,0))</f>
        <v>0</v>
      </c>
      <c r="X31" s="11" t="str">
        <f aca="false">IF(V31=0,"",IF($K31="",AsOfDate,MIN(AsOfDate,$K31)))</f>
        <v/>
      </c>
      <c r="Y31" s="9" t="str">
        <f aca="false">IF(V31=0,"",IF(X31&lt;($D31+N($J31)),-1,12*(YEAR(X31)-YEAR(($D31+N($J31))))+MONTH(X31)-MONTH(($D31+N($J31)))-IF(DAY(X31)&lt;MIN(DAY(($D31+N($J31))),DAY(EOMONTH(X31,0))),1,0)))</f>
        <v/>
      </c>
      <c r="Z31" s="9" t="str">
        <f aca="false">IF(V31=0,"",IF(AH31="",Y31,IF((AH31-1)&lt;($D31+N($J31)),-1,12*(YEAR((AH31-1))-YEAR(($D31+N($J31))))+MONTH((AH31-1))-MONTH(($D31+N($J31)))-IF(DAY((AH31-1))&lt;MIN(DAY(($D31+N($J31))),DAY(EOMONTH((AH31-1),0))),1,0))))</f>
        <v/>
      </c>
      <c r="AA31" s="9" t="str">
        <f aca="false">IF(V31=0,"",IF($E31="Full-Time","FT",IF(AND($E31="Part-Time",N($F31)&gt;=PT_MinHours),"PT","None")))</f>
        <v/>
      </c>
      <c r="AB31" s="9" t="str">
        <f aca="false">IF(V31=0,"",IF($H31="Full-Time","FT",IF(AND($H31="Part-Time",N($I31)&gt;=PT_MinHours),"PT","None")))</f>
        <v/>
      </c>
      <c r="AC31" s="9" t="str">
        <f aca="false">IF(V31=0,"",IF(AH31&lt;&gt;"",AB31,AA31))</f>
        <v/>
      </c>
      <c r="AD31" s="9" t="str">
        <f aca="false">IF(V31=0,"",IF(AA31="FT",IF(Z31&lt;FT_First,0,IF(Z31&lt;FT_Y5,1+INT((Z31-FT_First)/FT_Int1),FT_PreY5+FT_PerYear*INT((Z31-FT_Y5)/12)+FT_AnnivDays+INT(MOD(Z31-FT_Y5,12)/FT_Int2))),IF(AA31="PT",IF(Z31&lt;PT_First,0,1+INT((Z31-PT_First)/PT_Int)),0)))</f>
        <v/>
      </c>
      <c r="AE31" s="9" t="str">
        <f aca="false">IF(V31=0,"",IF(AB31="FT",IF(Z31&lt;FT_First,0,IF(Z31&lt;FT_Y5,1+INT((Z31-FT_First)/FT_Int1),FT_PreY5+FT_PerYear*INT((Z31-FT_Y5)/12)+FT_AnnivDays+INT(MOD(Z31-FT_Y5,12)/FT_Int2))),IF(AB31="PT",IF(Z31&lt;PT_First,0,1+INT((Z31-PT_First)/PT_Int)),0)))</f>
        <v/>
      </c>
      <c r="AF31" s="9" t="str">
        <f aca="false">IF(V31=0,"",IF(AB31="FT",IF(Y31&lt;FT_First,0,IF(Y31&lt;FT_Y5,1+INT((Y31-FT_First)/FT_Int1),FT_PreY5+FT_PerYear*INT((Y31-FT_Y5)/12)+FT_AnnivDays+INT(MOD(Y31-FT_Y5,12)/FT_Int2))),IF(AB31="PT",IF(Y31&lt;PT_First,0,1+INT((Y31-PT_First)/PT_Int)),0)))</f>
        <v/>
      </c>
      <c r="AG31" s="9" t="str">
        <f aca="false">IF(V31=0,"",IF(AC31="FT",IF(Y31&lt;FT_First,FT_First,IF(Y31&lt;FT_Y5,MIN(FT_Y5,FT_First+FT_Int1*(INT((Y31-FT_First)/FT_Int1)+1)),FT_Y5+12*INT((Y31-FT_Y5)/12)+FT_Int2*(INT(MOD(Y31-FT_Y5,12)/FT_Int2)+1))),IF(AC31="PT",IF(Y31&lt;PT_First,PT_First,PT_First+PT_Int*(INT((Y31-PT_First)/PT_Int)+1)),"")))</f>
        <v/>
      </c>
      <c r="AH31" s="11" t="str">
        <f aca="false">IF(V31=0,"",IF($G31="","",IF($G31&gt;X31,"",$G31)))</f>
        <v/>
      </c>
    </row>
    <row r="32" customFormat="false" ht="15" hidden="false" customHeight="false" outlineLevel="0" collapsed="false">
      <c r="A32" s="12"/>
      <c r="B32" s="12"/>
      <c r="C32" s="12"/>
      <c r="D32" s="13"/>
      <c r="E32" s="12"/>
      <c r="F32" s="14"/>
      <c r="G32" s="13"/>
      <c r="H32" s="12"/>
      <c r="I32" s="14"/>
      <c r="J32" s="14"/>
      <c r="K32" s="13"/>
      <c r="L32" s="9" t="str">
        <f aca="false">IF(V32=0,"",IF($G32="","",$E32&amp;" to "&amp;$H32&amp;IF($H32="Part-Time"," "&amp;N($I32)&amp;" hrs","")&amp;" on "&amp;TEXT($G32,"dd/mm/yyyy")&amp;IF($G32&gt;AsOfDate," (future)",IF(AA32=AC32,"",IF(AC32="None"," - STOPPED accruing",IF(AA32="None"," - now qualifying"," - pathway changed"))))))</f>
        <v/>
      </c>
      <c r="M32" s="9" t="str">
        <f aca="false">IF(V32=0,"",IF(W32=1,"Terminated",IF(AC32="None",IF(O32&gt;0,"No longer accruing","Not eligible - "&amp;IF(AND(AC32="None",IF(AH32&lt;&gt;"",$H32,$E32)="Part-Time"),"under "&amp;PT_MinHours&amp;" hrs",IF(AH32&lt;&gt;"",$H32,$E32))),IF(O32&gt;0,"Yes - accruing","Not yet - from "&amp;TEXT(Q32,"dd/mm/yyyy")))))</f>
        <v/>
      </c>
      <c r="N32" s="9" t="str">
        <f aca="false">IF(V32=0,"",IF(Y32&lt;0,"-",INT(Y32/12)&amp;"y "&amp;MOD(Y32,12)&amp;"m"))</f>
        <v/>
      </c>
      <c r="O32" s="10" t="str">
        <f aca="false">IF(V32=0,"",AD32+IF(AH32="",0,AF32-AE32))</f>
        <v/>
      </c>
      <c r="P32" s="10" t="str">
        <f aca="false">IF(V32=0,"",O32*HoursPerDay)</f>
        <v/>
      </c>
      <c r="Q32" s="11" t="str">
        <f aca="false">IF(V32=0,"",IF(OR(W32=1,AC32="None"),"",EDATE(($D32+N($J32)),AG32)))</f>
        <v/>
      </c>
      <c r="R32" s="10" t="str">
        <f aca="false">IF(V32=0,"",IF(NOT(EH_Ready),"",SUMIFS(INDEX(EH_Data,0,EH_ColBal),INDEX(EH_Data,0,EH_ColFirst),$A32,INDEX(EH_Data,0,EH_ColSur),$B32,INDEX(EH_Data,0,EH_ColCat),BonusCat)/IF(EHUnit="Hours",HoursPerDay,1)))</f>
        <v/>
      </c>
      <c r="S32" s="10" t="str">
        <f aca="false">IF(OR(V32=0,R32="",W32=1),"",O32-R32)</f>
        <v/>
      </c>
      <c r="T32" s="10" t="str">
        <f aca="false">IF(S32="","",S32*HoursPerDay)</f>
        <v/>
      </c>
      <c r="U32" s="9" t="str">
        <f aca="false">IF(V32=0,"",IF(W32=1,IF(N(R32)&gt;0,"TERMINATED - forfeit "&amp;TEXT(R32,"0.##")&amp;" days in EH","Terminated"),IF(NOT(EH_Ready),"Paste EH export (see Settings)",IF(S32&gt;0,"ADD "&amp;TEXT(S32,"0.##")&amp;" day(s) = "&amp;TEXT(T32,"0.##")&amp;" hrs in EH",IF(S32&lt;0,"CHECK - EH has "&amp;TEXT(-S32,"0.##")&amp;" days more than policy",IF(O32&gt;0,"OK","-"))))))</f>
        <v/>
      </c>
      <c r="V32" s="9" t="n">
        <f aca="false">IF(OR(LEN($A32&amp;$B32)=0,$D32=""),0,1)</f>
        <v>0</v>
      </c>
      <c r="W32" s="9" t="n">
        <f aca="false">IF(V32=0,0,IF(AND($K32&lt;&gt;"",$K32&lt;=AsOfDate),1,0))</f>
        <v>0</v>
      </c>
      <c r="X32" s="11" t="str">
        <f aca="false">IF(V32=0,"",IF($K32="",AsOfDate,MIN(AsOfDate,$K32)))</f>
        <v/>
      </c>
      <c r="Y32" s="9" t="str">
        <f aca="false">IF(V32=0,"",IF(X32&lt;($D32+N($J32)),-1,12*(YEAR(X32)-YEAR(($D32+N($J32))))+MONTH(X32)-MONTH(($D32+N($J32)))-IF(DAY(X32)&lt;MIN(DAY(($D32+N($J32))),DAY(EOMONTH(X32,0))),1,0)))</f>
        <v/>
      </c>
      <c r="Z32" s="9" t="str">
        <f aca="false">IF(V32=0,"",IF(AH32="",Y32,IF((AH32-1)&lt;($D32+N($J32)),-1,12*(YEAR((AH32-1))-YEAR(($D32+N($J32))))+MONTH((AH32-1))-MONTH(($D32+N($J32)))-IF(DAY((AH32-1))&lt;MIN(DAY(($D32+N($J32))),DAY(EOMONTH((AH32-1),0))),1,0))))</f>
        <v/>
      </c>
      <c r="AA32" s="9" t="str">
        <f aca="false">IF(V32=0,"",IF($E32="Full-Time","FT",IF(AND($E32="Part-Time",N($F32)&gt;=PT_MinHours),"PT","None")))</f>
        <v/>
      </c>
      <c r="AB32" s="9" t="str">
        <f aca="false">IF(V32=0,"",IF($H32="Full-Time","FT",IF(AND($H32="Part-Time",N($I32)&gt;=PT_MinHours),"PT","None")))</f>
        <v/>
      </c>
      <c r="AC32" s="9" t="str">
        <f aca="false">IF(V32=0,"",IF(AH32&lt;&gt;"",AB32,AA32))</f>
        <v/>
      </c>
      <c r="AD32" s="9" t="str">
        <f aca="false">IF(V32=0,"",IF(AA32="FT",IF(Z32&lt;FT_First,0,IF(Z32&lt;FT_Y5,1+INT((Z32-FT_First)/FT_Int1),FT_PreY5+FT_PerYear*INT((Z32-FT_Y5)/12)+FT_AnnivDays+INT(MOD(Z32-FT_Y5,12)/FT_Int2))),IF(AA32="PT",IF(Z32&lt;PT_First,0,1+INT((Z32-PT_First)/PT_Int)),0)))</f>
        <v/>
      </c>
      <c r="AE32" s="9" t="str">
        <f aca="false">IF(V32=0,"",IF(AB32="FT",IF(Z32&lt;FT_First,0,IF(Z32&lt;FT_Y5,1+INT((Z32-FT_First)/FT_Int1),FT_PreY5+FT_PerYear*INT((Z32-FT_Y5)/12)+FT_AnnivDays+INT(MOD(Z32-FT_Y5,12)/FT_Int2))),IF(AB32="PT",IF(Z32&lt;PT_First,0,1+INT((Z32-PT_First)/PT_Int)),0)))</f>
        <v/>
      </c>
      <c r="AF32" s="9" t="str">
        <f aca="false">IF(V32=0,"",IF(AB32="FT",IF(Y32&lt;FT_First,0,IF(Y32&lt;FT_Y5,1+INT((Y32-FT_First)/FT_Int1),FT_PreY5+FT_PerYear*INT((Y32-FT_Y5)/12)+FT_AnnivDays+INT(MOD(Y32-FT_Y5,12)/FT_Int2))),IF(AB32="PT",IF(Y32&lt;PT_First,0,1+INT((Y32-PT_First)/PT_Int)),0)))</f>
        <v/>
      </c>
      <c r="AG32" s="9" t="str">
        <f aca="false">IF(V32=0,"",IF(AC32="FT",IF(Y32&lt;FT_First,FT_First,IF(Y32&lt;FT_Y5,MIN(FT_Y5,FT_First+FT_Int1*(INT((Y32-FT_First)/FT_Int1)+1)),FT_Y5+12*INT((Y32-FT_Y5)/12)+FT_Int2*(INT(MOD(Y32-FT_Y5,12)/FT_Int2)+1))),IF(AC32="PT",IF(Y32&lt;PT_First,PT_First,PT_First+PT_Int*(INT((Y32-PT_First)/PT_Int)+1)),"")))</f>
        <v/>
      </c>
      <c r="AH32" s="11" t="str">
        <f aca="false">IF(V32=0,"",IF($G32="","",IF($G32&gt;X32,"",$G32)))</f>
        <v/>
      </c>
    </row>
    <row r="33" customFormat="false" ht="15" hidden="false" customHeight="false" outlineLevel="0" collapsed="false">
      <c r="A33" s="12"/>
      <c r="B33" s="12"/>
      <c r="C33" s="12"/>
      <c r="D33" s="13"/>
      <c r="E33" s="12"/>
      <c r="F33" s="14"/>
      <c r="G33" s="13"/>
      <c r="H33" s="12"/>
      <c r="I33" s="14"/>
      <c r="J33" s="14"/>
      <c r="K33" s="13"/>
      <c r="L33" s="9" t="str">
        <f aca="false">IF(V33=0,"",IF($G33="","",$E33&amp;" to "&amp;$H33&amp;IF($H33="Part-Time"," "&amp;N($I33)&amp;" hrs","")&amp;" on "&amp;TEXT($G33,"dd/mm/yyyy")&amp;IF($G33&gt;AsOfDate," (future)",IF(AA33=AC33,"",IF(AC33="None"," - STOPPED accruing",IF(AA33="None"," - now qualifying"," - pathway changed"))))))</f>
        <v/>
      </c>
      <c r="M33" s="9" t="str">
        <f aca="false">IF(V33=0,"",IF(W33=1,"Terminated",IF(AC33="None",IF(O33&gt;0,"No longer accruing","Not eligible - "&amp;IF(AND(AC33="None",IF(AH33&lt;&gt;"",$H33,$E33)="Part-Time"),"under "&amp;PT_MinHours&amp;" hrs",IF(AH33&lt;&gt;"",$H33,$E33))),IF(O33&gt;0,"Yes - accruing","Not yet - from "&amp;TEXT(Q33,"dd/mm/yyyy")))))</f>
        <v/>
      </c>
      <c r="N33" s="9" t="str">
        <f aca="false">IF(V33=0,"",IF(Y33&lt;0,"-",INT(Y33/12)&amp;"y "&amp;MOD(Y33,12)&amp;"m"))</f>
        <v/>
      </c>
      <c r="O33" s="10" t="str">
        <f aca="false">IF(V33=0,"",AD33+IF(AH33="",0,AF33-AE33))</f>
        <v/>
      </c>
      <c r="P33" s="10" t="str">
        <f aca="false">IF(V33=0,"",O33*HoursPerDay)</f>
        <v/>
      </c>
      <c r="Q33" s="11" t="str">
        <f aca="false">IF(V33=0,"",IF(OR(W33=1,AC33="None"),"",EDATE(($D33+N($J33)),AG33)))</f>
        <v/>
      </c>
      <c r="R33" s="10" t="str">
        <f aca="false">IF(V33=0,"",IF(NOT(EH_Ready),"",SUMIFS(INDEX(EH_Data,0,EH_ColBal),INDEX(EH_Data,0,EH_ColFirst),$A33,INDEX(EH_Data,0,EH_ColSur),$B33,INDEX(EH_Data,0,EH_ColCat),BonusCat)/IF(EHUnit="Hours",HoursPerDay,1)))</f>
        <v/>
      </c>
      <c r="S33" s="10" t="str">
        <f aca="false">IF(OR(V33=0,R33="",W33=1),"",O33-R33)</f>
        <v/>
      </c>
      <c r="T33" s="10" t="str">
        <f aca="false">IF(S33="","",S33*HoursPerDay)</f>
        <v/>
      </c>
      <c r="U33" s="9" t="str">
        <f aca="false">IF(V33=0,"",IF(W33=1,IF(N(R33)&gt;0,"TERMINATED - forfeit "&amp;TEXT(R33,"0.##")&amp;" days in EH","Terminated"),IF(NOT(EH_Ready),"Paste EH export (see Settings)",IF(S33&gt;0,"ADD "&amp;TEXT(S33,"0.##")&amp;" day(s) = "&amp;TEXT(T33,"0.##")&amp;" hrs in EH",IF(S33&lt;0,"CHECK - EH has "&amp;TEXT(-S33,"0.##")&amp;" days more than policy",IF(O33&gt;0,"OK","-"))))))</f>
        <v/>
      </c>
      <c r="V33" s="9" t="n">
        <f aca="false">IF(OR(LEN($A33&amp;$B33)=0,$D33=""),0,1)</f>
        <v>0</v>
      </c>
      <c r="W33" s="9" t="n">
        <f aca="false">IF(V33=0,0,IF(AND($K33&lt;&gt;"",$K33&lt;=AsOfDate),1,0))</f>
        <v>0</v>
      </c>
      <c r="X33" s="11" t="str">
        <f aca="false">IF(V33=0,"",IF($K33="",AsOfDate,MIN(AsOfDate,$K33)))</f>
        <v/>
      </c>
      <c r="Y33" s="9" t="str">
        <f aca="false">IF(V33=0,"",IF(X33&lt;($D33+N($J33)),-1,12*(YEAR(X33)-YEAR(($D33+N($J33))))+MONTH(X33)-MONTH(($D33+N($J33)))-IF(DAY(X33)&lt;MIN(DAY(($D33+N($J33))),DAY(EOMONTH(X33,0))),1,0)))</f>
        <v/>
      </c>
      <c r="Z33" s="9" t="str">
        <f aca="false">IF(V33=0,"",IF(AH33="",Y33,IF((AH33-1)&lt;($D33+N($J33)),-1,12*(YEAR((AH33-1))-YEAR(($D33+N($J33))))+MONTH((AH33-1))-MONTH(($D33+N($J33)))-IF(DAY((AH33-1))&lt;MIN(DAY(($D33+N($J33))),DAY(EOMONTH((AH33-1),0))),1,0))))</f>
        <v/>
      </c>
      <c r="AA33" s="9" t="str">
        <f aca="false">IF(V33=0,"",IF($E33="Full-Time","FT",IF(AND($E33="Part-Time",N($F33)&gt;=PT_MinHours),"PT","None")))</f>
        <v/>
      </c>
      <c r="AB33" s="9" t="str">
        <f aca="false">IF(V33=0,"",IF($H33="Full-Time","FT",IF(AND($H33="Part-Time",N($I33)&gt;=PT_MinHours),"PT","None")))</f>
        <v/>
      </c>
      <c r="AC33" s="9" t="str">
        <f aca="false">IF(V33=0,"",IF(AH33&lt;&gt;"",AB33,AA33))</f>
        <v/>
      </c>
      <c r="AD33" s="9" t="str">
        <f aca="false">IF(V33=0,"",IF(AA33="FT",IF(Z33&lt;FT_First,0,IF(Z33&lt;FT_Y5,1+INT((Z33-FT_First)/FT_Int1),FT_PreY5+FT_PerYear*INT((Z33-FT_Y5)/12)+FT_AnnivDays+INT(MOD(Z33-FT_Y5,12)/FT_Int2))),IF(AA33="PT",IF(Z33&lt;PT_First,0,1+INT((Z33-PT_First)/PT_Int)),0)))</f>
        <v/>
      </c>
      <c r="AE33" s="9" t="str">
        <f aca="false">IF(V33=0,"",IF(AB33="FT",IF(Z33&lt;FT_First,0,IF(Z33&lt;FT_Y5,1+INT((Z33-FT_First)/FT_Int1),FT_PreY5+FT_PerYear*INT((Z33-FT_Y5)/12)+FT_AnnivDays+INT(MOD(Z33-FT_Y5,12)/FT_Int2))),IF(AB33="PT",IF(Z33&lt;PT_First,0,1+INT((Z33-PT_First)/PT_Int)),0)))</f>
        <v/>
      </c>
      <c r="AF33" s="9" t="str">
        <f aca="false">IF(V33=0,"",IF(AB33="FT",IF(Y33&lt;FT_First,0,IF(Y33&lt;FT_Y5,1+INT((Y33-FT_First)/FT_Int1),FT_PreY5+FT_PerYear*INT((Y33-FT_Y5)/12)+FT_AnnivDays+INT(MOD(Y33-FT_Y5,12)/FT_Int2))),IF(AB33="PT",IF(Y33&lt;PT_First,0,1+INT((Y33-PT_First)/PT_Int)),0)))</f>
        <v/>
      </c>
      <c r="AG33" s="9" t="str">
        <f aca="false">IF(V33=0,"",IF(AC33="FT",IF(Y33&lt;FT_First,FT_First,IF(Y33&lt;FT_Y5,MIN(FT_Y5,FT_First+FT_Int1*(INT((Y33-FT_First)/FT_Int1)+1)),FT_Y5+12*INT((Y33-FT_Y5)/12)+FT_Int2*(INT(MOD(Y33-FT_Y5,12)/FT_Int2)+1))),IF(AC33="PT",IF(Y33&lt;PT_First,PT_First,PT_First+PT_Int*(INT((Y33-PT_First)/PT_Int)+1)),"")))</f>
        <v/>
      </c>
      <c r="AH33" s="11" t="str">
        <f aca="false">IF(V33=0,"",IF($G33="","",IF($G33&gt;X33,"",$G33)))</f>
        <v/>
      </c>
    </row>
    <row r="34" customFormat="false" ht="15" hidden="false" customHeight="false" outlineLevel="0" collapsed="false">
      <c r="A34" s="12"/>
      <c r="B34" s="12"/>
      <c r="C34" s="12"/>
      <c r="D34" s="13"/>
      <c r="E34" s="12"/>
      <c r="F34" s="14"/>
      <c r="G34" s="13"/>
      <c r="H34" s="12"/>
      <c r="I34" s="14"/>
      <c r="J34" s="14"/>
      <c r="K34" s="13"/>
      <c r="L34" s="9" t="str">
        <f aca="false">IF(V34=0,"",IF($G34="","",$E34&amp;" to "&amp;$H34&amp;IF($H34="Part-Time"," "&amp;N($I34)&amp;" hrs","")&amp;" on "&amp;TEXT($G34,"dd/mm/yyyy")&amp;IF($G34&gt;AsOfDate," (future)",IF(AA34=AC34,"",IF(AC34="None"," - STOPPED accruing",IF(AA34="None"," - now qualifying"," - pathway changed"))))))</f>
        <v/>
      </c>
      <c r="M34" s="9" t="str">
        <f aca="false">IF(V34=0,"",IF(W34=1,"Terminated",IF(AC34="None",IF(O34&gt;0,"No longer accruing","Not eligible - "&amp;IF(AND(AC34="None",IF(AH34&lt;&gt;"",$H34,$E34)="Part-Time"),"under "&amp;PT_MinHours&amp;" hrs",IF(AH34&lt;&gt;"",$H34,$E34))),IF(O34&gt;0,"Yes - accruing","Not yet - from "&amp;TEXT(Q34,"dd/mm/yyyy")))))</f>
        <v/>
      </c>
      <c r="N34" s="9" t="str">
        <f aca="false">IF(V34=0,"",IF(Y34&lt;0,"-",INT(Y34/12)&amp;"y "&amp;MOD(Y34,12)&amp;"m"))</f>
        <v/>
      </c>
      <c r="O34" s="10" t="str">
        <f aca="false">IF(V34=0,"",AD34+IF(AH34="",0,AF34-AE34))</f>
        <v/>
      </c>
      <c r="P34" s="10" t="str">
        <f aca="false">IF(V34=0,"",O34*HoursPerDay)</f>
        <v/>
      </c>
      <c r="Q34" s="11" t="str">
        <f aca="false">IF(V34=0,"",IF(OR(W34=1,AC34="None"),"",EDATE(($D34+N($J34)),AG34)))</f>
        <v/>
      </c>
      <c r="R34" s="10" t="str">
        <f aca="false">IF(V34=0,"",IF(NOT(EH_Ready),"",SUMIFS(INDEX(EH_Data,0,EH_ColBal),INDEX(EH_Data,0,EH_ColFirst),$A34,INDEX(EH_Data,0,EH_ColSur),$B34,INDEX(EH_Data,0,EH_ColCat),BonusCat)/IF(EHUnit="Hours",HoursPerDay,1)))</f>
        <v/>
      </c>
      <c r="S34" s="10" t="str">
        <f aca="false">IF(OR(V34=0,R34="",W34=1),"",O34-R34)</f>
        <v/>
      </c>
      <c r="T34" s="10" t="str">
        <f aca="false">IF(S34="","",S34*HoursPerDay)</f>
        <v/>
      </c>
      <c r="U34" s="9" t="str">
        <f aca="false">IF(V34=0,"",IF(W34=1,IF(N(R34)&gt;0,"TERMINATED - forfeit "&amp;TEXT(R34,"0.##")&amp;" days in EH","Terminated"),IF(NOT(EH_Ready),"Paste EH export (see Settings)",IF(S34&gt;0,"ADD "&amp;TEXT(S34,"0.##")&amp;" day(s) = "&amp;TEXT(T34,"0.##")&amp;" hrs in EH",IF(S34&lt;0,"CHECK - EH has "&amp;TEXT(-S34,"0.##")&amp;" days more than policy",IF(O34&gt;0,"OK","-"))))))</f>
        <v/>
      </c>
      <c r="V34" s="9" t="n">
        <f aca="false">IF(OR(LEN($A34&amp;$B34)=0,$D34=""),0,1)</f>
        <v>0</v>
      </c>
      <c r="W34" s="9" t="n">
        <f aca="false">IF(V34=0,0,IF(AND($K34&lt;&gt;"",$K34&lt;=AsOfDate),1,0))</f>
        <v>0</v>
      </c>
      <c r="X34" s="11" t="str">
        <f aca="false">IF(V34=0,"",IF($K34="",AsOfDate,MIN(AsOfDate,$K34)))</f>
        <v/>
      </c>
      <c r="Y34" s="9" t="str">
        <f aca="false">IF(V34=0,"",IF(X34&lt;($D34+N($J34)),-1,12*(YEAR(X34)-YEAR(($D34+N($J34))))+MONTH(X34)-MONTH(($D34+N($J34)))-IF(DAY(X34)&lt;MIN(DAY(($D34+N($J34))),DAY(EOMONTH(X34,0))),1,0)))</f>
        <v/>
      </c>
      <c r="Z34" s="9" t="str">
        <f aca="false">IF(V34=0,"",IF(AH34="",Y34,IF((AH34-1)&lt;($D34+N($J34)),-1,12*(YEAR((AH34-1))-YEAR(($D34+N($J34))))+MONTH((AH34-1))-MONTH(($D34+N($J34)))-IF(DAY((AH34-1))&lt;MIN(DAY(($D34+N($J34))),DAY(EOMONTH((AH34-1),0))),1,0))))</f>
        <v/>
      </c>
      <c r="AA34" s="9" t="str">
        <f aca="false">IF(V34=0,"",IF($E34="Full-Time","FT",IF(AND($E34="Part-Time",N($F34)&gt;=PT_MinHours),"PT","None")))</f>
        <v/>
      </c>
      <c r="AB34" s="9" t="str">
        <f aca="false">IF(V34=0,"",IF($H34="Full-Time","FT",IF(AND($H34="Part-Time",N($I34)&gt;=PT_MinHours),"PT","None")))</f>
        <v/>
      </c>
      <c r="AC34" s="9" t="str">
        <f aca="false">IF(V34=0,"",IF(AH34&lt;&gt;"",AB34,AA34))</f>
        <v/>
      </c>
      <c r="AD34" s="9" t="str">
        <f aca="false">IF(V34=0,"",IF(AA34="FT",IF(Z34&lt;FT_First,0,IF(Z34&lt;FT_Y5,1+INT((Z34-FT_First)/FT_Int1),FT_PreY5+FT_PerYear*INT((Z34-FT_Y5)/12)+FT_AnnivDays+INT(MOD(Z34-FT_Y5,12)/FT_Int2))),IF(AA34="PT",IF(Z34&lt;PT_First,0,1+INT((Z34-PT_First)/PT_Int)),0)))</f>
        <v/>
      </c>
      <c r="AE34" s="9" t="str">
        <f aca="false">IF(V34=0,"",IF(AB34="FT",IF(Z34&lt;FT_First,0,IF(Z34&lt;FT_Y5,1+INT((Z34-FT_First)/FT_Int1),FT_PreY5+FT_PerYear*INT((Z34-FT_Y5)/12)+FT_AnnivDays+INT(MOD(Z34-FT_Y5,12)/FT_Int2))),IF(AB34="PT",IF(Z34&lt;PT_First,0,1+INT((Z34-PT_First)/PT_Int)),0)))</f>
        <v/>
      </c>
      <c r="AF34" s="9" t="str">
        <f aca="false">IF(V34=0,"",IF(AB34="FT",IF(Y34&lt;FT_First,0,IF(Y34&lt;FT_Y5,1+INT((Y34-FT_First)/FT_Int1),FT_PreY5+FT_PerYear*INT((Y34-FT_Y5)/12)+FT_AnnivDays+INT(MOD(Y34-FT_Y5,12)/FT_Int2))),IF(AB34="PT",IF(Y34&lt;PT_First,0,1+INT((Y34-PT_First)/PT_Int)),0)))</f>
        <v/>
      </c>
      <c r="AG34" s="9" t="str">
        <f aca="false">IF(V34=0,"",IF(AC34="FT",IF(Y34&lt;FT_First,FT_First,IF(Y34&lt;FT_Y5,MIN(FT_Y5,FT_First+FT_Int1*(INT((Y34-FT_First)/FT_Int1)+1)),FT_Y5+12*INT((Y34-FT_Y5)/12)+FT_Int2*(INT(MOD(Y34-FT_Y5,12)/FT_Int2)+1))),IF(AC34="PT",IF(Y34&lt;PT_First,PT_First,PT_First+PT_Int*(INT((Y34-PT_First)/PT_Int)+1)),"")))</f>
        <v/>
      </c>
      <c r="AH34" s="11" t="str">
        <f aca="false">IF(V34=0,"",IF($G34="","",IF($G34&gt;X34,"",$G34)))</f>
        <v/>
      </c>
    </row>
    <row r="35" customFormat="false" ht="15" hidden="false" customHeight="false" outlineLevel="0" collapsed="false">
      <c r="A35" s="12"/>
      <c r="B35" s="12"/>
      <c r="C35" s="12"/>
      <c r="D35" s="13"/>
      <c r="E35" s="12"/>
      <c r="F35" s="14"/>
      <c r="G35" s="13"/>
      <c r="H35" s="12"/>
      <c r="I35" s="14"/>
      <c r="J35" s="14"/>
      <c r="K35" s="13"/>
      <c r="L35" s="9" t="str">
        <f aca="false">IF(V35=0,"",IF($G35="","",$E35&amp;" to "&amp;$H35&amp;IF($H35="Part-Time"," "&amp;N($I35)&amp;" hrs","")&amp;" on "&amp;TEXT($G35,"dd/mm/yyyy")&amp;IF($G35&gt;AsOfDate," (future)",IF(AA35=AC35,"",IF(AC35="None"," - STOPPED accruing",IF(AA35="None"," - now qualifying"," - pathway changed"))))))</f>
        <v/>
      </c>
      <c r="M35" s="9" t="str">
        <f aca="false">IF(V35=0,"",IF(W35=1,"Terminated",IF(AC35="None",IF(O35&gt;0,"No longer accruing","Not eligible - "&amp;IF(AND(AC35="None",IF(AH35&lt;&gt;"",$H35,$E35)="Part-Time"),"under "&amp;PT_MinHours&amp;" hrs",IF(AH35&lt;&gt;"",$H35,$E35))),IF(O35&gt;0,"Yes - accruing","Not yet - from "&amp;TEXT(Q35,"dd/mm/yyyy")))))</f>
        <v/>
      </c>
      <c r="N35" s="9" t="str">
        <f aca="false">IF(V35=0,"",IF(Y35&lt;0,"-",INT(Y35/12)&amp;"y "&amp;MOD(Y35,12)&amp;"m"))</f>
        <v/>
      </c>
      <c r="O35" s="10" t="str">
        <f aca="false">IF(V35=0,"",AD35+IF(AH35="",0,AF35-AE35))</f>
        <v/>
      </c>
      <c r="P35" s="10" t="str">
        <f aca="false">IF(V35=0,"",O35*HoursPerDay)</f>
        <v/>
      </c>
      <c r="Q35" s="11" t="str">
        <f aca="false">IF(V35=0,"",IF(OR(W35=1,AC35="None"),"",EDATE(($D35+N($J35)),AG35)))</f>
        <v/>
      </c>
      <c r="R35" s="10" t="str">
        <f aca="false">IF(V35=0,"",IF(NOT(EH_Ready),"",SUMIFS(INDEX(EH_Data,0,EH_ColBal),INDEX(EH_Data,0,EH_ColFirst),$A35,INDEX(EH_Data,0,EH_ColSur),$B35,INDEX(EH_Data,0,EH_ColCat),BonusCat)/IF(EHUnit="Hours",HoursPerDay,1)))</f>
        <v/>
      </c>
      <c r="S35" s="10" t="str">
        <f aca="false">IF(OR(V35=0,R35="",W35=1),"",O35-R35)</f>
        <v/>
      </c>
      <c r="T35" s="10" t="str">
        <f aca="false">IF(S35="","",S35*HoursPerDay)</f>
        <v/>
      </c>
      <c r="U35" s="9" t="str">
        <f aca="false">IF(V35=0,"",IF(W35=1,IF(N(R35)&gt;0,"TERMINATED - forfeit "&amp;TEXT(R35,"0.##")&amp;" days in EH","Terminated"),IF(NOT(EH_Ready),"Paste EH export (see Settings)",IF(S35&gt;0,"ADD "&amp;TEXT(S35,"0.##")&amp;" day(s) = "&amp;TEXT(T35,"0.##")&amp;" hrs in EH",IF(S35&lt;0,"CHECK - EH has "&amp;TEXT(-S35,"0.##")&amp;" days more than policy",IF(O35&gt;0,"OK","-"))))))</f>
        <v/>
      </c>
      <c r="V35" s="9" t="n">
        <f aca="false">IF(OR(LEN($A35&amp;$B35)=0,$D35=""),0,1)</f>
        <v>0</v>
      </c>
      <c r="W35" s="9" t="n">
        <f aca="false">IF(V35=0,0,IF(AND($K35&lt;&gt;"",$K35&lt;=AsOfDate),1,0))</f>
        <v>0</v>
      </c>
      <c r="X35" s="11" t="str">
        <f aca="false">IF(V35=0,"",IF($K35="",AsOfDate,MIN(AsOfDate,$K35)))</f>
        <v/>
      </c>
      <c r="Y35" s="9" t="str">
        <f aca="false">IF(V35=0,"",IF(X35&lt;($D35+N($J35)),-1,12*(YEAR(X35)-YEAR(($D35+N($J35))))+MONTH(X35)-MONTH(($D35+N($J35)))-IF(DAY(X35)&lt;MIN(DAY(($D35+N($J35))),DAY(EOMONTH(X35,0))),1,0)))</f>
        <v/>
      </c>
      <c r="Z35" s="9" t="str">
        <f aca="false">IF(V35=0,"",IF(AH35="",Y35,IF((AH35-1)&lt;($D35+N($J35)),-1,12*(YEAR((AH35-1))-YEAR(($D35+N($J35))))+MONTH((AH35-1))-MONTH(($D35+N($J35)))-IF(DAY((AH35-1))&lt;MIN(DAY(($D35+N($J35))),DAY(EOMONTH((AH35-1),0))),1,0))))</f>
        <v/>
      </c>
      <c r="AA35" s="9" t="str">
        <f aca="false">IF(V35=0,"",IF($E35="Full-Time","FT",IF(AND($E35="Part-Time",N($F35)&gt;=PT_MinHours),"PT","None")))</f>
        <v/>
      </c>
      <c r="AB35" s="9" t="str">
        <f aca="false">IF(V35=0,"",IF($H35="Full-Time","FT",IF(AND($H35="Part-Time",N($I35)&gt;=PT_MinHours),"PT","None")))</f>
        <v/>
      </c>
      <c r="AC35" s="9" t="str">
        <f aca="false">IF(V35=0,"",IF(AH35&lt;&gt;"",AB35,AA35))</f>
        <v/>
      </c>
      <c r="AD35" s="9" t="str">
        <f aca="false">IF(V35=0,"",IF(AA35="FT",IF(Z35&lt;FT_First,0,IF(Z35&lt;FT_Y5,1+INT((Z35-FT_First)/FT_Int1),FT_PreY5+FT_PerYear*INT((Z35-FT_Y5)/12)+FT_AnnivDays+INT(MOD(Z35-FT_Y5,12)/FT_Int2))),IF(AA35="PT",IF(Z35&lt;PT_First,0,1+INT((Z35-PT_First)/PT_Int)),0)))</f>
        <v/>
      </c>
      <c r="AE35" s="9" t="str">
        <f aca="false">IF(V35=0,"",IF(AB35="FT",IF(Z35&lt;FT_First,0,IF(Z35&lt;FT_Y5,1+INT((Z35-FT_First)/FT_Int1),FT_PreY5+FT_PerYear*INT((Z35-FT_Y5)/12)+FT_AnnivDays+INT(MOD(Z35-FT_Y5,12)/FT_Int2))),IF(AB35="PT",IF(Z35&lt;PT_First,0,1+INT((Z35-PT_First)/PT_Int)),0)))</f>
        <v/>
      </c>
      <c r="AF35" s="9" t="str">
        <f aca="false">IF(V35=0,"",IF(AB35="FT",IF(Y35&lt;FT_First,0,IF(Y35&lt;FT_Y5,1+INT((Y35-FT_First)/FT_Int1),FT_PreY5+FT_PerYear*INT((Y35-FT_Y5)/12)+FT_AnnivDays+INT(MOD(Y35-FT_Y5,12)/FT_Int2))),IF(AB35="PT",IF(Y35&lt;PT_First,0,1+INT((Y35-PT_First)/PT_Int)),0)))</f>
        <v/>
      </c>
      <c r="AG35" s="9" t="str">
        <f aca="false">IF(V35=0,"",IF(AC35="FT",IF(Y35&lt;FT_First,FT_First,IF(Y35&lt;FT_Y5,MIN(FT_Y5,FT_First+FT_Int1*(INT((Y35-FT_First)/FT_Int1)+1)),FT_Y5+12*INT((Y35-FT_Y5)/12)+FT_Int2*(INT(MOD(Y35-FT_Y5,12)/FT_Int2)+1))),IF(AC35="PT",IF(Y35&lt;PT_First,PT_First,PT_First+PT_Int*(INT((Y35-PT_First)/PT_Int)+1)),"")))</f>
        <v/>
      </c>
      <c r="AH35" s="11" t="str">
        <f aca="false">IF(V35=0,"",IF($G35="","",IF($G35&gt;X35,"",$G35)))</f>
        <v/>
      </c>
    </row>
    <row r="36" customFormat="false" ht="15" hidden="false" customHeight="false" outlineLevel="0" collapsed="false">
      <c r="A36" s="12"/>
      <c r="B36" s="12"/>
      <c r="C36" s="12"/>
      <c r="D36" s="13"/>
      <c r="E36" s="12"/>
      <c r="F36" s="14"/>
      <c r="G36" s="13"/>
      <c r="H36" s="12"/>
      <c r="I36" s="14"/>
      <c r="J36" s="14"/>
      <c r="K36" s="13"/>
      <c r="L36" s="9" t="str">
        <f aca="false">IF(V36=0,"",IF($G36="","",$E36&amp;" to "&amp;$H36&amp;IF($H36="Part-Time"," "&amp;N($I36)&amp;" hrs","")&amp;" on "&amp;TEXT($G36,"dd/mm/yyyy")&amp;IF($G36&gt;AsOfDate," (future)",IF(AA36=AC36,"",IF(AC36="None"," - STOPPED accruing",IF(AA36="None"," - now qualifying"," - pathway changed"))))))</f>
        <v/>
      </c>
      <c r="M36" s="9" t="str">
        <f aca="false">IF(V36=0,"",IF(W36=1,"Terminated",IF(AC36="None",IF(O36&gt;0,"No longer accruing","Not eligible - "&amp;IF(AND(AC36="None",IF(AH36&lt;&gt;"",$H36,$E36)="Part-Time"),"under "&amp;PT_MinHours&amp;" hrs",IF(AH36&lt;&gt;"",$H36,$E36))),IF(O36&gt;0,"Yes - accruing","Not yet - from "&amp;TEXT(Q36,"dd/mm/yyyy")))))</f>
        <v/>
      </c>
      <c r="N36" s="9" t="str">
        <f aca="false">IF(V36=0,"",IF(Y36&lt;0,"-",INT(Y36/12)&amp;"y "&amp;MOD(Y36,12)&amp;"m"))</f>
        <v/>
      </c>
      <c r="O36" s="10" t="str">
        <f aca="false">IF(V36=0,"",AD36+IF(AH36="",0,AF36-AE36))</f>
        <v/>
      </c>
      <c r="P36" s="10" t="str">
        <f aca="false">IF(V36=0,"",O36*HoursPerDay)</f>
        <v/>
      </c>
      <c r="Q36" s="11" t="str">
        <f aca="false">IF(V36=0,"",IF(OR(W36=1,AC36="None"),"",EDATE(($D36+N($J36)),AG36)))</f>
        <v/>
      </c>
      <c r="R36" s="10" t="str">
        <f aca="false">IF(V36=0,"",IF(NOT(EH_Ready),"",SUMIFS(INDEX(EH_Data,0,EH_ColBal),INDEX(EH_Data,0,EH_ColFirst),$A36,INDEX(EH_Data,0,EH_ColSur),$B36,INDEX(EH_Data,0,EH_ColCat),BonusCat)/IF(EHUnit="Hours",HoursPerDay,1)))</f>
        <v/>
      </c>
      <c r="S36" s="10" t="str">
        <f aca="false">IF(OR(V36=0,R36="",W36=1),"",O36-R36)</f>
        <v/>
      </c>
      <c r="T36" s="10" t="str">
        <f aca="false">IF(S36="","",S36*HoursPerDay)</f>
        <v/>
      </c>
      <c r="U36" s="9" t="str">
        <f aca="false">IF(V36=0,"",IF(W36=1,IF(N(R36)&gt;0,"TERMINATED - forfeit "&amp;TEXT(R36,"0.##")&amp;" days in EH","Terminated"),IF(NOT(EH_Ready),"Paste EH export (see Settings)",IF(S36&gt;0,"ADD "&amp;TEXT(S36,"0.##")&amp;" day(s) = "&amp;TEXT(T36,"0.##")&amp;" hrs in EH",IF(S36&lt;0,"CHECK - EH has "&amp;TEXT(-S36,"0.##")&amp;" days more than policy",IF(O36&gt;0,"OK","-"))))))</f>
        <v/>
      </c>
      <c r="V36" s="9" t="n">
        <f aca="false">IF(OR(LEN($A36&amp;$B36)=0,$D36=""),0,1)</f>
        <v>0</v>
      </c>
      <c r="W36" s="9" t="n">
        <f aca="false">IF(V36=0,0,IF(AND($K36&lt;&gt;"",$K36&lt;=AsOfDate),1,0))</f>
        <v>0</v>
      </c>
      <c r="X36" s="11" t="str">
        <f aca="false">IF(V36=0,"",IF($K36="",AsOfDate,MIN(AsOfDate,$K36)))</f>
        <v/>
      </c>
      <c r="Y36" s="9" t="str">
        <f aca="false">IF(V36=0,"",IF(X36&lt;($D36+N($J36)),-1,12*(YEAR(X36)-YEAR(($D36+N($J36))))+MONTH(X36)-MONTH(($D36+N($J36)))-IF(DAY(X36)&lt;MIN(DAY(($D36+N($J36))),DAY(EOMONTH(X36,0))),1,0)))</f>
        <v/>
      </c>
      <c r="Z36" s="9" t="str">
        <f aca="false">IF(V36=0,"",IF(AH36="",Y36,IF((AH36-1)&lt;($D36+N($J36)),-1,12*(YEAR((AH36-1))-YEAR(($D36+N($J36))))+MONTH((AH36-1))-MONTH(($D36+N($J36)))-IF(DAY((AH36-1))&lt;MIN(DAY(($D36+N($J36))),DAY(EOMONTH((AH36-1),0))),1,0))))</f>
        <v/>
      </c>
      <c r="AA36" s="9" t="str">
        <f aca="false">IF(V36=0,"",IF($E36="Full-Time","FT",IF(AND($E36="Part-Time",N($F36)&gt;=PT_MinHours),"PT","None")))</f>
        <v/>
      </c>
      <c r="AB36" s="9" t="str">
        <f aca="false">IF(V36=0,"",IF($H36="Full-Time","FT",IF(AND($H36="Part-Time",N($I36)&gt;=PT_MinHours),"PT","None")))</f>
        <v/>
      </c>
      <c r="AC36" s="9" t="str">
        <f aca="false">IF(V36=0,"",IF(AH36&lt;&gt;"",AB36,AA36))</f>
        <v/>
      </c>
      <c r="AD36" s="9" t="str">
        <f aca="false">IF(V36=0,"",IF(AA36="FT",IF(Z36&lt;FT_First,0,IF(Z36&lt;FT_Y5,1+INT((Z36-FT_First)/FT_Int1),FT_PreY5+FT_PerYear*INT((Z36-FT_Y5)/12)+FT_AnnivDays+INT(MOD(Z36-FT_Y5,12)/FT_Int2))),IF(AA36="PT",IF(Z36&lt;PT_First,0,1+INT((Z36-PT_First)/PT_Int)),0)))</f>
        <v/>
      </c>
      <c r="AE36" s="9" t="str">
        <f aca="false">IF(V36=0,"",IF(AB36="FT",IF(Z36&lt;FT_First,0,IF(Z36&lt;FT_Y5,1+INT((Z36-FT_First)/FT_Int1),FT_PreY5+FT_PerYear*INT((Z36-FT_Y5)/12)+FT_AnnivDays+INT(MOD(Z36-FT_Y5,12)/FT_Int2))),IF(AB36="PT",IF(Z36&lt;PT_First,0,1+INT((Z36-PT_First)/PT_Int)),0)))</f>
        <v/>
      </c>
      <c r="AF36" s="9" t="str">
        <f aca="false">IF(V36=0,"",IF(AB36="FT",IF(Y36&lt;FT_First,0,IF(Y36&lt;FT_Y5,1+INT((Y36-FT_First)/FT_Int1),FT_PreY5+FT_PerYear*INT((Y36-FT_Y5)/12)+FT_AnnivDays+INT(MOD(Y36-FT_Y5,12)/FT_Int2))),IF(AB36="PT",IF(Y36&lt;PT_First,0,1+INT((Y36-PT_First)/PT_Int)),0)))</f>
        <v/>
      </c>
      <c r="AG36" s="9" t="str">
        <f aca="false">IF(V36=0,"",IF(AC36="FT",IF(Y36&lt;FT_First,FT_First,IF(Y36&lt;FT_Y5,MIN(FT_Y5,FT_First+FT_Int1*(INT((Y36-FT_First)/FT_Int1)+1)),FT_Y5+12*INT((Y36-FT_Y5)/12)+FT_Int2*(INT(MOD(Y36-FT_Y5,12)/FT_Int2)+1))),IF(AC36="PT",IF(Y36&lt;PT_First,PT_First,PT_First+PT_Int*(INT((Y36-PT_First)/PT_Int)+1)),"")))</f>
        <v/>
      </c>
      <c r="AH36" s="11" t="str">
        <f aca="false">IF(V36=0,"",IF($G36="","",IF($G36&gt;X36,"",$G36)))</f>
        <v/>
      </c>
    </row>
    <row r="37" customFormat="false" ht="15" hidden="false" customHeight="false" outlineLevel="0" collapsed="false">
      <c r="A37" s="12"/>
      <c r="B37" s="12"/>
      <c r="C37" s="12"/>
      <c r="D37" s="13"/>
      <c r="E37" s="12"/>
      <c r="F37" s="14"/>
      <c r="G37" s="13"/>
      <c r="H37" s="12"/>
      <c r="I37" s="14"/>
      <c r="J37" s="14"/>
      <c r="K37" s="13"/>
      <c r="L37" s="9" t="str">
        <f aca="false">IF(V37=0,"",IF($G37="","",$E37&amp;" to "&amp;$H37&amp;IF($H37="Part-Time"," "&amp;N($I37)&amp;" hrs","")&amp;" on "&amp;TEXT($G37,"dd/mm/yyyy")&amp;IF($G37&gt;AsOfDate," (future)",IF(AA37=AC37,"",IF(AC37="None"," - STOPPED accruing",IF(AA37="None"," - now qualifying"," - pathway changed"))))))</f>
        <v/>
      </c>
      <c r="M37" s="9" t="str">
        <f aca="false">IF(V37=0,"",IF(W37=1,"Terminated",IF(AC37="None",IF(O37&gt;0,"No longer accruing","Not eligible - "&amp;IF(AND(AC37="None",IF(AH37&lt;&gt;"",$H37,$E37)="Part-Time"),"under "&amp;PT_MinHours&amp;" hrs",IF(AH37&lt;&gt;"",$H37,$E37))),IF(O37&gt;0,"Yes - accruing","Not yet - from "&amp;TEXT(Q37,"dd/mm/yyyy")))))</f>
        <v/>
      </c>
      <c r="N37" s="9" t="str">
        <f aca="false">IF(V37=0,"",IF(Y37&lt;0,"-",INT(Y37/12)&amp;"y "&amp;MOD(Y37,12)&amp;"m"))</f>
        <v/>
      </c>
      <c r="O37" s="10" t="str">
        <f aca="false">IF(V37=0,"",AD37+IF(AH37="",0,AF37-AE37))</f>
        <v/>
      </c>
      <c r="P37" s="10" t="str">
        <f aca="false">IF(V37=0,"",O37*HoursPerDay)</f>
        <v/>
      </c>
      <c r="Q37" s="11" t="str">
        <f aca="false">IF(V37=0,"",IF(OR(W37=1,AC37="None"),"",EDATE(($D37+N($J37)),AG37)))</f>
        <v/>
      </c>
      <c r="R37" s="10" t="str">
        <f aca="false">IF(V37=0,"",IF(NOT(EH_Ready),"",SUMIFS(INDEX(EH_Data,0,EH_ColBal),INDEX(EH_Data,0,EH_ColFirst),$A37,INDEX(EH_Data,0,EH_ColSur),$B37,INDEX(EH_Data,0,EH_ColCat),BonusCat)/IF(EHUnit="Hours",HoursPerDay,1)))</f>
        <v/>
      </c>
      <c r="S37" s="10" t="str">
        <f aca="false">IF(OR(V37=0,R37="",W37=1),"",O37-R37)</f>
        <v/>
      </c>
      <c r="T37" s="10" t="str">
        <f aca="false">IF(S37="","",S37*HoursPerDay)</f>
        <v/>
      </c>
      <c r="U37" s="9" t="str">
        <f aca="false">IF(V37=0,"",IF(W37=1,IF(N(R37)&gt;0,"TERMINATED - forfeit "&amp;TEXT(R37,"0.##")&amp;" days in EH","Terminated"),IF(NOT(EH_Ready),"Paste EH export (see Settings)",IF(S37&gt;0,"ADD "&amp;TEXT(S37,"0.##")&amp;" day(s) = "&amp;TEXT(T37,"0.##")&amp;" hrs in EH",IF(S37&lt;0,"CHECK - EH has "&amp;TEXT(-S37,"0.##")&amp;" days more than policy",IF(O37&gt;0,"OK","-"))))))</f>
        <v/>
      </c>
      <c r="V37" s="9" t="n">
        <f aca="false">IF(OR(LEN($A37&amp;$B37)=0,$D37=""),0,1)</f>
        <v>0</v>
      </c>
      <c r="W37" s="9" t="n">
        <f aca="false">IF(V37=0,0,IF(AND($K37&lt;&gt;"",$K37&lt;=AsOfDate),1,0))</f>
        <v>0</v>
      </c>
      <c r="X37" s="11" t="str">
        <f aca="false">IF(V37=0,"",IF($K37="",AsOfDate,MIN(AsOfDate,$K37)))</f>
        <v/>
      </c>
      <c r="Y37" s="9" t="str">
        <f aca="false">IF(V37=0,"",IF(X37&lt;($D37+N($J37)),-1,12*(YEAR(X37)-YEAR(($D37+N($J37))))+MONTH(X37)-MONTH(($D37+N($J37)))-IF(DAY(X37)&lt;MIN(DAY(($D37+N($J37))),DAY(EOMONTH(X37,0))),1,0)))</f>
        <v/>
      </c>
      <c r="Z37" s="9" t="str">
        <f aca="false">IF(V37=0,"",IF(AH37="",Y37,IF((AH37-1)&lt;($D37+N($J37)),-1,12*(YEAR((AH37-1))-YEAR(($D37+N($J37))))+MONTH((AH37-1))-MONTH(($D37+N($J37)))-IF(DAY((AH37-1))&lt;MIN(DAY(($D37+N($J37))),DAY(EOMONTH((AH37-1),0))),1,0))))</f>
        <v/>
      </c>
      <c r="AA37" s="9" t="str">
        <f aca="false">IF(V37=0,"",IF($E37="Full-Time","FT",IF(AND($E37="Part-Time",N($F37)&gt;=PT_MinHours),"PT","None")))</f>
        <v/>
      </c>
      <c r="AB37" s="9" t="str">
        <f aca="false">IF(V37=0,"",IF($H37="Full-Time","FT",IF(AND($H37="Part-Time",N($I37)&gt;=PT_MinHours),"PT","None")))</f>
        <v/>
      </c>
      <c r="AC37" s="9" t="str">
        <f aca="false">IF(V37=0,"",IF(AH37&lt;&gt;"",AB37,AA37))</f>
        <v/>
      </c>
      <c r="AD37" s="9" t="str">
        <f aca="false">IF(V37=0,"",IF(AA37="FT",IF(Z37&lt;FT_First,0,IF(Z37&lt;FT_Y5,1+INT((Z37-FT_First)/FT_Int1),FT_PreY5+FT_PerYear*INT((Z37-FT_Y5)/12)+FT_AnnivDays+INT(MOD(Z37-FT_Y5,12)/FT_Int2))),IF(AA37="PT",IF(Z37&lt;PT_First,0,1+INT((Z37-PT_First)/PT_Int)),0)))</f>
        <v/>
      </c>
      <c r="AE37" s="9" t="str">
        <f aca="false">IF(V37=0,"",IF(AB37="FT",IF(Z37&lt;FT_First,0,IF(Z37&lt;FT_Y5,1+INT((Z37-FT_First)/FT_Int1),FT_PreY5+FT_PerYear*INT((Z37-FT_Y5)/12)+FT_AnnivDays+INT(MOD(Z37-FT_Y5,12)/FT_Int2))),IF(AB37="PT",IF(Z37&lt;PT_First,0,1+INT((Z37-PT_First)/PT_Int)),0)))</f>
        <v/>
      </c>
      <c r="AF37" s="9" t="str">
        <f aca="false">IF(V37=0,"",IF(AB37="FT",IF(Y37&lt;FT_First,0,IF(Y37&lt;FT_Y5,1+INT((Y37-FT_First)/FT_Int1),FT_PreY5+FT_PerYear*INT((Y37-FT_Y5)/12)+FT_AnnivDays+INT(MOD(Y37-FT_Y5,12)/FT_Int2))),IF(AB37="PT",IF(Y37&lt;PT_First,0,1+INT((Y37-PT_First)/PT_Int)),0)))</f>
        <v/>
      </c>
      <c r="AG37" s="9" t="str">
        <f aca="false">IF(V37=0,"",IF(AC37="FT",IF(Y37&lt;FT_First,FT_First,IF(Y37&lt;FT_Y5,MIN(FT_Y5,FT_First+FT_Int1*(INT((Y37-FT_First)/FT_Int1)+1)),FT_Y5+12*INT((Y37-FT_Y5)/12)+FT_Int2*(INT(MOD(Y37-FT_Y5,12)/FT_Int2)+1))),IF(AC37="PT",IF(Y37&lt;PT_First,PT_First,PT_First+PT_Int*(INT((Y37-PT_First)/PT_Int)+1)),"")))</f>
        <v/>
      </c>
      <c r="AH37" s="11" t="str">
        <f aca="false">IF(V37=0,"",IF($G37="","",IF($G37&gt;X37,"",$G37)))</f>
        <v/>
      </c>
    </row>
    <row r="38" customFormat="false" ht="15" hidden="false" customHeight="false" outlineLevel="0" collapsed="false">
      <c r="A38" s="12"/>
      <c r="B38" s="12"/>
      <c r="C38" s="12"/>
      <c r="D38" s="13"/>
      <c r="E38" s="12"/>
      <c r="F38" s="14"/>
      <c r="G38" s="13"/>
      <c r="H38" s="12"/>
      <c r="I38" s="14"/>
      <c r="J38" s="14"/>
      <c r="K38" s="13"/>
      <c r="L38" s="9" t="str">
        <f aca="false">IF(V38=0,"",IF($G38="","",$E38&amp;" to "&amp;$H38&amp;IF($H38="Part-Time"," "&amp;N($I38)&amp;" hrs","")&amp;" on "&amp;TEXT($G38,"dd/mm/yyyy")&amp;IF($G38&gt;AsOfDate," (future)",IF(AA38=AC38,"",IF(AC38="None"," - STOPPED accruing",IF(AA38="None"," - now qualifying"," - pathway changed"))))))</f>
        <v/>
      </c>
      <c r="M38" s="9" t="str">
        <f aca="false">IF(V38=0,"",IF(W38=1,"Terminated",IF(AC38="None",IF(O38&gt;0,"No longer accruing","Not eligible - "&amp;IF(AND(AC38="None",IF(AH38&lt;&gt;"",$H38,$E38)="Part-Time"),"under "&amp;PT_MinHours&amp;" hrs",IF(AH38&lt;&gt;"",$H38,$E38))),IF(O38&gt;0,"Yes - accruing","Not yet - from "&amp;TEXT(Q38,"dd/mm/yyyy")))))</f>
        <v/>
      </c>
      <c r="N38" s="9" t="str">
        <f aca="false">IF(V38=0,"",IF(Y38&lt;0,"-",INT(Y38/12)&amp;"y "&amp;MOD(Y38,12)&amp;"m"))</f>
        <v/>
      </c>
      <c r="O38" s="10" t="str">
        <f aca="false">IF(V38=0,"",AD38+IF(AH38="",0,AF38-AE38))</f>
        <v/>
      </c>
      <c r="P38" s="10" t="str">
        <f aca="false">IF(V38=0,"",O38*HoursPerDay)</f>
        <v/>
      </c>
      <c r="Q38" s="11" t="str">
        <f aca="false">IF(V38=0,"",IF(OR(W38=1,AC38="None"),"",EDATE(($D38+N($J38)),AG38)))</f>
        <v/>
      </c>
      <c r="R38" s="10" t="str">
        <f aca="false">IF(V38=0,"",IF(NOT(EH_Ready),"",SUMIFS(INDEX(EH_Data,0,EH_ColBal),INDEX(EH_Data,0,EH_ColFirst),$A38,INDEX(EH_Data,0,EH_ColSur),$B38,INDEX(EH_Data,0,EH_ColCat),BonusCat)/IF(EHUnit="Hours",HoursPerDay,1)))</f>
        <v/>
      </c>
      <c r="S38" s="10" t="str">
        <f aca="false">IF(OR(V38=0,R38="",W38=1),"",O38-R38)</f>
        <v/>
      </c>
      <c r="T38" s="10" t="str">
        <f aca="false">IF(S38="","",S38*HoursPerDay)</f>
        <v/>
      </c>
      <c r="U38" s="9" t="str">
        <f aca="false">IF(V38=0,"",IF(W38=1,IF(N(R38)&gt;0,"TERMINATED - forfeit "&amp;TEXT(R38,"0.##")&amp;" days in EH","Terminated"),IF(NOT(EH_Ready),"Paste EH export (see Settings)",IF(S38&gt;0,"ADD "&amp;TEXT(S38,"0.##")&amp;" day(s) = "&amp;TEXT(T38,"0.##")&amp;" hrs in EH",IF(S38&lt;0,"CHECK - EH has "&amp;TEXT(-S38,"0.##")&amp;" days more than policy",IF(O38&gt;0,"OK","-"))))))</f>
        <v/>
      </c>
      <c r="V38" s="9" t="n">
        <f aca="false">IF(OR(LEN($A38&amp;$B38)=0,$D38=""),0,1)</f>
        <v>0</v>
      </c>
      <c r="W38" s="9" t="n">
        <f aca="false">IF(V38=0,0,IF(AND($K38&lt;&gt;"",$K38&lt;=AsOfDate),1,0))</f>
        <v>0</v>
      </c>
      <c r="X38" s="11" t="str">
        <f aca="false">IF(V38=0,"",IF($K38="",AsOfDate,MIN(AsOfDate,$K38)))</f>
        <v/>
      </c>
      <c r="Y38" s="9" t="str">
        <f aca="false">IF(V38=0,"",IF(X38&lt;($D38+N($J38)),-1,12*(YEAR(X38)-YEAR(($D38+N($J38))))+MONTH(X38)-MONTH(($D38+N($J38)))-IF(DAY(X38)&lt;MIN(DAY(($D38+N($J38))),DAY(EOMONTH(X38,0))),1,0)))</f>
        <v/>
      </c>
      <c r="Z38" s="9" t="str">
        <f aca="false">IF(V38=0,"",IF(AH38="",Y38,IF((AH38-1)&lt;($D38+N($J38)),-1,12*(YEAR((AH38-1))-YEAR(($D38+N($J38))))+MONTH((AH38-1))-MONTH(($D38+N($J38)))-IF(DAY((AH38-1))&lt;MIN(DAY(($D38+N($J38))),DAY(EOMONTH((AH38-1),0))),1,0))))</f>
        <v/>
      </c>
      <c r="AA38" s="9" t="str">
        <f aca="false">IF(V38=0,"",IF($E38="Full-Time","FT",IF(AND($E38="Part-Time",N($F38)&gt;=PT_MinHours),"PT","None")))</f>
        <v/>
      </c>
      <c r="AB38" s="9" t="str">
        <f aca="false">IF(V38=0,"",IF($H38="Full-Time","FT",IF(AND($H38="Part-Time",N($I38)&gt;=PT_MinHours),"PT","None")))</f>
        <v/>
      </c>
      <c r="AC38" s="9" t="str">
        <f aca="false">IF(V38=0,"",IF(AH38&lt;&gt;"",AB38,AA38))</f>
        <v/>
      </c>
      <c r="AD38" s="9" t="str">
        <f aca="false">IF(V38=0,"",IF(AA38="FT",IF(Z38&lt;FT_First,0,IF(Z38&lt;FT_Y5,1+INT((Z38-FT_First)/FT_Int1),FT_PreY5+FT_PerYear*INT((Z38-FT_Y5)/12)+FT_AnnivDays+INT(MOD(Z38-FT_Y5,12)/FT_Int2))),IF(AA38="PT",IF(Z38&lt;PT_First,0,1+INT((Z38-PT_First)/PT_Int)),0)))</f>
        <v/>
      </c>
      <c r="AE38" s="9" t="str">
        <f aca="false">IF(V38=0,"",IF(AB38="FT",IF(Z38&lt;FT_First,0,IF(Z38&lt;FT_Y5,1+INT((Z38-FT_First)/FT_Int1),FT_PreY5+FT_PerYear*INT((Z38-FT_Y5)/12)+FT_AnnivDays+INT(MOD(Z38-FT_Y5,12)/FT_Int2))),IF(AB38="PT",IF(Z38&lt;PT_First,0,1+INT((Z38-PT_First)/PT_Int)),0)))</f>
        <v/>
      </c>
      <c r="AF38" s="9" t="str">
        <f aca="false">IF(V38=0,"",IF(AB38="FT",IF(Y38&lt;FT_First,0,IF(Y38&lt;FT_Y5,1+INT((Y38-FT_First)/FT_Int1),FT_PreY5+FT_PerYear*INT((Y38-FT_Y5)/12)+FT_AnnivDays+INT(MOD(Y38-FT_Y5,12)/FT_Int2))),IF(AB38="PT",IF(Y38&lt;PT_First,0,1+INT((Y38-PT_First)/PT_Int)),0)))</f>
        <v/>
      </c>
      <c r="AG38" s="9" t="str">
        <f aca="false">IF(V38=0,"",IF(AC38="FT",IF(Y38&lt;FT_First,FT_First,IF(Y38&lt;FT_Y5,MIN(FT_Y5,FT_First+FT_Int1*(INT((Y38-FT_First)/FT_Int1)+1)),FT_Y5+12*INT((Y38-FT_Y5)/12)+FT_Int2*(INT(MOD(Y38-FT_Y5,12)/FT_Int2)+1))),IF(AC38="PT",IF(Y38&lt;PT_First,PT_First,PT_First+PT_Int*(INT((Y38-PT_First)/PT_Int)+1)),"")))</f>
        <v/>
      </c>
      <c r="AH38" s="11" t="str">
        <f aca="false">IF(V38=0,"",IF($G38="","",IF($G38&gt;X38,"",$G38)))</f>
        <v/>
      </c>
    </row>
    <row r="39" customFormat="false" ht="15" hidden="false" customHeight="false" outlineLevel="0" collapsed="false">
      <c r="A39" s="12"/>
      <c r="B39" s="12"/>
      <c r="C39" s="12"/>
      <c r="D39" s="13"/>
      <c r="E39" s="12"/>
      <c r="F39" s="14"/>
      <c r="G39" s="13"/>
      <c r="H39" s="12"/>
      <c r="I39" s="14"/>
      <c r="J39" s="14"/>
      <c r="K39" s="13"/>
      <c r="L39" s="9" t="str">
        <f aca="false">IF(V39=0,"",IF($G39="","",$E39&amp;" to "&amp;$H39&amp;IF($H39="Part-Time"," "&amp;N($I39)&amp;" hrs","")&amp;" on "&amp;TEXT($G39,"dd/mm/yyyy")&amp;IF($G39&gt;AsOfDate," (future)",IF(AA39=AC39,"",IF(AC39="None"," - STOPPED accruing",IF(AA39="None"," - now qualifying"," - pathway changed"))))))</f>
        <v/>
      </c>
      <c r="M39" s="9" t="str">
        <f aca="false">IF(V39=0,"",IF(W39=1,"Terminated",IF(AC39="None",IF(O39&gt;0,"No longer accruing","Not eligible - "&amp;IF(AND(AC39="None",IF(AH39&lt;&gt;"",$H39,$E39)="Part-Time"),"under "&amp;PT_MinHours&amp;" hrs",IF(AH39&lt;&gt;"",$H39,$E39))),IF(O39&gt;0,"Yes - accruing","Not yet - from "&amp;TEXT(Q39,"dd/mm/yyyy")))))</f>
        <v/>
      </c>
      <c r="N39" s="9" t="str">
        <f aca="false">IF(V39=0,"",IF(Y39&lt;0,"-",INT(Y39/12)&amp;"y "&amp;MOD(Y39,12)&amp;"m"))</f>
        <v/>
      </c>
      <c r="O39" s="10" t="str">
        <f aca="false">IF(V39=0,"",AD39+IF(AH39="",0,AF39-AE39))</f>
        <v/>
      </c>
      <c r="P39" s="10" t="str">
        <f aca="false">IF(V39=0,"",O39*HoursPerDay)</f>
        <v/>
      </c>
      <c r="Q39" s="11" t="str">
        <f aca="false">IF(V39=0,"",IF(OR(W39=1,AC39="None"),"",EDATE(($D39+N($J39)),AG39)))</f>
        <v/>
      </c>
      <c r="R39" s="10" t="str">
        <f aca="false">IF(V39=0,"",IF(NOT(EH_Ready),"",SUMIFS(INDEX(EH_Data,0,EH_ColBal),INDEX(EH_Data,0,EH_ColFirst),$A39,INDEX(EH_Data,0,EH_ColSur),$B39,INDEX(EH_Data,0,EH_ColCat),BonusCat)/IF(EHUnit="Hours",HoursPerDay,1)))</f>
        <v/>
      </c>
      <c r="S39" s="10" t="str">
        <f aca="false">IF(OR(V39=0,R39="",W39=1),"",O39-R39)</f>
        <v/>
      </c>
      <c r="T39" s="10" t="str">
        <f aca="false">IF(S39="","",S39*HoursPerDay)</f>
        <v/>
      </c>
      <c r="U39" s="9" t="str">
        <f aca="false">IF(V39=0,"",IF(W39=1,IF(N(R39)&gt;0,"TERMINATED - forfeit "&amp;TEXT(R39,"0.##")&amp;" days in EH","Terminated"),IF(NOT(EH_Ready),"Paste EH export (see Settings)",IF(S39&gt;0,"ADD "&amp;TEXT(S39,"0.##")&amp;" day(s) = "&amp;TEXT(T39,"0.##")&amp;" hrs in EH",IF(S39&lt;0,"CHECK - EH has "&amp;TEXT(-S39,"0.##")&amp;" days more than policy",IF(O39&gt;0,"OK","-"))))))</f>
        <v/>
      </c>
      <c r="V39" s="9" t="n">
        <f aca="false">IF(OR(LEN($A39&amp;$B39)=0,$D39=""),0,1)</f>
        <v>0</v>
      </c>
      <c r="W39" s="9" t="n">
        <f aca="false">IF(V39=0,0,IF(AND($K39&lt;&gt;"",$K39&lt;=AsOfDate),1,0))</f>
        <v>0</v>
      </c>
      <c r="X39" s="11" t="str">
        <f aca="false">IF(V39=0,"",IF($K39="",AsOfDate,MIN(AsOfDate,$K39)))</f>
        <v/>
      </c>
      <c r="Y39" s="9" t="str">
        <f aca="false">IF(V39=0,"",IF(X39&lt;($D39+N($J39)),-1,12*(YEAR(X39)-YEAR(($D39+N($J39))))+MONTH(X39)-MONTH(($D39+N($J39)))-IF(DAY(X39)&lt;MIN(DAY(($D39+N($J39))),DAY(EOMONTH(X39,0))),1,0)))</f>
        <v/>
      </c>
      <c r="Z39" s="9" t="str">
        <f aca="false">IF(V39=0,"",IF(AH39="",Y39,IF((AH39-1)&lt;($D39+N($J39)),-1,12*(YEAR((AH39-1))-YEAR(($D39+N($J39))))+MONTH((AH39-1))-MONTH(($D39+N($J39)))-IF(DAY((AH39-1))&lt;MIN(DAY(($D39+N($J39))),DAY(EOMONTH((AH39-1),0))),1,0))))</f>
        <v/>
      </c>
      <c r="AA39" s="9" t="str">
        <f aca="false">IF(V39=0,"",IF($E39="Full-Time","FT",IF(AND($E39="Part-Time",N($F39)&gt;=PT_MinHours),"PT","None")))</f>
        <v/>
      </c>
      <c r="AB39" s="9" t="str">
        <f aca="false">IF(V39=0,"",IF($H39="Full-Time","FT",IF(AND($H39="Part-Time",N($I39)&gt;=PT_MinHours),"PT","None")))</f>
        <v/>
      </c>
      <c r="AC39" s="9" t="str">
        <f aca="false">IF(V39=0,"",IF(AH39&lt;&gt;"",AB39,AA39))</f>
        <v/>
      </c>
      <c r="AD39" s="9" t="str">
        <f aca="false">IF(V39=0,"",IF(AA39="FT",IF(Z39&lt;FT_First,0,IF(Z39&lt;FT_Y5,1+INT((Z39-FT_First)/FT_Int1),FT_PreY5+FT_PerYear*INT((Z39-FT_Y5)/12)+FT_AnnivDays+INT(MOD(Z39-FT_Y5,12)/FT_Int2))),IF(AA39="PT",IF(Z39&lt;PT_First,0,1+INT((Z39-PT_First)/PT_Int)),0)))</f>
        <v/>
      </c>
      <c r="AE39" s="9" t="str">
        <f aca="false">IF(V39=0,"",IF(AB39="FT",IF(Z39&lt;FT_First,0,IF(Z39&lt;FT_Y5,1+INT((Z39-FT_First)/FT_Int1),FT_PreY5+FT_PerYear*INT((Z39-FT_Y5)/12)+FT_AnnivDays+INT(MOD(Z39-FT_Y5,12)/FT_Int2))),IF(AB39="PT",IF(Z39&lt;PT_First,0,1+INT((Z39-PT_First)/PT_Int)),0)))</f>
        <v/>
      </c>
      <c r="AF39" s="9" t="str">
        <f aca="false">IF(V39=0,"",IF(AB39="FT",IF(Y39&lt;FT_First,0,IF(Y39&lt;FT_Y5,1+INT((Y39-FT_First)/FT_Int1),FT_PreY5+FT_PerYear*INT((Y39-FT_Y5)/12)+FT_AnnivDays+INT(MOD(Y39-FT_Y5,12)/FT_Int2))),IF(AB39="PT",IF(Y39&lt;PT_First,0,1+INT((Y39-PT_First)/PT_Int)),0)))</f>
        <v/>
      </c>
      <c r="AG39" s="9" t="str">
        <f aca="false">IF(V39=0,"",IF(AC39="FT",IF(Y39&lt;FT_First,FT_First,IF(Y39&lt;FT_Y5,MIN(FT_Y5,FT_First+FT_Int1*(INT((Y39-FT_First)/FT_Int1)+1)),FT_Y5+12*INT((Y39-FT_Y5)/12)+FT_Int2*(INT(MOD(Y39-FT_Y5,12)/FT_Int2)+1))),IF(AC39="PT",IF(Y39&lt;PT_First,PT_First,PT_First+PT_Int*(INT((Y39-PT_First)/PT_Int)+1)),"")))</f>
        <v/>
      </c>
      <c r="AH39" s="11" t="str">
        <f aca="false">IF(V39=0,"",IF($G39="","",IF($G39&gt;X39,"",$G39)))</f>
        <v/>
      </c>
    </row>
    <row r="40" customFormat="false" ht="15" hidden="false" customHeight="false" outlineLevel="0" collapsed="false">
      <c r="A40" s="12"/>
      <c r="B40" s="12"/>
      <c r="C40" s="12"/>
      <c r="D40" s="13"/>
      <c r="E40" s="12"/>
      <c r="F40" s="14"/>
      <c r="G40" s="13"/>
      <c r="H40" s="12"/>
      <c r="I40" s="14"/>
      <c r="J40" s="14"/>
      <c r="K40" s="13"/>
      <c r="L40" s="9" t="str">
        <f aca="false">IF(V40=0,"",IF($G40="","",$E40&amp;" to "&amp;$H40&amp;IF($H40="Part-Time"," "&amp;N($I40)&amp;" hrs","")&amp;" on "&amp;TEXT($G40,"dd/mm/yyyy")&amp;IF($G40&gt;AsOfDate," (future)",IF(AA40=AC40,"",IF(AC40="None"," - STOPPED accruing",IF(AA40="None"," - now qualifying"," - pathway changed"))))))</f>
        <v/>
      </c>
      <c r="M40" s="9" t="str">
        <f aca="false">IF(V40=0,"",IF(W40=1,"Terminated",IF(AC40="None",IF(O40&gt;0,"No longer accruing","Not eligible - "&amp;IF(AND(AC40="None",IF(AH40&lt;&gt;"",$H40,$E40)="Part-Time"),"under "&amp;PT_MinHours&amp;" hrs",IF(AH40&lt;&gt;"",$H40,$E40))),IF(O40&gt;0,"Yes - accruing","Not yet - from "&amp;TEXT(Q40,"dd/mm/yyyy")))))</f>
        <v/>
      </c>
      <c r="N40" s="9" t="str">
        <f aca="false">IF(V40=0,"",IF(Y40&lt;0,"-",INT(Y40/12)&amp;"y "&amp;MOD(Y40,12)&amp;"m"))</f>
        <v/>
      </c>
      <c r="O40" s="10" t="str">
        <f aca="false">IF(V40=0,"",AD40+IF(AH40="",0,AF40-AE40))</f>
        <v/>
      </c>
      <c r="P40" s="10" t="str">
        <f aca="false">IF(V40=0,"",O40*HoursPerDay)</f>
        <v/>
      </c>
      <c r="Q40" s="11" t="str">
        <f aca="false">IF(V40=0,"",IF(OR(W40=1,AC40="None"),"",EDATE(($D40+N($J40)),AG40)))</f>
        <v/>
      </c>
      <c r="R40" s="10" t="str">
        <f aca="false">IF(V40=0,"",IF(NOT(EH_Ready),"",SUMIFS(INDEX(EH_Data,0,EH_ColBal),INDEX(EH_Data,0,EH_ColFirst),$A40,INDEX(EH_Data,0,EH_ColSur),$B40,INDEX(EH_Data,0,EH_ColCat),BonusCat)/IF(EHUnit="Hours",HoursPerDay,1)))</f>
        <v/>
      </c>
      <c r="S40" s="10" t="str">
        <f aca="false">IF(OR(V40=0,R40="",W40=1),"",O40-R40)</f>
        <v/>
      </c>
      <c r="T40" s="10" t="str">
        <f aca="false">IF(S40="","",S40*HoursPerDay)</f>
        <v/>
      </c>
      <c r="U40" s="9" t="str">
        <f aca="false">IF(V40=0,"",IF(W40=1,IF(N(R40)&gt;0,"TERMINATED - forfeit "&amp;TEXT(R40,"0.##")&amp;" days in EH","Terminated"),IF(NOT(EH_Ready),"Paste EH export (see Settings)",IF(S40&gt;0,"ADD "&amp;TEXT(S40,"0.##")&amp;" day(s) = "&amp;TEXT(T40,"0.##")&amp;" hrs in EH",IF(S40&lt;0,"CHECK - EH has "&amp;TEXT(-S40,"0.##")&amp;" days more than policy",IF(O40&gt;0,"OK","-"))))))</f>
        <v/>
      </c>
      <c r="V40" s="9" t="n">
        <f aca="false">IF(OR(LEN($A40&amp;$B40)=0,$D40=""),0,1)</f>
        <v>0</v>
      </c>
      <c r="W40" s="9" t="n">
        <f aca="false">IF(V40=0,0,IF(AND($K40&lt;&gt;"",$K40&lt;=AsOfDate),1,0))</f>
        <v>0</v>
      </c>
      <c r="X40" s="11" t="str">
        <f aca="false">IF(V40=0,"",IF($K40="",AsOfDate,MIN(AsOfDate,$K40)))</f>
        <v/>
      </c>
      <c r="Y40" s="9" t="str">
        <f aca="false">IF(V40=0,"",IF(X40&lt;($D40+N($J40)),-1,12*(YEAR(X40)-YEAR(($D40+N($J40))))+MONTH(X40)-MONTH(($D40+N($J40)))-IF(DAY(X40)&lt;MIN(DAY(($D40+N($J40))),DAY(EOMONTH(X40,0))),1,0)))</f>
        <v/>
      </c>
      <c r="Z40" s="9" t="str">
        <f aca="false">IF(V40=0,"",IF(AH40="",Y40,IF((AH40-1)&lt;($D40+N($J40)),-1,12*(YEAR((AH40-1))-YEAR(($D40+N($J40))))+MONTH((AH40-1))-MONTH(($D40+N($J40)))-IF(DAY((AH40-1))&lt;MIN(DAY(($D40+N($J40))),DAY(EOMONTH((AH40-1),0))),1,0))))</f>
        <v/>
      </c>
      <c r="AA40" s="9" t="str">
        <f aca="false">IF(V40=0,"",IF($E40="Full-Time","FT",IF(AND($E40="Part-Time",N($F40)&gt;=PT_MinHours),"PT","None")))</f>
        <v/>
      </c>
      <c r="AB40" s="9" t="str">
        <f aca="false">IF(V40=0,"",IF($H40="Full-Time","FT",IF(AND($H40="Part-Time",N($I40)&gt;=PT_MinHours),"PT","None")))</f>
        <v/>
      </c>
      <c r="AC40" s="9" t="str">
        <f aca="false">IF(V40=0,"",IF(AH40&lt;&gt;"",AB40,AA40))</f>
        <v/>
      </c>
      <c r="AD40" s="9" t="str">
        <f aca="false">IF(V40=0,"",IF(AA40="FT",IF(Z40&lt;FT_First,0,IF(Z40&lt;FT_Y5,1+INT((Z40-FT_First)/FT_Int1),FT_PreY5+FT_PerYear*INT((Z40-FT_Y5)/12)+FT_AnnivDays+INT(MOD(Z40-FT_Y5,12)/FT_Int2))),IF(AA40="PT",IF(Z40&lt;PT_First,0,1+INT((Z40-PT_First)/PT_Int)),0)))</f>
        <v/>
      </c>
      <c r="AE40" s="9" t="str">
        <f aca="false">IF(V40=0,"",IF(AB40="FT",IF(Z40&lt;FT_First,0,IF(Z40&lt;FT_Y5,1+INT((Z40-FT_First)/FT_Int1),FT_PreY5+FT_PerYear*INT((Z40-FT_Y5)/12)+FT_AnnivDays+INT(MOD(Z40-FT_Y5,12)/FT_Int2))),IF(AB40="PT",IF(Z40&lt;PT_First,0,1+INT((Z40-PT_First)/PT_Int)),0)))</f>
        <v/>
      </c>
      <c r="AF40" s="9" t="str">
        <f aca="false">IF(V40=0,"",IF(AB40="FT",IF(Y40&lt;FT_First,0,IF(Y40&lt;FT_Y5,1+INT((Y40-FT_First)/FT_Int1),FT_PreY5+FT_PerYear*INT((Y40-FT_Y5)/12)+FT_AnnivDays+INT(MOD(Y40-FT_Y5,12)/FT_Int2))),IF(AB40="PT",IF(Y40&lt;PT_First,0,1+INT((Y40-PT_First)/PT_Int)),0)))</f>
        <v/>
      </c>
      <c r="AG40" s="9" t="str">
        <f aca="false">IF(V40=0,"",IF(AC40="FT",IF(Y40&lt;FT_First,FT_First,IF(Y40&lt;FT_Y5,MIN(FT_Y5,FT_First+FT_Int1*(INT((Y40-FT_First)/FT_Int1)+1)),FT_Y5+12*INT((Y40-FT_Y5)/12)+FT_Int2*(INT(MOD(Y40-FT_Y5,12)/FT_Int2)+1))),IF(AC40="PT",IF(Y40&lt;PT_First,PT_First,PT_First+PT_Int*(INT((Y40-PT_First)/PT_Int)+1)),"")))</f>
        <v/>
      </c>
      <c r="AH40" s="11" t="str">
        <f aca="false">IF(V40=0,"",IF($G40="","",IF($G40&gt;X40,"",$G40)))</f>
        <v/>
      </c>
    </row>
    <row r="41" customFormat="false" ht="15" hidden="false" customHeight="false" outlineLevel="0" collapsed="false">
      <c r="A41" s="12"/>
      <c r="B41" s="12"/>
      <c r="C41" s="12"/>
      <c r="D41" s="13"/>
      <c r="E41" s="12"/>
      <c r="F41" s="14"/>
      <c r="G41" s="13"/>
      <c r="H41" s="12"/>
      <c r="I41" s="14"/>
      <c r="J41" s="14"/>
      <c r="K41" s="13"/>
      <c r="L41" s="9" t="str">
        <f aca="false">IF(V41=0,"",IF($G41="","",$E41&amp;" to "&amp;$H41&amp;IF($H41="Part-Time"," "&amp;N($I41)&amp;" hrs","")&amp;" on "&amp;TEXT($G41,"dd/mm/yyyy")&amp;IF($G41&gt;AsOfDate," (future)",IF(AA41=AC41,"",IF(AC41="None"," - STOPPED accruing",IF(AA41="None"," - now qualifying"," - pathway changed"))))))</f>
        <v/>
      </c>
      <c r="M41" s="9" t="str">
        <f aca="false">IF(V41=0,"",IF(W41=1,"Terminated",IF(AC41="None",IF(O41&gt;0,"No longer accruing","Not eligible - "&amp;IF(AND(AC41="None",IF(AH41&lt;&gt;"",$H41,$E41)="Part-Time"),"under "&amp;PT_MinHours&amp;" hrs",IF(AH41&lt;&gt;"",$H41,$E41))),IF(O41&gt;0,"Yes - accruing","Not yet - from "&amp;TEXT(Q41,"dd/mm/yyyy")))))</f>
        <v/>
      </c>
      <c r="N41" s="9" t="str">
        <f aca="false">IF(V41=0,"",IF(Y41&lt;0,"-",INT(Y41/12)&amp;"y "&amp;MOD(Y41,12)&amp;"m"))</f>
        <v/>
      </c>
      <c r="O41" s="10" t="str">
        <f aca="false">IF(V41=0,"",AD41+IF(AH41="",0,AF41-AE41))</f>
        <v/>
      </c>
      <c r="P41" s="10" t="str">
        <f aca="false">IF(V41=0,"",O41*HoursPerDay)</f>
        <v/>
      </c>
      <c r="Q41" s="11" t="str">
        <f aca="false">IF(V41=0,"",IF(OR(W41=1,AC41="None"),"",EDATE(($D41+N($J41)),AG41)))</f>
        <v/>
      </c>
      <c r="R41" s="10" t="str">
        <f aca="false">IF(V41=0,"",IF(NOT(EH_Ready),"",SUMIFS(INDEX(EH_Data,0,EH_ColBal),INDEX(EH_Data,0,EH_ColFirst),$A41,INDEX(EH_Data,0,EH_ColSur),$B41,INDEX(EH_Data,0,EH_ColCat),BonusCat)/IF(EHUnit="Hours",HoursPerDay,1)))</f>
        <v/>
      </c>
      <c r="S41" s="10" t="str">
        <f aca="false">IF(OR(V41=0,R41="",W41=1),"",O41-R41)</f>
        <v/>
      </c>
      <c r="T41" s="10" t="str">
        <f aca="false">IF(S41="","",S41*HoursPerDay)</f>
        <v/>
      </c>
      <c r="U41" s="9" t="str">
        <f aca="false">IF(V41=0,"",IF(W41=1,IF(N(R41)&gt;0,"TERMINATED - forfeit "&amp;TEXT(R41,"0.##")&amp;" days in EH","Terminated"),IF(NOT(EH_Ready),"Paste EH export (see Settings)",IF(S41&gt;0,"ADD "&amp;TEXT(S41,"0.##")&amp;" day(s) = "&amp;TEXT(T41,"0.##")&amp;" hrs in EH",IF(S41&lt;0,"CHECK - EH has "&amp;TEXT(-S41,"0.##")&amp;" days more than policy",IF(O41&gt;0,"OK","-"))))))</f>
        <v/>
      </c>
      <c r="V41" s="9" t="n">
        <f aca="false">IF(OR(LEN($A41&amp;$B41)=0,$D41=""),0,1)</f>
        <v>0</v>
      </c>
      <c r="W41" s="9" t="n">
        <f aca="false">IF(V41=0,0,IF(AND($K41&lt;&gt;"",$K41&lt;=AsOfDate),1,0))</f>
        <v>0</v>
      </c>
      <c r="X41" s="11" t="str">
        <f aca="false">IF(V41=0,"",IF($K41="",AsOfDate,MIN(AsOfDate,$K41)))</f>
        <v/>
      </c>
      <c r="Y41" s="9" t="str">
        <f aca="false">IF(V41=0,"",IF(X41&lt;($D41+N($J41)),-1,12*(YEAR(X41)-YEAR(($D41+N($J41))))+MONTH(X41)-MONTH(($D41+N($J41)))-IF(DAY(X41)&lt;MIN(DAY(($D41+N($J41))),DAY(EOMONTH(X41,0))),1,0)))</f>
        <v/>
      </c>
      <c r="Z41" s="9" t="str">
        <f aca="false">IF(V41=0,"",IF(AH41="",Y41,IF((AH41-1)&lt;($D41+N($J41)),-1,12*(YEAR((AH41-1))-YEAR(($D41+N($J41))))+MONTH((AH41-1))-MONTH(($D41+N($J41)))-IF(DAY((AH41-1))&lt;MIN(DAY(($D41+N($J41))),DAY(EOMONTH((AH41-1),0))),1,0))))</f>
        <v/>
      </c>
      <c r="AA41" s="9" t="str">
        <f aca="false">IF(V41=0,"",IF($E41="Full-Time","FT",IF(AND($E41="Part-Time",N($F41)&gt;=PT_MinHours),"PT","None")))</f>
        <v/>
      </c>
      <c r="AB41" s="9" t="str">
        <f aca="false">IF(V41=0,"",IF($H41="Full-Time","FT",IF(AND($H41="Part-Time",N($I41)&gt;=PT_MinHours),"PT","None")))</f>
        <v/>
      </c>
      <c r="AC41" s="9" t="str">
        <f aca="false">IF(V41=0,"",IF(AH41&lt;&gt;"",AB41,AA41))</f>
        <v/>
      </c>
      <c r="AD41" s="9" t="str">
        <f aca="false">IF(V41=0,"",IF(AA41="FT",IF(Z41&lt;FT_First,0,IF(Z41&lt;FT_Y5,1+INT((Z41-FT_First)/FT_Int1),FT_PreY5+FT_PerYear*INT((Z41-FT_Y5)/12)+FT_AnnivDays+INT(MOD(Z41-FT_Y5,12)/FT_Int2))),IF(AA41="PT",IF(Z41&lt;PT_First,0,1+INT((Z41-PT_First)/PT_Int)),0)))</f>
        <v/>
      </c>
      <c r="AE41" s="9" t="str">
        <f aca="false">IF(V41=0,"",IF(AB41="FT",IF(Z41&lt;FT_First,0,IF(Z41&lt;FT_Y5,1+INT((Z41-FT_First)/FT_Int1),FT_PreY5+FT_PerYear*INT((Z41-FT_Y5)/12)+FT_AnnivDays+INT(MOD(Z41-FT_Y5,12)/FT_Int2))),IF(AB41="PT",IF(Z41&lt;PT_First,0,1+INT((Z41-PT_First)/PT_Int)),0)))</f>
        <v/>
      </c>
      <c r="AF41" s="9" t="str">
        <f aca="false">IF(V41=0,"",IF(AB41="FT",IF(Y41&lt;FT_First,0,IF(Y41&lt;FT_Y5,1+INT((Y41-FT_First)/FT_Int1),FT_PreY5+FT_PerYear*INT((Y41-FT_Y5)/12)+FT_AnnivDays+INT(MOD(Y41-FT_Y5,12)/FT_Int2))),IF(AB41="PT",IF(Y41&lt;PT_First,0,1+INT((Y41-PT_First)/PT_Int)),0)))</f>
        <v/>
      </c>
      <c r="AG41" s="9" t="str">
        <f aca="false">IF(V41=0,"",IF(AC41="FT",IF(Y41&lt;FT_First,FT_First,IF(Y41&lt;FT_Y5,MIN(FT_Y5,FT_First+FT_Int1*(INT((Y41-FT_First)/FT_Int1)+1)),FT_Y5+12*INT((Y41-FT_Y5)/12)+FT_Int2*(INT(MOD(Y41-FT_Y5,12)/FT_Int2)+1))),IF(AC41="PT",IF(Y41&lt;PT_First,PT_First,PT_First+PT_Int*(INT((Y41-PT_First)/PT_Int)+1)),"")))</f>
        <v/>
      </c>
      <c r="AH41" s="11" t="str">
        <f aca="false">IF(V41=0,"",IF($G41="","",IF($G41&gt;X41,"",$G41)))</f>
        <v/>
      </c>
    </row>
    <row r="42" customFormat="false" ht="15" hidden="false" customHeight="false" outlineLevel="0" collapsed="false">
      <c r="A42" s="12"/>
      <c r="B42" s="12"/>
      <c r="C42" s="12"/>
      <c r="D42" s="13"/>
      <c r="E42" s="12"/>
      <c r="F42" s="14"/>
      <c r="G42" s="13"/>
      <c r="H42" s="12"/>
      <c r="I42" s="14"/>
      <c r="J42" s="14"/>
      <c r="K42" s="13"/>
      <c r="L42" s="9" t="str">
        <f aca="false">IF(V42=0,"",IF($G42="","",$E42&amp;" to "&amp;$H42&amp;IF($H42="Part-Time"," "&amp;N($I42)&amp;" hrs","")&amp;" on "&amp;TEXT($G42,"dd/mm/yyyy")&amp;IF($G42&gt;AsOfDate," (future)",IF(AA42=AC42,"",IF(AC42="None"," - STOPPED accruing",IF(AA42="None"," - now qualifying"," - pathway changed"))))))</f>
        <v/>
      </c>
      <c r="M42" s="9" t="str">
        <f aca="false">IF(V42=0,"",IF(W42=1,"Terminated",IF(AC42="None",IF(O42&gt;0,"No longer accruing","Not eligible - "&amp;IF(AND(AC42="None",IF(AH42&lt;&gt;"",$H42,$E42)="Part-Time"),"under "&amp;PT_MinHours&amp;" hrs",IF(AH42&lt;&gt;"",$H42,$E42))),IF(O42&gt;0,"Yes - accruing","Not yet - from "&amp;TEXT(Q42,"dd/mm/yyyy")))))</f>
        <v/>
      </c>
      <c r="N42" s="9" t="str">
        <f aca="false">IF(V42=0,"",IF(Y42&lt;0,"-",INT(Y42/12)&amp;"y "&amp;MOD(Y42,12)&amp;"m"))</f>
        <v/>
      </c>
      <c r="O42" s="10" t="str">
        <f aca="false">IF(V42=0,"",AD42+IF(AH42="",0,AF42-AE42))</f>
        <v/>
      </c>
      <c r="P42" s="10" t="str">
        <f aca="false">IF(V42=0,"",O42*HoursPerDay)</f>
        <v/>
      </c>
      <c r="Q42" s="11" t="str">
        <f aca="false">IF(V42=0,"",IF(OR(W42=1,AC42="None"),"",EDATE(($D42+N($J42)),AG42)))</f>
        <v/>
      </c>
      <c r="R42" s="10" t="str">
        <f aca="false">IF(V42=0,"",IF(NOT(EH_Ready),"",SUMIFS(INDEX(EH_Data,0,EH_ColBal),INDEX(EH_Data,0,EH_ColFirst),$A42,INDEX(EH_Data,0,EH_ColSur),$B42,INDEX(EH_Data,0,EH_ColCat),BonusCat)/IF(EHUnit="Hours",HoursPerDay,1)))</f>
        <v/>
      </c>
      <c r="S42" s="10" t="str">
        <f aca="false">IF(OR(V42=0,R42="",W42=1),"",O42-R42)</f>
        <v/>
      </c>
      <c r="T42" s="10" t="str">
        <f aca="false">IF(S42="","",S42*HoursPerDay)</f>
        <v/>
      </c>
      <c r="U42" s="9" t="str">
        <f aca="false">IF(V42=0,"",IF(W42=1,IF(N(R42)&gt;0,"TERMINATED - forfeit "&amp;TEXT(R42,"0.##")&amp;" days in EH","Terminated"),IF(NOT(EH_Ready),"Paste EH export (see Settings)",IF(S42&gt;0,"ADD "&amp;TEXT(S42,"0.##")&amp;" day(s) = "&amp;TEXT(T42,"0.##")&amp;" hrs in EH",IF(S42&lt;0,"CHECK - EH has "&amp;TEXT(-S42,"0.##")&amp;" days more than policy",IF(O42&gt;0,"OK","-"))))))</f>
        <v/>
      </c>
      <c r="V42" s="9" t="n">
        <f aca="false">IF(OR(LEN($A42&amp;$B42)=0,$D42=""),0,1)</f>
        <v>0</v>
      </c>
      <c r="W42" s="9" t="n">
        <f aca="false">IF(V42=0,0,IF(AND($K42&lt;&gt;"",$K42&lt;=AsOfDate),1,0))</f>
        <v>0</v>
      </c>
      <c r="X42" s="11" t="str">
        <f aca="false">IF(V42=0,"",IF($K42="",AsOfDate,MIN(AsOfDate,$K42)))</f>
        <v/>
      </c>
      <c r="Y42" s="9" t="str">
        <f aca="false">IF(V42=0,"",IF(X42&lt;($D42+N($J42)),-1,12*(YEAR(X42)-YEAR(($D42+N($J42))))+MONTH(X42)-MONTH(($D42+N($J42)))-IF(DAY(X42)&lt;MIN(DAY(($D42+N($J42))),DAY(EOMONTH(X42,0))),1,0)))</f>
        <v/>
      </c>
      <c r="Z42" s="9" t="str">
        <f aca="false">IF(V42=0,"",IF(AH42="",Y42,IF((AH42-1)&lt;($D42+N($J42)),-1,12*(YEAR((AH42-1))-YEAR(($D42+N($J42))))+MONTH((AH42-1))-MONTH(($D42+N($J42)))-IF(DAY((AH42-1))&lt;MIN(DAY(($D42+N($J42))),DAY(EOMONTH((AH42-1),0))),1,0))))</f>
        <v/>
      </c>
      <c r="AA42" s="9" t="str">
        <f aca="false">IF(V42=0,"",IF($E42="Full-Time","FT",IF(AND($E42="Part-Time",N($F42)&gt;=PT_MinHours),"PT","None")))</f>
        <v/>
      </c>
      <c r="AB42" s="9" t="str">
        <f aca="false">IF(V42=0,"",IF($H42="Full-Time","FT",IF(AND($H42="Part-Time",N($I42)&gt;=PT_MinHours),"PT","None")))</f>
        <v/>
      </c>
      <c r="AC42" s="9" t="str">
        <f aca="false">IF(V42=0,"",IF(AH42&lt;&gt;"",AB42,AA42))</f>
        <v/>
      </c>
      <c r="AD42" s="9" t="str">
        <f aca="false">IF(V42=0,"",IF(AA42="FT",IF(Z42&lt;FT_First,0,IF(Z42&lt;FT_Y5,1+INT((Z42-FT_First)/FT_Int1),FT_PreY5+FT_PerYear*INT((Z42-FT_Y5)/12)+FT_AnnivDays+INT(MOD(Z42-FT_Y5,12)/FT_Int2))),IF(AA42="PT",IF(Z42&lt;PT_First,0,1+INT((Z42-PT_First)/PT_Int)),0)))</f>
        <v/>
      </c>
      <c r="AE42" s="9" t="str">
        <f aca="false">IF(V42=0,"",IF(AB42="FT",IF(Z42&lt;FT_First,0,IF(Z42&lt;FT_Y5,1+INT((Z42-FT_First)/FT_Int1),FT_PreY5+FT_PerYear*INT((Z42-FT_Y5)/12)+FT_AnnivDays+INT(MOD(Z42-FT_Y5,12)/FT_Int2))),IF(AB42="PT",IF(Z42&lt;PT_First,0,1+INT((Z42-PT_First)/PT_Int)),0)))</f>
        <v/>
      </c>
      <c r="AF42" s="9" t="str">
        <f aca="false">IF(V42=0,"",IF(AB42="FT",IF(Y42&lt;FT_First,0,IF(Y42&lt;FT_Y5,1+INT((Y42-FT_First)/FT_Int1),FT_PreY5+FT_PerYear*INT((Y42-FT_Y5)/12)+FT_AnnivDays+INT(MOD(Y42-FT_Y5,12)/FT_Int2))),IF(AB42="PT",IF(Y42&lt;PT_First,0,1+INT((Y42-PT_First)/PT_Int)),0)))</f>
        <v/>
      </c>
      <c r="AG42" s="9" t="str">
        <f aca="false">IF(V42=0,"",IF(AC42="FT",IF(Y42&lt;FT_First,FT_First,IF(Y42&lt;FT_Y5,MIN(FT_Y5,FT_First+FT_Int1*(INT((Y42-FT_First)/FT_Int1)+1)),FT_Y5+12*INT((Y42-FT_Y5)/12)+FT_Int2*(INT(MOD(Y42-FT_Y5,12)/FT_Int2)+1))),IF(AC42="PT",IF(Y42&lt;PT_First,PT_First,PT_First+PT_Int*(INT((Y42-PT_First)/PT_Int)+1)),"")))</f>
        <v/>
      </c>
      <c r="AH42" s="11" t="str">
        <f aca="false">IF(V42=0,"",IF($G42="","",IF($G42&gt;X42,"",$G42)))</f>
        <v/>
      </c>
    </row>
    <row r="43" customFormat="false" ht="15" hidden="false" customHeight="false" outlineLevel="0" collapsed="false">
      <c r="A43" s="12"/>
      <c r="B43" s="12"/>
      <c r="C43" s="12"/>
      <c r="D43" s="13"/>
      <c r="E43" s="12"/>
      <c r="F43" s="14"/>
      <c r="G43" s="13"/>
      <c r="H43" s="12"/>
      <c r="I43" s="14"/>
      <c r="J43" s="14"/>
      <c r="K43" s="13"/>
      <c r="L43" s="9" t="str">
        <f aca="false">IF(V43=0,"",IF($G43="","",$E43&amp;" to "&amp;$H43&amp;IF($H43="Part-Time"," "&amp;N($I43)&amp;" hrs","")&amp;" on "&amp;TEXT($G43,"dd/mm/yyyy")&amp;IF($G43&gt;AsOfDate," (future)",IF(AA43=AC43,"",IF(AC43="None"," - STOPPED accruing",IF(AA43="None"," - now qualifying"," - pathway changed"))))))</f>
        <v/>
      </c>
      <c r="M43" s="9" t="str">
        <f aca="false">IF(V43=0,"",IF(W43=1,"Terminated",IF(AC43="None",IF(O43&gt;0,"No longer accruing","Not eligible - "&amp;IF(AND(AC43="None",IF(AH43&lt;&gt;"",$H43,$E43)="Part-Time"),"under "&amp;PT_MinHours&amp;" hrs",IF(AH43&lt;&gt;"",$H43,$E43))),IF(O43&gt;0,"Yes - accruing","Not yet - from "&amp;TEXT(Q43,"dd/mm/yyyy")))))</f>
        <v/>
      </c>
      <c r="N43" s="9" t="str">
        <f aca="false">IF(V43=0,"",IF(Y43&lt;0,"-",INT(Y43/12)&amp;"y "&amp;MOD(Y43,12)&amp;"m"))</f>
        <v/>
      </c>
      <c r="O43" s="10" t="str">
        <f aca="false">IF(V43=0,"",AD43+IF(AH43="",0,AF43-AE43))</f>
        <v/>
      </c>
      <c r="P43" s="10" t="str">
        <f aca="false">IF(V43=0,"",O43*HoursPerDay)</f>
        <v/>
      </c>
      <c r="Q43" s="11" t="str">
        <f aca="false">IF(V43=0,"",IF(OR(W43=1,AC43="None"),"",EDATE(($D43+N($J43)),AG43)))</f>
        <v/>
      </c>
      <c r="R43" s="10" t="str">
        <f aca="false">IF(V43=0,"",IF(NOT(EH_Ready),"",SUMIFS(INDEX(EH_Data,0,EH_ColBal),INDEX(EH_Data,0,EH_ColFirst),$A43,INDEX(EH_Data,0,EH_ColSur),$B43,INDEX(EH_Data,0,EH_ColCat),BonusCat)/IF(EHUnit="Hours",HoursPerDay,1)))</f>
        <v/>
      </c>
      <c r="S43" s="10" t="str">
        <f aca="false">IF(OR(V43=0,R43="",W43=1),"",O43-R43)</f>
        <v/>
      </c>
      <c r="T43" s="10" t="str">
        <f aca="false">IF(S43="","",S43*HoursPerDay)</f>
        <v/>
      </c>
      <c r="U43" s="9" t="str">
        <f aca="false">IF(V43=0,"",IF(W43=1,IF(N(R43)&gt;0,"TERMINATED - forfeit "&amp;TEXT(R43,"0.##")&amp;" days in EH","Terminated"),IF(NOT(EH_Ready),"Paste EH export (see Settings)",IF(S43&gt;0,"ADD "&amp;TEXT(S43,"0.##")&amp;" day(s) = "&amp;TEXT(T43,"0.##")&amp;" hrs in EH",IF(S43&lt;0,"CHECK - EH has "&amp;TEXT(-S43,"0.##")&amp;" days more than policy",IF(O43&gt;0,"OK","-"))))))</f>
        <v/>
      </c>
      <c r="V43" s="9" t="n">
        <f aca="false">IF(OR(LEN($A43&amp;$B43)=0,$D43=""),0,1)</f>
        <v>0</v>
      </c>
      <c r="W43" s="9" t="n">
        <f aca="false">IF(V43=0,0,IF(AND($K43&lt;&gt;"",$K43&lt;=AsOfDate),1,0))</f>
        <v>0</v>
      </c>
      <c r="X43" s="11" t="str">
        <f aca="false">IF(V43=0,"",IF($K43="",AsOfDate,MIN(AsOfDate,$K43)))</f>
        <v/>
      </c>
      <c r="Y43" s="9" t="str">
        <f aca="false">IF(V43=0,"",IF(X43&lt;($D43+N($J43)),-1,12*(YEAR(X43)-YEAR(($D43+N($J43))))+MONTH(X43)-MONTH(($D43+N($J43)))-IF(DAY(X43)&lt;MIN(DAY(($D43+N($J43))),DAY(EOMONTH(X43,0))),1,0)))</f>
        <v/>
      </c>
      <c r="Z43" s="9" t="str">
        <f aca="false">IF(V43=0,"",IF(AH43="",Y43,IF((AH43-1)&lt;($D43+N($J43)),-1,12*(YEAR((AH43-1))-YEAR(($D43+N($J43))))+MONTH((AH43-1))-MONTH(($D43+N($J43)))-IF(DAY((AH43-1))&lt;MIN(DAY(($D43+N($J43))),DAY(EOMONTH((AH43-1),0))),1,0))))</f>
        <v/>
      </c>
      <c r="AA43" s="9" t="str">
        <f aca="false">IF(V43=0,"",IF($E43="Full-Time","FT",IF(AND($E43="Part-Time",N($F43)&gt;=PT_MinHours),"PT","None")))</f>
        <v/>
      </c>
      <c r="AB43" s="9" t="str">
        <f aca="false">IF(V43=0,"",IF($H43="Full-Time","FT",IF(AND($H43="Part-Time",N($I43)&gt;=PT_MinHours),"PT","None")))</f>
        <v/>
      </c>
      <c r="AC43" s="9" t="str">
        <f aca="false">IF(V43=0,"",IF(AH43&lt;&gt;"",AB43,AA43))</f>
        <v/>
      </c>
      <c r="AD43" s="9" t="str">
        <f aca="false">IF(V43=0,"",IF(AA43="FT",IF(Z43&lt;FT_First,0,IF(Z43&lt;FT_Y5,1+INT((Z43-FT_First)/FT_Int1),FT_PreY5+FT_PerYear*INT((Z43-FT_Y5)/12)+FT_AnnivDays+INT(MOD(Z43-FT_Y5,12)/FT_Int2))),IF(AA43="PT",IF(Z43&lt;PT_First,0,1+INT((Z43-PT_First)/PT_Int)),0)))</f>
        <v/>
      </c>
      <c r="AE43" s="9" t="str">
        <f aca="false">IF(V43=0,"",IF(AB43="FT",IF(Z43&lt;FT_First,0,IF(Z43&lt;FT_Y5,1+INT((Z43-FT_First)/FT_Int1),FT_PreY5+FT_PerYear*INT((Z43-FT_Y5)/12)+FT_AnnivDays+INT(MOD(Z43-FT_Y5,12)/FT_Int2))),IF(AB43="PT",IF(Z43&lt;PT_First,0,1+INT((Z43-PT_First)/PT_Int)),0)))</f>
        <v/>
      </c>
      <c r="AF43" s="9" t="str">
        <f aca="false">IF(V43=0,"",IF(AB43="FT",IF(Y43&lt;FT_First,0,IF(Y43&lt;FT_Y5,1+INT((Y43-FT_First)/FT_Int1),FT_PreY5+FT_PerYear*INT((Y43-FT_Y5)/12)+FT_AnnivDays+INT(MOD(Y43-FT_Y5,12)/FT_Int2))),IF(AB43="PT",IF(Y43&lt;PT_First,0,1+INT((Y43-PT_First)/PT_Int)),0)))</f>
        <v/>
      </c>
      <c r="AG43" s="9" t="str">
        <f aca="false">IF(V43=0,"",IF(AC43="FT",IF(Y43&lt;FT_First,FT_First,IF(Y43&lt;FT_Y5,MIN(FT_Y5,FT_First+FT_Int1*(INT((Y43-FT_First)/FT_Int1)+1)),FT_Y5+12*INT((Y43-FT_Y5)/12)+FT_Int2*(INT(MOD(Y43-FT_Y5,12)/FT_Int2)+1))),IF(AC43="PT",IF(Y43&lt;PT_First,PT_First,PT_First+PT_Int*(INT((Y43-PT_First)/PT_Int)+1)),"")))</f>
        <v/>
      </c>
      <c r="AH43" s="11" t="str">
        <f aca="false">IF(V43=0,"",IF($G43="","",IF($G43&gt;X43,"",$G43)))</f>
        <v/>
      </c>
    </row>
    <row r="44" customFormat="false" ht="15" hidden="false" customHeight="false" outlineLevel="0" collapsed="false">
      <c r="A44" s="12"/>
      <c r="B44" s="12"/>
      <c r="C44" s="12"/>
      <c r="D44" s="13"/>
      <c r="E44" s="12"/>
      <c r="F44" s="14"/>
      <c r="G44" s="13"/>
      <c r="H44" s="12"/>
      <c r="I44" s="14"/>
      <c r="J44" s="14"/>
      <c r="K44" s="13"/>
      <c r="L44" s="9" t="str">
        <f aca="false">IF(V44=0,"",IF($G44="","",$E44&amp;" to "&amp;$H44&amp;IF($H44="Part-Time"," "&amp;N($I44)&amp;" hrs","")&amp;" on "&amp;TEXT($G44,"dd/mm/yyyy")&amp;IF($G44&gt;AsOfDate," (future)",IF(AA44=AC44,"",IF(AC44="None"," - STOPPED accruing",IF(AA44="None"," - now qualifying"," - pathway changed"))))))</f>
        <v/>
      </c>
      <c r="M44" s="9" t="str">
        <f aca="false">IF(V44=0,"",IF(W44=1,"Terminated",IF(AC44="None",IF(O44&gt;0,"No longer accruing","Not eligible - "&amp;IF(AND(AC44="None",IF(AH44&lt;&gt;"",$H44,$E44)="Part-Time"),"under "&amp;PT_MinHours&amp;" hrs",IF(AH44&lt;&gt;"",$H44,$E44))),IF(O44&gt;0,"Yes - accruing","Not yet - from "&amp;TEXT(Q44,"dd/mm/yyyy")))))</f>
        <v/>
      </c>
      <c r="N44" s="9" t="str">
        <f aca="false">IF(V44=0,"",IF(Y44&lt;0,"-",INT(Y44/12)&amp;"y "&amp;MOD(Y44,12)&amp;"m"))</f>
        <v/>
      </c>
      <c r="O44" s="10" t="str">
        <f aca="false">IF(V44=0,"",AD44+IF(AH44="",0,AF44-AE44))</f>
        <v/>
      </c>
      <c r="P44" s="10" t="str">
        <f aca="false">IF(V44=0,"",O44*HoursPerDay)</f>
        <v/>
      </c>
      <c r="Q44" s="11" t="str">
        <f aca="false">IF(V44=0,"",IF(OR(W44=1,AC44="None"),"",EDATE(($D44+N($J44)),AG44)))</f>
        <v/>
      </c>
      <c r="R44" s="10" t="str">
        <f aca="false">IF(V44=0,"",IF(NOT(EH_Ready),"",SUMIFS(INDEX(EH_Data,0,EH_ColBal),INDEX(EH_Data,0,EH_ColFirst),$A44,INDEX(EH_Data,0,EH_ColSur),$B44,INDEX(EH_Data,0,EH_ColCat),BonusCat)/IF(EHUnit="Hours",HoursPerDay,1)))</f>
        <v/>
      </c>
      <c r="S44" s="10" t="str">
        <f aca="false">IF(OR(V44=0,R44="",W44=1),"",O44-R44)</f>
        <v/>
      </c>
      <c r="T44" s="10" t="str">
        <f aca="false">IF(S44="","",S44*HoursPerDay)</f>
        <v/>
      </c>
      <c r="U44" s="9" t="str">
        <f aca="false">IF(V44=0,"",IF(W44=1,IF(N(R44)&gt;0,"TERMINATED - forfeit "&amp;TEXT(R44,"0.##")&amp;" days in EH","Terminated"),IF(NOT(EH_Ready),"Paste EH export (see Settings)",IF(S44&gt;0,"ADD "&amp;TEXT(S44,"0.##")&amp;" day(s) = "&amp;TEXT(T44,"0.##")&amp;" hrs in EH",IF(S44&lt;0,"CHECK - EH has "&amp;TEXT(-S44,"0.##")&amp;" days more than policy",IF(O44&gt;0,"OK","-"))))))</f>
        <v/>
      </c>
      <c r="V44" s="9" t="n">
        <f aca="false">IF(OR(LEN($A44&amp;$B44)=0,$D44=""),0,1)</f>
        <v>0</v>
      </c>
      <c r="W44" s="9" t="n">
        <f aca="false">IF(V44=0,0,IF(AND($K44&lt;&gt;"",$K44&lt;=AsOfDate),1,0))</f>
        <v>0</v>
      </c>
      <c r="X44" s="11" t="str">
        <f aca="false">IF(V44=0,"",IF($K44="",AsOfDate,MIN(AsOfDate,$K44)))</f>
        <v/>
      </c>
      <c r="Y44" s="9" t="str">
        <f aca="false">IF(V44=0,"",IF(X44&lt;($D44+N($J44)),-1,12*(YEAR(X44)-YEAR(($D44+N($J44))))+MONTH(X44)-MONTH(($D44+N($J44)))-IF(DAY(X44)&lt;MIN(DAY(($D44+N($J44))),DAY(EOMONTH(X44,0))),1,0)))</f>
        <v/>
      </c>
      <c r="Z44" s="9" t="str">
        <f aca="false">IF(V44=0,"",IF(AH44="",Y44,IF((AH44-1)&lt;($D44+N($J44)),-1,12*(YEAR((AH44-1))-YEAR(($D44+N($J44))))+MONTH((AH44-1))-MONTH(($D44+N($J44)))-IF(DAY((AH44-1))&lt;MIN(DAY(($D44+N($J44))),DAY(EOMONTH((AH44-1),0))),1,0))))</f>
        <v/>
      </c>
      <c r="AA44" s="9" t="str">
        <f aca="false">IF(V44=0,"",IF($E44="Full-Time","FT",IF(AND($E44="Part-Time",N($F44)&gt;=PT_MinHours),"PT","None")))</f>
        <v/>
      </c>
      <c r="AB44" s="9" t="str">
        <f aca="false">IF(V44=0,"",IF($H44="Full-Time","FT",IF(AND($H44="Part-Time",N($I44)&gt;=PT_MinHours),"PT","None")))</f>
        <v/>
      </c>
      <c r="AC44" s="9" t="str">
        <f aca="false">IF(V44=0,"",IF(AH44&lt;&gt;"",AB44,AA44))</f>
        <v/>
      </c>
      <c r="AD44" s="9" t="str">
        <f aca="false">IF(V44=0,"",IF(AA44="FT",IF(Z44&lt;FT_First,0,IF(Z44&lt;FT_Y5,1+INT((Z44-FT_First)/FT_Int1),FT_PreY5+FT_PerYear*INT((Z44-FT_Y5)/12)+FT_AnnivDays+INT(MOD(Z44-FT_Y5,12)/FT_Int2))),IF(AA44="PT",IF(Z44&lt;PT_First,0,1+INT((Z44-PT_First)/PT_Int)),0)))</f>
        <v/>
      </c>
      <c r="AE44" s="9" t="str">
        <f aca="false">IF(V44=0,"",IF(AB44="FT",IF(Z44&lt;FT_First,0,IF(Z44&lt;FT_Y5,1+INT((Z44-FT_First)/FT_Int1),FT_PreY5+FT_PerYear*INT((Z44-FT_Y5)/12)+FT_AnnivDays+INT(MOD(Z44-FT_Y5,12)/FT_Int2))),IF(AB44="PT",IF(Z44&lt;PT_First,0,1+INT((Z44-PT_First)/PT_Int)),0)))</f>
        <v/>
      </c>
      <c r="AF44" s="9" t="str">
        <f aca="false">IF(V44=0,"",IF(AB44="FT",IF(Y44&lt;FT_First,0,IF(Y44&lt;FT_Y5,1+INT((Y44-FT_First)/FT_Int1),FT_PreY5+FT_PerYear*INT((Y44-FT_Y5)/12)+FT_AnnivDays+INT(MOD(Y44-FT_Y5,12)/FT_Int2))),IF(AB44="PT",IF(Y44&lt;PT_First,0,1+INT((Y44-PT_First)/PT_Int)),0)))</f>
        <v/>
      </c>
      <c r="AG44" s="9" t="str">
        <f aca="false">IF(V44=0,"",IF(AC44="FT",IF(Y44&lt;FT_First,FT_First,IF(Y44&lt;FT_Y5,MIN(FT_Y5,FT_First+FT_Int1*(INT((Y44-FT_First)/FT_Int1)+1)),FT_Y5+12*INT((Y44-FT_Y5)/12)+FT_Int2*(INT(MOD(Y44-FT_Y5,12)/FT_Int2)+1))),IF(AC44="PT",IF(Y44&lt;PT_First,PT_First,PT_First+PT_Int*(INT((Y44-PT_First)/PT_Int)+1)),"")))</f>
        <v/>
      </c>
      <c r="AH44" s="11" t="str">
        <f aca="false">IF(V44=0,"",IF($G44="","",IF($G44&gt;X44,"",$G44)))</f>
        <v/>
      </c>
    </row>
    <row r="45" customFormat="false" ht="15" hidden="false" customHeight="false" outlineLevel="0" collapsed="false">
      <c r="A45" s="12"/>
      <c r="B45" s="12"/>
      <c r="C45" s="12"/>
      <c r="D45" s="13"/>
      <c r="E45" s="12"/>
      <c r="F45" s="14"/>
      <c r="G45" s="13"/>
      <c r="H45" s="12"/>
      <c r="I45" s="14"/>
      <c r="J45" s="14"/>
      <c r="K45" s="13"/>
      <c r="L45" s="9" t="str">
        <f aca="false">IF(V45=0,"",IF($G45="","",$E45&amp;" to "&amp;$H45&amp;IF($H45="Part-Time"," "&amp;N($I45)&amp;" hrs","")&amp;" on "&amp;TEXT($G45,"dd/mm/yyyy")&amp;IF($G45&gt;AsOfDate," (future)",IF(AA45=AC45,"",IF(AC45="None"," - STOPPED accruing",IF(AA45="None"," - now qualifying"," - pathway changed"))))))</f>
        <v/>
      </c>
      <c r="M45" s="9" t="str">
        <f aca="false">IF(V45=0,"",IF(W45=1,"Terminated",IF(AC45="None",IF(O45&gt;0,"No longer accruing","Not eligible - "&amp;IF(AND(AC45="None",IF(AH45&lt;&gt;"",$H45,$E45)="Part-Time"),"under "&amp;PT_MinHours&amp;" hrs",IF(AH45&lt;&gt;"",$H45,$E45))),IF(O45&gt;0,"Yes - accruing","Not yet - from "&amp;TEXT(Q45,"dd/mm/yyyy")))))</f>
        <v/>
      </c>
      <c r="N45" s="9" t="str">
        <f aca="false">IF(V45=0,"",IF(Y45&lt;0,"-",INT(Y45/12)&amp;"y "&amp;MOD(Y45,12)&amp;"m"))</f>
        <v/>
      </c>
      <c r="O45" s="10" t="str">
        <f aca="false">IF(V45=0,"",AD45+IF(AH45="",0,AF45-AE45))</f>
        <v/>
      </c>
      <c r="P45" s="10" t="str">
        <f aca="false">IF(V45=0,"",O45*HoursPerDay)</f>
        <v/>
      </c>
      <c r="Q45" s="11" t="str">
        <f aca="false">IF(V45=0,"",IF(OR(W45=1,AC45="None"),"",EDATE(($D45+N($J45)),AG45)))</f>
        <v/>
      </c>
      <c r="R45" s="10" t="str">
        <f aca="false">IF(V45=0,"",IF(NOT(EH_Ready),"",SUMIFS(INDEX(EH_Data,0,EH_ColBal),INDEX(EH_Data,0,EH_ColFirst),$A45,INDEX(EH_Data,0,EH_ColSur),$B45,INDEX(EH_Data,0,EH_ColCat),BonusCat)/IF(EHUnit="Hours",HoursPerDay,1)))</f>
        <v/>
      </c>
      <c r="S45" s="10" t="str">
        <f aca="false">IF(OR(V45=0,R45="",W45=1),"",O45-R45)</f>
        <v/>
      </c>
      <c r="T45" s="10" t="str">
        <f aca="false">IF(S45="","",S45*HoursPerDay)</f>
        <v/>
      </c>
      <c r="U45" s="9" t="str">
        <f aca="false">IF(V45=0,"",IF(W45=1,IF(N(R45)&gt;0,"TERMINATED - forfeit "&amp;TEXT(R45,"0.##")&amp;" days in EH","Terminated"),IF(NOT(EH_Ready),"Paste EH export (see Settings)",IF(S45&gt;0,"ADD "&amp;TEXT(S45,"0.##")&amp;" day(s) = "&amp;TEXT(T45,"0.##")&amp;" hrs in EH",IF(S45&lt;0,"CHECK - EH has "&amp;TEXT(-S45,"0.##")&amp;" days more than policy",IF(O45&gt;0,"OK","-"))))))</f>
        <v/>
      </c>
      <c r="V45" s="9" t="n">
        <f aca="false">IF(OR(LEN($A45&amp;$B45)=0,$D45=""),0,1)</f>
        <v>0</v>
      </c>
      <c r="W45" s="9" t="n">
        <f aca="false">IF(V45=0,0,IF(AND($K45&lt;&gt;"",$K45&lt;=AsOfDate),1,0))</f>
        <v>0</v>
      </c>
      <c r="X45" s="11" t="str">
        <f aca="false">IF(V45=0,"",IF($K45="",AsOfDate,MIN(AsOfDate,$K45)))</f>
        <v/>
      </c>
      <c r="Y45" s="9" t="str">
        <f aca="false">IF(V45=0,"",IF(X45&lt;($D45+N($J45)),-1,12*(YEAR(X45)-YEAR(($D45+N($J45))))+MONTH(X45)-MONTH(($D45+N($J45)))-IF(DAY(X45)&lt;MIN(DAY(($D45+N($J45))),DAY(EOMONTH(X45,0))),1,0)))</f>
        <v/>
      </c>
      <c r="Z45" s="9" t="str">
        <f aca="false">IF(V45=0,"",IF(AH45="",Y45,IF((AH45-1)&lt;($D45+N($J45)),-1,12*(YEAR((AH45-1))-YEAR(($D45+N($J45))))+MONTH((AH45-1))-MONTH(($D45+N($J45)))-IF(DAY((AH45-1))&lt;MIN(DAY(($D45+N($J45))),DAY(EOMONTH((AH45-1),0))),1,0))))</f>
        <v/>
      </c>
      <c r="AA45" s="9" t="str">
        <f aca="false">IF(V45=0,"",IF($E45="Full-Time","FT",IF(AND($E45="Part-Time",N($F45)&gt;=PT_MinHours),"PT","None")))</f>
        <v/>
      </c>
      <c r="AB45" s="9" t="str">
        <f aca="false">IF(V45=0,"",IF($H45="Full-Time","FT",IF(AND($H45="Part-Time",N($I45)&gt;=PT_MinHours),"PT","None")))</f>
        <v/>
      </c>
      <c r="AC45" s="9" t="str">
        <f aca="false">IF(V45=0,"",IF(AH45&lt;&gt;"",AB45,AA45))</f>
        <v/>
      </c>
      <c r="AD45" s="9" t="str">
        <f aca="false">IF(V45=0,"",IF(AA45="FT",IF(Z45&lt;FT_First,0,IF(Z45&lt;FT_Y5,1+INT((Z45-FT_First)/FT_Int1),FT_PreY5+FT_PerYear*INT((Z45-FT_Y5)/12)+FT_AnnivDays+INT(MOD(Z45-FT_Y5,12)/FT_Int2))),IF(AA45="PT",IF(Z45&lt;PT_First,0,1+INT((Z45-PT_First)/PT_Int)),0)))</f>
        <v/>
      </c>
      <c r="AE45" s="9" t="str">
        <f aca="false">IF(V45=0,"",IF(AB45="FT",IF(Z45&lt;FT_First,0,IF(Z45&lt;FT_Y5,1+INT((Z45-FT_First)/FT_Int1),FT_PreY5+FT_PerYear*INT((Z45-FT_Y5)/12)+FT_AnnivDays+INT(MOD(Z45-FT_Y5,12)/FT_Int2))),IF(AB45="PT",IF(Z45&lt;PT_First,0,1+INT((Z45-PT_First)/PT_Int)),0)))</f>
        <v/>
      </c>
      <c r="AF45" s="9" t="str">
        <f aca="false">IF(V45=0,"",IF(AB45="FT",IF(Y45&lt;FT_First,0,IF(Y45&lt;FT_Y5,1+INT((Y45-FT_First)/FT_Int1),FT_PreY5+FT_PerYear*INT((Y45-FT_Y5)/12)+FT_AnnivDays+INT(MOD(Y45-FT_Y5,12)/FT_Int2))),IF(AB45="PT",IF(Y45&lt;PT_First,0,1+INT((Y45-PT_First)/PT_Int)),0)))</f>
        <v/>
      </c>
      <c r="AG45" s="9" t="str">
        <f aca="false">IF(V45=0,"",IF(AC45="FT",IF(Y45&lt;FT_First,FT_First,IF(Y45&lt;FT_Y5,MIN(FT_Y5,FT_First+FT_Int1*(INT((Y45-FT_First)/FT_Int1)+1)),FT_Y5+12*INT((Y45-FT_Y5)/12)+FT_Int2*(INT(MOD(Y45-FT_Y5,12)/FT_Int2)+1))),IF(AC45="PT",IF(Y45&lt;PT_First,PT_First,PT_First+PT_Int*(INT((Y45-PT_First)/PT_Int)+1)),"")))</f>
        <v/>
      </c>
      <c r="AH45" s="11" t="str">
        <f aca="false">IF(V45=0,"",IF($G45="","",IF($G45&gt;X45,"",$G45)))</f>
        <v/>
      </c>
    </row>
    <row r="46" customFormat="false" ht="15" hidden="false" customHeight="false" outlineLevel="0" collapsed="false">
      <c r="A46" s="12"/>
      <c r="B46" s="12"/>
      <c r="C46" s="12"/>
      <c r="D46" s="13"/>
      <c r="E46" s="12"/>
      <c r="F46" s="14"/>
      <c r="G46" s="13"/>
      <c r="H46" s="12"/>
      <c r="I46" s="14"/>
      <c r="J46" s="14"/>
      <c r="K46" s="13"/>
      <c r="L46" s="9" t="str">
        <f aca="false">IF(V46=0,"",IF($G46="","",$E46&amp;" to "&amp;$H46&amp;IF($H46="Part-Time"," "&amp;N($I46)&amp;" hrs","")&amp;" on "&amp;TEXT($G46,"dd/mm/yyyy")&amp;IF($G46&gt;AsOfDate," (future)",IF(AA46=AC46,"",IF(AC46="None"," - STOPPED accruing",IF(AA46="None"," - now qualifying"," - pathway changed"))))))</f>
        <v/>
      </c>
      <c r="M46" s="9" t="str">
        <f aca="false">IF(V46=0,"",IF(W46=1,"Terminated",IF(AC46="None",IF(O46&gt;0,"No longer accruing","Not eligible - "&amp;IF(AND(AC46="None",IF(AH46&lt;&gt;"",$H46,$E46)="Part-Time"),"under "&amp;PT_MinHours&amp;" hrs",IF(AH46&lt;&gt;"",$H46,$E46))),IF(O46&gt;0,"Yes - accruing","Not yet - from "&amp;TEXT(Q46,"dd/mm/yyyy")))))</f>
        <v/>
      </c>
      <c r="N46" s="9" t="str">
        <f aca="false">IF(V46=0,"",IF(Y46&lt;0,"-",INT(Y46/12)&amp;"y "&amp;MOD(Y46,12)&amp;"m"))</f>
        <v/>
      </c>
      <c r="O46" s="10" t="str">
        <f aca="false">IF(V46=0,"",AD46+IF(AH46="",0,AF46-AE46))</f>
        <v/>
      </c>
      <c r="P46" s="10" t="str">
        <f aca="false">IF(V46=0,"",O46*HoursPerDay)</f>
        <v/>
      </c>
      <c r="Q46" s="11" t="str">
        <f aca="false">IF(V46=0,"",IF(OR(W46=1,AC46="None"),"",EDATE(($D46+N($J46)),AG46)))</f>
        <v/>
      </c>
      <c r="R46" s="10" t="str">
        <f aca="false">IF(V46=0,"",IF(NOT(EH_Ready),"",SUMIFS(INDEX(EH_Data,0,EH_ColBal),INDEX(EH_Data,0,EH_ColFirst),$A46,INDEX(EH_Data,0,EH_ColSur),$B46,INDEX(EH_Data,0,EH_ColCat),BonusCat)/IF(EHUnit="Hours",HoursPerDay,1)))</f>
        <v/>
      </c>
      <c r="S46" s="10" t="str">
        <f aca="false">IF(OR(V46=0,R46="",W46=1),"",O46-R46)</f>
        <v/>
      </c>
      <c r="T46" s="10" t="str">
        <f aca="false">IF(S46="","",S46*HoursPerDay)</f>
        <v/>
      </c>
      <c r="U46" s="9" t="str">
        <f aca="false">IF(V46=0,"",IF(W46=1,IF(N(R46)&gt;0,"TERMINATED - forfeit "&amp;TEXT(R46,"0.##")&amp;" days in EH","Terminated"),IF(NOT(EH_Ready),"Paste EH export (see Settings)",IF(S46&gt;0,"ADD "&amp;TEXT(S46,"0.##")&amp;" day(s) = "&amp;TEXT(T46,"0.##")&amp;" hrs in EH",IF(S46&lt;0,"CHECK - EH has "&amp;TEXT(-S46,"0.##")&amp;" days more than policy",IF(O46&gt;0,"OK","-"))))))</f>
        <v/>
      </c>
      <c r="V46" s="9" t="n">
        <f aca="false">IF(OR(LEN($A46&amp;$B46)=0,$D46=""),0,1)</f>
        <v>0</v>
      </c>
      <c r="W46" s="9" t="n">
        <f aca="false">IF(V46=0,0,IF(AND($K46&lt;&gt;"",$K46&lt;=AsOfDate),1,0))</f>
        <v>0</v>
      </c>
      <c r="X46" s="11" t="str">
        <f aca="false">IF(V46=0,"",IF($K46="",AsOfDate,MIN(AsOfDate,$K46)))</f>
        <v/>
      </c>
      <c r="Y46" s="9" t="str">
        <f aca="false">IF(V46=0,"",IF(X46&lt;($D46+N($J46)),-1,12*(YEAR(X46)-YEAR(($D46+N($J46))))+MONTH(X46)-MONTH(($D46+N($J46)))-IF(DAY(X46)&lt;MIN(DAY(($D46+N($J46))),DAY(EOMONTH(X46,0))),1,0)))</f>
        <v/>
      </c>
      <c r="Z46" s="9" t="str">
        <f aca="false">IF(V46=0,"",IF(AH46="",Y46,IF((AH46-1)&lt;($D46+N($J46)),-1,12*(YEAR((AH46-1))-YEAR(($D46+N($J46))))+MONTH((AH46-1))-MONTH(($D46+N($J46)))-IF(DAY((AH46-1))&lt;MIN(DAY(($D46+N($J46))),DAY(EOMONTH((AH46-1),0))),1,0))))</f>
        <v/>
      </c>
      <c r="AA46" s="9" t="str">
        <f aca="false">IF(V46=0,"",IF($E46="Full-Time","FT",IF(AND($E46="Part-Time",N($F46)&gt;=PT_MinHours),"PT","None")))</f>
        <v/>
      </c>
      <c r="AB46" s="9" t="str">
        <f aca="false">IF(V46=0,"",IF($H46="Full-Time","FT",IF(AND($H46="Part-Time",N($I46)&gt;=PT_MinHours),"PT","None")))</f>
        <v/>
      </c>
      <c r="AC46" s="9" t="str">
        <f aca="false">IF(V46=0,"",IF(AH46&lt;&gt;"",AB46,AA46))</f>
        <v/>
      </c>
      <c r="AD46" s="9" t="str">
        <f aca="false">IF(V46=0,"",IF(AA46="FT",IF(Z46&lt;FT_First,0,IF(Z46&lt;FT_Y5,1+INT((Z46-FT_First)/FT_Int1),FT_PreY5+FT_PerYear*INT((Z46-FT_Y5)/12)+FT_AnnivDays+INT(MOD(Z46-FT_Y5,12)/FT_Int2))),IF(AA46="PT",IF(Z46&lt;PT_First,0,1+INT((Z46-PT_First)/PT_Int)),0)))</f>
        <v/>
      </c>
      <c r="AE46" s="9" t="str">
        <f aca="false">IF(V46=0,"",IF(AB46="FT",IF(Z46&lt;FT_First,0,IF(Z46&lt;FT_Y5,1+INT((Z46-FT_First)/FT_Int1),FT_PreY5+FT_PerYear*INT((Z46-FT_Y5)/12)+FT_AnnivDays+INT(MOD(Z46-FT_Y5,12)/FT_Int2))),IF(AB46="PT",IF(Z46&lt;PT_First,0,1+INT((Z46-PT_First)/PT_Int)),0)))</f>
        <v/>
      </c>
      <c r="AF46" s="9" t="str">
        <f aca="false">IF(V46=0,"",IF(AB46="FT",IF(Y46&lt;FT_First,0,IF(Y46&lt;FT_Y5,1+INT((Y46-FT_First)/FT_Int1),FT_PreY5+FT_PerYear*INT((Y46-FT_Y5)/12)+FT_AnnivDays+INT(MOD(Y46-FT_Y5,12)/FT_Int2))),IF(AB46="PT",IF(Y46&lt;PT_First,0,1+INT((Y46-PT_First)/PT_Int)),0)))</f>
        <v/>
      </c>
      <c r="AG46" s="9" t="str">
        <f aca="false">IF(V46=0,"",IF(AC46="FT",IF(Y46&lt;FT_First,FT_First,IF(Y46&lt;FT_Y5,MIN(FT_Y5,FT_First+FT_Int1*(INT((Y46-FT_First)/FT_Int1)+1)),FT_Y5+12*INT((Y46-FT_Y5)/12)+FT_Int2*(INT(MOD(Y46-FT_Y5,12)/FT_Int2)+1))),IF(AC46="PT",IF(Y46&lt;PT_First,PT_First,PT_First+PT_Int*(INT((Y46-PT_First)/PT_Int)+1)),"")))</f>
        <v/>
      </c>
      <c r="AH46" s="11" t="str">
        <f aca="false">IF(V46=0,"",IF($G46="","",IF($G46&gt;X46,"",$G46)))</f>
        <v/>
      </c>
    </row>
    <row r="47" customFormat="false" ht="15" hidden="false" customHeight="false" outlineLevel="0" collapsed="false">
      <c r="A47" s="12"/>
      <c r="B47" s="12"/>
      <c r="C47" s="12"/>
      <c r="D47" s="13"/>
      <c r="E47" s="12"/>
      <c r="F47" s="14"/>
      <c r="G47" s="13"/>
      <c r="H47" s="12"/>
      <c r="I47" s="14"/>
      <c r="J47" s="14"/>
      <c r="K47" s="13"/>
      <c r="L47" s="9" t="str">
        <f aca="false">IF(V47=0,"",IF($G47="","",$E47&amp;" to "&amp;$H47&amp;IF($H47="Part-Time"," "&amp;N($I47)&amp;" hrs","")&amp;" on "&amp;TEXT($G47,"dd/mm/yyyy")&amp;IF($G47&gt;AsOfDate," (future)",IF(AA47=AC47,"",IF(AC47="None"," - STOPPED accruing",IF(AA47="None"," - now qualifying"," - pathway changed"))))))</f>
        <v/>
      </c>
      <c r="M47" s="9" t="str">
        <f aca="false">IF(V47=0,"",IF(W47=1,"Terminated",IF(AC47="None",IF(O47&gt;0,"No longer accruing","Not eligible - "&amp;IF(AND(AC47="None",IF(AH47&lt;&gt;"",$H47,$E47)="Part-Time"),"under "&amp;PT_MinHours&amp;" hrs",IF(AH47&lt;&gt;"",$H47,$E47))),IF(O47&gt;0,"Yes - accruing","Not yet - from "&amp;TEXT(Q47,"dd/mm/yyyy")))))</f>
        <v/>
      </c>
      <c r="N47" s="9" t="str">
        <f aca="false">IF(V47=0,"",IF(Y47&lt;0,"-",INT(Y47/12)&amp;"y "&amp;MOD(Y47,12)&amp;"m"))</f>
        <v/>
      </c>
      <c r="O47" s="10" t="str">
        <f aca="false">IF(V47=0,"",AD47+IF(AH47="",0,AF47-AE47))</f>
        <v/>
      </c>
      <c r="P47" s="10" t="str">
        <f aca="false">IF(V47=0,"",O47*HoursPerDay)</f>
        <v/>
      </c>
      <c r="Q47" s="11" t="str">
        <f aca="false">IF(V47=0,"",IF(OR(W47=1,AC47="None"),"",EDATE(($D47+N($J47)),AG47)))</f>
        <v/>
      </c>
      <c r="R47" s="10" t="str">
        <f aca="false">IF(V47=0,"",IF(NOT(EH_Ready),"",SUMIFS(INDEX(EH_Data,0,EH_ColBal),INDEX(EH_Data,0,EH_ColFirst),$A47,INDEX(EH_Data,0,EH_ColSur),$B47,INDEX(EH_Data,0,EH_ColCat),BonusCat)/IF(EHUnit="Hours",HoursPerDay,1)))</f>
        <v/>
      </c>
      <c r="S47" s="10" t="str">
        <f aca="false">IF(OR(V47=0,R47="",W47=1),"",O47-R47)</f>
        <v/>
      </c>
      <c r="T47" s="10" t="str">
        <f aca="false">IF(S47="","",S47*HoursPerDay)</f>
        <v/>
      </c>
      <c r="U47" s="9" t="str">
        <f aca="false">IF(V47=0,"",IF(W47=1,IF(N(R47)&gt;0,"TERMINATED - forfeit "&amp;TEXT(R47,"0.##")&amp;" days in EH","Terminated"),IF(NOT(EH_Ready),"Paste EH export (see Settings)",IF(S47&gt;0,"ADD "&amp;TEXT(S47,"0.##")&amp;" day(s) = "&amp;TEXT(T47,"0.##")&amp;" hrs in EH",IF(S47&lt;0,"CHECK - EH has "&amp;TEXT(-S47,"0.##")&amp;" days more than policy",IF(O47&gt;0,"OK","-"))))))</f>
        <v/>
      </c>
      <c r="V47" s="9" t="n">
        <f aca="false">IF(OR(LEN($A47&amp;$B47)=0,$D47=""),0,1)</f>
        <v>0</v>
      </c>
      <c r="W47" s="9" t="n">
        <f aca="false">IF(V47=0,0,IF(AND($K47&lt;&gt;"",$K47&lt;=AsOfDate),1,0))</f>
        <v>0</v>
      </c>
      <c r="X47" s="11" t="str">
        <f aca="false">IF(V47=0,"",IF($K47="",AsOfDate,MIN(AsOfDate,$K47)))</f>
        <v/>
      </c>
      <c r="Y47" s="9" t="str">
        <f aca="false">IF(V47=0,"",IF(X47&lt;($D47+N($J47)),-1,12*(YEAR(X47)-YEAR(($D47+N($J47))))+MONTH(X47)-MONTH(($D47+N($J47)))-IF(DAY(X47)&lt;MIN(DAY(($D47+N($J47))),DAY(EOMONTH(X47,0))),1,0)))</f>
        <v/>
      </c>
      <c r="Z47" s="9" t="str">
        <f aca="false">IF(V47=0,"",IF(AH47="",Y47,IF((AH47-1)&lt;($D47+N($J47)),-1,12*(YEAR((AH47-1))-YEAR(($D47+N($J47))))+MONTH((AH47-1))-MONTH(($D47+N($J47)))-IF(DAY((AH47-1))&lt;MIN(DAY(($D47+N($J47))),DAY(EOMONTH((AH47-1),0))),1,0))))</f>
        <v/>
      </c>
      <c r="AA47" s="9" t="str">
        <f aca="false">IF(V47=0,"",IF($E47="Full-Time","FT",IF(AND($E47="Part-Time",N($F47)&gt;=PT_MinHours),"PT","None")))</f>
        <v/>
      </c>
      <c r="AB47" s="9" t="str">
        <f aca="false">IF(V47=0,"",IF($H47="Full-Time","FT",IF(AND($H47="Part-Time",N($I47)&gt;=PT_MinHours),"PT","None")))</f>
        <v/>
      </c>
      <c r="AC47" s="9" t="str">
        <f aca="false">IF(V47=0,"",IF(AH47&lt;&gt;"",AB47,AA47))</f>
        <v/>
      </c>
      <c r="AD47" s="9" t="str">
        <f aca="false">IF(V47=0,"",IF(AA47="FT",IF(Z47&lt;FT_First,0,IF(Z47&lt;FT_Y5,1+INT((Z47-FT_First)/FT_Int1),FT_PreY5+FT_PerYear*INT((Z47-FT_Y5)/12)+FT_AnnivDays+INT(MOD(Z47-FT_Y5,12)/FT_Int2))),IF(AA47="PT",IF(Z47&lt;PT_First,0,1+INT((Z47-PT_First)/PT_Int)),0)))</f>
        <v/>
      </c>
      <c r="AE47" s="9" t="str">
        <f aca="false">IF(V47=0,"",IF(AB47="FT",IF(Z47&lt;FT_First,0,IF(Z47&lt;FT_Y5,1+INT((Z47-FT_First)/FT_Int1),FT_PreY5+FT_PerYear*INT((Z47-FT_Y5)/12)+FT_AnnivDays+INT(MOD(Z47-FT_Y5,12)/FT_Int2))),IF(AB47="PT",IF(Z47&lt;PT_First,0,1+INT((Z47-PT_First)/PT_Int)),0)))</f>
        <v/>
      </c>
      <c r="AF47" s="9" t="str">
        <f aca="false">IF(V47=0,"",IF(AB47="FT",IF(Y47&lt;FT_First,0,IF(Y47&lt;FT_Y5,1+INT((Y47-FT_First)/FT_Int1),FT_PreY5+FT_PerYear*INT((Y47-FT_Y5)/12)+FT_AnnivDays+INT(MOD(Y47-FT_Y5,12)/FT_Int2))),IF(AB47="PT",IF(Y47&lt;PT_First,0,1+INT((Y47-PT_First)/PT_Int)),0)))</f>
        <v/>
      </c>
      <c r="AG47" s="9" t="str">
        <f aca="false">IF(V47=0,"",IF(AC47="FT",IF(Y47&lt;FT_First,FT_First,IF(Y47&lt;FT_Y5,MIN(FT_Y5,FT_First+FT_Int1*(INT((Y47-FT_First)/FT_Int1)+1)),FT_Y5+12*INT((Y47-FT_Y5)/12)+FT_Int2*(INT(MOD(Y47-FT_Y5,12)/FT_Int2)+1))),IF(AC47="PT",IF(Y47&lt;PT_First,PT_First,PT_First+PT_Int*(INT((Y47-PT_First)/PT_Int)+1)),"")))</f>
        <v/>
      </c>
      <c r="AH47" s="11" t="str">
        <f aca="false">IF(V47=0,"",IF($G47="","",IF($G47&gt;X47,"",$G47)))</f>
        <v/>
      </c>
    </row>
    <row r="48" customFormat="false" ht="15" hidden="false" customHeight="false" outlineLevel="0" collapsed="false">
      <c r="A48" s="12"/>
      <c r="B48" s="12"/>
      <c r="C48" s="12"/>
      <c r="D48" s="13"/>
      <c r="E48" s="12"/>
      <c r="F48" s="14"/>
      <c r="G48" s="13"/>
      <c r="H48" s="12"/>
      <c r="I48" s="14"/>
      <c r="J48" s="14"/>
      <c r="K48" s="13"/>
      <c r="L48" s="9" t="str">
        <f aca="false">IF(V48=0,"",IF($G48="","",$E48&amp;" to "&amp;$H48&amp;IF($H48="Part-Time"," "&amp;N($I48)&amp;" hrs","")&amp;" on "&amp;TEXT($G48,"dd/mm/yyyy")&amp;IF($G48&gt;AsOfDate," (future)",IF(AA48=AC48,"",IF(AC48="None"," - STOPPED accruing",IF(AA48="None"," - now qualifying"," - pathway changed"))))))</f>
        <v/>
      </c>
      <c r="M48" s="9" t="str">
        <f aca="false">IF(V48=0,"",IF(W48=1,"Terminated",IF(AC48="None",IF(O48&gt;0,"No longer accruing","Not eligible - "&amp;IF(AND(AC48="None",IF(AH48&lt;&gt;"",$H48,$E48)="Part-Time"),"under "&amp;PT_MinHours&amp;" hrs",IF(AH48&lt;&gt;"",$H48,$E48))),IF(O48&gt;0,"Yes - accruing","Not yet - from "&amp;TEXT(Q48,"dd/mm/yyyy")))))</f>
        <v/>
      </c>
      <c r="N48" s="9" t="str">
        <f aca="false">IF(V48=0,"",IF(Y48&lt;0,"-",INT(Y48/12)&amp;"y "&amp;MOD(Y48,12)&amp;"m"))</f>
        <v/>
      </c>
      <c r="O48" s="10" t="str">
        <f aca="false">IF(V48=0,"",AD48+IF(AH48="",0,AF48-AE48))</f>
        <v/>
      </c>
      <c r="P48" s="10" t="str">
        <f aca="false">IF(V48=0,"",O48*HoursPerDay)</f>
        <v/>
      </c>
      <c r="Q48" s="11" t="str">
        <f aca="false">IF(V48=0,"",IF(OR(W48=1,AC48="None"),"",EDATE(($D48+N($J48)),AG48)))</f>
        <v/>
      </c>
      <c r="R48" s="10" t="str">
        <f aca="false">IF(V48=0,"",IF(NOT(EH_Ready),"",SUMIFS(INDEX(EH_Data,0,EH_ColBal),INDEX(EH_Data,0,EH_ColFirst),$A48,INDEX(EH_Data,0,EH_ColSur),$B48,INDEX(EH_Data,0,EH_ColCat),BonusCat)/IF(EHUnit="Hours",HoursPerDay,1)))</f>
        <v/>
      </c>
      <c r="S48" s="10" t="str">
        <f aca="false">IF(OR(V48=0,R48="",W48=1),"",O48-R48)</f>
        <v/>
      </c>
      <c r="T48" s="10" t="str">
        <f aca="false">IF(S48="","",S48*HoursPerDay)</f>
        <v/>
      </c>
      <c r="U48" s="9" t="str">
        <f aca="false">IF(V48=0,"",IF(W48=1,IF(N(R48)&gt;0,"TERMINATED - forfeit "&amp;TEXT(R48,"0.##")&amp;" days in EH","Terminated"),IF(NOT(EH_Ready),"Paste EH export (see Settings)",IF(S48&gt;0,"ADD "&amp;TEXT(S48,"0.##")&amp;" day(s) = "&amp;TEXT(T48,"0.##")&amp;" hrs in EH",IF(S48&lt;0,"CHECK - EH has "&amp;TEXT(-S48,"0.##")&amp;" days more than policy",IF(O48&gt;0,"OK","-"))))))</f>
        <v/>
      </c>
      <c r="V48" s="9" t="n">
        <f aca="false">IF(OR(LEN($A48&amp;$B48)=0,$D48=""),0,1)</f>
        <v>0</v>
      </c>
      <c r="W48" s="9" t="n">
        <f aca="false">IF(V48=0,0,IF(AND($K48&lt;&gt;"",$K48&lt;=AsOfDate),1,0))</f>
        <v>0</v>
      </c>
      <c r="X48" s="11" t="str">
        <f aca="false">IF(V48=0,"",IF($K48="",AsOfDate,MIN(AsOfDate,$K48)))</f>
        <v/>
      </c>
      <c r="Y48" s="9" t="str">
        <f aca="false">IF(V48=0,"",IF(X48&lt;($D48+N($J48)),-1,12*(YEAR(X48)-YEAR(($D48+N($J48))))+MONTH(X48)-MONTH(($D48+N($J48)))-IF(DAY(X48)&lt;MIN(DAY(($D48+N($J48))),DAY(EOMONTH(X48,0))),1,0)))</f>
        <v/>
      </c>
      <c r="Z48" s="9" t="str">
        <f aca="false">IF(V48=0,"",IF(AH48="",Y48,IF((AH48-1)&lt;($D48+N($J48)),-1,12*(YEAR((AH48-1))-YEAR(($D48+N($J48))))+MONTH((AH48-1))-MONTH(($D48+N($J48)))-IF(DAY((AH48-1))&lt;MIN(DAY(($D48+N($J48))),DAY(EOMONTH((AH48-1),0))),1,0))))</f>
        <v/>
      </c>
      <c r="AA48" s="9" t="str">
        <f aca="false">IF(V48=0,"",IF($E48="Full-Time","FT",IF(AND($E48="Part-Time",N($F48)&gt;=PT_MinHours),"PT","None")))</f>
        <v/>
      </c>
      <c r="AB48" s="9" t="str">
        <f aca="false">IF(V48=0,"",IF($H48="Full-Time","FT",IF(AND($H48="Part-Time",N($I48)&gt;=PT_MinHours),"PT","None")))</f>
        <v/>
      </c>
      <c r="AC48" s="9" t="str">
        <f aca="false">IF(V48=0,"",IF(AH48&lt;&gt;"",AB48,AA48))</f>
        <v/>
      </c>
      <c r="AD48" s="9" t="str">
        <f aca="false">IF(V48=0,"",IF(AA48="FT",IF(Z48&lt;FT_First,0,IF(Z48&lt;FT_Y5,1+INT((Z48-FT_First)/FT_Int1),FT_PreY5+FT_PerYear*INT((Z48-FT_Y5)/12)+FT_AnnivDays+INT(MOD(Z48-FT_Y5,12)/FT_Int2))),IF(AA48="PT",IF(Z48&lt;PT_First,0,1+INT((Z48-PT_First)/PT_Int)),0)))</f>
        <v/>
      </c>
      <c r="AE48" s="9" t="str">
        <f aca="false">IF(V48=0,"",IF(AB48="FT",IF(Z48&lt;FT_First,0,IF(Z48&lt;FT_Y5,1+INT((Z48-FT_First)/FT_Int1),FT_PreY5+FT_PerYear*INT((Z48-FT_Y5)/12)+FT_AnnivDays+INT(MOD(Z48-FT_Y5,12)/FT_Int2))),IF(AB48="PT",IF(Z48&lt;PT_First,0,1+INT((Z48-PT_First)/PT_Int)),0)))</f>
        <v/>
      </c>
      <c r="AF48" s="9" t="str">
        <f aca="false">IF(V48=0,"",IF(AB48="FT",IF(Y48&lt;FT_First,0,IF(Y48&lt;FT_Y5,1+INT((Y48-FT_First)/FT_Int1),FT_PreY5+FT_PerYear*INT((Y48-FT_Y5)/12)+FT_AnnivDays+INT(MOD(Y48-FT_Y5,12)/FT_Int2))),IF(AB48="PT",IF(Y48&lt;PT_First,0,1+INT((Y48-PT_First)/PT_Int)),0)))</f>
        <v/>
      </c>
      <c r="AG48" s="9" t="str">
        <f aca="false">IF(V48=0,"",IF(AC48="FT",IF(Y48&lt;FT_First,FT_First,IF(Y48&lt;FT_Y5,MIN(FT_Y5,FT_First+FT_Int1*(INT((Y48-FT_First)/FT_Int1)+1)),FT_Y5+12*INT((Y48-FT_Y5)/12)+FT_Int2*(INT(MOD(Y48-FT_Y5,12)/FT_Int2)+1))),IF(AC48="PT",IF(Y48&lt;PT_First,PT_First,PT_First+PT_Int*(INT((Y48-PT_First)/PT_Int)+1)),"")))</f>
        <v/>
      </c>
      <c r="AH48" s="11" t="str">
        <f aca="false">IF(V48=0,"",IF($G48="","",IF($G48&gt;X48,"",$G48)))</f>
        <v/>
      </c>
    </row>
    <row r="49" customFormat="false" ht="15" hidden="false" customHeight="false" outlineLevel="0" collapsed="false">
      <c r="A49" s="12"/>
      <c r="B49" s="12"/>
      <c r="C49" s="12"/>
      <c r="D49" s="13"/>
      <c r="E49" s="12"/>
      <c r="F49" s="14"/>
      <c r="G49" s="13"/>
      <c r="H49" s="12"/>
      <c r="I49" s="14"/>
      <c r="J49" s="14"/>
      <c r="K49" s="13"/>
      <c r="L49" s="9" t="str">
        <f aca="false">IF(V49=0,"",IF($G49="","",$E49&amp;" to "&amp;$H49&amp;IF($H49="Part-Time"," "&amp;N($I49)&amp;" hrs","")&amp;" on "&amp;TEXT($G49,"dd/mm/yyyy")&amp;IF($G49&gt;AsOfDate," (future)",IF(AA49=AC49,"",IF(AC49="None"," - STOPPED accruing",IF(AA49="None"," - now qualifying"," - pathway changed"))))))</f>
        <v/>
      </c>
      <c r="M49" s="9" t="str">
        <f aca="false">IF(V49=0,"",IF(W49=1,"Terminated",IF(AC49="None",IF(O49&gt;0,"No longer accruing","Not eligible - "&amp;IF(AND(AC49="None",IF(AH49&lt;&gt;"",$H49,$E49)="Part-Time"),"under "&amp;PT_MinHours&amp;" hrs",IF(AH49&lt;&gt;"",$H49,$E49))),IF(O49&gt;0,"Yes - accruing","Not yet - from "&amp;TEXT(Q49,"dd/mm/yyyy")))))</f>
        <v/>
      </c>
      <c r="N49" s="9" t="str">
        <f aca="false">IF(V49=0,"",IF(Y49&lt;0,"-",INT(Y49/12)&amp;"y "&amp;MOD(Y49,12)&amp;"m"))</f>
        <v/>
      </c>
      <c r="O49" s="10" t="str">
        <f aca="false">IF(V49=0,"",AD49+IF(AH49="",0,AF49-AE49))</f>
        <v/>
      </c>
      <c r="P49" s="10" t="str">
        <f aca="false">IF(V49=0,"",O49*HoursPerDay)</f>
        <v/>
      </c>
      <c r="Q49" s="11" t="str">
        <f aca="false">IF(V49=0,"",IF(OR(W49=1,AC49="None"),"",EDATE(($D49+N($J49)),AG49)))</f>
        <v/>
      </c>
      <c r="R49" s="10" t="str">
        <f aca="false">IF(V49=0,"",IF(NOT(EH_Ready),"",SUMIFS(INDEX(EH_Data,0,EH_ColBal),INDEX(EH_Data,0,EH_ColFirst),$A49,INDEX(EH_Data,0,EH_ColSur),$B49,INDEX(EH_Data,0,EH_ColCat),BonusCat)/IF(EHUnit="Hours",HoursPerDay,1)))</f>
        <v/>
      </c>
      <c r="S49" s="10" t="str">
        <f aca="false">IF(OR(V49=0,R49="",W49=1),"",O49-R49)</f>
        <v/>
      </c>
      <c r="T49" s="10" t="str">
        <f aca="false">IF(S49="","",S49*HoursPerDay)</f>
        <v/>
      </c>
      <c r="U49" s="9" t="str">
        <f aca="false">IF(V49=0,"",IF(W49=1,IF(N(R49)&gt;0,"TERMINATED - forfeit "&amp;TEXT(R49,"0.##")&amp;" days in EH","Terminated"),IF(NOT(EH_Ready),"Paste EH export (see Settings)",IF(S49&gt;0,"ADD "&amp;TEXT(S49,"0.##")&amp;" day(s) = "&amp;TEXT(T49,"0.##")&amp;" hrs in EH",IF(S49&lt;0,"CHECK - EH has "&amp;TEXT(-S49,"0.##")&amp;" days more than policy",IF(O49&gt;0,"OK","-"))))))</f>
        <v/>
      </c>
      <c r="V49" s="9" t="n">
        <f aca="false">IF(OR(LEN($A49&amp;$B49)=0,$D49=""),0,1)</f>
        <v>0</v>
      </c>
      <c r="W49" s="9" t="n">
        <f aca="false">IF(V49=0,0,IF(AND($K49&lt;&gt;"",$K49&lt;=AsOfDate),1,0))</f>
        <v>0</v>
      </c>
      <c r="X49" s="11" t="str">
        <f aca="false">IF(V49=0,"",IF($K49="",AsOfDate,MIN(AsOfDate,$K49)))</f>
        <v/>
      </c>
      <c r="Y49" s="9" t="str">
        <f aca="false">IF(V49=0,"",IF(X49&lt;($D49+N($J49)),-1,12*(YEAR(X49)-YEAR(($D49+N($J49))))+MONTH(X49)-MONTH(($D49+N($J49)))-IF(DAY(X49)&lt;MIN(DAY(($D49+N($J49))),DAY(EOMONTH(X49,0))),1,0)))</f>
        <v/>
      </c>
      <c r="Z49" s="9" t="str">
        <f aca="false">IF(V49=0,"",IF(AH49="",Y49,IF((AH49-1)&lt;($D49+N($J49)),-1,12*(YEAR((AH49-1))-YEAR(($D49+N($J49))))+MONTH((AH49-1))-MONTH(($D49+N($J49)))-IF(DAY((AH49-1))&lt;MIN(DAY(($D49+N($J49))),DAY(EOMONTH((AH49-1),0))),1,0))))</f>
        <v/>
      </c>
      <c r="AA49" s="9" t="str">
        <f aca="false">IF(V49=0,"",IF($E49="Full-Time","FT",IF(AND($E49="Part-Time",N($F49)&gt;=PT_MinHours),"PT","None")))</f>
        <v/>
      </c>
      <c r="AB49" s="9" t="str">
        <f aca="false">IF(V49=0,"",IF($H49="Full-Time","FT",IF(AND($H49="Part-Time",N($I49)&gt;=PT_MinHours),"PT","None")))</f>
        <v/>
      </c>
      <c r="AC49" s="9" t="str">
        <f aca="false">IF(V49=0,"",IF(AH49&lt;&gt;"",AB49,AA49))</f>
        <v/>
      </c>
      <c r="AD49" s="9" t="str">
        <f aca="false">IF(V49=0,"",IF(AA49="FT",IF(Z49&lt;FT_First,0,IF(Z49&lt;FT_Y5,1+INT((Z49-FT_First)/FT_Int1),FT_PreY5+FT_PerYear*INT((Z49-FT_Y5)/12)+FT_AnnivDays+INT(MOD(Z49-FT_Y5,12)/FT_Int2))),IF(AA49="PT",IF(Z49&lt;PT_First,0,1+INT((Z49-PT_First)/PT_Int)),0)))</f>
        <v/>
      </c>
      <c r="AE49" s="9" t="str">
        <f aca="false">IF(V49=0,"",IF(AB49="FT",IF(Z49&lt;FT_First,0,IF(Z49&lt;FT_Y5,1+INT((Z49-FT_First)/FT_Int1),FT_PreY5+FT_PerYear*INT((Z49-FT_Y5)/12)+FT_AnnivDays+INT(MOD(Z49-FT_Y5,12)/FT_Int2))),IF(AB49="PT",IF(Z49&lt;PT_First,0,1+INT((Z49-PT_First)/PT_Int)),0)))</f>
        <v/>
      </c>
      <c r="AF49" s="9" t="str">
        <f aca="false">IF(V49=0,"",IF(AB49="FT",IF(Y49&lt;FT_First,0,IF(Y49&lt;FT_Y5,1+INT((Y49-FT_First)/FT_Int1),FT_PreY5+FT_PerYear*INT((Y49-FT_Y5)/12)+FT_AnnivDays+INT(MOD(Y49-FT_Y5,12)/FT_Int2))),IF(AB49="PT",IF(Y49&lt;PT_First,0,1+INT((Y49-PT_First)/PT_Int)),0)))</f>
        <v/>
      </c>
      <c r="AG49" s="9" t="str">
        <f aca="false">IF(V49=0,"",IF(AC49="FT",IF(Y49&lt;FT_First,FT_First,IF(Y49&lt;FT_Y5,MIN(FT_Y5,FT_First+FT_Int1*(INT((Y49-FT_First)/FT_Int1)+1)),FT_Y5+12*INT((Y49-FT_Y5)/12)+FT_Int2*(INT(MOD(Y49-FT_Y5,12)/FT_Int2)+1))),IF(AC49="PT",IF(Y49&lt;PT_First,PT_First,PT_First+PT_Int*(INT((Y49-PT_First)/PT_Int)+1)),"")))</f>
        <v/>
      </c>
      <c r="AH49" s="11" t="str">
        <f aca="false">IF(V49=0,"",IF($G49="","",IF($G49&gt;X49,"",$G49)))</f>
        <v/>
      </c>
    </row>
    <row r="50" customFormat="false" ht="15" hidden="false" customHeight="false" outlineLevel="0" collapsed="false">
      <c r="A50" s="12"/>
      <c r="B50" s="12"/>
      <c r="C50" s="12"/>
      <c r="D50" s="13"/>
      <c r="E50" s="12"/>
      <c r="F50" s="14"/>
      <c r="G50" s="13"/>
      <c r="H50" s="12"/>
      <c r="I50" s="14"/>
      <c r="J50" s="14"/>
      <c r="K50" s="13"/>
      <c r="L50" s="9" t="str">
        <f aca="false">IF(V50=0,"",IF($G50="","",$E50&amp;" to "&amp;$H50&amp;IF($H50="Part-Time"," "&amp;N($I50)&amp;" hrs","")&amp;" on "&amp;TEXT($G50,"dd/mm/yyyy")&amp;IF($G50&gt;AsOfDate," (future)",IF(AA50=AC50,"",IF(AC50="None"," - STOPPED accruing",IF(AA50="None"," - now qualifying"," - pathway changed"))))))</f>
        <v/>
      </c>
      <c r="M50" s="9" t="str">
        <f aca="false">IF(V50=0,"",IF(W50=1,"Terminated",IF(AC50="None",IF(O50&gt;0,"No longer accruing","Not eligible - "&amp;IF(AND(AC50="None",IF(AH50&lt;&gt;"",$H50,$E50)="Part-Time"),"under "&amp;PT_MinHours&amp;" hrs",IF(AH50&lt;&gt;"",$H50,$E50))),IF(O50&gt;0,"Yes - accruing","Not yet - from "&amp;TEXT(Q50,"dd/mm/yyyy")))))</f>
        <v/>
      </c>
      <c r="N50" s="9" t="str">
        <f aca="false">IF(V50=0,"",IF(Y50&lt;0,"-",INT(Y50/12)&amp;"y "&amp;MOD(Y50,12)&amp;"m"))</f>
        <v/>
      </c>
      <c r="O50" s="10" t="str">
        <f aca="false">IF(V50=0,"",AD50+IF(AH50="",0,AF50-AE50))</f>
        <v/>
      </c>
      <c r="P50" s="10" t="str">
        <f aca="false">IF(V50=0,"",O50*HoursPerDay)</f>
        <v/>
      </c>
      <c r="Q50" s="11" t="str">
        <f aca="false">IF(V50=0,"",IF(OR(W50=1,AC50="None"),"",EDATE(($D50+N($J50)),AG50)))</f>
        <v/>
      </c>
      <c r="R50" s="10" t="str">
        <f aca="false">IF(V50=0,"",IF(NOT(EH_Ready),"",SUMIFS(INDEX(EH_Data,0,EH_ColBal),INDEX(EH_Data,0,EH_ColFirst),$A50,INDEX(EH_Data,0,EH_ColSur),$B50,INDEX(EH_Data,0,EH_ColCat),BonusCat)/IF(EHUnit="Hours",HoursPerDay,1)))</f>
        <v/>
      </c>
      <c r="S50" s="10" t="str">
        <f aca="false">IF(OR(V50=0,R50="",W50=1),"",O50-R50)</f>
        <v/>
      </c>
      <c r="T50" s="10" t="str">
        <f aca="false">IF(S50="","",S50*HoursPerDay)</f>
        <v/>
      </c>
      <c r="U50" s="9" t="str">
        <f aca="false">IF(V50=0,"",IF(W50=1,IF(N(R50)&gt;0,"TERMINATED - forfeit "&amp;TEXT(R50,"0.##")&amp;" days in EH","Terminated"),IF(NOT(EH_Ready),"Paste EH export (see Settings)",IF(S50&gt;0,"ADD "&amp;TEXT(S50,"0.##")&amp;" day(s) = "&amp;TEXT(T50,"0.##")&amp;" hrs in EH",IF(S50&lt;0,"CHECK - EH has "&amp;TEXT(-S50,"0.##")&amp;" days more than policy",IF(O50&gt;0,"OK","-"))))))</f>
        <v/>
      </c>
      <c r="V50" s="9" t="n">
        <f aca="false">IF(OR(LEN($A50&amp;$B50)=0,$D50=""),0,1)</f>
        <v>0</v>
      </c>
      <c r="W50" s="9" t="n">
        <f aca="false">IF(V50=0,0,IF(AND($K50&lt;&gt;"",$K50&lt;=AsOfDate),1,0))</f>
        <v>0</v>
      </c>
      <c r="X50" s="11" t="str">
        <f aca="false">IF(V50=0,"",IF($K50="",AsOfDate,MIN(AsOfDate,$K50)))</f>
        <v/>
      </c>
      <c r="Y50" s="9" t="str">
        <f aca="false">IF(V50=0,"",IF(X50&lt;($D50+N($J50)),-1,12*(YEAR(X50)-YEAR(($D50+N($J50))))+MONTH(X50)-MONTH(($D50+N($J50)))-IF(DAY(X50)&lt;MIN(DAY(($D50+N($J50))),DAY(EOMONTH(X50,0))),1,0)))</f>
        <v/>
      </c>
      <c r="Z50" s="9" t="str">
        <f aca="false">IF(V50=0,"",IF(AH50="",Y50,IF((AH50-1)&lt;($D50+N($J50)),-1,12*(YEAR((AH50-1))-YEAR(($D50+N($J50))))+MONTH((AH50-1))-MONTH(($D50+N($J50)))-IF(DAY((AH50-1))&lt;MIN(DAY(($D50+N($J50))),DAY(EOMONTH((AH50-1),0))),1,0))))</f>
        <v/>
      </c>
      <c r="AA50" s="9" t="str">
        <f aca="false">IF(V50=0,"",IF($E50="Full-Time","FT",IF(AND($E50="Part-Time",N($F50)&gt;=PT_MinHours),"PT","None")))</f>
        <v/>
      </c>
      <c r="AB50" s="9" t="str">
        <f aca="false">IF(V50=0,"",IF($H50="Full-Time","FT",IF(AND($H50="Part-Time",N($I50)&gt;=PT_MinHours),"PT","None")))</f>
        <v/>
      </c>
      <c r="AC50" s="9" t="str">
        <f aca="false">IF(V50=0,"",IF(AH50&lt;&gt;"",AB50,AA50))</f>
        <v/>
      </c>
      <c r="AD50" s="9" t="str">
        <f aca="false">IF(V50=0,"",IF(AA50="FT",IF(Z50&lt;FT_First,0,IF(Z50&lt;FT_Y5,1+INT((Z50-FT_First)/FT_Int1),FT_PreY5+FT_PerYear*INT((Z50-FT_Y5)/12)+FT_AnnivDays+INT(MOD(Z50-FT_Y5,12)/FT_Int2))),IF(AA50="PT",IF(Z50&lt;PT_First,0,1+INT((Z50-PT_First)/PT_Int)),0)))</f>
        <v/>
      </c>
      <c r="AE50" s="9" t="str">
        <f aca="false">IF(V50=0,"",IF(AB50="FT",IF(Z50&lt;FT_First,0,IF(Z50&lt;FT_Y5,1+INT((Z50-FT_First)/FT_Int1),FT_PreY5+FT_PerYear*INT((Z50-FT_Y5)/12)+FT_AnnivDays+INT(MOD(Z50-FT_Y5,12)/FT_Int2))),IF(AB50="PT",IF(Z50&lt;PT_First,0,1+INT((Z50-PT_First)/PT_Int)),0)))</f>
        <v/>
      </c>
      <c r="AF50" s="9" t="str">
        <f aca="false">IF(V50=0,"",IF(AB50="FT",IF(Y50&lt;FT_First,0,IF(Y50&lt;FT_Y5,1+INT((Y50-FT_First)/FT_Int1),FT_PreY5+FT_PerYear*INT((Y50-FT_Y5)/12)+FT_AnnivDays+INT(MOD(Y50-FT_Y5,12)/FT_Int2))),IF(AB50="PT",IF(Y50&lt;PT_First,0,1+INT((Y50-PT_First)/PT_Int)),0)))</f>
        <v/>
      </c>
      <c r="AG50" s="9" t="str">
        <f aca="false">IF(V50=0,"",IF(AC50="FT",IF(Y50&lt;FT_First,FT_First,IF(Y50&lt;FT_Y5,MIN(FT_Y5,FT_First+FT_Int1*(INT((Y50-FT_First)/FT_Int1)+1)),FT_Y5+12*INT((Y50-FT_Y5)/12)+FT_Int2*(INT(MOD(Y50-FT_Y5,12)/FT_Int2)+1))),IF(AC50="PT",IF(Y50&lt;PT_First,PT_First,PT_First+PT_Int*(INT((Y50-PT_First)/PT_Int)+1)),"")))</f>
        <v/>
      </c>
      <c r="AH50" s="11" t="str">
        <f aca="false">IF(V50=0,"",IF($G50="","",IF($G50&gt;X50,"",$G50)))</f>
        <v/>
      </c>
    </row>
    <row r="51" customFormat="false" ht="15" hidden="false" customHeight="false" outlineLevel="0" collapsed="false">
      <c r="A51" s="12"/>
      <c r="B51" s="12"/>
      <c r="C51" s="12"/>
      <c r="D51" s="13"/>
      <c r="E51" s="12"/>
      <c r="F51" s="14"/>
      <c r="G51" s="13"/>
      <c r="H51" s="12"/>
      <c r="I51" s="14"/>
      <c r="J51" s="14"/>
      <c r="K51" s="13"/>
      <c r="L51" s="9" t="str">
        <f aca="false">IF(V51=0,"",IF($G51="","",$E51&amp;" to "&amp;$H51&amp;IF($H51="Part-Time"," "&amp;N($I51)&amp;" hrs","")&amp;" on "&amp;TEXT($G51,"dd/mm/yyyy")&amp;IF($G51&gt;AsOfDate," (future)",IF(AA51=AC51,"",IF(AC51="None"," - STOPPED accruing",IF(AA51="None"," - now qualifying"," - pathway changed"))))))</f>
        <v/>
      </c>
      <c r="M51" s="9" t="str">
        <f aca="false">IF(V51=0,"",IF(W51=1,"Terminated",IF(AC51="None",IF(O51&gt;0,"No longer accruing","Not eligible - "&amp;IF(AND(AC51="None",IF(AH51&lt;&gt;"",$H51,$E51)="Part-Time"),"under "&amp;PT_MinHours&amp;" hrs",IF(AH51&lt;&gt;"",$H51,$E51))),IF(O51&gt;0,"Yes - accruing","Not yet - from "&amp;TEXT(Q51,"dd/mm/yyyy")))))</f>
        <v/>
      </c>
      <c r="N51" s="9" t="str">
        <f aca="false">IF(V51=0,"",IF(Y51&lt;0,"-",INT(Y51/12)&amp;"y "&amp;MOD(Y51,12)&amp;"m"))</f>
        <v/>
      </c>
      <c r="O51" s="10" t="str">
        <f aca="false">IF(V51=0,"",AD51+IF(AH51="",0,AF51-AE51))</f>
        <v/>
      </c>
      <c r="P51" s="10" t="str">
        <f aca="false">IF(V51=0,"",O51*HoursPerDay)</f>
        <v/>
      </c>
      <c r="Q51" s="11" t="str">
        <f aca="false">IF(V51=0,"",IF(OR(W51=1,AC51="None"),"",EDATE(($D51+N($J51)),AG51)))</f>
        <v/>
      </c>
      <c r="R51" s="10" t="str">
        <f aca="false">IF(V51=0,"",IF(NOT(EH_Ready),"",SUMIFS(INDEX(EH_Data,0,EH_ColBal),INDEX(EH_Data,0,EH_ColFirst),$A51,INDEX(EH_Data,0,EH_ColSur),$B51,INDEX(EH_Data,0,EH_ColCat),BonusCat)/IF(EHUnit="Hours",HoursPerDay,1)))</f>
        <v/>
      </c>
      <c r="S51" s="10" t="str">
        <f aca="false">IF(OR(V51=0,R51="",W51=1),"",O51-R51)</f>
        <v/>
      </c>
      <c r="T51" s="10" t="str">
        <f aca="false">IF(S51="","",S51*HoursPerDay)</f>
        <v/>
      </c>
      <c r="U51" s="9" t="str">
        <f aca="false">IF(V51=0,"",IF(W51=1,IF(N(R51)&gt;0,"TERMINATED - forfeit "&amp;TEXT(R51,"0.##")&amp;" days in EH","Terminated"),IF(NOT(EH_Ready),"Paste EH export (see Settings)",IF(S51&gt;0,"ADD "&amp;TEXT(S51,"0.##")&amp;" day(s) = "&amp;TEXT(T51,"0.##")&amp;" hrs in EH",IF(S51&lt;0,"CHECK - EH has "&amp;TEXT(-S51,"0.##")&amp;" days more than policy",IF(O51&gt;0,"OK","-"))))))</f>
        <v/>
      </c>
      <c r="V51" s="9" t="n">
        <f aca="false">IF(OR(LEN($A51&amp;$B51)=0,$D51=""),0,1)</f>
        <v>0</v>
      </c>
      <c r="W51" s="9" t="n">
        <f aca="false">IF(V51=0,0,IF(AND($K51&lt;&gt;"",$K51&lt;=AsOfDate),1,0))</f>
        <v>0</v>
      </c>
      <c r="X51" s="11" t="str">
        <f aca="false">IF(V51=0,"",IF($K51="",AsOfDate,MIN(AsOfDate,$K51)))</f>
        <v/>
      </c>
      <c r="Y51" s="9" t="str">
        <f aca="false">IF(V51=0,"",IF(X51&lt;($D51+N($J51)),-1,12*(YEAR(X51)-YEAR(($D51+N($J51))))+MONTH(X51)-MONTH(($D51+N($J51)))-IF(DAY(X51)&lt;MIN(DAY(($D51+N($J51))),DAY(EOMONTH(X51,0))),1,0)))</f>
        <v/>
      </c>
      <c r="Z51" s="9" t="str">
        <f aca="false">IF(V51=0,"",IF(AH51="",Y51,IF((AH51-1)&lt;($D51+N($J51)),-1,12*(YEAR((AH51-1))-YEAR(($D51+N($J51))))+MONTH((AH51-1))-MONTH(($D51+N($J51)))-IF(DAY((AH51-1))&lt;MIN(DAY(($D51+N($J51))),DAY(EOMONTH((AH51-1),0))),1,0))))</f>
        <v/>
      </c>
      <c r="AA51" s="9" t="str">
        <f aca="false">IF(V51=0,"",IF($E51="Full-Time","FT",IF(AND($E51="Part-Time",N($F51)&gt;=PT_MinHours),"PT","None")))</f>
        <v/>
      </c>
      <c r="AB51" s="9" t="str">
        <f aca="false">IF(V51=0,"",IF($H51="Full-Time","FT",IF(AND($H51="Part-Time",N($I51)&gt;=PT_MinHours),"PT","None")))</f>
        <v/>
      </c>
      <c r="AC51" s="9" t="str">
        <f aca="false">IF(V51=0,"",IF(AH51&lt;&gt;"",AB51,AA51))</f>
        <v/>
      </c>
      <c r="AD51" s="9" t="str">
        <f aca="false">IF(V51=0,"",IF(AA51="FT",IF(Z51&lt;FT_First,0,IF(Z51&lt;FT_Y5,1+INT((Z51-FT_First)/FT_Int1),FT_PreY5+FT_PerYear*INT((Z51-FT_Y5)/12)+FT_AnnivDays+INT(MOD(Z51-FT_Y5,12)/FT_Int2))),IF(AA51="PT",IF(Z51&lt;PT_First,0,1+INT((Z51-PT_First)/PT_Int)),0)))</f>
        <v/>
      </c>
      <c r="AE51" s="9" t="str">
        <f aca="false">IF(V51=0,"",IF(AB51="FT",IF(Z51&lt;FT_First,0,IF(Z51&lt;FT_Y5,1+INT((Z51-FT_First)/FT_Int1),FT_PreY5+FT_PerYear*INT((Z51-FT_Y5)/12)+FT_AnnivDays+INT(MOD(Z51-FT_Y5,12)/FT_Int2))),IF(AB51="PT",IF(Z51&lt;PT_First,0,1+INT((Z51-PT_First)/PT_Int)),0)))</f>
        <v/>
      </c>
      <c r="AF51" s="9" t="str">
        <f aca="false">IF(V51=0,"",IF(AB51="FT",IF(Y51&lt;FT_First,0,IF(Y51&lt;FT_Y5,1+INT((Y51-FT_First)/FT_Int1),FT_PreY5+FT_PerYear*INT((Y51-FT_Y5)/12)+FT_AnnivDays+INT(MOD(Y51-FT_Y5,12)/FT_Int2))),IF(AB51="PT",IF(Y51&lt;PT_First,0,1+INT((Y51-PT_First)/PT_Int)),0)))</f>
        <v/>
      </c>
      <c r="AG51" s="9" t="str">
        <f aca="false">IF(V51=0,"",IF(AC51="FT",IF(Y51&lt;FT_First,FT_First,IF(Y51&lt;FT_Y5,MIN(FT_Y5,FT_First+FT_Int1*(INT((Y51-FT_First)/FT_Int1)+1)),FT_Y5+12*INT((Y51-FT_Y5)/12)+FT_Int2*(INT(MOD(Y51-FT_Y5,12)/FT_Int2)+1))),IF(AC51="PT",IF(Y51&lt;PT_First,PT_First,PT_First+PT_Int*(INT((Y51-PT_First)/PT_Int)+1)),"")))</f>
        <v/>
      </c>
      <c r="AH51" s="11" t="str">
        <f aca="false">IF(V51=0,"",IF($G51="","",IF($G51&gt;X51,"",$G51)))</f>
        <v/>
      </c>
    </row>
    <row r="52" customFormat="false" ht="15" hidden="false" customHeight="false" outlineLevel="0" collapsed="false">
      <c r="A52" s="12"/>
      <c r="B52" s="12"/>
      <c r="C52" s="12"/>
      <c r="D52" s="13"/>
      <c r="E52" s="12"/>
      <c r="F52" s="14"/>
      <c r="G52" s="13"/>
      <c r="H52" s="12"/>
      <c r="I52" s="14"/>
      <c r="J52" s="14"/>
      <c r="K52" s="13"/>
      <c r="L52" s="9" t="str">
        <f aca="false">IF(V52=0,"",IF($G52="","",$E52&amp;" to "&amp;$H52&amp;IF($H52="Part-Time"," "&amp;N($I52)&amp;" hrs","")&amp;" on "&amp;TEXT($G52,"dd/mm/yyyy")&amp;IF($G52&gt;AsOfDate," (future)",IF(AA52=AC52,"",IF(AC52="None"," - STOPPED accruing",IF(AA52="None"," - now qualifying"," - pathway changed"))))))</f>
        <v/>
      </c>
      <c r="M52" s="9" t="str">
        <f aca="false">IF(V52=0,"",IF(W52=1,"Terminated",IF(AC52="None",IF(O52&gt;0,"No longer accruing","Not eligible - "&amp;IF(AND(AC52="None",IF(AH52&lt;&gt;"",$H52,$E52)="Part-Time"),"under "&amp;PT_MinHours&amp;" hrs",IF(AH52&lt;&gt;"",$H52,$E52))),IF(O52&gt;0,"Yes - accruing","Not yet - from "&amp;TEXT(Q52,"dd/mm/yyyy")))))</f>
        <v/>
      </c>
      <c r="N52" s="9" t="str">
        <f aca="false">IF(V52=0,"",IF(Y52&lt;0,"-",INT(Y52/12)&amp;"y "&amp;MOD(Y52,12)&amp;"m"))</f>
        <v/>
      </c>
      <c r="O52" s="10" t="str">
        <f aca="false">IF(V52=0,"",AD52+IF(AH52="",0,AF52-AE52))</f>
        <v/>
      </c>
      <c r="P52" s="10" t="str">
        <f aca="false">IF(V52=0,"",O52*HoursPerDay)</f>
        <v/>
      </c>
      <c r="Q52" s="11" t="str">
        <f aca="false">IF(V52=0,"",IF(OR(W52=1,AC52="None"),"",EDATE(($D52+N($J52)),AG52)))</f>
        <v/>
      </c>
      <c r="R52" s="10" t="str">
        <f aca="false">IF(V52=0,"",IF(NOT(EH_Ready),"",SUMIFS(INDEX(EH_Data,0,EH_ColBal),INDEX(EH_Data,0,EH_ColFirst),$A52,INDEX(EH_Data,0,EH_ColSur),$B52,INDEX(EH_Data,0,EH_ColCat),BonusCat)/IF(EHUnit="Hours",HoursPerDay,1)))</f>
        <v/>
      </c>
      <c r="S52" s="10" t="str">
        <f aca="false">IF(OR(V52=0,R52="",W52=1),"",O52-R52)</f>
        <v/>
      </c>
      <c r="T52" s="10" t="str">
        <f aca="false">IF(S52="","",S52*HoursPerDay)</f>
        <v/>
      </c>
      <c r="U52" s="9" t="str">
        <f aca="false">IF(V52=0,"",IF(W52=1,IF(N(R52)&gt;0,"TERMINATED - forfeit "&amp;TEXT(R52,"0.##")&amp;" days in EH","Terminated"),IF(NOT(EH_Ready),"Paste EH export (see Settings)",IF(S52&gt;0,"ADD "&amp;TEXT(S52,"0.##")&amp;" day(s) = "&amp;TEXT(T52,"0.##")&amp;" hrs in EH",IF(S52&lt;0,"CHECK - EH has "&amp;TEXT(-S52,"0.##")&amp;" days more than policy",IF(O52&gt;0,"OK","-"))))))</f>
        <v/>
      </c>
      <c r="V52" s="9" t="n">
        <f aca="false">IF(OR(LEN($A52&amp;$B52)=0,$D52=""),0,1)</f>
        <v>0</v>
      </c>
      <c r="W52" s="9" t="n">
        <f aca="false">IF(V52=0,0,IF(AND($K52&lt;&gt;"",$K52&lt;=AsOfDate),1,0))</f>
        <v>0</v>
      </c>
      <c r="X52" s="11" t="str">
        <f aca="false">IF(V52=0,"",IF($K52="",AsOfDate,MIN(AsOfDate,$K52)))</f>
        <v/>
      </c>
      <c r="Y52" s="9" t="str">
        <f aca="false">IF(V52=0,"",IF(X52&lt;($D52+N($J52)),-1,12*(YEAR(X52)-YEAR(($D52+N($J52))))+MONTH(X52)-MONTH(($D52+N($J52)))-IF(DAY(X52)&lt;MIN(DAY(($D52+N($J52))),DAY(EOMONTH(X52,0))),1,0)))</f>
        <v/>
      </c>
      <c r="Z52" s="9" t="str">
        <f aca="false">IF(V52=0,"",IF(AH52="",Y52,IF((AH52-1)&lt;($D52+N($J52)),-1,12*(YEAR((AH52-1))-YEAR(($D52+N($J52))))+MONTH((AH52-1))-MONTH(($D52+N($J52)))-IF(DAY((AH52-1))&lt;MIN(DAY(($D52+N($J52))),DAY(EOMONTH((AH52-1),0))),1,0))))</f>
        <v/>
      </c>
      <c r="AA52" s="9" t="str">
        <f aca="false">IF(V52=0,"",IF($E52="Full-Time","FT",IF(AND($E52="Part-Time",N($F52)&gt;=PT_MinHours),"PT","None")))</f>
        <v/>
      </c>
      <c r="AB52" s="9" t="str">
        <f aca="false">IF(V52=0,"",IF($H52="Full-Time","FT",IF(AND($H52="Part-Time",N($I52)&gt;=PT_MinHours),"PT","None")))</f>
        <v/>
      </c>
      <c r="AC52" s="9" t="str">
        <f aca="false">IF(V52=0,"",IF(AH52&lt;&gt;"",AB52,AA52))</f>
        <v/>
      </c>
      <c r="AD52" s="9" t="str">
        <f aca="false">IF(V52=0,"",IF(AA52="FT",IF(Z52&lt;FT_First,0,IF(Z52&lt;FT_Y5,1+INT((Z52-FT_First)/FT_Int1),FT_PreY5+FT_PerYear*INT((Z52-FT_Y5)/12)+FT_AnnivDays+INT(MOD(Z52-FT_Y5,12)/FT_Int2))),IF(AA52="PT",IF(Z52&lt;PT_First,0,1+INT((Z52-PT_First)/PT_Int)),0)))</f>
        <v/>
      </c>
      <c r="AE52" s="9" t="str">
        <f aca="false">IF(V52=0,"",IF(AB52="FT",IF(Z52&lt;FT_First,0,IF(Z52&lt;FT_Y5,1+INT((Z52-FT_First)/FT_Int1),FT_PreY5+FT_PerYear*INT((Z52-FT_Y5)/12)+FT_AnnivDays+INT(MOD(Z52-FT_Y5,12)/FT_Int2))),IF(AB52="PT",IF(Z52&lt;PT_First,0,1+INT((Z52-PT_First)/PT_Int)),0)))</f>
        <v/>
      </c>
      <c r="AF52" s="9" t="str">
        <f aca="false">IF(V52=0,"",IF(AB52="FT",IF(Y52&lt;FT_First,0,IF(Y52&lt;FT_Y5,1+INT((Y52-FT_First)/FT_Int1),FT_PreY5+FT_PerYear*INT((Y52-FT_Y5)/12)+FT_AnnivDays+INT(MOD(Y52-FT_Y5,12)/FT_Int2))),IF(AB52="PT",IF(Y52&lt;PT_First,0,1+INT((Y52-PT_First)/PT_Int)),0)))</f>
        <v/>
      </c>
      <c r="AG52" s="9" t="str">
        <f aca="false">IF(V52=0,"",IF(AC52="FT",IF(Y52&lt;FT_First,FT_First,IF(Y52&lt;FT_Y5,MIN(FT_Y5,FT_First+FT_Int1*(INT((Y52-FT_First)/FT_Int1)+1)),FT_Y5+12*INT((Y52-FT_Y5)/12)+FT_Int2*(INT(MOD(Y52-FT_Y5,12)/FT_Int2)+1))),IF(AC52="PT",IF(Y52&lt;PT_First,PT_First,PT_First+PT_Int*(INT((Y52-PT_First)/PT_Int)+1)),"")))</f>
        <v/>
      </c>
      <c r="AH52" s="11" t="str">
        <f aca="false">IF(V52=0,"",IF($G52="","",IF($G52&gt;X52,"",$G52)))</f>
        <v/>
      </c>
    </row>
    <row r="53" customFormat="false" ht="15" hidden="false" customHeight="false" outlineLevel="0" collapsed="false">
      <c r="A53" s="12"/>
      <c r="B53" s="12"/>
      <c r="C53" s="12"/>
      <c r="D53" s="13"/>
      <c r="E53" s="12"/>
      <c r="F53" s="14"/>
      <c r="G53" s="13"/>
      <c r="H53" s="12"/>
      <c r="I53" s="14"/>
      <c r="J53" s="14"/>
      <c r="K53" s="13"/>
      <c r="L53" s="9" t="str">
        <f aca="false">IF(V53=0,"",IF($G53="","",$E53&amp;" to "&amp;$H53&amp;IF($H53="Part-Time"," "&amp;N($I53)&amp;" hrs","")&amp;" on "&amp;TEXT($G53,"dd/mm/yyyy")&amp;IF($G53&gt;AsOfDate," (future)",IF(AA53=AC53,"",IF(AC53="None"," - STOPPED accruing",IF(AA53="None"," - now qualifying"," - pathway changed"))))))</f>
        <v/>
      </c>
      <c r="M53" s="9" t="str">
        <f aca="false">IF(V53=0,"",IF(W53=1,"Terminated",IF(AC53="None",IF(O53&gt;0,"No longer accruing","Not eligible - "&amp;IF(AND(AC53="None",IF(AH53&lt;&gt;"",$H53,$E53)="Part-Time"),"under "&amp;PT_MinHours&amp;" hrs",IF(AH53&lt;&gt;"",$H53,$E53))),IF(O53&gt;0,"Yes - accruing","Not yet - from "&amp;TEXT(Q53,"dd/mm/yyyy")))))</f>
        <v/>
      </c>
      <c r="N53" s="9" t="str">
        <f aca="false">IF(V53=0,"",IF(Y53&lt;0,"-",INT(Y53/12)&amp;"y "&amp;MOD(Y53,12)&amp;"m"))</f>
        <v/>
      </c>
      <c r="O53" s="10" t="str">
        <f aca="false">IF(V53=0,"",AD53+IF(AH53="",0,AF53-AE53))</f>
        <v/>
      </c>
      <c r="P53" s="10" t="str">
        <f aca="false">IF(V53=0,"",O53*HoursPerDay)</f>
        <v/>
      </c>
      <c r="Q53" s="11" t="str">
        <f aca="false">IF(V53=0,"",IF(OR(W53=1,AC53="None"),"",EDATE(($D53+N($J53)),AG53)))</f>
        <v/>
      </c>
      <c r="R53" s="10" t="str">
        <f aca="false">IF(V53=0,"",IF(NOT(EH_Ready),"",SUMIFS(INDEX(EH_Data,0,EH_ColBal),INDEX(EH_Data,0,EH_ColFirst),$A53,INDEX(EH_Data,0,EH_ColSur),$B53,INDEX(EH_Data,0,EH_ColCat),BonusCat)/IF(EHUnit="Hours",HoursPerDay,1)))</f>
        <v/>
      </c>
      <c r="S53" s="10" t="str">
        <f aca="false">IF(OR(V53=0,R53="",W53=1),"",O53-R53)</f>
        <v/>
      </c>
      <c r="T53" s="10" t="str">
        <f aca="false">IF(S53="","",S53*HoursPerDay)</f>
        <v/>
      </c>
      <c r="U53" s="9" t="str">
        <f aca="false">IF(V53=0,"",IF(W53=1,IF(N(R53)&gt;0,"TERMINATED - forfeit "&amp;TEXT(R53,"0.##")&amp;" days in EH","Terminated"),IF(NOT(EH_Ready),"Paste EH export (see Settings)",IF(S53&gt;0,"ADD "&amp;TEXT(S53,"0.##")&amp;" day(s) = "&amp;TEXT(T53,"0.##")&amp;" hrs in EH",IF(S53&lt;0,"CHECK - EH has "&amp;TEXT(-S53,"0.##")&amp;" days more than policy",IF(O53&gt;0,"OK","-"))))))</f>
        <v/>
      </c>
      <c r="V53" s="9" t="n">
        <f aca="false">IF(OR(LEN($A53&amp;$B53)=0,$D53=""),0,1)</f>
        <v>0</v>
      </c>
      <c r="W53" s="9" t="n">
        <f aca="false">IF(V53=0,0,IF(AND($K53&lt;&gt;"",$K53&lt;=AsOfDate),1,0))</f>
        <v>0</v>
      </c>
      <c r="X53" s="11" t="str">
        <f aca="false">IF(V53=0,"",IF($K53="",AsOfDate,MIN(AsOfDate,$K53)))</f>
        <v/>
      </c>
      <c r="Y53" s="9" t="str">
        <f aca="false">IF(V53=0,"",IF(X53&lt;($D53+N($J53)),-1,12*(YEAR(X53)-YEAR(($D53+N($J53))))+MONTH(X53)-MONTH(($D53+N($J53)))-IF(DAY(X53)&lt;MIN(DAY(($D53+N($J53))),DAY(EOMONTH(X53,0))),1,0)))</f>
        <v/>
      </c>
      <c r="Z53" s="9" t="str">
        <f aca="false">IF(V53=0,"",IF(AH53="",Y53,IF((AH53-1)&lt;($D53+N($J53)),-1,12*(YEAR((AH53-1))-YEAR(($D53+N($J53))))+MONTH((AH53-1))-MONTH(($D53+N($J53)))-IF(DAY((AH53-1))&lt;MIN(DAY(($D53+N($J53))),DAY(EOMONTH((AH53-1),0))),1,0))))</f>
        <v/>
      </c>
      <c r="AA53" s="9" t="str">
        <f aca="false">IF(V53=0,"",IF($E53="Full-Time","FT",IF(AND($E53="Part-Time",N($F53)&gt;=PT_MinHours),"PT","None")))</f>
        <v/>
      </c>
      <c r="AB53" s="9" t="str">
        <f aca="false">IF(V53=0,"",IF($H53="Full-Time","FT",IF(AND($H53="Part-Time",N($I53)&gt;=PT_MinHours),"PT","None")))</f>
        <v/>
      </c>
      <c r="AC53" s="9" t="str">
        <f aca="false">IF(V53=0,"",IF(AH53&lt;&gt;"",AB53,AA53))</f>
        <v/>
      </c>
      <c r="AD53" s="9" t="str">
        <f aca="false">IF(V53=0,"",IF(AA53="FT",IF(Z53&lt;FT_First,0,IF(Z53&lt;FT_Y5,1+INT((Z53-FT_First)/FT_Int1),FT_PreY5+FT_PerYear*INT((Z53-FT_Y5)/12)+FT_AnnivDays+INT(MOD(Z53-FT_Y5,12)/FT_Int2))),IF(AA53="PT",IF(Z53&lt;PT_First,0,1+INT((Z53-PT_First)/PT_Int)),0)))</f>
        <v/>
      </c>
      <c r="AE53" s="9" t="str">
        <f aca="false">IF(V53=0,"",IF(AB53="FT",IF(Z53&lt;FT_First,0,IF(Z53&lt;FT_Y5,1+INT((Z53-FT_First)/FT_Int1),FT_PreY5+FT_PerYear*INT((Z53-FT_Y5)/12)+FT_AnnivDays+INT(MOD(Z53-FT_Y5,12)/FT_Int2))),IF(AB53="PT",IF(Z53&lt;PT_First,0,1+INT((Z53-PT_First)/PT_Int)),0)))</f>
        <v/>
      </c>
      <c r="AF53" s="9" t="str">
        <f aca="false">IF(V53=0,"",IF(AB53="FT",IF(Y53&lt;FT_First,0,IF(Y53&lt;FT_Y5,1+INT((Y53-FT_First)/FT_Int1),FT_PreY5+FT_PerYear*INT((Y53-FT_Y5)/12)+FT_AnnivDays+INT(MOD(Y53-FT_Y5,12)/FT_Int2))),IF(AB53="PT",IF(Y53&lt;PT_First,0,1+INT((Y53-PT_First)/PT_Int)),0)))</f>
        <v/>
      </c>
      <c r="AG53" s="9" t="str">
        <f aca="false">IF(V53=0,"",IF(AC53="FT",IF(Y53&lt;FT_First,FT_First,IF(Y53&lt;FT_Y5,MIN(FT_Y5,FT_First+FT_Int1*(INT((Y53-FT_First)/FT_Int1)+1)),FT_Y5+12*INT((Y53-FT_Y5)/12)+FT_Int2*(INT(MOD(Y53-FT_Y5,12)/FT_Int2)+1))),IF(AC53="PT",IF(Y53&lt;PT_First,PT_First,PT_First+PT_Int*(INT((Y53-PT_First)/PT_Int)+1)),"")))</f>
        <v/>
      </c>
      <c r="AH53" s="11" t="str">
        <f aca="false">IF(V53=0,"",IF($G53="","",IF($G53&gt;X53,"",$G53)))</f>
        <v/>
      </c>
    </row>
    <row r="54" customFormat="false" ht="15" hidden="false" customHeight="false" outlineLevel="0" collapsed="false">
      <c r="A54" s="12"/>
      <c r="B54" s="12"/>
      <c r="C54" s="12"/>
      <c r="D54" s="13"/>
      <c r="E54" s="12"/>
      <c r="F54" s="14"/>
      <c r="G54" s="13"/>
      <c r="H54" s="12"/>
      <c r="I54" s="14"/>
      <c r="J54" s="14"/>
      <c r="K54" s="13"/>
      <c r="L54" s="9" t="str">
        <f aca="false">IF(V54=0,"",IF($G54="","",$E54&amp;" to "&amp;$H54&amp;IF($H54="Part-Time"," "&amp;N($I54)&amp;" hrs","")&amp;" on "&amp;TEXT($G54,"dd/mm/yyyy")&amp;IF($G54&gt;AsOfDate," (future)",IF(AA54=AC54,"",IF(AC54="None"," - STOPPED accruing",IF(AA54="None"," - now qualifying"," - pathway changed"))))))</f>
        <v/>
      </c>
      <c r="M54" s="9" t="str">
        <f aca="false">IF(V54=0,"",IF(W54=1,"Terminated",IF(AC54="None",IF(O54&gt;0,"No longer accruing","Not eligible - "&amp;IF(AND(AC54="None",IF(AH54&lt;&gt;"",$H54,$E54)="Part-Time"),"under "&amp;PT_MinHours&amp;" hrs",IF(AH54&lt;&gt;"",$H54,$E54))),IF(O54&gt;0,"Yes - accruing","Not yet - from "&amp;TEXT(Q54,"dd/mm/yyyy")))))</f>
        <v/>
      </c>
      <c r="N54" s="9" t="str">
        <f aca="false">IF(V54=0,"",IF(Y54&lt;0,"-",INT(Y54/12)&amp;"y "&amp;MOD(Y54,12)&amp;"m"))</f>
        <v/>
      </c>
      <c r="O54" s="10" t="str">
        <f aca="false">IF(V54=0,"",AD54+IF(AH54="",0,AF54-AE54))</f>
        <v/>
      </c>
      <c r="P54" s="10" t="str">
        <f aca="false">IF(V54=0,"",O54*HoursPerDay)</f>
        <v/>
      </c>
      <c r="Q54" s="11" t="str">
        <f aca="false">IF(V54=0,"",IF(OR(W54=1,AC54="None"),"",EDATE(($D54+N($J54)),AG54)))</f>
        <v/>
      </c>
      <c r="R54" s="10" t="str">
        <f aca="false">IF(V54=0,"",IF(NOT(EH_Ready),"",SUMIFS(INDEX(EH_Data,0,EH_ColBal),INDEX(EH_Data,0,EH_ColFirst),$A54,INDEX(EH_Data,0,EH_ColSur),$B54,INDEX(EH_Data,0,EH_ColCat),BonusCat)/IF(EHUnit="Hours",HoursPerDay,1)))</f>
        <v/>
      </c>
      <c r="S54" s="10" t="str">
        <f aca="false">IF(OR(V54=0,R54="",W54=1),"",O54-R54)</f>
        <v/>
      </c>
      <c r="T54" s="10" t="str">
        <f aca="false">IF(S54="","",S54*HoursPerDay)</f>
        <v/>
      </c>
      <c r="U54" s="9" t="str">
        <f aca="false">IF(V54=0,"",IF(W54=1,IF(N(R54)&gt;0,"TERMINATED - forfeit "&amp;TEXT(R54,"0.##")&amp;" days in EH","Terminated"),IF(NOT(EH_Ready),"Paste EH export (see Settings)",IF(S54&gt;0,"ADD "&amp;TEXT(S54,"0.##")&amp;" day(s) = "&amp;TEXT(T54,"0.##")&amp;" hrs in EH",IF(S54&lt;0,"CHECK - EH has "&amp;TEXT(-S54,"0.##")&amp;" days more than policy",IF(O54&gt;0,"OK","-"))))))</f>
        <v/>
      </c>
      <c r="V54" s="9" t="n">
        <f aca="false">IF(OR(LEN($A54&amp;$B54)=0,$D54=""),0,1)</f>
        <v>0</v>
      </c>
      <c r="W54" s="9" t="n">
        <f aca="false">IF(V54=0,0,IF(AND($K54&lt;&gt;"",$K54&lt;=AsOfDate),1,0))</f>
        <v>0</v>
      </c>
      <c r="X54" s="11" t="str">
        <f aca="false">IF(V54=0,"",IF($K54="",AsOfDate,MIN(AsOfDate,$K54)))</f>
        <v/>
      </c>
      <c r="Y54" s="9" t="str">
        <f aca="false">IF(V54=0,"",IF(X54&lt;($D54+N($J54)),-1,12*(YEAR(X54)-YEAR(($D54+N($J54))))+MONTH(X54)-MONTH(($D54+N($J54)))-IF(DAY(X54)&lt;MIN(DAY(($D54+N($J54))),DAY(EOMONTH(X54,0))),1,0)))</f>
        <v/>
      </c>
      <c r="Z54" s="9" t="str">
        <f aca="false">IF(V54=0,"",IF(AH54="",Y54,IF((AH54-1)&lt;($D54+N($J54)),-1,12*(YEAR((AH54-1))-YEAR(($D54+N($J54))))+MONTH((AH54-1))-MONTH(($D54+N($J54)))-IF(DAY((AH54-1))&lt;MIN(DAY(($D54+N($J54))),DAY(EOMONTH((AH54-1),0))),1,0))))</f>
        <v/>
      </c>
      <c r="AA54" s="9" t="str">
        <f aca="false">IF(V54=0,"",IF($E54="Full-Time","FT",IF(AND($E54="Part-Time",N($F54)&gt;=PT_MinHours),"PT","None")))</f>
        <v/>
      </c>
      <c r="AB54" s="9" t="str">
        <f aca="false">IF(V54=0,"",IF($H54="Full-Time","FT",IF(AND($H54="Part-Time",N($I54)&gt;=PT_MinHours),"PT","None")))</f>
        <v/>
      </c>
      <c r="AC54" s="9" t="str">
        <f aca="false">IF(V54=0,"",IF(AH54&lt;&gt;"",AB54,AA54))</f>
        <v/>
      </c>
      <c r="AD54" s="9" t="str">
        <f aca="false">IF(V54=0,"",IF(AA54="FT",IF(Z54&lt;FT_First,0,IF(Z54&lt;FT_Y5,1+INT((Z54-FT_First)/FT_Int1),FT_PreY5+FT_PerYear*INT((Z54-FT_Y5)/12)+FT_AnnivDays+INT(MOD(Z54-FT_Y5,12)/FT_Int2))),IF(AA54="PT",IF(Z54&lt;PT_First,0,1+INT((Z54-PT_First)/PT_Int)),0)))</f>
        <v/>
      </c>
      <c r="AE54" s="9" t="str">
        <f aca="false">IF(V54=0,"",IF(AB54="FT",IF(Z54&lt;FT_First,0,IF(Z54&lt;FT_Y5,1+INT((Z54-FT_First)/FT_Int1),FT_PreY5+FT_PerYear*INT((Z54-FT_Y5)/12)+FT_AnnivDays+INT(MOD(Z54-FT_Y5,12)/FT_Int2))),IF(AB54="PT",IF(Z54&lt;PT_First,0,1+INT((Z54-PT_First)/PT_Int)),0)))</f>
        <v/>
      </c>
      <c r="AF54" s="9" t="str">
        <f aca="false">IF(V54=0,"",IF(AB54="FT",IF(Y54&lt;FT_First,0,IF(Y54&lt;FT_Y5,1+INT((Y54-FT_First)/FT_Int1),FT_PreY5+FT_PerYear*INT((Y54-FT_Y5)/12)+FT_AnnivDays+INT(MOD(Y54-FT_Y5,12)/FT_Int2))),IF(AB54="PT",IF(Y54&lt;PT_First,0,1+INT((Y54-PT_First)/PT_Int)),0)))</f>
        <v/>
      </c>
      <c r="AG54" s="9" t="str">
        <f aca="false">IF(V54=0,"",IF(AC54="FT",IF(Y54&lt;FT_First,FT_First,IF(Y54&lt;FT_Y5,MIN(FT_Y5,FT_First+FT_Int1*(INT((Y54-FT_First)/FT_Int1)+1)),FT_Y5+12*INT((Y54-FT_Y5)/12)+FT_Int2*(INT(MOD(Y54-FT_Y5,12)/FT_Int2)+1))),IF(AC54="PT",IF(Y54&lt;PT_First,PT_First,PT_First+PT_Int*(INT((Y54-PT_First)/PT_Int)+1)),"")))</f>
        <v/>
      </c>
      <c r="AH54" s="11" t="str">
        <f aca="false">IF(V54=0,"",IF($G54="","",IF($G54&gt;X54,"",$G54)))</f>
        <v/>
      </c>
    </row>
    <row r="55" customFormat="false" ht="15" hidden="false" customHeight="false" outlineLevel="0" collapsed="false">
      <c r="A55" s="12"/>
      <c r="B55" s="12"/>
      <c r="C55" s="12"/>
      <c r="D55" s="13"/>
      <c r="E55" s="12"/>
      <c r="F55" s="14"/>
      <c r="G55" s="13"/>
      <c r="H55" s="12"/>
      <c r="I55" s="14"/>
      <c r="J55" s="14"/>
      <c r="K55" s="13"/>
      <c r="L55" s="9" t="str">
        <f aca="false">IF(V55=0,"",IF($G55="","",$E55&amp;" to "&amp;$H55&amp;IF($H55="Part-Time"," "&amp;N($I55)&amp;" hrs","")&amp;" on "&amp;TEXT($G55,"dd/mm/yyyy")&amp;IF($G55&gt;AsOfDate," (future)",IF(AA55=AC55,"",IF(AC55="None"," - STOPPED accruing",IF(AA55="None"," - now qualifying"," - pathway changed"))))))</f>
        <v/>
      </c>
      <c r="M55" s="9" t="str">
        <f aca="false">IF(V55=0,"",IF(W55=1,"Terminated",IF(AC55="None",IF(O55&gt;0,"No longer accruing","Not eligible - "&amp;IF(AND(AC55="None",IF(AH55&lt;&gt;"",$H55,$E55)="Part-Time"),"under "&amp;PT_MinHours&amp;" hrs",IF(AH55&lt;&gt;"",$H55,$E55))),IF(O55&gt;0,"Yes - accruing","Not yet - from "&amp;TEXT(Q55,"dd/mm/yyyy")))))</f>
        <v/>
      </c>
      <c r="N55" s="9" t="str">
        <f aca="false">IF(V55=0,"",IF(Y55&lt;0,"-",INT(Y55/12)&amp;"y "&amp;MOD(Y55,12)&amp;"m"))</f>
        <v/>
      </c>
      <c r="O55" s="10" t="str">
        <f aca="false">IF(V55=0,"",AD55+IF(AH55="",0,AF55-AE55))</f>
        <v/>
      </c>
      <c r="P55" s="10" t="str">
        <f aca="false">IF(V55=0,"",O55*HoursPerDay)</f>
        <v/>
      </c>
      <c r="Q55" s="11" t="str">
        <f aca="false">IF(V55=0,"",IF(OR(W55=1,AC55="None"),"",EDATE(($D55+N($J55)),AG55)))</f>
        <v/>
      </c>
      <c r="R55" s="10" t="str">
        <f aca="false">IF(V55=0,"",IF(NOT(EH_Ready),"",SUMIFS(INDEX(EH_Data,0,EH_ColBal),INDEX(EH_Data,0,EH_ColFirst),$A55,INDEX(EH_Data,0,EH_ColSur),$B55,INDEX(EH_Data,0,EH_ColCat),BonusCat)/IF(EHUnit="Hours",HoursPerDay,1)))</f>
        <v/>
      </c>
      <c r="S55" s="10" t="str">
        <f aca="false">IF(OR(V55=0,R55="",W55=1),"",O55-R55)</f>
        <v/>
      </c>
      <c r="T55" s="10" t="str">
        <f aca="false">IF(S55="","",S55*HoursPerDay)</f>
        <v/>
      </c>
      <c r="U55" s="9" t="str">
        <f aca="false">IF(V55=0,"",IF(W55=1,IF(N(R55)&gt;0,"TERMINATED - forfeit "&amp;TEXT(R55,"0.##")&amp;" days in EH","Terminated"),IF(NOT(EH_Ready),"Paste EH export (see Settings)",IF(S55&gt;0,"ADD "&amp;TEXT(S55,"0.##")&amp;" day(s) = "&amp;TEXT(T55,"0.##")&amp;" hrs in EH",IF(S55&lt;0,"CHECK - EH has "&amp;TEXT(-S55,"0.##")&amp;" days more than policy",IF(O55&gt;0,"OK","-"))))))</f>
        <v/>
      </c>
      <c r="V55" s="9" t="n">
        <f aca="false">IF(OR(LEN($A55&amp;$B55)=0,$D55=""),0,1)</f>
        <v>0</v>
      </c>
      <c r="W55" s="9" t="n">
        <f aca="false">IF(V55=0,0,IF(AND($K55&lt;&gt;"",$K55&lt;=AsOfDate),1,0))</f>
        <v>0</v>
      </c>
      <c r="X55" s="11" t="str">
        <f aca="false">IF(V55=0,"",IF($K55="",AsOfDate,MIN(AsOfDate,$K55)))</f>
        <v/>
      </c>
      <c r="Y55" s="9" t="str">
        <f aca="false">IF(V55=0,"",IF(X55&lt;($D55+N($J55)),-1,12*(YEAR(X55)-YEAR(($D55+N($J55))))+MONTH(X55)-MONTH(($D55+N($J55)))-IF(DAY(X55)&lt;MIN(DAY(($D55+N($J55))),DAY(EOMONTH(X55,0))),1,0)))</f>
        <v/>
      </c>
      <c r="Z55" s="9" t="str">
        <f aca="false">IF(V55=0,"",IF(AH55="",Y55,IF((AH55-1)&lt;($D55+N($J55)),-1,12*(YEAR((AH55-1))-YEAR(($D55+N($J55))))+MONTH((AH55-1))-MONTH(($D55+N($J55)))-IF(DAY((AH55-1))&lt;MIN(DAY(($D55+N($J55))),DAY(EOMONTH((AH55-1),0))),1,0))))</f>
        <v/>
      </c>
      <c r="AA55" s="9" t="str">
        <f aca="false">IF(V55=0,"",IF($E55="Full-Time","FT",IF(AND($E55="Part-Time",N($F55)&gt;=PT_MinHours),"PT","None")))</f>
        <v/>
      </c>
      <c r="AB55" s="9" t="str">
        <f aca="false">IF(V55=0,"",IF($H55="Full-Time","FT",IF(AND($H55="Part-Time",N($I55)&gt;=PT_MinHours),"PT","None")))</f>
        <v/>
      </c>
      <c r="AC55" s="9" t="str">
        <f aca="false">IF(V55=0,"",IF(AH55&lt;&gt;"",AB55,AA55))</f>
        <v/>
      </c>
      <c r="AD55" s="9" t="str">
        <f aca="false">IF(V55=0,"",IF(AA55="FT",IF(Z55&lt;FT_First,0,IF(Z55&lt;FT_Y5,1+INT((Z55-FT_First)/FT_Int1),FT_PreY5+FT_PerYear*INT((Z55-FT_Y5)/12)+FT_AnnivDays+INT(MOD(Z55-FT_Y5,12)/FT_Int2))),IF(AA55="PT",IF(Z55&lt;PT_First,0,1+INT((Z55-PT_First)/PT_Int)),0)))</f>
        <v/>
      </c>
      <c r="AE55" s="9" t="str">
        <f aca="false">IF(V55=0,"",IF(AB55="FT",IF(Z55&lt;FT_First,0,IF(Z55&lt;FT_Y5,1+INT((Z55-FT_First)/FT_Int1),FT_PreY5+FT_PerYear*INT((Z55-FT_Y5)/12)+FT_AnnivDays+INT(MOD(Z55-FT_Y5,12)/FT_Int2))),IF(AB55="PT",IF(Z55&lt;PT_First,0,1+INT((Z55-PT_First)/PT_Int)),0)))</f>
        <v/>
      </c>
      <c r="AF55" s="9" t="str">
        <f aca="false">IF(V55=0,"",IF(AB55="FT",IF(Y55&lt;FT_First,0,IF(Y55&lt;FT_Y5,1+INT((Y55-FT_First)/FT_Int1),FT_PreY5+FT_PerYear*INT((Y55-FT_Y5)/12)+FT_AnnivDays+INT(MOD(Y55-FT_Y5,12)/FT_Int2))),IF(AB55="PT",IF(Y55&lt;PT_First,0,1+INT((Y55-PT_First)/PT_Int)),0)))</f>
        <v/>
      </c>
      <c r="AG55" s="9" t="str">
        <f aca="false">IF(V55=0,"",IF(AC55="FT",IF(Y55&lt;FT_First,FT_First,IF(Y55&lt;FT_Y5,MIN(FT_Y5,FT_First+FT_Int1*(INT((Y55-FT_First)/FT_Int1)+1)),FT_Y5+12*INT((Y55-FT_Y5)/12)+FT_Int2*(INT(MOD(Y55-FT_Y5,12)/FT_Int2)+1))),IF(AC55="PT",IF(Y55&lt;PT_First,PT_First,PT_First+PT_Int*(INT((Y55-PT_First)/PT_Int)+1)),"")))</f>
        <v/>
      </c>
      <c r="AH55" s="11" t="str">
        <f aca="false">IF(V55=0,"",IF($G55="","",IF($G55&gt;X55,"",$G55)))</f>
        <v/>
      </c>
    </row>
    <row r="56" customFormat="false" ht="15" hidden="false" customHeight="false" outlineLevel="0" collapsed="false">
      <c r="A56" s="12"/>
      <c r="B56" s="12"/>
      <c r="C56" s="12"/>
      <c r="D56" s="13"/>
      <c r="E56" s="12"/>
      <c r="F56" s="14"/>
      <c r="G56" s="13"/>
      <c r="H56" s="12"/>
      <c r="I56" s="14"/>
      <c r="J56" s="14"/>
      <c r="K56" s="13"/>
      <c r="L56" s="9" t="str">
        <f aca="false">IF(V56=0,"",IF($G56="","",$E56&amp;" to "&amp;$H56&amp;IF($H56="Part-Time"," "&amp;N($I56)&amp;" hrs","")&amp;" on "&amp;TEXT($G56,"dd/mm/yyyy")&amp;IF($G56&gt;AsOfDate," (future)",IF(AA56=AC56,"",IF(AC56="None"," - STOPPED accruing",IF(AA56="None"," - now qualifying"," - pathway changed"))))))</f>
        <v/>
      </c>
      <c r="M56" s="9" t="str">
        <f aca="false">IF(V56=0,"",IF(W56=1,"Terminated",IF(AC56="None",IF(O56&gt;0,"No longer accruing","Not eligible - "&amp;IF(AND(AC56="None",IF(AH56&lt;&gt;"",$H56,$E56)="Part-Time"),"under "&amp;PT_MinHours&amp;" hrs",IF(AH56&lt;&gt;"",$H56,$E56))),IF(O56&gt;0,"Yes - accruing","Not yet - from "&amp;TEXT(Q56,"dd/mm/yyyy")))))</f>
        <v/>
      </c>
      <c r="N56" s="9" t="str">
        <f aca="false">IF(V56=0,"",IF(Y56&lt;0,"-",INT(Y56/12)&amp;"y "&amp;MOD(Y56,12)&amp;"m"))</f>
        <v/>
      </c>
      <c r="O56" s="10" t="str">
        <f aca="false">IF(V56=0,"",AD56+IF(AH56="",0,AF56-AE56))</f>
        <v/>
      </c>
      <c r="P56" s="10" t="str">
        <f aca="false">IF(V56=0,"",O56*HoursPerDay)</f>
        <v/>
      </c>
      <c r="Q56" s="11" t="str">
        <f aca="false">IF(V56=0,"",IF(OR(W56=1,AC56="None"),"",EDATE(($D56+N($J56)),AG56)))</f>
        <v/>
      </c>
      <c r="R56" s="10" t="str">
        <f aca="false">IF(V56=0,"",IF(NOT(EH_Ready),"",SUMIFS(INDEX(EH_Data,0,EH_ColBal),INDEX(EH_Data,0,EH_ColFirst),$A56,INDEX(EH_Data,0,EH_ColSur),$B56,INDEX(EH_Data,0,EH_ColCat),BonusCat)/IF(EHUnit="Hours",HoursPerDay,1)))</f>
        <v/>
      </c>
      <c r="S56" s="10" t="str">
        <f aca="false">IF(OR(V56=0,R56="",W56=1),"",O56-R56)</f>
        <v/>
      </c>
      <c r="T56" s="10" t="str">
        <f aca="false">IF(S56="","",S56*HoursPerDay)</f>
        <v/>
      </c>
      <c r="U56" s="9" t="str">
        <f aca="false">IF(V56=0,"",IF(W56=1,IF(N(R56)&gt;0,"TERMINATED - forfeit "&amp;TEXT(R56,"0.##")&amp;" days in EH","Terminated"),IF(NOT(EH_Ready),"Paste EH export (see Settings)",IF(S56&gt;0,"ADD "&amp;TEXT(S56,"0.##")&amp;" day(s) = "&amp;TEXT(T56,"0.##")&amp;" hrs in EH",IF(S56&lt;0,"CHECK - EH has "&amp;TEXT(-S56,"0.##")&amp;" days more than policy",IF(O56&gt;0,"OK","-"))))))</f>
        <v/>
      </c>
      <c r="V56" s="9" t="n">
        <f aca="false">IF(OR(LEN($A56&amp;$B56)=0,$D56=""),0,1)</f>
        <v>0</v>
      </c>
      <c r="W56" s="9" t="n">
        <f aca="false">IF(V56=0,0,IF(AND($K56&lt;&gt;"",$K56&lt;=AsOfDate),1,0))</f>
        <v>0</v>
      </c>
      <c r="X56" s="11" t="str">
        <f aca="false">IF(V56=0,"",IF($K56="",AsOfDate,MIN(AsOfDate,$K56)))</f>
        <v/>
      </c>
      <c r="Y56" s="9" t="str">
        <f aca="false">IF(V56=0,"",IF(X56&lt;($D56+N($J56)),-1,12*(YEAR(X56)-YEAR(($D56+N($J56))))+MONTH(X56)-MONTH(($D56+N($J56)))-IF(DAY(X56)&lt;MIN(DAY(($D56+N($J56))),DAY(EOMONTH(X56,0))),1,0)))</f>
        <v/>
      </c>
      <c r="Z56" s="9" t="str">
        <f aca="false">IF(V56=0,"",IF(AH56="",Y56,IF((AH56-1)&lt;($D56+N($J56)),-1,12*(YEAR((AH56-1))-YEAR(($D56+N($J56))))+MONTH((AH56-1))-MONTH(($D56+N($J56)))-IF(DAY((AH56-1))&lt;MIN(DAY(($D56+N($J56))),DAY(EOMONTH((AH56-1),0))),1,0))))</f>
        <v/>
      </c>
      <c r="AA56" s="9" t="str">
        <f aca="false">IF(V56=0,"",IF($E56="Full-Time","FT",IF(AND($E56="Part-Time",N($F56)&gt;=PT_MinHours),"PT","None")))</f>
        <v/>
      </c>
      <c r="AB56" s="9" t="str">
        <f aca="false">IF(V56=0,"",IF($H56="Full-Time","FT",IF(AND($H56="Part-Time",N($I56)&gt;=PT_MinHours),"PT","None")))</f>
        <v/>
      </c>
      <c r="AC56" s="9" t="str">
        <f aca="false">IF(V56=0,"",IF(AH56&lt;&gt;"",AB56,AA56))</f>
        <v/>
      </c>
      <c r="AD56" s="9" t="str">
        <f aca="false">IF(V56=0,"",IF(AA56="FT",IF(Z56&lt;FT_First,0,IF(Z56&lt;FT_Y5,1+INT((Z56-FT_First)/FT_Int1),FT_PreY5+FT_PerYear*INT((Z56-FT_Y5)/12)+FT_AnnivDays+INT(MOD(Z56-FT_Y5,12)/FT_Int2))),IF(AA56="PT",IF(Z56&lt;PT_First,0,1+INT((Z56-PT_First)/PT_Int)),0)))</f>
        <v/>
      </c>
      <c r="AE56" s="9" t="str">
        <f aca="false">IF(V56=0,"",IF(AB56="FT",IF(Z56&lt;FT_First,0,IF(Z56&lt;FT_Y5,1+INT((Z56-FT_First)/FT_Int1),FT_PreY5+FT_PerYear*INT((Z56-FT_Y5)/12)+FT_AnnivDays+INT(MOD(Z56-FT_Y5,12)/FT_Int2))),IF(AB56="PT",IF(Z56&lt;PT_First,0,1+INT((Z56-PT_First)/PT_Int)),0)))</f>
        <v/>
      </c>
      <c r="AF56" s="9" t="str">
        <f aca="false">IF(V56=0,"",IF(AB56="FT",IF(Y56&lt;FT_First,0,IF(Y56&lt;FT_Y5,1+INT((Y56-FT_First)/FT_Int1),FT_PreY5+FT_PerYear*INT((Y56-FT_Y5)/12)+FT_AnnivDays+INT(MOD(Y56-FT_Y5,12)/FT_Int2))),IF(AB56="PT",IF(Y56&lt;PT_First,0,1+INT((Y56-PT_First)/PT_Int)),0)))</f>
        <v/>
      </c>
      <c r="AG56" s="9" t="str">
        <f aca="false">IF(V56=0,"",IF(AC56="FT",IF(Y56&lt;FT_First,FT_First,IF(Y56&lt;FT_Y5,MIN(FT_Y5,FT_First+FT_Int1*(INT((Y56-FT_First)/FT_Int1)+1)),FT_Y5+12*INT((Y56-FT_Y5)/12)+FT_Int2*(INT(MOD(Y56-FT_Y5,12)/FT_Int2)+1))),IF(AC56="PT",IF(Y56&lt;PT_First,PT_First,PT_First+PT_Int*(INT((Y56-PT_First)/PT_Int)+1)),"")))</f>
        <v/>
      </c>
      <c r="AH56" s="11" t="str">
        <f aca="false">IF(V56=0,"",IF($G56="","",IF($G56&gt;X56,"",$G56)))</f>
        <v/>
      </c>
    </row>
    <row r="57" customFormat="false" ht="15" hidden="false" customHeight="false" outlineLevel="0" collapsed="false">
      <c r="A57" s="12"/>
      <c r="B57" s="12"/>
      <c r="C57" s="12"/>
      <c r="D57" s="13"/>
      <c r="E57" s="12"/>
      <c r="F57" s="14"/>
      <c r="G57" s="13"/>
      <c r="H57" s="12"/>
      <c r="I57" s="14"/>
      <c r="J57" s="14"/>
      <c r="K57" s="13"/>
      <c r="L57" s="9" t="str">
        <f aca="false">IF(V57=0,"",IF($G57="","",$E57&amp;" to "&amp;$H57&amp;IF($H57="Part-Time"," "&amp;N($I57)&amp;" hrs","")&amp;" on "&amp;TEXT($G57,"dd/mm/yyyy")&amp;IF($G57&gt;AsOfDate," (future)",IF(AA57=AC57,"",IF(AC57="None"," - STOPPED accruing",IF(AA57="None"," - now qualifying"," - pathway changed"))))))</f>
        <v/>
      </c>
      <c r="M57" s="9" t="str">
        <f aca="false">IF(V57=0,"",IF(W57=1,"Terminated",IF(AC57="None",IF(O57&gt;0,"No longer accruing","Not eligible - "&amp;IF(AND(AC57="None",IF(AH57&lt;&gt;"",$H57,$E57)="Part-Time"),"under "&amp;PT_MinHours&amp;" hrs",IF(AH57&lt;&gt;"",$H57,$E57))),IF(O57&gt;0,"Yes - accruing","Not yet - from "&amp;TEXT(Q57,"dd/mm/yyyy")))))</f>
        <v/>
      </c>
      <c r="N57" s="9" t="str">
        <f aca="false">IF(V57=0,"",IF(Y57&lt;0,"-",INT(Y57/12)&amp;"y "&amp;MOD(Y57,12)&amp;"m"))</f>
        <v/>
      </c>
      <c r="O57" s="10" t="str">
        <f aca="false">IF(V57=0,"",AD57+IF(AH57="",0,AF57-AE57))</f>
        <v/>
      </c>
      <c r="P57" s="10" t="str">
        <f aca="false">IF(V57=0,"",O57*HoursPerDay)</f>
        <v/>
      </c>
      <c r="Q57" s="11" t="str">
        <f aca="false">IF(V57=0,"",IF(OR(W57=1,AC57="None"),"",EDATE(($D57+N($J57)),AG57)))</f>
        <v/>
      </c>
      <c r="R57" s="10" t="str">
        <f aca="false">IF(V57=0,"",IF(NOT(EH_Ready),"",SUMIFS(INDEX(EH_Data,0,EH_ColBal),INDEX(EH_Data,0,EH_ColFirst),$A57,INDEX(EH_Data,0,EH_ColSur),$B57,INDEX(EH_Data,0,EH_ColCat),BonusCat)/IF(EHUnit="Hours",HoursPerDay,1)))</f>
        <v/>
      </c>
      <c r="S57" s="10" t="str">
        <f aca="false">IF(OR(V57=0,R57="",W57=1),"",O57-R57)</f>
        <v/>
      </c>
      <c r="T57" s="10" t="str">
        <f aca="false">IF(S57="","",S57*HoursPerDay)</f>
        <v/>
      </c>
      <c r="U57" s="9" t="str">
        <f aca="false">IF(V57=0,"",IF(W57=1,IF(N(R57)&gt;0,"TERMINATED - forfeit "&amp;TEXT(R57,"0.##")&amp;" days in EH","Terminated"),IF(NOT(EH_Ready),"Paste EH export (see Settings)",IF(S57&gt;0,"ADD "&amp;TEXT(S57,"0.##")&amp;" day(s) = "&amp;TEXT(T57,"0.##")&amp;" hrs in EH",IF(S57&lt;0,"CHECK - EH has "&amp;TEXT(-S57,"0.##")&amp;" days more than policy",IF(O57&gt;0,"OK","-"))))))</f>
        <v/>
      </c>
      <c r="V57" s="9" t="n">
        <f aca="false">IF(OR(LEN($A57&amp;$B57)=0,$D57=""),0,1)</f>
        <v>0</v>
      </c>
      <c r="W57" s="9" t="n">
        <f aca="false">IF(V57=0,0,IF(AND($K57&lt;&gt;"",$K57&lt;=AsOfDate),1,0))</f>
        <v>0</v>
      </c>
      <c r="X57" s="11" t="str">
        <f aca="false">IF(V57=0,"",IF($K57="",AsOfDate,MIN(AsOfDate,$K57)))</f>
        <v/>
      </c>
      <c r="Y57" s="9" t="str">
        <f aca="false">IF(V57=0,"",IF(X57&lt;($D57+N($J57)),-1,12*(YEAR(X57)-YEAR(($D57+N($J57))))+MONTH(X57)-MONTH(($D57+N($J57)))-IF(DAY(X57)&lt;MIN(DAY(($D57+N($J57))),DAY(EOMONTH(X57,0))),1,0)))</f>
        <v/>
      </c>
      <c r="Z57" s="9" t="str">
        <f aca="false">IF(V57=0,"",IF(AH57="",Y57,IF((AH57-1)&lt;($D57+N($J57)),-1,12*(YEAR((AH57-1))-YEAR(($D57+N($J57))))+MONTH((AH57-1))-MONTH(($D57+N($J57)))-IF(DAY((AH57-1))&lt;MIN(DAY(($D57+N($J57))),DAY(EOMONTH((AH57-1),0))),1,0))))</f>
        <v/>
      </c>
      <c r="AA57" s="9" t="str">
        <f aca="false">IF(V57=0,"",IF($E57="Full-Time","FT",IF(AND($E57="Part-Time",N($F57)&gt;=PT_MinHours),"PT","None")))</f>
        <v/>
      </c>
      <c r="AB57" s="9" t="str">
        <f aca="false">IF(V57=0,"",IF($H57="Full-Time","FT",IF(AND($H57="Part-Time",N($I57)&gt;=PT_MinHours),"PT","None")))</f>
        <v/>
      </c>
      <c r="AC57" s="9" t="str">
        <f aca="false">IF(V57=0,"",IF(AH57&lt;&gt;"",AB57,AA57))</f>
        <v/>
      </c>
      <c r="AD57" s="9" t="str">
        <f aca="false">IF(V57=0,"",IF(AA57="FT",IF(Z57&lt;FT_First,0,IF(Z57&lt;FT_Y5,1+INT((Z57-FT_First)/FT_Int1),FT_PreY5+FT_PerYear*INT((Z57-FT_Y5)/12)+FT_AnnivDays+INT(MOD(Z57-FT_Y5,12)/FT_Int2))),IF(AA57="PT",IF(Z57&lt;PT_First,0,1+INT((Z57-PT_First)/PT_Int)),0)))</f>
        <v/>
      </c>
      <c r="AE57" s="9" t="str">
        <f aca="false">IF(V57=0,"",IF(AB57="FT",IF(Z57&lt;FT_First,0,IF(Z57&lt;FT_Y5,1+INT((Z57-FT_First)/FT_Int1),FT_PreY5+FT_PerYear*INT((Z57-FT_Y5)/12)+FT_AnnivDays+INT(MOD(Z57-FT_Y5,12)/FT_Int2))),IF(AB57="PT",IF(Z57&lt;PT_First,0,1+INT((Z57-PT_First)/PT_Int)),0)))</f>
        <v/>
      </c>
      <c r="AF57" s="9" t="str">
        <f aca="false">IF(V57=0,"",IF(AB57="FT",IF(Y57&lt;FT_First,0,IF(Y57&lt;FT_Y5,1+INT((Y57-FT_First)/FT_Int1),FT_PreY5+FT_PerYear*INT((Y57-FT_Y5)/12)+FT_AnnivDays+INT(MOD(Y57-FT_Y5,12)/FT_Int2))),IF(AB57="PT",IF(Y57&lt;PT_First,0,1+INT((Y57-PT_First)/PT_Int)),0)))</f>
        <v/>
      </c>
      <c r="AG57" s="9" t="str">
        <f aca="false">IF(V57=0,"",IF(AC57="FT",IF(Y57&lt;FT_First,FT_First,IF(Y57&lt;FT_Y5,MIN(FT_Y5,FT_First+FT_Int1*(INT((Y57-FT_First)/FT_Int1)+1)),FT_Y5+12*INT((Y57-FT_Y5)/12)+FT_Int2*(INT(MOD(Y57-FT_Y5,12)/FT_Int2)+1))),IF(AC57="PT",IF(Y57&lt;PT_First,PT_First,PT_First+PT_Int*(INT((Y57-PT_First)/PT_Int)+1)),"")))</f>
        <v/>
      </c>
      <c r="AH57" s="11" t="str">
        <f aca="false">IF(V57=0,"",IF($G57="","",IF($G57&gt;X57,"",$G57)))</f>
        <v/>
      </c>
    </row>
    <row r="58" customFormat="false" ht="15" hidden="false" customHeight="false" outlineLevel="0" collapsed="false">
      <c r="A58" s="12"/>
      <c r="B58" s="12"/>
      <c r="C58" s="12"/>
      <c r="D58" s="13"/>
      <c r="E58" s="12"/>
      <c r="F58" s="14"/>
      <c r="G58" s="13"/>
      <c r="H58" s="12"/>
      <c r="I58" s="14"/>
      <c r="J58" s="14"/>
      <c r="K58" s="13"/>
      <c r="L58" s="9" t="str">
        <f aca="false">IF(V58=0,"",IF($G58="","",$E58&amp;" to "&amp;$H58&amp;IF($H58="Part-Time"," "&amp;N($I58)&amp;" hrs","")&amp;" on "&amp;TEXT($G58,"dd/mm/yyyy")&amp;IF($G58&gt;AsOfDate," (future)",IF(AA58=AC58,"",IF(AC58="None"," - STOPPED accruing",IF(AA58="None"," - now qualifying"," - pathway changed"))))))</f>
        <v/>
      </c>
      <c r="M58" s="9" t="str">
        <f aca="false">IF(V58=0,"",IF(W58=1,"Terminated",IF(AC58="None",IF(O58&gt;0,"No longer accruing","Not eligible - "&amp;IF(AND(AC58="None",IF(AH58&lt;&gt;"",$H58,$E58)="Part-Time"),"under "&amp;PT_MinHours&amp;" hrs",IF(AH58&lt;&gt;"",$H58,$E58))),IF(O58&gt;0,"Yes - accruing","Not yet - from "&amp;TEXT(Q58,"dd/mm/yyyy")))))</f>
        <v/>
      </c>
      <c r="N58" s="9" t="str">
        <f aca="false">IF(V58=0,"",IF(Y58&lt;0,"-",INT(Y58/12)&amp;"y "&amp;MOD(Y58,12)&amp;"m"))</f>
        <v/>
      </c>
      <c r="O58" s="10" t="str">
        <f aca="false">IF(V58=0,"",AD58+IF(AH58="",0,AF58-AE58))</f>
        <v/>
      </c>
      <c r="P58" s="10" t="str">
        <f aca="false">IF(V58=0,"",O58*HoursPerDay)</f>
        <v/>
      </c>
      <c r="Q58" s="11" t="str">
        <f aca="false">IF(V58=0,"",IF(OR(W58=1,AC58="None"),"",EDATE(($D58+N($J58)),AG58)))</f>
        <v/>
      </c>
      <c r="R58" s="10" t="str">
        <f aca="false">IF(V58=0,"",IF(NOT(EH_Ready),"",SUMIFS(INDEX(EH_Data,0,EH_ColBal),INDEX(EH_Data,0,EH_ColFirst),$A58,INDEX(EH_Data,0,EH_ColSur),$B58,INDEX(EH_Data,0,EH_ColCat),BonusCat)/IF(EHUnit="Hours",HoursPerDay,1)))</f>
        <v/>
      </c>
      <c r="S58" s="10" t="str">
        <f aca="false">IF(OR(V58=0,R58="",W58=1),"",O58-R58)</f>
        <v/>
      </c>
      <c r="T58" s="10" t="str">
        <f aca="false">IF(S58="","",S58*HoursPerDay)</f>
        <v/>
      </c>
      <c r="U58" s="9" t="str">
        <f aca="false">IF(V58=0,"",IF(W58=1,IF(N(R58)&gt;0,"TERMINATED - forfeit "&amp;TEXT(R58,"0.##")&amp;" days in EH","Terminated"),IF(NOT(EH_Ready),"Paste EH export (see Settings)",IF(S58&gt;0,"ADD "&amp;TEXT(S58,"0.##")&amp;" day(s) = "&amp;TEXT(T58,"0.##")&amp;" hrs in EH",IF(S58&lt;0,"CHECK - EH has "&amp;TEXT(-S58,"0.##")&amp;" days more than policy",IF(O58&gt;0,"OK","-"))))))</f>
        <v/>
      </c>
      <c r="V58" s="9" t="n">
        <f aca="false">IF(OR(LEN($A58&amp;$B58)=0,$D58=""),0,1)</f>
        <v>0</v>
      </c>
      <c r="W58" s="9" t="n">
        <f aca="false">IF(V58=0,0,IF(AND($K58&lt;&gt;"",$K58&lt;=AsOfDate),1,0))</f>
        <v>0</v>
      </c>
      <c r="X58" s="11" t="str">
        <f aca="false">IF(V58=0,"",IF($K58="",AsOfDate,MIN(AsOfDate,$K58)))</f>
        <v/>
      </c>
      <c r="Y58" s="9" t="str">
        <f aca="false">IF(V58=0,"",IF(X58&lt;($D58+N($J58)),-1,12*(YEAR(X58)-YEAR(($D58+N($J58))))+MONTH(X58)-MONTH(($D58+N($J58)))-IF(DAY(X58)&lt;MIN(DAY(($D58+N($J58))),DAY(EOMONTH(X58,0))),1,0)))</f>
        <v/>
      </c>
      <c r="Z58" s="9" t="str">
        <f aca="false">IF(V58=0,"",IF(AH58="",Y58,IF((AH58-1)&lt;($D58+N($J58)),-1,12*(YEAR((AH58-1))-YEAR(($D58+N($J58))))+MONTH((AH58-1))-MONTH(($D58+N($J58)))-IF(DAY((AH58-1))&lt;MIN(DAY(($D58+N($J58))),DAY(EOMONTH((AH58-1),0))),1,0))))</f>
        <v/>
      </c>
      <c r="AA58" s="9" t="str">
        <f aca="false">IF(V58=0,"",IF($E58="Full-Time","FT",IF(AND($E58="Part-Time",N($F58)&gt;=PT_MinHours),"PT","None")))</f>
        <v/>
      </c>
      <c r="AB58" s="9" t="str">
        <f aca="false">IF(V58=0,"",IF($H58="Full-Time","FT",IF(AND($H58="Part-Time",N($I58)&gt;=PT_MinHours),"PT","None")))</f>
        <v/>
      </c>
      <c r="AC58" s="9" t="str">
        <f aca="false">IF(V58=0,"",IF(AH58&lt;&gt;"",AB58,AA58))</f>
        <v/>
      </c>
      <c r="AD58" s="9" t="str">
        <f aca="false">IF(V58=0,"",IF(AA58="FT",IF(Z58&lt;FT_First,0,IF(Z58&lt;FT_Y5,1+INT((Z58-FT_First)/FT_Int1),FT_PreY5+FT_PerYear*INT((Z58-FT_Y5)/12)+FT_AnnivDays+INT(MOD(Z58-FT_Y5,12)/FT_Int2))),IF(AA58="PT",IF(Z58&lt;PT_First,0,1+INT((Z58-PT_First)/PT_Int)),0)))</f>
        <v/>
      </c>
      <c r="AE58" s="9" t="str">
        <f aca="false">IF(V58=0,"",IF(AB58="FT",IF(Z58&lt;FT_First,0,IF(Z58&lt;FT_Y5,1+INT((Z58-FT_First)/FT_Int1),FT_PreY5+FT_PerYear*INT((Z58-FT_Y5)/12)+FT_AnnivDays+INT(MOD(Z58-FT_Y5,12)/FT_Int2))),IF(AB58="PT",IF(Z58&lt;PT_First,0,1+INT((Z58-PT_First)/PT_Int)),0)))</f>
        <v/>
      </c>
      <c r="AF58" s="9" t="str">
        <f aca="false">IF(V58=0,"",IF(AB58="FT",IF(Y58&lt;FT_First,0,IF(Y58&lt;FT_Y5,1+INT((Y58-FT_First)/FT_Int1),FT_PreY5+FT_PerYear*INT((Y58-FT_Y5)/12)+FT_AnnivDays+INT(MOD(Y58-FT_Y5,12)/FT_Int2))),IF(AB58="PT",IF(Y58&lt;PT_First,0,1+INT((Y58-PT_First)/PT_Int)),0)))</f>
        <v/>
      </c>
      <c r="AG58" s="9" t="str">
        <f aca="false">IF(V58=0,"",IF(AC58="FT",IF(Y58&lt;FT_First,FT_First,IF(Y58&lt;FT_Y5,MIN(FT_Y5,FT_First+FT_Int1*(INT((Y58-FT_First)/FT_Int1)+1)),FT_Y5+12*INT((Y58-FT_Y5)/12)+FT_Int2*(INT(MOD(Y58-FT_Y5,12)/FT_Int2)+1))),IF(AC58="PT",IF(Y58&lt;PT_First,PT_First,PT_First+PT_Int*(INT((Y58-PT_First)/PT_Int)+1)),"")))</f>
        <v/>
      </c>
      <c r="AH58" s="11" t="str">
        <f aca="false">IF(V58=0,"",IF($G58="","",IF($G58&gt;X58,"",$G58)))</f>
        <v/>
      </c>
    </row>
    <row r="59" customFormat="false" ht="15" hidden="false" customHeight="false" outlineLevel="0" collapsed="false">
      <c r="A59" s="12"/>
      <c r="B59" s="12"/>
      <c r="C59" s="12"/>
      <c r="D59" s="13"/>
      <c r="E59" s="12"/>
      <c r="F59" s="14"/>
      <c r="G59" s="13"/>
      <c r="H59" s="12"/>
      <c r="I59" s="14"/>
      <c r="J59" s="14"/>
      <c r="K59" s="13"/>
      <c r="L59" s="9" t="str">
        <f aca="false">IF(V59=0,"",IF($G59="","",$E59&amp;" to "&amp;$H59&amp;IF($H59="Part-Time"," "&amp;N($I59)&amp;" hrs","")&amp;" on "&amp;TEXT($G59,"dd/mm/yyyy")&amp;IF($G59&gt;AsOfDate," (future)",IF(AA59=AC59,"",IF(AC59="None"," - STOPPED accruing",IF(AA59="None"," - now qualifying"," - pathway changed"))))))</f>
        <v/>
      </c>
      <c r="M59" s="9" t="str">
        <f aca="false">IF(V59=0,"",IF(W59=1,"Terminated",IF(AC59="None",IF(O59&gt;0,"No longer accruing","Not eligible - "&amp;IF(AND(AC59="None",IF(AH59&lt;&gt;"",$H59,$E59)="Part-Time"),"under "&amp;PT_MinHours&amp;" hrs",IF(AH59&lt;&gt;"",$H59,$E59))),IF(O59&gt;0,"Yes - accruing","Not yet - from "&amp;TEXT(Q59,"dd/mm/yyyy")))))</f>
        <v/>
      </c>
      <c r="N59" s="9" t="str">
        <f aca="false">IF(V59=0,"",IF(Y59&lt;0,"-",INT(Y59/12)&amp;"y "&amp;MOD(Y59,12)&amp;"m"))</f>
        <v/>
      </c>
      <c r="O59" s="10" t="str">
        <f aca="false">IF(V59=0,"",AD59+IF(AH59="",0,AF59-AE59))</f>
        <v/>
      </c>
      <c r="P59" s="10" t="str">
        <f aca="false">IF(V59=0,"",O59*HoursPerDay)</f>
        <v/>
      </c>
      <c r="Q59" s="11" t="str">
        <f aca="false">IF(V59=0,"",IF(OR(W59=1,AC59="None"),"",EDATE(($D59+N($J59)),AG59)))</f>
        <v/>
      </c>
      <c r="R59" s="10" t="str">
        <f aca="false">IF(V59=0,"",IF(NOT(EH_Ready),"",SUMIFS(INDEX(EH_Data,0,EH_ColBal),INDEX(EH_Data,0,EH_ColFirst),$A59,INDEX(EH_Data,0,EH_ColSur),$B59,INDEX(EH_Data,0,EH_ColCat),BonusCat)/IF(EHUnit="Hours",HoursPerDay,1)))</f>
        <v/>
      </c>
      <c r="S59" s="10" t="str">
        <f aca="false">IF(OR(V59=0,R59="",W59=1),"",O59-R59)</f>
        <v/>
      </c>
      <c r="T59" s="10" t="str">
        <f aca="false">IF(S59="","",S59*HoursPerDay)</f>
        <v/>
      </c>
      <c r="U59" s="9" t="str">
        <f aca="false">IF(V59=0,"",IF(W59=1,IF(N(R59)&gt;0,"TERMINATED - forfeit "&amp;TEXT(R59,"0.##")&amp;" days in EH","Terminated"),IF(NOT(EH_Ready),"Paste EH export (see Settings)",IF(S59&gt;0,"ADD "&amp;TEXT(S59,"0.##")&amp;" day(s) = "&amp;TEXT(T59,"0.##")&amp;" hrs in EH",IF(S59&lt;0,"CHECK - EH has "&amp;TEXT(-S59,"0.##")&amp;" days more than policy",IF(O59&gt;0,"OK","-"))))))</f>
        <v/>
      </c>
      <c r="V59" s="9" t="n">
        <f aca="false">IF(OR(LEN($A59&amp;$B59)=0,$D59=""),0,1)</f>
        <v>0</v>
      </c>
      <c r="W59" s="9" t="n">
        <f aca="false">IF(V59=0,0,IF(AND($K59&lt;&gt;"",$K59&lt;=AsOfDate),1,0))</f>
        <v>0</v>
      </c>
      <c r="X59" s="11" t="str">
        <f aca="false">IF(V59=0,"",IF($K59="",AsOfDate,MIN(AsOfDate,$K59)))</f>
        <v/>
      </c>
      <c r="Y59" s="9" t="str">
        <f aca="false">IF(V59=0,"",IF(X59&lt;($D59+N($J59)),-1,12*(YEAR(X59)-YEAR(($D59+N($J59))))+MONTH(X59)-MONTH(($D59+N($J59)))-IF(DAY(X59)&lt;MIN(DAY(($D59+N($J59))),DAY(EOMONTH(X59,0))),1,0)))</f>
        <v/>
      </c>
      <c r="Z59" s="9" t="str">
        <f aca="false">IF(V59=0,"",IF(AH59="",Y59,IF((AH59-1)&lt;($D59+N($J59)),-1,12*(YEAR((AH59-1))-YEAR(($D59+N($J59))))+MONTH((AH59-1))-MONTH(($D59+N($J59)))-IF(DAY((AH59-1))&lt;MIN(DAY(($D59+N($J59))),DAY(EOMONTH((AH59-1),0))),1,0))))</f>
        <v/>
      </c>
      <c r="AA59" s="9" t="str">
        <f aca="false">IF(V59=0,"",IF($E59="Full-Time","FT",IF(AND($E59="Part-Time",N($F59)&gt;=PT_MinHours),"PT","None")))</f>
        <v/>
      </c>
      <c r="AB59" s="9" t="str">
        <f aca="false">IF(V59=0,"",IF($H59="Full-Time","FT",IF(AND($H59="Part-Time",N($I59)&gt;=PT_MinHours),"PT","None")))</f>
        <v/>
      </c>
      <c r="AC59" s="9" t="str">
        <f aca="false">IF(V59=0,"",IF(AH59&lt;&gt;"",AB59,AA59))</f>
        <v/>
      </c>
      <c r="AD59" s="9" t="str">
        <f aca="false">IF(V59=0,"",IF(AA59="FT",IF(Z59&lt;FT_First,0,IF(Z59&lt;FT_Y5,1+INT((Z59-FT_First)/FT_Int1),FT_PreY5+FT_PerYear*INT((Z59-FT_Y5)/12)+FT_AnnivDays+INT(MOD(Z59-FT_Y5,12)/FT_Int2))),IF(AA59="PT",IF(Z59&lt;PT_First,0,1+INT((Z59-PT_First)/PT_Int)),0)))</f>
        <v/>
      </c>
      <c r="AE59" s="9" t="str">
        <f aca="false">IF(V59=0,"",IF(AB59="FT",IF(Z59&lt;FT_First,0,IF(Z59&lt;FT_Y5,1+INT((Z59-FT_First)/FT_Int1),FT_PreY5+FT_PerYear*INT((Z59-FT_Y5)/12)+FT_AnnivDays+INT(MOD(Z59-FT_Y5,12)/FT_Int2))),IF(AB59="PT",IF(Z59&lt;PT_First,0,1+INT((Z59-PT_First)/PT_Int)),0)))</f>
        <v/>
      </c>
      <c r="AF59" s="9" t="str">
        <f aca="false">IF(V59=0,"",IF(AB59="FT",IF(Y59&lt;FT_First,0,IF(Y59&lt;FT_Y5,1+INT((Y59-FT_First)/FT_Int1),FT_PreY5+FT_PerYear*INT((Y59-FT_Y5)/12)+FT_AnnivDays+INT(MOD(Y59-FT_Y5,12)/FT_Int2))),IF(AB59="PT",IF(Y59&lt;PT_First,0,1+INT((Y59-PT_First)/PT_Int)),0)))</f>
        <v/>
      </c>
      <c r="AG59" s="9" t="str">
        <f aca="false">IF(V59=0,"",IF(AC59="FT",IF(Y59&lt;FT_First,FT_First,IF(Y59&lt;FT_Y5,MIN(FT_Y5,FT_First+FT_Int1*(INT((Y59-FT_First)/FT_Int1)+1)),FT_Y5+12*INT((Y59-FT_Y5)/12)+FT_Int2*(INT(MOD(Y59-FT_Y5,12)/FT_Int2)+1))),IF(AC59="PT",IF(Y59&lt;PT_First,PT_First,PT_First+PT_Int*(INT((Y59-PT_First)/PT_Int)+1)),"")))</f>
        <v/>
      </c>
      <c r="AH59" s="11" t="str">
        <f aca="false">IF(V59=0,"",IF($G59="","",IF($G59&gt;X59,"",$G59)))</f>
        <v/>
      </c>
    </row>
    <row r="60" customFormat="false" ht="15" hidden="false" customHeight="false" outlineLevel="0" collapsed="false">
      <c r="A60" s="12"/>
      <c r="B60" s="12"/>
      <c r="C60" s="12"/>
      <c r="D60" s="13"/>
      <c r="E60" s="12"/>
      <c r="F60" s="14"/>
      <c r="G60" s="13"/>
      <c r="H60" s="12"/>
      <c r="I60" s="14"/>
      <c r="J60" s="14"/>
      <c r="K60" s="13"/>
      <c r="L60" s="9" t="str">
        <f aca="false">IF(V60=0,"",IF($G60="","",$E60&amp;" to "&amp;$H60&amp;IF($H60="Part-Time"," "&amp;N($I60)&amp;" hrs","")&amp;" on "&amp;TEXT($G60,"dd/mm/yyyy")&amp;IF($G60&gt;AsOfDate," (future)",IF(AA60=AC60,"",IF(AC60="None"," - STOPPED accruing",IF(AA60="None"," - now qualifying"," - pathway changed"))))))</f>
        <v/>
      </c>
      <c r="M60" s="9" t="str">
        <f aca="false">IF(V60=0,"",IF(W60=1,"Terminated",IF(AC60="None",IF(O60&gt;0,"No longer accruing","Not eligible - "&amp;IF(AND(AC60="None",IF(AH60&lt;&gt;"",$H60,$E60)="Part-Time"),"under "&amp;PT_MinHours&amp;" hrs",IF(AH60&lt;&gt;"",$H60,$E60))),IF(O60&gt;0,"Yes - accruing","Not yet - from "&amp;TEXT(Q60,"dd/mm/yyyy")))))</f>
        <v/>
      </c>
      <c r="N60" s="9" t="str">
        <f aca="false">IF(V60=0,"",IF(Y60&lt;0,"-",INT(Y60/12)&amp;"y "&amp;MOD(Y60,12)&amp;"m"))</f>
        <v/>
      </c>
      <c r="O60" s="10" t="str">
        <f aca="false">IF(V60=0,"",AD60+IF(AH60="",0,AF60-AE60))</f>
        <v/>
      </c>
      <c r="P60" s="10" t="str">
        <f aca="false">IF(V60=0,"",O60*HoursPerDay)</f>
        <v/>
      </c>
      <c r="Q60" s="11" t="str">
        <f aca="false">IF(V60=0,"",IF(OR(W60=1,AC60="None"),"",EDATE(($D60+N($J60)),AG60)))</f>
        <v/>
      </c>
      <c r="R60" s="10" t="str">
        <f aca="false">IF(V60=0,"",IF(NOT(EH_Ready),"",SUMIFS(INDEX(EH_Data,0,EH_ColBal),INDEX(EH_Data,0,EH_ColFirst),$A60,INDEX(EH_Data,0,EH_ColSur),$B60,INDEX(EH_Data,0,EH_ColCat),BonusCat)/IF(EHUnit="Hours",HoursPerDay,1)))</f>
        <v/>
      </c>
      <c r="S60" s="10" t="str">
        <f aca="false">IF(OR(V60=0,R60="",W60=1),"",O60-R60)</f>
        <v/>
      </c>
      <c r="T60" s="10" t="str">
        <f aca="false">IF(S60="","",S60*HoursPerDay)</f>
        <v/>
      </c>
      <c r="U60" s="9" t="str">
        <f aca="false">IF(V60=0,"",IF(W60=1,IF(N(R60)&gt;0,"TERMINATED - forfeit "&amp;TEXT(R60,"0.##")&amp;" days in EH","Terminated"),IF(NOT(EH_Ready),"Paste EH export (see Settings)",IF(S60&gt;0,"ADD "&amp;TEXT(S60,"0.##")&amp;" day(s) = "&amp;TEXT(T60,"0.##")&amp;" hrs in EH",IF(S60&lt;0,"CHECK - EH has "&amp;TEXT(-S60,"0.##")&amp;" days more than policy",IF(O60&gt;0,"OK","-"))))))</f>
        <v/>
      </c>
      <c r="V60" s="9" t="n">
        <f aca="false">IF(OR(LEN($A60&amp;$B60)=0,$D60=""),0,1)</f>
        <v>0</v>
      </c>
      <c r="W60" s="9" t="n">
        <f aca="false">IF(V60=0,0,IF(AND($K60&lt;&gt;"",$K60&lt;=AsOfDate),1,0))</f>
        <v>0</v>
      </c>
      <c r="X60" s="11" t="str">
        <f aca="false">IF(V60=0,"",IF($K60="",AsOfDate,MIN(AsOfDate,$K60)))</f>
        <v/>
      </c>
      <c r="Y60" s="9" t="str">
        <f aca="false">IF(V60=0,"",IF(X60&lt;($D60+N($J60)),-1,12*(YEAR(X60)-YEAR(($D60+N($J60))))+MONTH(X60)-MONTH(($D60+N($J60)))-IF(DAY(X60)&lt;MIN(DAY(($D60+N($J60))),DAY(EOMONTH(X60,0))),1,0)))</f>
        <v/>
      </c>
      <c r="Z60" s="9" t="str">
        <f aca="false">IF(V60=0,"",IF(AH60="",Y60,IF((AH60-1)&lt;($D60+N($J60)),-1,12*(YEAR((AH60-1))-YEAR(($D60+N($J60))))+MONTH((AH60-1))-MONTH(($D60+N($J60)))-IF(DAY((AH60-1))&lt;MIN(DAY(($D60+N($J60))),DAY(EOMONTH((AH60-1),0))),1,0))))</f>
        <v/>
      </c>
      <c r="AA60" s="9" t="str">
        <f aca="false">IF(V60=0,"",IF($E60="Full-Time","FT",IF(AND($E60="Part-Time",N($F60)&gt;=PT_MinHours),"PT","None")))</f>
        <v/>
      </c>
      <c r="AB60" s="9" t="str">
        <f aca="false">IF(V60=0,"",IF($H60="Full-Time","FT",IF(AND($H60="Part-Time",N($I60)&gt;=PT_MinHours),"PT","None")))</f>
        <v/>
      </c>
      <c r="AC60" s="9" t="str">
        <f aca="false">IF(V60=0,"",IF(AH60&lt;&gt;"",AB60,AA60))</f>
        <v/>
      </c>
      <c r="AD60" s="9" t="str">
        <f aca="false">IF(V60=0,"",IF(AA60="FT",IF(Z60&lt;FT_First,0,IF(Z60&lt;FT_Y5,1+INT((Z60-FT_First)/FT_Int1),FT_PreY5+FT_PerYear*INT((Z60-FT_Y5)/12)+FT_AnnivDays+INT(MOD(Z60-FT_Y5,12)/FT_Int2))),IF(AA60="PT",IF(Z60&lt;PT_First,0,1+INT((Z60-PT_First)/PT_Int)),0)))</f>
        <v/>
      </c>
      <c r="AE60" s="9" t="str">
        <f aca="false">IF(V60=0,"",IF(AB60="FT",IF(Z60&lt;FT_First,0,IF(Z60&lt;FT_Y5,1+INT((Z60-FT_First)/FT_Int1),FT_PreY5+FT_PerYear*INT((Z60-FT_Y5)/12)+FT_AnnivDays+INT(MOD(Z60-FT_Y5,12)/FT_Int2))),IF(AB60="PT",IF(Z60&lt;PT_First,0,1+INT((Z60-PT_First)/PT_Int)),0)))</f>
        <v/>
      </c>
      <c r="AF60" s="9" t="str">
        <f aca="false">IF(V60=0,"",IF(AB60="FT",IF(Y60&lt;FT_First,0,IF(Y60&lt;FT_Y5,1+INT((Y60-FT_First)/FT_Int1),FT_PreY5+FT_PerYear*INT((Y60-FT_Y5)/12)+FT_AnnivDays+INT(MOD(Y60-FT_Y5,12)/FT_Int2))),IF(AB60="PT",IF(Y60&lt;PT_First,0,1+INT((Y60-PT_First)/PT_Int)),0)))</f>
        <v/>
      </c>
      <c r="AG60" s="9" t="str">
        <f aca="false">IF(V60=0,"",IF(AC60="FT",IF(Y60&lt;FT_First,FT_First,IF(Y60&lt;FT_Y5,MIN(FT_Y5,FT_First+FT_Int1*(INT((Y60-FT_First)/FT_Int1)+1)),FT_Y5+12*INT((Y60-FT_Y5)/12)+FT_Int2*(INT(MOD(Y60-FT_Y5,12)/FT_Int2)+1))),IF(AC60="PT",IF(Y60&lt;PT_First,PT_First,PT_First+PT_Int*(INT((Y60-PT_First)/PT_Int)+1)),"")))</f>
        <v/>
      </c>
      <c r="AH60" s="11" t="str">
        <f aca="false">IF(V60=0,"",IF($G60="","",IF($G60&gt;X60,"",$G60)))</f>
        <v/>
      </c>
    </row>
    <row r="61" customFormat="false" ht="15" hidden="false" customHeight="false" outlineLevel="0" collapsed="false">
      <c r="A61" s="12"/>
      <c r="B61" s="12"/>
      <c r="C61" s="12"/>
      <c r="D61" s="13"/>
      <c r="E61" s="12"/>
      <c r="F61" s="14"/>
      <c r="G61" s="13"/>
      <c r="H61" s="12"/>
      <c r="I61" s="14"/>
      <c r="J61" s="14"/>
      <c r="K61" s="13"/>
      <c r="L61" s="9" t="str">
        <f aca="false">IF(V61=0,"",IF($G61="","",$E61&amp;" to "&amp;$H61&amp;IF($H61="Part-Time"," "&amp;N($I61)&amp;" hrs","")&amp;" on "&amp;TEXT($G61,"dd/mm/yyyy")&amp;IF($G61&gt;AsOfDate," (future)",IF(AA61=AC61,"",IF(AC61="None"," - STOPPED accruing",IF(AA61="None"," - now qualifying"," - pathway changed"))))))</f>
        <v/>
      </c>
      <c r="M61" s="9" t="str">
        <f aca="false">IF(V61=0,"",IF(W61=1,"Terminated",IF(AC61="None",IF(O61&gt;0,"No longer accruing","Not eligible - "&amp;IF(AND(AC61="None",IF(AH61&lt;&gt;"",$H61,$E61)="Part-Time"),"under "&amp;PT_MinHours&amp;" hrs",IF(AH61&lt;&gt;"",$H61,$E61))),IF(O61&gt;0,"Yes - accruing","Not yet - from "&amp;TEXT(Q61,"dd/mm/yyyy")))))</f>
        <v/>
      </c>
      <c r="N61" s="9" t="str">
        <f aca="false">IF(V61=0,"",IF(Y61&lt;0,"-",INT(Y61/12)&amp;"y "&amp;MOD(Y61,12)&amp;"m"))</f>
        <v/>
      </c>
      <c r="O61" s="10" t="str">
        <f aca="false">IF(V61=0,"",AD61+IF(AH61="",0,AF61-AE61))</f>
        <v/>
      </c>
      <c r="P61" s="10" t="str">
        <f aca="false">IF(V61=0,"",O61*HoursPerDay)</f>
        <v/>
      </c>
      <c r="Q61" s="11" t="str">
        <f aca="false">IF(V61=0,"",IF(OR(W61=1,AC61="None"),"",EDATE(($D61+N($J61)),AG61)))</f>
        <v/>
      </c>
      <c r="R61" s="10" t="str">
        <f aca="false">IF(V61=0,"",IF(NOT(EH_Ready),"",SUMIFS(INDEX(EH_Data,0,EH_ColBal),INDEX(EH_Data,0,EH_ColFirst),$A61,INDEX(EH_Data,0,EH_ColSur),$B61,INDEX(EH_Data,0,EH_ColCat),BonusCat)/IF(EHUnit="Hours",HoursPerDay,1)))</f>
        <v/>
      </c>
      <c r="S61" s="10" t="str">
        <f aca="false">IF(OR(V61=0,R61="",W61=1),"",O61-R61)</f>
        <v/>
      </c>
      <c r="T61" s="10" t="str">
        <f aca="false">IF(S61="","",S61*HoursPerDay)</f>
        <v/>
      </c>
      <c r="U61" s="9" t="str">
        <f aca="false">IF(V61=0,"",IF(W61=1,IF(N(R61)&gt;0,"TERMINATED - forfeit "&amp;TEXT(R61,"0.##")&amp;" days in EH","Terminated"),IF(NOT(EH_Ready),"Paste EH export (see Settings)",IF(S61&gt;0,"ADD "&amp;TEXT(S61,"0.##")&amp;" day(s) = "&amp;TEXT(T61,"0.##")&amp;" hrs in EH",IF(S61&lt;0,"CHECK - EH has "&amp;TEXT(-S61,"0.##")&amp;" days more than policy",IF(O61&gt;0,"OK","-"))))))</f>
        <v/>
      </c>
      <c r="V61" s="9" t="n">
        <f aca="false">IF(OR(LEN($A61&amp;$B61)=0,$D61=""),0,1)</f>
        <v>0</v>
      </c>
      <c r="W61" s="9" t="n">
        <f aca="false">IF(V61=0,0,IF(AND($K61&lt;&gt;"",$K61&lt;=AsOfDate),1,0))</f>
        <v>0</v>
      </c>
      <c r="X61" s="11" t="str">
        <f aca="false">IF(V61=0,"",IF($K61="",AsOfDate,MIN(AsOfDate,$K61)))</f>
        <v/>
      </c>
      <c r="Y61" s="9" t="str">
        <f aca="false">IF(V61=0,"",IF(X61&lt;($D61+N($J61)),-1,12*(YEAR(X61)-YEAR(($D61+N($J61))))+MONTH(X61)-MONTH(($D61+N($J61)))-IF(DAY(X61)&lt;MIN(DAY(($D61+N($J61))),DAY(EOMONTH(X61,0))),1,0)))</f>
        <v/>
      </c>
      <c r="Z61" s="9" t="str">
        <f aca="false">IF(V61=0,"",IF(AH61="",Y61,IF((AH61-1)&lt;($D61+N($J61)),-1,12*(YEAR((AH61-1))-YEAR(($D61+N($J61))))+MONTH((AH61-1))-MONTH(($D61+N($J61)))-IF(DAY((AH61-1))&lt;MIN(DAY(($D61+N($J61))),DAY(EOMONTH((AH61-1),0))),1,0))))</f>
        <v/>
      </c>
      <c r="AA61" s="9" t="str">
        <f aca="false">IF(V61=0,"",IF($E61="Full-Time","FT",IF(AND($E61="Part-Time",N($F61)&gt;=PT_MinHours),"PT","None")))</f>
        <v/>
      </c>
      <c r="AB61" s="9" t="str">
        <f aca="false">IF(V61=0,"",IF($H61="Full-Time","FT",IF(AND($H61="Part-Time",N($I61)&gt;=PT_MinHours),"PT","None")))</f>
        <v/>
      </c>
      <c r="AC61" s="9" t="str">
        <f aca="false">IF(V61=0,"",IF(AH61&lt;&gt;"",AB61,AA61))</f>
        <v/>
      </c>
      <c r="AD61" s="9" t="str">
        <f aca="false">IF(V61=0,"",IF(AA61="FT",IF(Z61&lt;FT_First,0,IF(Z61&lt;FT_Y5,1+INT((Z61-FT_First)/FT_Int1),FT_PreY5+FT_PerYear*INT((Z61-FT_Y5)/12)+FT_AnnivDays+INT(MOD(Z61-FT_Y5,12)/FT_Int2))),IF(AA61="PT",IF(Z61&lt;PT_First,0,1+INT((Z61-PT_First)/PT_Int)),0)))</f>
        <v/>
      </c>
      <c r="AE61" s="9" t="str">
        <f aca="false">IF(V61=0,"",IF(AB61="FT",IF(Z61&lt;FT_First,0,IF(Z61&lt;FT_Y5,1+INT((Z61-FT_First)/FT_Int1),FT_PreY5+FT_PerYear*INT((Z61-FT_Y5)/12)+FT_AnnivDays+INT(MOD(Z61-FT_Y5,12)/FT_Int2))),IF(AB61="PT",IF(Z61&lt;PT_First,0,1+INT((Z61-PT_First)/PT_Int)),0)))</f>
        <v/>
      </c>
      <c r="AF61" s="9" t="str">
        <f aca="false">IF(V61=0,"",IF(AB61="FT",IF(Y61&lt;FT_First,0,IF(Y61&lt;FT_Y5,1+INT((Y61-FT_First)/FT_Int1),FT_PreY5+FT_PerYear*INT((Y61-FT_Y5)/12)+FT_AnnivDays+INT(MOD(Y61-FT_Y5,12)/FT_Int2))),IF(AB61="PT",IF(Y61&lt;PT_First,0,1+INT((Y61-PT_First)/PT_Int)),0)))</f>
        <v/>
      </c>
      <c r="AG61" s="9" t="str">
        <f aca="false">IF(V61=0,"",IF(AC61="FT",IF(Y61&lt;FT_First,FT_First,IF(Y61&lt;FT_Y5,MIN(FT_Y5,FT_First+FT_Int1*(INT((Y61-FT_First)/FT_Int1)+1)),FT_Y5+12*INT((Y61-FT_Y5)/12)+FT_Int2*(INT(MOD(Y61-FT_Y5,12)/FT_Int2)+1))),IF(AC61="PT",IF(Y61&lt;PT_First,PT_First,PT_First+PT_Int*(INT((Y61-PT_First)/PT_Int)+1)),"")))</f>
        <v/>
      </c>
      <c r="AH61" s="11" t="str">
        <f aca="false">IF(V61=0,"",IF($G61="","",IF($G61&gt;X61,"",$G61)))</f>
        <v/>
      </c>
    </row>
    <row r="62" customFormat="false" ht="15" hidden="false" customHeight="false" outlineLevel="0" collapsed="false">
      <c r="A62" s="12"/>
      <c r="B62" s="12"/>
      <c r="C62" s="12"/>
      <c r="D62" s="13"/>
      <c r="E62" s="12"/>
      <c r="F62" s="14"/>
      <c r="G62" s="13"/>
      <c r="H62" s="12"/>
      <c r="I62" s="14"/>
      <c r="J62" s="14"/>
      <c r="K62" s="13"/>
      <c r="L62" s="9" t="str">
        <f aca="false">IF(V62=0,"",IF($G62="","",$E62&amp;" to "&amp;$H62&amp;IF($H62="Part-Time"," "&amp;N($I62)&amp;" hrs","")&amp;" on "&amp;TEXT($G62,"dd/mm/yyyy")&amp;IF($G62&gt;AsOfDate," (future)",IF(AA62=AC62,"",IF(AC62="None"," - STOPPED accruing",IF(AA62="None"," - now qualifying"," - pathway changed"))))))</f>
        <v/>
      </c>
      <c r="M62" s="9" t="str">
        <f aca="false">IF(V62=0,"",IF(W62=1,"Terminated",IF(AC62="None",IF(O62&gt;0,"No longer accruing","Not eligible - "&amp;IF(AND(AC62="None",IF(AH62&lt;&gt;"",$H62,$E62)="Part-Time"),"under "&amp;PT_MinHours&amp;" hrs",IF(AH62&lt;&gt;"",$H62,$E62))),IF(O62&gt;0,"Yes - accruing","Not yet - from "&amp;TEXT(Q62,"dd/mm/yyyy")))))</f>
        <v/>
      </c>
      <c r="N62" s="9" t="str">
        <f aca="false">IF(V62=0,"",IF(Y62&lt;0,"-",INT(Y62/12)&amp;"y "&amp;MOD(Y62,12)&amp;"m"))</f>
        <v/>
      </c>
      <c r="O62" s="10" t="str">
        <f aca="false">IF(V62=0,"",AD62+IF(AH62="",0,AF62-AE62))</f>
        <v/>
      </c>
      <c r="P62" s="10" t="str">
        <f aca="false">IF(V62=0,"",O62*HoursPerDay)</f>
        <v/>
      </c>
      <c r="Q62" s="11" t="str">
        <f aca="false">IF(V62=0,"",IF(OR(W62=1,AC62="None"),"",EDATE(($D62+N($J62)),AG62)))</f>
        <v/>
      </c>
      <c r="R62" s="10" t="str">
        <f aca="false">IF(V62=0,"",IF(NOT(EH_Ready),"",SUMIFS(INDEX(EH_Data,0,EH_ColBal),INDEX(EH_Data,0,EH_ColFirst),$A62,INDEX(EH_Data,0,EH_ColSur),$B62,INDEX(EH_Data,0,EH_ColCat),BonusCat)/IF(EHUnit="Hours",HoursPerDay,1)))</f>
        <v/>
      </c>
      <c r="S62" s="10" t="str">
        <f aca="false">IF(OR(V62=0,R62="",W62=1),"",O62-R62)</f>
        <v/>
      </c>
      <c r="T62" s="10" t="str">
        <f aca="false">IF(S62="","",S62*HoursPerDay)</f>
        <v/>
      </c>
      <c r="U62" s="9" t="str">
        <f aca="false">IF(V62=0,"",IF(W62=1,IF(N(R62)&gt;0,"TERMINATED - forfeit "&amp;TEXT(R62,"0.##")&amp;" days in EH","Terminated"),IF(NOT(EH_Ready),"Paste EH export (see Settings)",IF(S62&gt;0,"ADD "&amp;TEXT(S62,"0.##")&amp;" day(s) = "&amp;TEXT(T62,"0.##")&amp;" hrs in EH",IF(S62&lt;0,"CHECK - EH has "&amp;TEXT(-S62,"0.##")&amp;" days more than policy",IF(O62&gt;0,"OK","-"))))))</f>
        <v/>
      </c>
      <c r="V62" s="9" t="n">
        <f aca="false">IF(OR(LEN($A62&amp;$B62)=0,$D62=""),0,1)</f>
        <v>0</v>
      </c>
      <c r="W62" s="9" t="n">
        <f aca="false">IF(V62=0,0,IF(AND($K62&lt;&gt;"",$K62&lt;=AsOfDate),1,0))</f>
        <v>0</v>
      </c>
      <c r="X62" s="11" t="str">
        <f aca="false">IF(V62=0,"",IF($K62="",AsOfDate,MIN(AsOfDate,$K62)))</f>
        <v/>
      </c>
      <c r="Y62" s="9" t="str">
        <f aca="false">IF(V62=0,"",IF(X62&lt;($D62+N($J62)),-1,12*(YEAR(X62)-YEAR(($D62+N($J62))))+MONTH(X62)-MONTH(($D62+N($J62)))-IF(DAY(X62)&lt;MIN(DAY(($D62+N($J62))),DAY(EOMONTH(X62,0))),1,0)))</f>
        <v/>
      </c>
      <c r="Z62" s="9" t="str">
        <f aca="false">IF(V62=0,"",IF(AH62="",Y62,IF((AH62-1)&lt;($D62+N($J62)),-1,12*(YEAR((AH62-1))-YEAR(($D62+N($J62))))+MONTH((AH62-1))-MONTH(($D62+N($J62)))-IF(DAY((AH62-1))&lt;MIN(DAY(($D62+N($J62))),DAY(EOMONTH((AH62-1),0))),1,0))))</f>
        <v/>
      </c>
      <c r="AA62" s="9" t="str">
        <f aca="false">IF(V62=0,"",IF($E62="Full-Time","FT",IF(AND($E62="Part-Time",N($F62)&gt;=PT_MinHours),"PT","None")))</f>
        <v/>
      </c>
      <c r="AB62" s="9" t="str">
        <f aca="false">IF(V62=0,"",IF($H62="Full-Time","FT",IF(AND($H62="Part-Time",N($I62)&gt;=PT_MinHours),"PT","None")))</f>
        <v/>
      </c>
      <c r="AC62" s="9" t="str">
        <f aca="false">IF(V62=0,"",IF(AH62&lt;&gt;"",AB62,AA62))</f>
        <v/>
      </c>
      <c r="AD62" s="9" t="str">
        <f aca="false">IF(V62=0,"",IF(AA62="FT",IF(Z62&lt;FT_First,0,IF(Z62&lt;FT_Y5,1+INT((Z62-FT_First)/FT_Int1),FT_PreY5+FT_PerYear*INT((Z62-FT_Y5)/12)+FT_AnnivDays+INT(MOD(Z62-FT_Y5,12)/FT_Int2))),IF(AA62="PT",IF(Z62&lt;PT_First,0,1+INT((Z62-PT_First)/PT_Int)),0)))</f>
        <v/>
      </c>
      <c r="AE62" s="9" t="str">
        <f aca="false">IF(V62=0,"",IF(AB62="FT",IF(Z62&lt;FT_First,0,IF(Z62&lt;FT_Y5,1+INT((Z62-FT_First)/FT_Int1),FT_PreY5+FT_PerYear*INT((Z62-FT_Y5)/12)+FT_AnnivDays+INT(MOD(Z62-FT_Y5,12)/FT_Int2))),IF(AB62="PT",IF(Z62&lt;PT_First,0,1+INT((Z62-PT_First)/PT_Int)),0)))</f>
        <v/>
      </c>
      <c r="AF62" s="9" t="str">
        <f aca="false">IF(V62=0,"",IF(AB62="FT",IF(Y62&lt;FT_First,0,IF(Y62&lt;FT_Y5,1+INT((Y62-FT_First)/FT_Int1),FT_PreY5+FT_PerYear*INT((Y62-FT_Y5)/12)+FT_AnnivDays+INT(MOD(Y62-FT_Y5,12)/FT_Int2))),IF(AB62="PT",IF(Y62&lt;PT_First,0,1+INT((Y62-PT_First)/PT_Int)),0)))</f>
        <v/>
      </c>
      <c r="AG62" s="9" t="str">
        <f aca="false">IF(V62=0,"",IF(AC62="FT",IF(Y62&lt;FT_First,FT_First,IF(Y62&lt;FT_Y5,MIN(FT_Y5,FT_First+FT_Int1*(INT((Y62-FT_First)/FT_Int1)+1)),FT_Y5+12*INT((Y62-FT_Y5)/12)+FT_Int2*(INT(MOD(Y62-FT_Y5,12)/FT_Int2)+1))),IF(AC62="PT",IF(Y62&lt;PT_First,PT_First,PT_First+PT_Int*(INT((Y62-PT_First)/PT_Int)+1)),"")))</f>
        <v/>
      </c>
      <c r="AH62" s="11" t="str">
        <f aca="false">IF(V62=0,"",IF($G62="","",IF($G62&gt;X62,"",$G62)))</f>
        <v/>
      </c>
    </row>
    <row r="63" customFormat="false" ht="15" hidden="false" customHeight="false" outlineLevel="0" collapsed="false">
      <c r="A63" s="12"/>
      <c r="B63" s="12"/>
      <c r="C63" s="12"/>
      <c r="D63" s="13"/>
      <c r="E63" s="12"/>
      <c r="F63" s="14"/>
      <c r="G63" s="13"/>
      <c r="H63" s="12"/>
      <c r="I63" s="14"/>
      <c r="J63" s="14"/>
      <c r="K63" s="13"/>
      <c r="L63" s="9" t="str">
        <f aca="false">IF(V63=0,"",IF($G63="","",$E63&amp;" to "&amp;$H63&amp;IF($H63="Part-Time"," "&amp;N($I63)&amp;" hrs","")&amp;" on "&amp;TEXT($G63,"dd/mm/yyyy")&amp;IF($G63&gt;AsOfDate," (future)",IF(AA63=AC63,"",IF(AC63="None"," - STOPPED accruing",IF(AA63="None"," - now qualifying"," - pathway changed"))))))</f>
        <v/>
      </c>
      <c r="M63" s="9" t="str">
        <f aca="false">IF(V63=0,"",IF(W63=1,"Terminated",IF(AC63="None",IF(O63&gt;0,"No longer accruing","Not eligible - "&amp;IF(AND(AC63="None",IF(AH63&lt;&gt;"",$H63,$E63)="Part-Time"),"under "&amp;PT_MinHours&amp;" hrs",IF(AH63&lt;&gt;"",$H63,$E63))),IF(O63&gt;0,"Yes - accruing","Not yet - from "&amp;TEXT(Q63,"dd/mm/yyyy")))))</f>
        <v/>
      </c>
      <c r="N63" s="9" t="str">
        <f aca="false">IF(V63=0,"",IF(Y63&lt;0,"-",INT(Y63/12)&amp;"y "&amp;MOD(Y63,12)&amp;"m"))</f>
        <v/>
      </c>
      <c r="O63" s="10" t="str">
        <f aca="false">IF(V63=0,"",AD63+IF(AH63="",0,AF63-AE63))</f>
        <v/>
      </c>
      <c r="P63" s="10" t="str">
        <f aca="false">IF(V63=0,"",O63*HoursPerDay)</f>
        <v/>
      </c>
      <c r="Q63" s="11" t="str">
        <f aca="false">IF(V63=0,"",IF(OR(W63=1,AC63="None"),"",EDATE(($D63+N($J63)),AG63)))</f>
        <v/>
      </c>
      <c r="R63" s="10" t="str">
        <f aca="false">IF(V63=0,"",IF(NOT(EH_Ready),"",SUMIFS(INDEX(EH_Data,0,EH_ColBal),INDEX(EH_Data,0,EH_ColFirst),$A63,INDEX(EH_Data,0,EH_ColSur),$B63,INDEX(EH_Data,0,EH_ColCat),BonusCat)/IF(EHUnit="Hours",HoursPerDay,1)))</f>
        <v/>
      </c>
      <c r="S63" s="10" t="str">
        <f aca="false">IF(OR(V63=0,R63="",W63=1),"",O63-R63)</f>
        <v/>
      </c>
      <c r="T63" s="10" t="str">
        <f aca="false">IF(S63="","",S63*HoursPerDay)</f>
        <v/>
      </c>
      <c r="U63" s="9" t="str">
        <f aca="false">IF(V63=0,"",IF(W63=1,IF(N(R63)&gt;0,"TERMINATED - forfeit "&amp;TEXT(R63,"0.##")&amp;" days in EH","Terminated"),IF(NOT(EH_Ready),"Paste EH export (see Settings)",IF(S63&gt;0,"ADD "&amp;TEXT(S63,"0.##")&amp;" day(s) = "&amp;TEXT(T63,"0.##")&amp;" hrs in EH",IF(S63&lt;0,"CHECK - EH has "&amp;TEXT(-S63,"0.##")&amp;" days more than policy",IF(O63&gt;0,"OK","-"))))))</f>
        <v/>
      </c>
      <c r="V63" s="9" t="n">
        <f aca="false">IF(OR(LEN($A63&amp;$B63)=0,$D63=""),0,1)</f>
        <v>0</v>
      </c>
      <c r="W63" s="9" t="n">
        <f aca="false">IF(V63=0,0,IF(AND($K63&lt;&gt;"",$K63&lt;=AsOfDate),1,0))</f>
        <v>0</v>
      </c>
      <c r="X63" s="11" t="str">
        <f aca="false">IF(V63=0,"",IF($K63="",AsOfDate,MIN(AsOfDate,$K63)))</f>
        <v/>
      </c>
      <c r="Y63" s="9" t="str">
        <f aca="false">IF(V63=0,"",IF(X63&lt;($D63+N($J63)),-1,12*(YEAR(X63)-YEAR(($D63+N($J63))))+MONTH(X63)-MONTH(($D63+N($J63)))-IF(DAY(X63)&lt;MIN(DAY(($D63+N($J63))),DAY(EOMONTH(X63,0))),1,0)))</f>
        <v/>
      </c>
      <c r="Z63" s="9" t="str">
        <f aca="false">IF(V63=0,"",IF(AH63="",Y63,IF((AH63-1)&lt;($D63+N($J63)),-1,12*(YEAR((AH63-1))-YEAR(($D63+N($J63))))+MONTH((AH63-1))-MONTH(($D63+N($J63)))-IF(DAY((AH63-1))&lt;MIN(DAY(($D63+N($J63))),DAY(EOMONTH((AH63-1),0))),1,0))))</f>
        <v/>
      </c>
      <c r="AA63" s="9" t="str">
        <f aca="false">IF(V63=0,"",IF($E63="Full-Time","FT",IF(AND($E63="Part-Time",N($F63)&gt;=PT_MinHours),"PT","None")))</f>
        <v/>
      </c>
      <c r="AB63" s="9" t="str">
        <f aca="false">IF(V63=0,"",IF($H63="Full-Time","FT",IF(AND($H63="Part-Time",N($I63)&gt;=PT_MinHours),"PT","None")))</f>
        <v/>
      </c>
      <c r="AC63" s="9" t="str">
        <f aca="false">IF(V63=0,"",IF(AH63&lt;&gt;"",AB63,AA63))</f>
        <v/>
      </c>
      <c r="AD63" s="9" t="str">
        <f aca="false">IF(V63=0,"",IF(AA63="FT",IF(Z63&lt;FT_First,0,IF(Z63&lt;FT_Y5,1+INT((Z63-FT_First)/FT_Int1),FT_PreY5+FT_PerYear*INT((Z63-FT_Y5)/12)+FT_AnnivDays+INT(MOD(Z63-FT_Y5,12)/FT_Int2))),IF(AA63="PT",IF(Z63&lt;PT_First,0,1+INT((Z63-PT_First)/PT_Int)),0)))</f>
        <v/>
      </c>
      <c r="AE63" s="9" t="str">
        <f aca="false">IF(V63=0,"",IF(AB63="FT",IF(Z63&lt;FT_First,0,IF(Z63&lt;FT_Y5,1+INT((Z63-FT_First)/FT_Int1),FT_PreY5+FT_PerYear*INT((Z63-FT_Y5)/12)+FT_AnnivDays+INT(MOD(Z63-FT_Y5,12)/FT_Int2))),IF(AB63="PT",IF(Z63&lt;PT_First,0,1+INT((Z63-PT_First)/PT_Int)),0)))</f>
        <v/>
      </c>
      <c r="AF63" s="9" t="str">
        <f aca="false">IF(V63=0,"",IF(AB63="FT",IF(Y63&lt;FT_First,0,IF(Y63&lt;FT_Y5,1+INT((Y63-FT_First)/FT_Int1),FT_PreY5+FT_PerYear*INT((Y63-FT_Y5)/12)+FT_AnnivDays+INT(MOD(Y63-FT_Y5,12)/FT_Int2))),IF(AB63="PT",IF(Y63&lt;PT_First,0,1+INT((Y63-PT_First)/PT_Int)),0)))</f>
        <v/>
      </c>
      <c r="AG63" s="9" t="str">
        <f aca="false">IF(V63=0,"",IF(AC63="FT",IF(Y63&lt;FT_First,FT_First,IF(Y63&lt;FT_Y5,MIN(FT_Y5,FT_First+FT_Int1*(INT((Y63-FT_First)/FT_Int1)+1)),FT_Y5+12*INT((Y63-FT_Y5)/12)+FT_Int2*(INT(MOD(Y63-FT_Y5,12)/FT_Int2)+1))),IF(AC63="PT",IF(Y63&lt;PT_First,PT_First,PT_First+PT_Int*(INT((Y63-PT_First)/PT_Int)+1)),"")))</f>
        <v/>
      </c>
      <c r="AH63" s="11" t="str">
        <f aca="false">IF(V63=0,"",IF($G63="","",IF($G63&gt;X63,"",$G63)))</f>
        <v/>
      </c>
    </row>
    <row r="64" customFormat="false" ht="15" hidden="false" customHeight="false" outlineLevel="0" collapsed="false">
      <c r="A64" s="12"/>
      <c r="B64" s="12"/>
      <c r="C64" s="12"/>
      <c r="D64" s="13"/>
      <c r="E64" s="12"/>
      <c r="F64" s="14"/>
      <c r="G64" s="13"/>
      <c r="H64" s="12"/>
      <c r="I64" s="14"/>
      <c r="J64" s="14"/>
      <c r="K64" s="13"/>
      <c r="L64" s="9" t="str">
        <f aca="false">IF(V64=0,"",IF($G64="","",$E64&amp;" to "&amp;$H64&amp;IF($H64="Part-Time"," "&amp;N($I64)&amp;" hrs","")&amp;" on "&amp;TEXT($G64,"dd/mm/yyyy")&amp;IF($G64&gt;AsOfDate," (future)",IF(AA64=AC64,"",IF(AC64="None"," - STOPPED accruing",IF(AA64="None"," - now qualifying"," - pathway changed"))))))</f>
        <v/>
      </c>
      <c r="M64" s="9" t="str">
        <f aca="false">IF(V64=0,"",IF(W64=1,"Terminated",IF(AC64="None",IF(O64&gt;0,"No longer accruing","Not eligible - "&amp;IF(AND(AC64="None",IF(AH64&lt;&gt;"",$H64,$E64)="Part-Time"),"under "&amp;PT_MinHours&amp;" hrs",IF(AH64&lt;&gt;"",$H64,$E64))),IF(O64&gt;0,"Yes - accruing","Not yet - from "&amp;TEXT(Q64,"dd/mm/yyyy")))))</f>
        <v/>
      </c>
      <c r="N64" s="9" t="str">
        <f aca="false">IF(V64=0,"",IF(Y64&lt;0,"-",INT(Y64/12)&amp;"y "&amp;MOD(Y64,12)&amp;"m"))</f>
        <v/>
      </c>
      <c r="O64" s="10" t="str">
        <f aca="false">IF(V64=0,"",AD64+IF(AH64="",0,AF64-AE64))</f>
        <v/>
      </c>
      <c r="P64" s="10" t="str">
        <f aca="false">IF(V64=0,"",O64*HoursPerDay)</f>
        <v/>
      </c>
      <c r="Q64" s="11" t="str">
        <f aca="false">IF(V64=0,"",IF(OR(W64=1,AC64="None"),"",EDATE(($D64+N($J64)),AG64)))</f>
        <v/>
      </c>
      <c r="R64" s="10" t="str">
        <f aca="false">IF(V64=0,"",IF(NOT(EH_Ready),"",SUMIFS(INDEX(EH_Data,0,EH_ColBal),INDEX(EH_Data,0,EH_ColFirst),$A64,INDEX(EH_Data,0,EH_ColSur),$B64,INDEX(EH_Data,0,EH_ColCat),BonusCat)/IF(EHUnit="Hours",HoursPerDay,1)))</f>
        <v/>
      </c>
      <c r="S64" s="10" t="str">
        <f aca="false">IF(OR(V64=0,R64="",W64=1),"",O64-R64)</f>
        <v/>
      </c>
      <c r="T64" s="10" t="str">
        <f aca="false">IF(S64="","",S64*HoursPerDay)</f>
        <v/>
      </c>
      <c r="U64" s="9" t="str">
        <f aca="false">IF(V64=0,"",IF(W64=1,IF(N(R64)&gt;0,"TERMINATED - forfeit "&amp;TEXT(R64,"0.##")&amp;" days in EH","Terminated"),IF(NOT(EH_Ready),"Paste EH export (see Settings)",IF(S64&gt;0,"ADD "&amp;TEXT(S64,"0.##")&amp;" day(s) = "&amp;TEXT(T64,"0.##")&amp;" hrs in EH",IF(S64&lt;0,"CHECK - EH has "&amp;TEXT(-S64,"0.##")&amp;" days more than policy",IF(O64&gt;0,"OK","-"))))))</f>
        <v/>
      </c>
      <c r="V64" s="9" t="n">
        <f aca="false">IF(OR(LEN($A64&amp;$B64)=0,$D64=""),0,1)</f>
        <v>0</v>
      </c>
      <c r="W64" s="9" t="n">
        <f aca="false">IF(V64=0,0,IF(AND($K64&lt;&gt;"",$K64&lt;=AsOfDate),1,0))</f>
        <v>0</v>
      </c>
      <c r="X64" s="11" t="str">
        <f aca="false">IF(V64=0,"",IF($K64="",AsOfDate,MIN(AsOfDate,$K64)))</f>
        <v/>
      </c>
      <c r="Y64" s="9" t="str">
        <f aca="false">IF(V64=0,"",IF(X64&lt;($D64+N($J64)),-1,12*(YEAR(X64)-YEAR(($D64+N($J64))))+MONTH(X64)-MONTH(($D64+N($J64)))-IF(DAY(X64)&lt;MIN(DAY(($D64+N($J64))),DAY(EOMONTH(X64,0))),1,0)))</f>
        <v/>
      </c>
      <c r="Z64" s="9" t="str">
        <f aca="false">IF(V64=0,"",IF(AH64="",Y64,IF((AH64-1)&lt;($D64+N($J64)),-1,12*(YEAR((AH64-1))-YEAR(($D64+N($J64))))+MONTH((AH64-1))-MONTH(($D64+N($J64)))-IF(DAY((AH64-1))&lt;MIN(DAY(($D64+N($J64))),DAY(EOMONTH((AH64-1),0))),1,0))))</f>
        <v/>
      </c>
      <c r="AA64" s="9" t="str">
        <f aca="false">IF(V64=0,"",IF($E64="Full-Time","FT",IF(AND($E64="Part-Time",N($F64)&gt;=PT_MinHours),"PT","None")))</f>
        <v/>
      </c>
      <c r="AB64" s="9" t="str">
        <f aca="false">IF(V64=0,"",IF($H64="Full-Time","FT",IF(AND($H64="Part-Time",N($I64)&gt;=PT_MinHours),"PT","None")))</f>
        <v/>
      </c>
      <c r="AC64" s="9" t="str">
        <f aca="false">IF(V64=0,"",IF(AH64&lt;&gt;"",AB64,AA64))</f>
        <v/>
      </c>
      <c r="AD64" s="9" t="str">
        <f aca="false">IF(V64=0,"",IF(AA64="FT",IF(Z64&lt;FT_First,0,IF(Z64&lt;FT_Y5,1+INT((Z64-FT_First)/FT_Int1),FT_PreY5+FT_PerYear*INT((Z64-FT_Y5)/12)+FT_AnnivDays+INT(MOD(Z64-FT_Y5,12)/FT_Int2))),IF(AA64="PT",IF(Z64&lt;PT_First,0,1+INT((Z64-PT_First)/PT_Int)),0)))</f>
        <v/>
      </c>
      <c r="AE64" s="9" t="str">
        <f aca="false">IF(V64=0,"",IF(AB64="FT",IF(Z64&lt;FT_First,0,IF(Z64&lt;FT_Y5,1+INT((Z64-FT_First)/FT_Int1),FT_PreY5+FT_PerYear*INT((Z64-FT_Y5)/12)+FT_AnnivDays+INT(MOD(Z64-FT_Y5,12)/FT_Int2))),IF(AB64="PT",IF(Z64&lt;PT_First,0,1+INT((Z64-PT_First)/PT_Int)),0)))</f>
        <v/>
      </c>
      <c r="AF64" s="9" t="str">
        <f aca="false">IF(V64=0,"",IF(AB64="FT",IF(Y64&lt;FT_First,0,IF(Y64&lt;FT_Y5,1+INT((Y64-FT_First)/FT_Int1),FT_PreY5+FT_PerYear*INT((Y64-FT_Y5)/12)+FT_AnnivDays+INT(MOD(Y64-FT_Y5,12)/FT_Int2))),IF(AB64="PT",IF(Y64&lt;PT_First,0,1+INT((Y64-PT_First)/PT_Int)),0)))</f>
        <v/>
      </c>
      <c r="AG64" s="9" t="str">
        <f aca="false">IF(V64=0,"",IF(AC64="FT",IF(Y64&lt;FT_First,FT_First,IF(Y64&lt;FT_Y5,MIN(FT_Y5,FT_First+FT_Int1*(INT((Y64-FT_First)/FT_Int1)+1)),FT_Y5+12*INT((Y64-FT_Y5)/12)+FT_Int2*(INT(MOD(Y64-FT_Y5,12)/FT_Int2)+1))),IF(AC64="PT",IF(Y64&lt;PT_First,PT_First,PT_First+PT_Int*(INT((Y64-PT_First)/PT_Int)+1)),"")))</f>
        <v/>
      </c>
      <c r="AH64" s="11" t="str">
        <f aca="false">IF(V64=0,"",IF($G64="","",IF($G64&gt;X64,"",$G64)))</f>
        <v/>
      </c>
    </row>
    <row r="65" customFormat="false" ht="15" hidden="false" customHeight="false" outlineLevel="0" collapsed="false">
      <c r="A65" s="12"/>
      <c r="B65" s="12"/>
      <c r="C65" s="12"/>
      <c r="D65" s="13"/>
      <c r="E65" s="12"/>
      <c r="F65" s="14"/>
      <c r="G65" s="13"/>
      <c r="H65" s="12"/>
      <c r="I65" s="14"/>
      <c r="J65" s="14"/>
      <c r="K65" s="13"/>
      <c r="L65" s="9" t="str">
        <f aca="false">IF(V65=0,"",IF($G65="","",$E65&amp;" to "&amp;$H65&amp;IF($H65="Part-Time"," "&amp;N($I65)&amp;" hrs","")&amp;" on "&amp;TEXT($G65,"dd/mm/yyyy")&amp;IF($G65&gt;AsOfDate," (future)",IF(AA65=AC65,"",IF(AC65="None"," - STOPPED accruing",IF(AA65="None"," - now qualifying"," - pathway changed"))))))</f>
        <v/>
      </c>
      <c r="M65" s="9" t="str">
        <f aca="false">IF(V65=0,"",IF(W65=1,"Terminated",IF(AC65="None",IF(O65&gt;0,"No longer accruing","Not eligible - "&amp;IF(AND(AC65="None",IF(AH65&lt;&gt;"",$H65,$E65)="Part-Time"),"under "&amp;PT_MinHours&amp;" hrs",IF(AH65&lt;&gt;"",$H65,$E65))),IF(O65&gt;0,"Yes - accruing","Not yet - from "&amp;TEXT(Q65,"dd/mm/yyyy")))))</f>
        <v/>
      </c>
      <c r="N65" s="9" t="str">
        <f aca="false">IF(V65=0,"",IF(Y65&lt;0,"-",INT(Y65/12)&amp;"y "&amp;MOD(Y65,12)&amp;"m"))</f>
        <v/>
      </c>
      <c r="O65" s="10" t="str">
        <f aca="false">IF(V65=0,"",AD65+IF(AH65="",0,AF65-AE65))</f>
        <v/>
      </c>
      <c r="P65" s="10" t="str">
        <f aca="false">IF(V65=0,"",O65*HoursPerDay)</f>
        <v/>
      </c>
      <c r="Q65" s="11" t="str">
        <f aca="false">IF(V65=0,"",IF(OR(W65=1,AC65="None"),"",EDATE(($D65+N($J65)),AG65)))</f>
        <v/>
      </c>
      <c r="R65" s="10" t="str">
        <f aca="false">IF(V65=0,"",IF(NOT(EH_Ready),"",SUMIFS(INDEX(EH_Data,0,EH_ColBal),INDEX(EH_Data,0,EH_ColFirst),$A65,INDEX(EH_Data,0,EH_ColSur),$B65,INDEX(EH_Data,0,EH_ColCat),BonusCat)/IF(EHUnit="Hours",HoursPerDay,1)))</f>
        <v/>
      </c>
      <c r="S65" s="10" t="str">
        <f aca="false">IF(OR(V65=0,R65="",W65=1),"",O65-R65)</f>
        <v/>
      </c>
      <c r="T65" s="10" t="str">
        <f aca="false">IF(S65="","",S65*HoursPerDay)</f>
        <v/>
      </c>
      <c r="U65" s="9" t="str">
        <f aca="false">IF(V65=0,"",IF(W65=1,IF(N(R65)&gt;0,"TERMINATED - forfeit "&amp;TEXT(R65,"0.##")&amp;" days in EH","Terminated"),IF(NOT(EH_Ready),"Paste EH export (see Settings)",IF(S65&gt;0,"ADD "&amp;TEXT(S65,"0.##")&amp;" day(s) = "&amp;TEXT(T65,"0.##")&amp;" hrs in EH",IF(S65&lt;0,"CHECK - EH has "&amp;TEXT(-S65,"0.##")&amp;" days more than policy",IF(O65&gt;0,"OK","-"))))))</f>
        <v/>
      </c>
      <c r="V65" s="9" t="n">
        <f aca="false">IF(OR(LEN($A65&amp;$B65)=0,$D65=""),0,1)</f>
        <v>0</v>
      </c>
      <c r="W65" s="9" t="n">
        <f aca="false">IF(V65=0,0,IF(AND($K65&lt;&gt;"",$K65&lt;=AsOfDate),1,0))</f>
        <v>0</v>
      </c>
      <c r="X65" s="11" t="str">
        <f aca="false">IF(V65=0,"",IF($K65="",AsOfDate,MIN(AsOfDate,$K65)))</f>
        <v/>
      </c>
      <c r="Y65" s="9" t="str">
        <f aca="false">IF(V65=0,"",IF(X65&lt;($D65+N($J65)),-1,12*(YEAR(X65)-YEAR(($D65+N($J65))))+MONTH(X65)-MONTH(($D65+N($J65)))-IF(DAY(X65)&lt;MIN(DAY(($D65+N($J65))),DAY(EOMONTH(X65,0))),1,0)))</f>
        <v/>
      </c>
      <c r="Z65" s="9" t="str">
        <f aca="false">IF(V65=0,"",IF(AH65="",Y65,IF((AH65-1)&lt;($D65+N($J65)),-1,12*(YEAR((AH65-1))-YEAR(($D65+N($J65))))+MONTH((AH65-1))-MONTH(($D65+N($J65)))-IF(DAY((AH65-1))&lt;MIN(DAY(($D65+N($J65))),DAY(EOMONTH((AH65-1),0))),1,0))))</f>
        <v/>
      </c>
      <c r="AA65" s="9" t="str">
        <f aca="false">IF(V65=0,"",IF($E65="Full-Time","FT",IF(AND($E65="Part-Time",N($F65)&gt;=PT_MinHours),"PT","None")))</f>
        <v/>
      </c>
      <c r="AB65" s="9" t="str">
        <f aca="false">IF(V65=0,"",IF($H65="Full-Time","FT",IF(AND($H65="Part-Time",N($I65)&gt;=PT_MinHours),"PT","None")))</f>
        <v/>
      </c>
      <c r="AC65" s="9" t="str">
        <f aca="false">IF(V65=0,"",IF(AH65&lt;&gt;"",AB65,AA65))</f>
        <v/>
      </c>
      <c r="AD65" s="9" t="str">
        <f aca="false">IF(V65=0,"",IF(AA65="FT",IF(Z65&lt;FT_First,0,IF(Z65&lt;FT_Y5,1+INT((Z65-FT_First)/FT_Int1),FT_PreY5+FT_PerYear*INT((Z65-FT_Y5)/12)+FT_AnnivDays+INT(MOD(Z65-FT_Y5,12)/FT_Int2))),IF(AA65="PT",IF(Z65&lt;PT_First,0,1+INT((Z65-PT_First)/PT_Int)),0)))</f>
        <v/>
      </c>
      <c r="AE65" s="9" t="str">
        <f aca="false">IF(V65=0,"",IF(AB65="FT",IF(Z65&lt;FT_First,0,IF(Z65&lt;FT_Y5,1+INT((Z65-FT_First)/FT_Int1),FT_PreY5+FT_PerYear*INT((Z65-FT_Y5)/12)+FT_AnnivDays+INT(MOD(Z65-FT_Y5,12)/FT_Int2))),IF(AB65="PT",IF(Z65&lt;PT_First,0,1+INT((Z65-PT_First)/PT_Int)),0)))</f>
        <v/>
      </c>
      <c r="AF65" s="9" t="str">
        <f aca="false">IF(V65=0,"",IF(AB65="FT",IF(Y65&lt;FT_First,0,IF(Y65&lt;FT_Y5,1+INT((Y65-FT_First)/FT_Int1),FT_PreY5+FT_PerYear*INT((Y65-FT_Y5)/12)+FT_AnnivDays+INT(MOD(Y65-FT_Y5,12)/FT_Int2))),IF(AB65="PT",IF(Y65&lt;PT_First,0,1+INT((Y65-PT_First)/PT_Int)),0)))</f>
        <v/>
      </c>
      <c r="AG65" s="9" t="str">
        <f aca="false">IF(V65=0,"",IF(AC65="FT",IF(Y65&lt;FT_First,FT_First,IF(Y65&lt;FT_Y5,MIN(FT_Y5,FT_First+FT_Int1*(INT((Y65-FT_First)/FT_Int1)+1)),FT_Y5+12*INT((Y65-FT_Y5)/12)+FT_Int2*(INT(MOD(Y65-FT_Y5,12)/FT_Int2)+1))),IF(AC65="PT",IF(Y65&lt;PT_First,PT_First,PT_First+PT_Int*(INT((Y65-PT_First)/PT_Int)+1)),"")))</f>
        <v/>
      </c>
      <c r="AH65" s="11" t="str">
        <f aca="false">IF(V65=0,"",IF($G65="","",IF($G65&gt;X65,"",$G65)))</f>
        <v/>
      </c>
    </row>
    <row r="66" customFormat="false" ht="15" hidden="false" customHeight="false" outlineLevel="0" collapsed="false">
      <c r="A66" s="12"/>
      <c r="B66" s="12"/>
      <c r="C66" s="12"/>
      <c r="D66" s="13"/>
      <c r="E66" s="12"/>
      <c r="F66" s="14"/>
      <c r="G66" s="13"/>
      <c r="H66" s="12"/>
      <c r="I66" s="14"/>
      <c r="J66" s="14"/>
      <c r="K66" s="13"/>
      <c r="L66" s="9" t="str">
        <f aca="false">IF(V66=0,"",IF($G66="","",$E66&amp;" to "&amp;$H66&amp;IF($H66="Part-Time"," "&amp;N($I66)&amp;" hrs","")&amp;" on "&amp;TEXT($G66,"dd/mm/yyyy")&amp;IF($G66&gt;AsOfDate," (future)",IF(AA66=AC66,"",IF(AC66="None"," - STOPPED accruing",IF(AA66="None"," - now qualifying"," - pathway changed"))))))</f>
        <v/>
      </c>
      <c r="M66" s="9" t="str">
        <f aca="false">IF(V66=0,"",IF(W66=1,"Terminated",IF(AC66="None",IF(O66&gt;0,"No longer accruing","Not eligible - "&amp;IF(AND(AC66="None",IF(AH66&lt;&gt;"",$H66,$E66)="Part-Time"),"under "&amp;PT_MinHours&amp;" hrs",IF(AH66&lt;&gt;"",$H66,$E66))),IF(O66&gt;0,"Yes - accruing","Not yet - from "&amp;TEXT(Q66,"dd/mm/yyyy")))))</f>
        <v/>
      </c>
      <c r="N66" s="9" t="str">
        <f aca="false">IF(V66=0,"",IF(Y66&lt;0,"-",INT(Y66/12)&amp;"y "&amp;MOD(Y66,12)&amp;"m"))</f>
        <v/>
      </c>
      <c r="O66" s="10" t="str">
        <f aca="false">IF(V66=0,"",AD66+IF(AH66="",0,AF66-AE66))</f>
        <v/>
      </c>
      <c r="P66" s="10" t="str">
        <f aca="false">IF(V66=0,"",O66*HoursPerDay)</f>
        <v/>
      </c>
      <c r="Q66" s="11" t="str">
        <f aca="false">IF(V66=0,"",IF(OR(W66=1,AC66="None"),"",EDATE(($D66+N($J66)),AG66)))</f>
        <v/>
      </c>
      <c r="R66" s="10" t="str">
        <f aca="false">IF(V66=0,"",IF(NOT(EH_Ready),"",SUMIFS(INDEX(EH_Data,0,EH_ColBal),INDEX(EH_Data,0,EH_ColFirst),$A66,INDEX(EH_Data,0,EH_ColSur),$B66,INDEX(EH_Data,0,EH_ColCat),BonusCat)/IF(EHUnit="Hours",HoursPerDay,1)))</f>
        <v/>
      </c>
      <c r="S66" s="10" t="str">
        <f aca="false">IF(OR(V66=0,R66="",W66=1),"",O66-R66)</f>
        <v/>
      </c>
      <c r="T66" s="10" t="str">
        <f aca="false">IF(S66="","",S66*HoursPerDay)</f>
        <v/>
      </c>
      <c r="U66" s="9" t="str">
        <f aca="false">IF(V66=0,"",IF(W66=1,IF(N(R66)&gt;0,"TERMINATED - forfeit "&amp;TEXT(R66,"0.##")&amp;" days in EH","Terminated"),IF(NOT(EH_Ready),"Paste EH export (see Settings)",IF(S66&gt;0,"ADD "&amp;TEXT(S66,"0.##")&amp;" day(s) = "&amp;TEXT(T66,"0.##")&amp;" hrs in EH",IF(S66&lt;0,"CHECK - EH has "&amp;TEXT(-S66,"0.##")&amp;" days more than policy",IF(O66&gt;0,"OK","-"))))))</f>
        <v/>
      </c>
      <c r="V66" s="9" t="n">
        <f aca="false">IF(OR(LEN($A66&amp;$B66)=0,$D66=""),0,1)</f>
        <v>0</v>
      </c>
      <c r="W66" s="9" t="n">
        <f aca="false">IF(V66=0,0,IF(AND($K66&lt;&gt;"",$K66&lt;=AsOfDate),1,0))</f>
        <v>0</v>
      </c>
      <c r="X66" s="11" t="str">
        <f aca="false">IF(V66=0,"",IF($K66="",AsOfDate,MIN(AsOfDate,$K66)))</f>
        <v/>
      </c>
      <c r="Y66" s="9" t="str">
        <f aca="false">IF(V66=0,"",IF(X66&lt;($D66+N($J66)),-1,12*(YEAR(X66)-YEAR(($D66+N($J66))))+MONTH(X66)-MONTH(($D66+N($J66)))-IF(DAY(X66)&lt;MIN(DAY(($D66+N($J66))),DAY(EOMONTH(X66,0))),1,0)))</f>
        <v/>
      </c>
      <c r="Z66" s="9" t="str">
        <f aca="false">IF(V66=0,"",IF(AH66="",Y66,IF((AH66-1)&lt;($D66+N($J66)),-1,12*(YEAR((AH66-1))-YEAR(($D66+N($J66))))+MONTH((AH66-1))-MONTH(($D66+N($J66)))-IF(DAY((AH66-1))&lt;MIN(DAY(($D66+N($J66))),DAY(EOMONTH((AH66-1),0))),1,0))))</f>
        <v/>
      </c>
      <c r="AA66" s="9" t="str">
        <f aca="false">IF(V66=0,"",IF($E66="Full-Time","FT",IF(AND($E66="Part-Time",N($F66)&gt;=PT_MinHours),"PT","None")))</f>
        <v/>
      </c>
      <c r="AB66" s="9" t="str">
        <f aca="false">IF(V66=0,"",IF($H66="Full-Time","FT",IF(AND($H66="Part-Time",N($I66)&gt;=PT_MinHours),"PT","None")))</f>
        <v/>
      </c>
      <c r="AC66" s="9" t="str">
        <f aca="false">IF(V66=0,"",IF(AH66&lt;&gt;"",AB66,AA66))</f>
        <v/>
      </c>
      <c r="AD66" s="9" t="str">
        <f aca="false">IF(V66=0,"",IF(AA66="FT",IF(Z66&lt;FT_First,0,IF(Z66&lt;FT_Y5,1+INT((Z66-FT_First)/FT_Int1),FT_PreY5+FT_PerYear*INT((Z66-FT_Y5)/12)+FT_AnnivDays+INT(MOD(Z66-FT_Y5,12)/FT_Int2))),IF(AA66="PT",IF(Z66&lt;PT_First,0,1+INT((Z66-PT_First)/PT_Int)),0)))</f>
        <v/>
      </c>
      <c r="AE66" s="9" t="str">
        <f aca="false">IF(V66=0,"",IF(AB66="FT",IF(Z66&lt;FT_First,0,IF(Z66&lt;FT_Y5,1+INT((Z66-FT_First)/FT_Int1),FT_PreY5+FT_PerYear*INT((Z66-FT_Y5)/12)+FT_AnnivDays+INT(MOD(Z66-FT_Y5,12)/FT_Int2))),IF(AB66="PT",IF(Z66&lt;PT_First,0,1+INT((Z66-PT_First)/PT_Int)),0)))</f>
        <v/>
      </c>
      <c r="AF66" s="9" t="str">
        <f aca="false">IF(V66=0,"",IF(AB66="FT",IF(Y66&lt;FT_First,0,IF(Y66&lt;FT_Y5,1+INT((Y66-FT_First)/FT_Int1),FT_PreY5+FT_PerYear*INT((Y66-FT_Y5)/12)+FT_AnnivDays+INT(MOD(Y66-FT_Y5,12)/FT_Int2))),IF(AB66="PT",IF(Y66&lt;PT_First,0,1+INT((Y66-PT_First)/PT_Int)),0)))</f>
        <v/>
      </c>
      <c r="AG66" s="9" t="str">
        <f aca="false">IF(V66=0,"",IF(AC66="FT",IF(Y66&lt;FT_First,FT_First,IF(Y66&lt;FT_Y5,MIN(FT_Y5,FT_First+FT_Int1*(INT((Y66-FT_First)/FT_Int1)+1)),FT_Y5+12*INT((Y66-FT_Y5)/12)+FT_Int2*(INT(MOD(Y66-FT_Y5,12)/FT_Int2)+1))),IF(AC66="PT",IF(Y66&lt;PT_First,PT_First,PT_First+PT_Int*(INT((Y66-PT_First)/PT_Int)+1)),"")))</f>
        <v/>
      </c>
      <c r="AH66" s="11" t="str">
        <f aca="false">IF(V66=0,"",IF($G66="","",IF($G66&gt;X66,"",$G66)))</f>
        <v/>
      </c>
    </row>
    <row r="67" customFormat="false" ht="15" hidden="false" customHeight="false" outlineLevel="0" collapsed="false">
      <c r="A67" s="12"/>
      <c r="B67" s="12"/>
      <c r="C67" s="12"/>
      <c r="D67" s="13"/>
      <c r="E67" s="12"/>
      <c r="F67" s="14"/>
      <c r="G67" s="13"/>
      <c r="H67" s="12"/>
      <c r="I67" s="14"/>
      <c r="J67" s="14"/>
      <c r="K67" s="13"/>
      <c r="L67" s="9" t="str">
        <f aca="false">IF(V67=0,"",IF($G67="","",$E67&amp;" to "&amp;$H67&amp;IF($H67="Part-Time"," "&amp;N($I67)&amp;" hrs","")&amp;" on "&amp;TEXT($G67,"dd/mm/yyyy")&amp;IF($G67&gt;AsOfDate," (future)",IF(AA67=AC67,"",IF(AC67="None"," - STOPPED accruing",IF(AA67="None"," - now qualifying"," - pathway changed"))))))</f>
        <v/>
      </c>
      <c r="M67" s="9" t="str">
        <f aca="false">IF(V67=0,"",IF(W67=1,"Terminated",IF(AC67="None",IF(O67&gt;0,"No longer accruing","Not eligible - "&amp;IF(AND(AC67="None",IF(AH67&lt;&gt;"",$H67,$E67)="Part-Time"),"under "&amp;PT_MinHours&amp;" hrs",IF(AH67&lt;&gt;"",$H67,$E67))),IF(O67&gt;0,"Yes - accruing","Not yet - from "&amp;TEXT(Q67,"dd/mm/yyyy")))))</f>
        <v/>
      </c>
      <c r="N67" s="9" t="str">
        <f aca="false">IF(V67=0,"",IF(Y67&lt;0,"-",INT(Y67/12)&amp;"y "&amp;MOD(Y67,12)&amp;"m"))</f>
        <v/>
      </c>
      <c r="O67" s="10" t="str">
        <f aca="false">IF(V67=0,"",AD67+IF(AH67="",0,AF67-AE67))</f>
        <v/>
      </c>
      <c r="P67" s="10" t="str">
        <f aca="false">IF(V67=0,"",O67*HoursPerDay)</f>
        <v/>
      </c>
      <c r="Q67" s="11" t="str">
        <f aca="false">IF(V67=0,"",IF(OR(W67=1,AC67="None"),"",EDATE(($D67+N($J67)),AG67)))</f>
        <v/>
      </c>
      <c r="R67" s="10" t="str">
        <f aca="false">IF(V67=0,"",IF(NOT(EH_Ready),"",SUMIFS(INDEX(EH_Data,0,EH_ColBal),INDEX(EH_Data,0,EH_ColFirst),$A67,INDEX(EH_Data,0,EH_ColSur),$B67,INDEX(EH_Data,0,EH_ColCat),BonusCat)/IF(EHUnit="Hours",HoursPerDay,1)))</f>
        <v/>
      </c>
      <c r="S67" s="10" t="str">
        <f aca="false">IF(OR(V67=0,R67="",W67=1),"",O67-R67)</f>
        <v/>
      </c>
      <c r="T67" s="10" t="str">
        <f aca="false">IF(S67="","",S67*HoursPerDay)</f>
        <v/>
      </c>
      <c r="U67" s="9" t="str">
        <f aca="false">IF(V67=0,"",IF(W67=1,IF(N(R67)&gt;0,"TERMINATED - forfeit "&amp;TEXT(R67,"0.##")&amp;" days in EH","Terminated"),IF(NOT(EH_Ready),"Paste EH export (see Settings)",IF(S67&gt;0,"ADD "&amp;TEXT(S67,"0.##")&amp;" day(s) = "&amp;TEXT(T67,"0.##")&amp;" hrs in EH",IF(S67&lt;0,"CHECK - EH has "&amp;TEXT(-S67,"0.##")&amp;" days more than policy",IF(O67&gt;0,"OK","-"))))))</f>
        <v/>
      </c>
      <c r="V67" s="9" t="n">
        <f aca="false">IF(OR(LEN($A67&amp;$B67)=0,$D67=""),0,1)</f>
        <v>0</v>
      </c>
      <c r="W67" s="9" t="n">
        <f aca="false">IF(V67=0,0,IF(AND($K67&lt;&gt;"",$K67&lt;=AsOfDate),1,0))</f>
        <v>0</v>
      </c>
      <c r="X67" s="11" t="str">
        <f aca="false">IF(V67=0,"",IF($K67="",AsOfDate,MIN(AsOfDate,$K67)))</f>
        <v/>
      </c>
      <c r="Y67" s="9" t="str">
        <f aca="false">IF(V67=0,"",IF(X67&lt;($D67+N($J67)),-1,12*(YEAR(X67)-YEAR(($D67+N($J67))))+MONTH(X67)-MONTH(($D67+N($J67)))-IF(DAY(X67)&lt;MIN(DAY(($D67+N($J67))),DAY(EOMONTH(X67,0))),1,0)))</f>
        <v/>
      </c>
      <c r="Z67" s="9" t="str">
        <f aca="false">IF(V67=0,"",IF(AH67="",Y67,IF((AH67-1)&lt;($D67+N($J67)),-1,12*(YEAR((AH67-1))-YEAR(($D67+N($J67))))+MONTH((AH67-1))-MONTH(($D67+N($J67)))-IF(DAY((AH67-1))&lt;MIN(DAY(($D67+N($J67))),DAY(EOMONTH((AH67-1),0))),1,0))))</f>
        <v/>
      </c>
      <c r="AA67" s="9" t="str">
        <f aca="false">IF(V67=0,"",IF($E67="Full-Time","FT",IF(AND($E67="Part-Time",N($F67)&gt;=PT_MinHours),"PT","None")))</f>
        <v/>
      </c>
      <c r="AB67" s="9" t="str">
        <f aca="false">IF(V67=0,"",IF($H67="Full-Time","FT",IF(AND($H67="Part-Time",N($I67)&gt;=PT_MinHours),"PT","None")))</f>
        <v/>
      </c>
      <c r="AC67" s="9" t="str">
        <f aca="false">IF(V67=0,"",IF(AH67&lt;&gt;"",AB67,AA67))</f>
        <v/>
      </c>
      <c r="AD67" s="9" t="str">
        <f aca="false">IF(V67=0,"",IF(AA67="FT",IF(Z67&lt;FT_First,0,IF(Z67&lt;FT_Y5,1+INT((Z67-FT_First)/FT_Int1),FT_PreY5+FT_PerYear*INT((Z67-FT_Y5)/12)+FT_AnnivDays+INT(MOD(Z67-FT_Y5,12)/FT_Int2))),IF(AA67="PT",IF(Z67&lt;PT_First,0,1+INT((Z67-PT_First)/PT_Int)),0)))</f>
        <v/>
      </c>
      <c r="AE67" s="9" t="str">
        <f aca="false">IF(V67=0,"",IF(AB67="FT",IF(Z67&lt;FT_First,0,IF(Z67&lt;FT_Y5,1+INT((Z67-FT_First)/FT_Int1),FT_PreY5+FT_PerYear*INT((Z67-FT_Y5)/12)+FT_AnnivDays+INT(MOD(Z67-FT_Y5,12)/FT_Int2))),IF(AB67="PT",IF(Z67&lt;PT_First,0,1+INT((Z67-PT_First)/PT_Int)),0)))</f>
        <v/>
      </c>
      <c r="AF67" s="9" t="str">
        <f aca="false">IF(V67=0,"",IF(AB67="FT",IF(Y67&lt;FT_First,0,IF(Y67&lt;FT_Y5,1+INT((Y67-FT_First)/FT_Int1),FT_PreY5+FT_PerYear*INT((Y67-FT_Y5)/12)+FT_AnnivDays+INT(MOD(Y67-FT_Y5,12)/FT_Int2))),IF(AB67="PT",IF(Y67&lt;PT_First,0,1+INT((Y67-PT_First)/PT_Int)),0)))</f>
        <v/>
      </c>
      <c r="AG67" s="9" t="str">
        <f aca="false">IF(V67=0,"",IF(AC67="FT",IF(Y67&lt;FT_First,FT_First,IF(Y67&lt;FT_Y5,MIN(FT_Y5,FT_First+FT_Int1*(INT((Y67-FT_First)/FT_Int1)+1)),FT_Y5+12*INT((Y67-FT_Y5)/12)+FT_Int2*(INT(MOD(Y67-FT_Y5,12)/FT_Int2)+1))),IF(AC67="PT",IF(Y67&lt;PT_First,PT_First,PT_First+PT_Int*(INT((Y67-PT_First)/PT_Int)+1)),"")))</f>
        <v/>
      </c>
      <c r="AH67" s="11" t="str">
        <f aca="false">IF(V67=0,"",IF($G67="","",IF($G67&gt;X67,"",$G67)))</f>
        <v/>
      </c>
    </row>
    <row r="68" customFormat="false" ht="15" hidden="false" customHeight="false" outlineLevel="0" collapsed="false">
      <c r="A68" s="12"/>
      <c r="B68" s="12"/>
      <c r="C68" s="12"/>
      <c r="D68" s="13"/>
      <c r="E68" s="12"/>
      <c r="F68" s="14"/>
      <c r="G68" s="13"/>
      <c r="H68" s="12"/>
      <c r="I68" s="14"/>
      <c r="J68" s="14"/>
      <c r="K68" s="13"/>
      <c r="L68" s="9" t="str">
        <f aca="false">IF(V68=0,"",IF($G68="","",$E68&amp;" to "&amp;$H68&amp;IF($H68="Part-Time"," "&amp;N($I68)&amp;" hrs","")&amp;" on "&amp;TEXT($G68,"dd/mm/yyyy")&amp;IF($G68&gt;AsOfDate," (future)",IF(AA68=AC68,"",IF(AC68="None"," - STOPPED accruing",IF(AA68="None"," - now qualifying"," - pathway changed"))))))</f>
        <v/>
      </c>
      <c r="M68" s="9" t="str">
        <f aca="false">IF(V68=0,"",IF(W68=1,"Terminated",IF(AC68="None",IF(O68&gt;0,"No longer accruing","Not eligible - "&amp;IF(AND(AC68="None",IF(AH68&lt;&gt;"",$H68,$E68)="Part-Time"),"under "&amp;PT_MinHours&amp;" hrs",IF(AH68&lt;&gt;"",$H68,$E68))),IF(O68&gt;0,"Yes - accruing","Not yet - from "&amp;TEXT(Q68,"dd/mm/yyyy")))))</f>
        <v/>
      </c>
      <c r="N68" s="9" t="str">
        <f aca="false">IF(V68=0,"",IF(Y68&lt;0,"-",INT(Y68/12)&amp;"y "&amp;MOD(Y68,12)&amp;"m"))</f>
        <v/>
      </c>
      <c r="O68" s="10" t="str">
        <f aca="false">IF(V68=0,"",AD68+IF(AH68="",0,AF68-AE68))</f>
        <v/>
      </c>
      <c r="P68" s="10" t="str">
        <f aca="false">IF(V68=0,"",O68*HoursPerDay)</f>
        <v/>
      </c>
      <c r="Q68" s="11" t="str">
        <f aca="false">IF(V68=0,"",IF(OR(W68=1,AC68="None"),"",EDATE(($D68+N($J68)),AG68)))</f>
        <v/>
      </c>
      <c r="R68" s="10" t="str">
        <f aca="false">IF(V68=0,"",IF(NOT(EH_Ready),"",SUMIFS(INDEX(EH_Data,0,EH_ColBal),INDEX(EH_Data,0,EH_ColFirst),$A68,INDEX(EH_Data,0,EH_ColSur),$B68,INDEX(EH_Data,0,EH_ColCat),BonusCat)/IF(EHUnit="Hours",HoursPerDay,1)))</f>
        <v/>
      </c>
      <c r="S68" s="10" t="str">
        <f aca="false">IF(OR(V68=0,R68="",W68=1),"",O68-R68)</f>
        <v/>
      </c>
      <c r="T68" s="10" t="str">
        <f aca="false">IF(S68="","",S68*HoursPerDay)</f>
        <v/>
      </c>
      <c r="U68" s="9" t="str">
        <f aca="false">IF(V68=0,"",IF(W68=1,IF(N(R68)&gt;0,"TERMINATED - forfeit "&amp;TEXT(R68,"0.##")&amp;" days in EH","Terminated"),IF(NOT(EH_Ready),"Paste EH export (see Settings)",IF(S68&gt;0,"ADD "&amp;TEXT(S68,"0.##")&amp;" day(s) = "&amp;TEXT(T68,"0.##")&amp;" hrs in EH",IF(S68&lt;0,"CHECK - EH has "&amp;TEXT(-S68,"0.##")&amp;" days more than policy",IF(O68&gt;0,"OK","-"))))))</f>
        <v/>
      </c>
      <c r="V68" s="9" t="n">
        <f aca="false">IF(OR(LEN($A68&amp;$B68)=0,$D68=""),0,1)</f>
        <v>0</v>
      </c>
      <c r="W68" s="9" t="n">
        <f aca="false">IF(V68=0,0,IF(AND($K68&lt;&gt;"",$K68&lt;=AsOfDate),1,0))</f>
        <v>0</v>
      </c>
      <c r="X68" s="11" t="str">
        <f aca="false">IF(V68=0,"",IF($K68="",AsOfDate,MIN(AsOfDate,$K68)))</f>
        <v/>
      </c>
      <c r="Y68" s="9" t="str">
        <f aca="false">IF(V68=0,"",IF(X68&lt;($D68+N($J68)),-1,12*(YEAR(X68)-YEAR(($D68+N($J68))))+MONTH(X68)-MONTH(($D68+N($J68)))-IF(DAY(X68)&lt;MIN(DAY(($D68+N($J68))),DAY(EOMONTH(X68,0))),1,0)))</f>
        <v/>
      </c>
      <c r="Z68" s="9" t="str">
        <f aca="false">IF(V68=0,"",IF(AH68="",Y68,IF((AH68-1)&lt;($D68+N($J68)),-1,12*(YEAR((AH68-1))-YEAR(($D68+N($J68))))+MONTH((AH68-1))-MONTH(($D68+N($J68)))-IF(DAY((AH68-1))&lt;MIN(DAY(($D68+N($J68))),DAY(EOMONTH((AH68-1),0))),1,0))))</f>
        <v/>
      </c>
      <c r="AA68" s="9" t="str">
        <f aca="false">IF(V68=0,"",IF($E68="Full-Time","FT",IF(AND($E68="Part-Time",N($F68)&gt;=PT_MinHours),"PT","None")))</f>
        <v/>
      </c>
      <c r="AB68" s="9" t="str">
        <f aca="false">IF(V68=0,"",IF($H68="Full-Time","FT",IF(AND($H68="Part-Time",N($I68)&gt;=PT_MinHours),"PT","None")))</f>
        <v/>
      </c>
      <c r="AC68" s="9" t="str">
        <f aca="false">IF(V68=0,"",IF(AH68&lt;&gt;"",AB68,AA68))</f>
        <v/>
      </c>
      <c r="AD68" s="9" t="str">
        <f aca="false">IF(V68=0,"",IF(AA68="FT",IF(Z68&lt;FT_First,0,IF(Z68&lt;FT_Y5,1+INT((Z68-FT_First)/FT_Int1),FT_PreY5+FT_PerYear*INT((Z68-FT_Y5)/12)+FT_AnnivDays+INT(MOD(Z68-FT_Y5,12)/FT_Int2))),IF(AA68="PT",IF(Z68&lt;PT_First,0,1+INT((Z68-PT_First)/PT_Int)),0)))</f>
        <v/>
      </c>
      <c r="AE68" s="9" t="str">
        <f aca="false">IF(V68=0,"",IF(AB68="FT",IF(Z68&lt;FT_First,0,IF(Z68&lt;FT_Y5,1+INT((Z68-FT_First)/FT_Int1),FT_PreY5+FT_PerYear*INT((Z68-FT_Y5)/12)+FT_AnnivDays+INT(MOD(Z68-FT_Y5,12)/FT_Int2))),IF(AB68="PT",IF(Z68&lt;PT_First,0,1+INT((Z68-PT_First)/PT_Int)),0)))</f>
        <v/>
      </c>
      <c r="AF68" s="9" t="str">
        <f aca="false">IF(V68=0,"",IF(AB68="FT",IF(Y68&lt;FT_First,0,IF(Y68&lt;FT_Y5,1+INT((Y68-FT_First)/FT_Int1),FT_PreY5+FT_PerYear*INT((Y68-FT_Y5)/12)+FT_AnnivDays+INT(MOD(Y68-FT_Y5,12)/FT_Int2))),IF(AB68="PT",IF(Y68&lt;PT_First,0,1+INT((Y68-PT_First)/PT_Int)),0)))</f>
        <v/>
      </c>
      <c r="AG68" s="9" t="str">
        <f aca="false">IF(V68=0,"",IF(AC68="FT",IF(Y68&lt;FT_First,FT_First,IF(Y68&lt;FT_Y5,MIN(FT_Y5,FT_First+FT_Int1*(INT((Y68-FT_First)/FT_Int1)+1)),FT_Y5+12*INT((Y68-FT_Y5)/12)+FT_Int2*(INT(MOD(Y68-FT_Y5,12)/FT_Int2)+1))),IF(AC68="PT",IF(Y68&lt;PT_First,PT_First,PT_First+PT_Int*(INT((Y68-PT_First)/PT_Int)+1)),"")))</f>
        <v/>
      </c>
      <c r="AH68" s="11" t="str">
        <f aca="false">IF(V68=0,"",IF($G68="","",IF($G68&gt;X68,"",$G68)))</f>
        <v/>
      </c>
    </row>
    <row r="69" customFormat="false" ht="15" hidden="false" customHeight="false" outlineLevel="0" collapsed="false">
      <c r="A69" s="12"/>
      <c r="B69" s="12"/>
      <c r="C69" s="12"/>
      <c r="D69" s="13"/>
      <c r="E69" s="12"/>
      <c r="F69" s="14"/>
      <c r="G69" s="13"/>
      <c r="H69" s="12"/>
      <c r="I69" s="14"/>
      <c r="J69" s="14"/>
      <c r="K69" s="13"/>
      <c r="L69" s="9" t="str">
        <f aca="false">IF(V69=0,"",IF($G69="","",$E69&amp;" to "&amp;$H69&amp;IF($H69="Part-Time"," "&amp;N($I69)&amp;" hrs","")&amp;" on "&amp;TEXT($G69,"dd/mm/yyyy")&amp;IF($G69&gt;AsOfDate," (future)",IF(AA69=AC69,"",IF(AC69="None"," - STOPPED accruing",IF(AA69="None"," - now qualifying"," - pathway changed"))))))</f>
        <v/>
      </c>
      <c r="M69" s="9" t="str">
        <f aca="false">IF(V69=0,"",IF(W69=1,"Terminated",IF(AC69="None",IF(O69&gt;0,"No longer accruing","Not eligible - "&amp;IF(AND(AC69="None",IF(AH69&lt;&gt;"",$H69,$E69)="Part-Time"),"under "&amp;PT_MinHours&amp;" hrs",IF(AH69&lt;&gt;"",$H69,$E69))),IF(O69&gt;0,"Yes - accruing","Not yet - from "&amp;TEXT(Q69,"dd/mm/yyyy")))))</f>
        <v/>
      </c>
      <c r="N69" s="9" t="str">
        <f aca="false">IF(V69=0,"",IF(Y69&lt;0,"-",INT(Y69/12)&amp;"y "&amp;MOD(Y69,12)&amp;"m"))</f>
        <v/>
      </c>
      <c r="O69" s="10" t="str">
        <f aca="false">IF(V69=0,"",AD69+IF(AH69="",0,AF69-AE69))</f>
        <v/>
      </c>
      <c r="P69" s="10" t="str">
        <f aca="false">IF(V69=0,"",O69*HoursPerDay)</f>
        <v/>
      </c>
      <c r="Q69" s="11" t="str">
        <f aca="false">IF(V69=0,"",IF(OR(W69=1,AC69="None"),"",EDATE(($D69+N($J69)),AG69)))</f>
        <v/>
      </c>
      <c r="R69" s="10" t="str">
        <f aca="false">IF(V69=0,"",IF(NOT(EH_Ready),"",SUMIFS(INDEX(EH_Data,0,EH_ColBal),INDEX(EH_Data,0,EH_ColFirst),$A69,INDEX(EH_Data,0,EH_ColSur),$B69,INDEX(EH_Data,0,EH_ColCat),BonusCat)/IF(EHUnit="Hours",HoursPerDay,1)))</f>
        <v/>
      </c>
      <c r="S69" s="10" t="str">
        <f aca="false">IF(OR(V69=0,R69="",W69=1),"",O69-R69)</f>
        <v/>
      </c>
      <c r="T69" s="10" t="str">
        <f aca="false">IF(S69="","",S69*HoursPerDay)</f>
        <v/>
      </c>
      <c r="U69" s="9" t="str">
        <f aca="false">IF(V69=0,"",IF(W69=1,IF(N(R69)&gt;0,"TERMINATED - forfeit "&amp;TEXT(R69,"0.##")&amp;" days in EH","Terminated"),IF(NOT(EH_Ready),"Paste EH export (see Settings)",IF(S69&gt;0,"ADD "&amp;TEXT(S69,"0.##")&amp;" day(s) = "&amp;TEXT(T69,"0.##")&amp;" hrs in EH",IF(S69&lt;0,"CHECK - EH has "&amp;TEXT(-S69,"0.##")&amp;" days more than policy",IF(O69&gt;0,"OK","-"))))))</f>
        <v/>
      </c>
      <c r="V69" s="9" t="n">
        <f aca="false">IF(OR(LEN($A69&amp;$B69)=0,$D69=""),0,1)</f>
        <v>0</v>
      </c>
      <c r="W69" s="9" t="n">
        <f aca="false">IF(V69=0,0,IF(AND($K69&lt;&gt;"",$K69&lt;=AsOfDate),1,0))</f>
        <v>0</v>
      </c>
      <c r="X69" s="11" t="str">
        <f aca="false">IF(V69=0,"",IF($K69="",AsOfDate,MIN(AsOfDate,$K69)))</f>
        <v/>
      </c>
      <c r="Y69" s="9" t="str">
        <f aca="false">IF(V69=0,"",IF(X69&lt;($D69+N($J69)),-1,12*(YEAR(X69)-YEAR(($D69+N($J69))))+MONTH(X69)-MONTH(($D69+N($J69)))-IF(DAY(X69)&lt;MIN(DAY(($D69+N($J69))),DAY(EOMONTH(X69,0))),1,0)))</f>
        <v/>
      </c>
      <c r="Z69" s="9" t="str">
        <f aca="false">IF(V69=0,"",IF(AH69="",Y69,IF((AH69-1)&lt;($D69+N($J69)),-1,12*(YEAR((AH69-1))-YEAR(($D69+N($J69))))+MONTH((AH69-1))-MONTH(($D69+N($J69)))-IF(DAY((AH69-1))&lt;MIN(DAY(($D69+N($J69))),DAY(EOMONTH((AH69-1),0))),1,0))))</f>
        <v/>
      </c>
      <c r="AA69" s="9" t="str">
        <f aca="false">IF(V69=0,"",IF($E69="Full-Time","FT",IF(AND($E69="Part-Time",N($F69)&gt;=PT_MinHours),"PT","None")))</f>
        <v/>
      </c>
      <c r="AB69" s="9" t="str">
        <f aca="false">IF(V69=0,"",IF($H69="Full-Time","FT",IF(AND($H69="Part-Time",N($I69)&gt;=PT_MinHours),"PT","None")))</f>
        <v/>
      </c>
      <c r="AC69" s="9" t="str">
        <f aca="false">IF(V69=0,"",IF(AH69&lt;&gt;"",AB69,AA69))</f>
        <v/>
      </c>
      <c r="AD69" s="9" t="str">
        <f aca="false">IF(V69=0,"",IF(AA69="FT",IF(Z69&lt;FT_First,0,IF(Z69&lt;FT_Y5,1+INT((Z69-FT_First)/FT_Int1),FT_PreY5+FT_PerYear*INT((Z69-FT_Y5)/12)+FT_AnnivDays+INT(MOD(Z69-FT_Y5,12)/FT_Int2))),IF(AA69="PT",IF(Z69&lt;PT_First,0,1+INT((Z69-PT_First)/PT_Int)),0)))</f>
        <v/>
      </c>
      <c r="AE69" s="9" t="str">
        <f aca="false">IF(V69=0,"",IF(AB69="FT",IF(Z69&lt;FT_First,0,IF(Z69&lt;FT_Y5,1+INT((Z69-FT_First)/FT_Int1),FT_PreY5+FT_PerYear*INT((Z69-FT_Y5)/12)+FT_AnnivDays+INT(MOD(Z69-FT_Y5,12)/FT_Int2))),IF(AB69="PT",IF(Z69&lt;PT_First,0,1+INT((Z69-PT_First)/PT_Int)),0)))</f>
        <v/>
      </c>
      <c r="AF69" s="9" t="str">
        <f aca="false">IF(V69=0,"",IF(AB69="FT",IF(Y69&lt;FT_First,0,IF(Y69&lt;FT_Y5,1+INT((Y69-FT_First)/FT_Int1),FT_PreY5+FT_PerYear*INT((Y69-FT_Y5)/12)+FT_AnnivDays+INT(MOD(Y69-FT_Y5,12)/FT_Int2))),IF(AB69="PT",IF(Y69&lt;PT_First,0,1+INT((Y69-PT_First)/PT_Int)),0)))</f>
        <v/>
      </c>
      <c r="AG69" s="9" t="str">
        <f aca="false">IF(V69=0,"",IF(AC69="FT",IF(Y69&lt;FT_First,FT_First,IF(Y69&lt;FT_Y5,MIN(FT_Y5,FT_First+FT_Int1*(INT((Y69-FT_First)/FT_Int1)+1)),FT_Y5+12*INT((Y69-FT_Y5)/12)+FT_Int2*(INT(MOD(Y69-FT_Y5,12)/FT_Int2)+1))),IF(AC69="PT",IF(Y69&lt;PT_First,PT_First,PT_First+PT_Int*(INT((Y69-PT_First)/PT_Int)+1)),"")))</f>
        <v/>
      </c>
      <c r="AH69" s="11" t="str">
        <f aca="false">IF(V69=0,"",IF($G69="","",IF($G69&gt;X69,"",$G69)))</f>
        <v/>
      </c>
    </row>
    <row r="70" customFormat="false" ht="15" hidden="false" customHeight="false" outlineLevel="0" collapsed="false">
      <c r="A70" s="12"/>
      <c r="B70" s="12"/>
      <c r="C70" s="12"/>
      <c r="D70" s="13"/>
      <c r="E70" s="12"/>
      <c r="F70" s="14"/>
      <c r="G70" s="13"/>
      <c r="H70" s="12"/>
      <c r="I70" s="14"/>
      <c r="J70" s="14"/>
      <c r="K70" s="13"/>
      <c r="L70" s="9" t="str">
        <f aca="false">IF(V70=0,"",IF($G70="","",$E70&amp;" to "&amp;$H70&amp;IF($H70="Part-Time"," "&amp;N($I70)&amp;" hrs","")&amp;" on "&amp;TEXT($G70,"dd/mm/yyyy")&amp;IF($G70&gt;AsOfDate," (future)",IF(AA70=AC70,"",IF(AC70="None"," - STOPPED accruing",IF(AA70="None"," - now qualifying"," - pathway changed"))))))</f>
        <v/>
      </c>
      <c r="M70" s="9" t="str">
        <f aca="false">IF(V70=0,"",IF(W70=1,"Terminated",IF(AC70="None",IF(O70&gt;0,"No longer accruing","Not eligible - "&amp;IF(AND(AC70="None",IF(AH70&lt;&gt;"",$H70,$E70)="Part-Time"),"under "&amp;PT_MinHours&amp;" hrs",IF(AH70&lt;&gt;"",$H70,$E70))),IF(O70&gt;0,"Yes - accruing","Not yet - from "&amp;TEXT(Q70,"dd/mm/yyyy")))))</f>
        <v/>
      </c>
      <c r="N70" s="9" t="str">
        <f aca="false">IF(V70=0,"",IF(Y70&lt;0,"-",INT(Y70/12)&amp;"y "&amp;MOD(Y70,12)&amp;"m"))</f>
        <v/>
      </c>
      <c r="O70" s="10" t="str">
        <f aca="false">IF(V70=0,"",AD70+IF(AH70="",0,AF70-AE70))</f>
        <v/>
      </c>
      <c r="P70" s="10" t="str">
        <f aca="false">IF(V70=0,"",O70*HoursPerDay)</f>
        <v/>
      </c>
      <c r="Q70" s="11" t="str">
        <f aca="false">IF(V70=0,"",IF(OR(W70=1,AC70="None"),"",EDATE(($D70+N($J70)),AG70)))</f>
        <v/>
      </c>
      <c r="R70" s="10" t="str">
        <f aca="false">IF(V70=0,"",IF(NOT(EH_Ready),"",SUMIFS(INDEX(EH_Data,0,EH_ColBal),INDEX(EH_Data,0,EH_ColFirst),$A70,INDEX(EH_Data,0,EH_ColSur),$B70,INDEX(EH_Data,0,EH_ColCat),BonusCat)/IF(EHUnit="Hours",HoursPerDay,1)))</f>
        <v/>
      </c>
      <c r="S70" s="10" t="str">
        <f aca="false">IF(OR(V70=0,R70="",W70=1),"",O70-R70)</f>
        <v/>
      </c>
      <c r="T70" s="10" t="str">
        <f aca="false">IF(S70="","",S70*HoursPerDay)</f>
        <v/>
      </c>
      <c r="U70" s="9" t="str">
        <f aca="false">IF(V70=0,"",IF(W70=1,IF(N(R70)&gt;0,"TERMINATED - forfeit "&amp;TEXT(R70,"0.##")&amp;" days in EH","Terminated"),IF(NOT(EH_Ready),"Paste EH export (see Settings)",IF(S70&gt;0,"ADD "&amp;TEXT(S70,"0.##")&amp;" day(s) = "&amp;TEXT(T70,"0.##")&amp;" hrs in EH",IF(S70&lt;0,"CHECK - EH has "&amp;TEXT(-S70,"0.##")&amp;" days more than policy",IF(O70&gt;0,"OK","-"))))))</f>
        <v/>
      </c>
      <c r="V70" s="9" t="n">
        <f aca="false">IF(OR(LEN($A70&amp;$B70)=0,$D70=""),0,1)</f>
        <v>0</v>
      </c>
      <c r="W70" s="9" t="n">
        <f aca="false">IF(V70=0,0,IF(AND($K70&lt;&gt;"",$K70&lt;=AsOfDate),1,0))</f>
        <v>0</v>
      </c>
      <c r="X70" s="11" t="str">
        <f aca="false">IF(V70=0,"",IF($K70="",AsOfDate,MIN(AsOfDate,$K70)))</f>
        <v/>
      </c>
      <c r="Y70" s="9" t="str">
        <f aca="false">IF(V70=0,"",IF(X70&lt;($D70+N($J70)),-1,12*(YEAR(X70)-YEAR(($D70+N($J70))))+MONTH(X70)-MONTH(($D70+N($J70)))-IF(DAY(X70)&lt;MIN(DAY(($D70+N($J70))),DAY(EOMONTH(X70,0))),1,0)))</f>
        <v/>
      </c>
      <c r="Z70" s="9" t="str">
        <f aca="false">IF(V70=0,"",IF(AH70="",Y70,IF((AH70-1)&lt;($D70+N($J70)),-1,12*(YEAR((AH70-1))-YEAR(($D70+N($J70))))+MONTH((AH70-1))-MONTH(($D70+N($J70)))-IF(DAY((AH70-1))&lt;MIN(DAY(($D70+N($J70))),DAY(EOMONTH((AH70-1),0))),1,0))))</f>
        <v/>
      </c>
      <c r="AA70" s="9" t="str">
        <f aca="false">IF(V70=0,"",IF($E70="Full-Time","FT",IF(AND($E70="Part-Time",N($F70)&gt;=PT_MinHours),"PT","None")))</f>
        <v/>
      </c>
      <c r="AB70" s="9" t="str">
        <f aca="false">IF(V70=0,"",IF($H70="Full-Time","FT",IF(AND($H70="Part-Time",N($I70)&gt;=PT_MinHours),"PT","None")))</f>
        <v/>
      </c>
      <c r="AC70" s="9" t="str">
        <f aca="false">IF(V70=0,"",IF(AH70&lt;&gt;"",AB70,AA70))</f>
        <v/>
      </c>
      <c r="AD70" s="9" t="str">
        <f aca="false">IF(V70=0,"",IF(AA70="FT",IF(Z70&lt;FT_First,0,IF(Z70&lt;FT_Y5,1+INT((Z70-FT_First)/FT_Int1),FT_PreY5+FT_PerYear*INT((Z70-FT_Y5)/12)+FT_AnnivDays+INT(MOD(Z70-FT_Y5,12)/FT_Int2))),IF(AA70="PT",IF(Z70&lt;PT_First,0,1+INT((Z70-PT_First)/PT_Int)),0)))</f>
        <v/>
      </c>
      <c r="AE70" s="9" t="str">
        <f aca="false">IF(V70=0,"",IF(AB70="FT",IF(Z70&lt;FT_First,0,IF(Z70&lt;FT_Y5,1+INT((Z70-FT_First)/FT_Int1),FT_PreY5+FT_PerYear*INT((Z70-FT_Y5)/12)+FT_AnnivDays+INT(MOD(Z70-FT_Y5,12)/FT_Int2))),IF(AB70="PT",IF(Z70&lt;PT_First,0,1+INT((Z70-PT_First)/PT_Int)),0)))</f>
        <v/>
      </c>
      <c r="AF70" s="9" t="str">
        <f aca="false">IF(V70=0,"",IF(AB70="FT",IF(Y70&lt;FT_First,0,IF(Y70&lt;FT_Y5,1+INT((Y70-FT_First)/FT_Int1),FT_PreY5+FT_PerYear*INT((Y70-FT_Y5)/12)+FT_AnnivDays+INT(MOD(Y70-FT_Y5,12)/FT_Int2))),IF(AB70="PT",IF(Y70&lt;PT_First,0,1+INT((Y70-PT_First)/PT_Int)),0)))</f>
        <v/>
      </c>
      <c r="AG70" s="9" t="str">
        <f aca="false">IF(V70=0,"",IF(AC70="FT",IF(Y70&lt;FT_First,FT_First,IF(Y70&lt;FT_Y5,MIN(FT_Y5,FT_First+FT_Int1*(INT((Y70-FT_First)/FT_Int1)+1)),FT_Y5+12*INT((Y70-FT_Y5)/12)+FT_Int2*(INT(MOD(Y70-FT_Y5,12)/FT_Int2)+1))),IF(AC70="PT",IF(Y70&lt;PT_First,PT_First,PT_First+PT_Int*(INT((Y70-PT_First)/PT_Int)+1)),"")))</f>
        <v/>
      </c>
      <c r="AH70" s="11" t="str">
        <f aca="false">IF(V70=0,"",IF($G70="","",IF($G70&gt;X70,"",$G70)))</f>
        <v/>
      </c>
    </row>
    <row r="71" customFormat="false" ht="15" hidden="false" customHeight="false" outlineLevel="0" collapsed="false">
      <c r="A71" s="12"/>
      <c r="B71" s="12"/>
      <c r="C71" s="12"/>
      <c r="D71" s="13"/>
      <c r="E71" s="12"/>
      <c r="F71" s="14"/>
      <c r="G71" s="13"/>
      <c r="H71" s="12"/>
      <c r="I71" s="14"/>
      <c r="J71" s="14"/>
      <c r="K71" s="13"/>
      <c r="L71" s="9" t="str">
        <f aca="false">IF(V71=0,"",IF($G71="","",$E71&amp;" to "&amp;$H71&amp;IF($H71="Part-Time"," "&amp;N($I71)&amp;" hrs","")&amp;" on "&amp;TEXT($G71,"dd/mm/yyyy")&amp;IF($G71&gt;AsOfDate," (future)",IF(AA71=AC71,"",IF(AC71="None"," - STOPPED accruing",IF(AA71="None"," - now qualifying"," - pathway changed"))))))</f>
        <v/>
      </c>
      <c r="M71" s="9" t="str">
        <f aca="false">IF(V71=0,"",IF(W71=1,"Terminated",IF(AC71="None",IF(O71&gt;0,"No longer accruing","Not eligible - "&amp;IF(AND(AC71="None",IF(AH71&lt;&gt;"",$H71,$E71)="Part-Time"),"under "&amp;PT_MinHours&amp;" hrs",IF(AH71&lt;&gt;"",$H71,$E71))),IF(O71&gt;0,"Yes - accruing","Not yet - from "&amp;TEXT(Q71,"dd/mm/yyyy")))))</f>
        <v/>
      </c>
      <c r="N71" s="9" t="str">
        <f aca="false">IF(V71=0,"",IF(Y71&lt;0,"-",INT(Y71/12)&amp;"y "&amp;MOD(Y71,12)&amp;"m"))</f>
        <v/>
      </c>
      <c r="O71" s="10" t="str">
        <f aca="false">IF(V71=0,"",AD71+IF(AH71="",0,AF71-AE71))</f>
        <v/>
      </c>
      <c r="P71" s="10" t="str">
        <f aca="false">IF(V71=0,"",O71*HoursPerDay)</f>
        <v/>
      </c>
      <c r="Q71" s="11" t="str">
        <f aca="false">IF(V71=0,"",IF(OR(W71=1,AC71="None"),"",EDATE(($D71+N($J71)),AG71)))</f>
        <v/>
      </c>
      <c r="R71" s="10" t="str">
        <f aca="false">IF(V71=0,"",IF(NOT(EH_Ready),"",SUMIFS(INDEX(EH_Data,0,EH_ColBal),INDEX(EH_Data,0,EH_ColFirst),$A71,INDEX(EH_Data,0,EH_ColSur),$B71,INDEX(EH_Data,0,EH_ColCat),BonusCat)/IF(EHUnit="Hours",HoursPerDay,1)))</f>
        <v/>
      </c>
      <c r="S71" s="10" t="str">
        <f aca="false">IF(OR(V71=0,R71="",W71=1),"",O71-R71)</f>
        <v/>
      </c>
      <c r="T71" s="10" t="str">
        <f aca="false">IF(S71="","",S71*HoursPerDay)</f>
        <v/>
      </c>
      <c r="U71" s="9" t="str">
        <f aca="false">IF(V71=0,"",IF(W71=1,IF(N(R71)&gt;0,"TERMINATED - forfeit "&amp;TEXT(R71,"0.##")&amp;" days in EH","Terminated"),IF(NOT(EH_Ready),"Paste EH export (see Settings)",IF(S71&gt;0,"ADD "&amp;TEXT(S71,"0.##")&amp;" day(s) = "&amp;TEXT(T71,"0.##")&amp;" hrs in EH",IF(S71&lt;0,"CHECK - EH has "&amp;TEXT(-S71,"0.##")&amp;" days more than policy",IF(O71&gt;0,"OK","-"))))))</f>
        <v/>
      </c>
      <c r="V71" s="9" t="n">
        <f aca="false">IF(OR(LEN($A71&amp;$B71)=0,$D71=""),0,1)</f>
        <v>0</v>
      </c>
      <c r="W71" s="9" t="n">
        <f aca="false">IF(V71=0,0,IF(AND($K71&lt;&gt;"",$K71&lt;=AsOfDate),1,0))</f>
        <v>0</v>
      </c>
      <c r="X71" s="11" t="str">
        <f aca="false">IF(V71=0,"",IF($K71="",AsOfDate,MIN(AsOfDate,$K71)))</f>
        <v/>
      </c>
      <c r="Y71" s="9" t="str">
        <f aca="false">IF(V71=0,"",IF(X71&lt;($D71+N($J71)),-1,12*(YEAR(X71)-YEAR(($D71+N($J71))))+MONTH(X71)-MONTH(($D71+N($J71)))-IF(DAY(X71)&lt;MIN(DAY(($D71+N($J71))),DAY(EOMONTH(X71,0))),1,0)))</f>
        <v/>
      </c>
      <c r="Z71" s="9" t="str">
        <f aca="false">IF(V71=0,"",IF(AH71="",Y71,IF((AH71-1)&lt;($D71+N($J71)),-1,12*(YEAR((AH71-1))-YEAR(($D71+N($J71))))+MONTH((AH71-1))-MONTH(($D71+N($J71)))-IF(DAY((AH71-1))&lt;MIN(DAY(($D71+N($J71))),DAY(EOMONTH((AH71-1),0))),1,0))))</f>
        <v/>
      </c>
      <c r="AA71" s="9" t="str">
        <f aca="false">IF(V71=0,"",IF($E71="Full-Time","FT",IF(AND($E71="Part-Time",N($F71)&gt;=PT_MinHours),"PT","None")))</f>
        <v/>
      </c>
      <c r="AB71" s="9" t="str">
        <f aca="false">IF(V71=0,"",IF($H71="Full-Time","FT",IF(AND($H71="Part-Time",N($I71)&gt;=PT_MinHours),"PT","None")))</f>
        <v/>
      </c>
      <c r="AC71" s="9" t="str">
        <f aca="false">IF(V71=0,"",IF(AH71&lt;&gt;"",AB71,AA71))</f>
        <v/>
      </c>
      <c r="AD71" s="9" t="str">
        <f aca="false">IF(V71=0,"",IF(AA71="FT",IF(Z71&lt;FT_First,0,IF(Z71&lt;FT_Y5,1+INT((Z71-FT_First)/FT_Int1),FT_PreY5+FT_PerYear*INT((Z71-FT_Y5)/12)+FT_AnnivDays+INT(MOD(Z71-FT_Y5,12)/FT_Int2))),IF(AA71="PT",IF(Z71&lt;PT_First,0,1+INT((Z71-PT_First)/PT_Int)),0)))</f>
        <v/>
      </c>
      <c r="AE71" s="9" t="str">
        <f aca="false">IF(V71=0,"",IF(AB71="FT",IF(Z71&lt;FT_First,0,IF(Z71&lt;FT_Y5,1+INT((Z71-FT_First)/FT_Int1),FT_PreY5+FT_PerYear*INT((Z71-FT_Y5)/12)+FT_AnnivDays+INT(MOD(Z71-FT_Y5,12)/FT_Int2))),IF(AB71="PT",IF(Z71&lt;PT_First,0,1+INT((Z71-PT_First)/PT_Int)),0)))</f>
        <v/>
      </c>
      <c r="AF71" s="9" t="str">
        <f aca="false">IF(V71=0,"",IF(AB71="FT",IF(Y71&lt;FT_First,0,IF(Y71&lt;FT_Y5,1+INT((Y71-FT_First)/FT_Int1),FT_PreY5+FT_PerYear*INT((Y71-FT_Y5)/12)+FT_AnnivDays+INT(MOD(Y71-FT_Y5,12)/FT_Int2))),IF(AB71="PT",IF(Y71&lt;PT_First,0,1+INT((Y71-PT_First)/PT_Int)),0)))</f>
        <v/>
      </c>
      <c r="AG71" s="9" t="str">
        <f aca="false">IF(V71=0,"",IF(AC71="FT",IF(Y71&lt;FT_First,FT_First,IF(Y71&lt;FT_Y5,MIN(FT_Y5,FT_First+FT_Int1*(INT((Y71-FT_First)/FT_Int1)+1)),FT_Y5+12*INT((Y71-FT_Y5)/12)+FT_Int2*(INT(MOD(Y71-FT_Y5,12)/FT_Int2)+1))),IF(AC71="PT",IF(Y71&lt;PT_First,PT_First,PT_First+PT_Int*(INT((Y71-PT_First)/PT_Int)+1)),"")))</f>
        <v/>
      </c>
      <c r="AH71" s="11" t="str">
        <f aca="false">IF(V71=0,"",IF($G71="","",IF($G71&gt;X71,"",$G71)))</f>
        <v/>
      </c>
    </row>
    <row r="72" customFormat="false" ht="15" hidden="false" customHeight="false" outlineLevel="0" collapsed="false">
      <c r="A72" s="12"/>
      <c r="B72" s="12"/>
      <c r="C72" s="12"/>
      <c r="D72" s="13"/>
      <c r="E72" s="12"/>
      <c r="F72" s="14"/>
      <c r="G72" s="13"/>
      <c r="H72" s="12"/>
      <c r="I72" s="14"/>
      <c r="J72" s="14"/>
      <c r="K72" s="13"/>
      <c r="L72" s="9" t="str">
        <f aca="false">IF(V72=0,"",IF($G72="","",$E72&amp;" to "&amp;$H72&amp;IF($H72="Part-Time"," "&amp;N($I72)&amp;" hrs","")&amp;" on "&amp;TEXT($G72,"dd/mm/yyyy")&amp;IF($G72&gt;AsOfDate," (future)",IF(AA72=AC72,"",IF(AC72="None"," - STOPPED accruing",IF(AA72="None"," - now qualifying"," - pathway changed"))))))</f>
        <v/>
      </c>
      <c r="M72" s="9" t="str">
        <f aca="false">IF(V72=0,"",IF(W72=1,"Terminated",IF(AC72="None",IF(O72&gt;0,"No longer accruing","Not eligible - "&amp;IF(AND(AC72="None",IF(AH72&lt;&gt;"",$H72,$E72)="Part-Time"),"under "&amp;PT_MinHours&amp;" hrs",IF(AH72&lt;&gt;"",$H72,$E72))),IF(O72&gt;0,"Yes - accruing","Not yet - from "&amp;TEXT(Q72,"dd/mm/yyyy")))))</f>
        <v/>
      </c>
      <c r="N72" s="9" t="str">
        <f aca="false">IF(V72=0,"",IF(Y72&lt;0,"-",INT(Y72/12)&amp;"y "&amp;MOD(Y72,12)&amp;"m"))</f>
        <v/>
      </c>
      <c r="O72" s="10" t="str">
        <f aca="false">IF(V72=0,"",AD72+IF(AH72="",0,AF72-AE72))</f>
        <v/>
      </c>
      <c r="P72" s="10" t="str">
        <f aca="false">IF(V72=0,"",O72*HoursPerDay)</f>
        <v/>
      </c>
      <c r="Q72" s="11" t="str">
        <f aca="false">IF(V72=0,"",IF(OR(W72=1,AC72="None"),"",EDATE(($D72+N($J72)),AG72)))</f>
        <v/>
      </c>
      <c r="R72" s="10" t="str">
        <f aca="false">IF(V72=0,"",IF(NOT(EH_Ready),"",SUMIFS(INDEX(EH_Data,0,EH_ColBal),INDEX(EH_Data,0,EH_ColFirst),$A72,INDEX(EH_Data,0,EH_ColSur),$B72,INDEX(EH_Data,0,EH_ColCat),BonusCat)/IF(EHUnit="Hours",HoursPerDay,1)))</f>
        <v/>
      </c>
      <c r="S72" s="10" t="str">
        <f aca="false">IF(OR(V72=0,R72="",W72=1),"",O72-R72)</f>
        <v/>
      </c>
      <c r="T72" s="10" t="str">
        <f aca="false">IF(S72="","",S72*HoursPerDay)</f>
        <v/>
      </c>
      <c r="U72" s="9" t="str">
        <f aca="false">IF(V72=0,"",IF(W72=1,IF(N(R72)&gt;0,"TERMINATED - forfeit "&amp;TEXT(R72,"0.##")&amp;" days in EH","Terminated"),IF(NOT(EH_Ready),"Paste EH export (see Settings)",IF(S72&gt;0,"ADD "&amp;TEXT(S72,"0.##")&amp;" day(s) = "&amp;TEXT(T72,"0.##")&amp;" hrs in EH",IF(S72&lt;0,"CHECK - EH has "&amp;TEXT(-S72,"0.##")&amp;" days more than policy",IF(O72&gt;0,"OK","-"))))))</f>
        <v/>
      </c>
      <c r="V72" s="9" t="n">
        <f aca="false">IF(OR(LEN($A72&amp;$B72)=0,$D72=""),0,1)</f>
        <v>0</v>
      </c>
      <c r="W72" s="9" t="n">
        <f aca="false">IF(V72=0,0,IF(AND($K72&lt;&gt;"",$K72&lt;=AsOfDate),1,0))</f>
        <v>0</v>
      </c>
      <c r="X72" s="11" t="str">
        <f aca="false">IF(V72=0,"",IF($K72="",AsOfDate,MIN(AsOfDate,$K72)))</f>
        <v/>
      </c>
      <c r="Y72" s="9" t="str">
        <f aca="false">IF(V72=0,"",IF(X72&lt;($D72+N($J72)),-1,12*(YEAR(X72)-YEAR(($D72+N($J72))))+MONTH(X72)-MONTH(($D72+N($J72)))-IF(DAY(X72)&lt;MIN(DAY(($D72+N($J72))),DAY(EOMONTH(X72,0))),1,0)))</f>
        <v/>
      </c>
      <c r="Z72" s="9" t="str">
        <f aca="false">IF(V72=0,"",IF(AH72="",Y72,IF((AH72-1)&lt;($D72+N($J72)),-1,12*(YEAR((AH72-1))-YEAR(($D72+N($J72))))+MONTH((AH72-1))-MONTH(($D72+N($J72)))-IF(DAY((AH72-1))&lt;MIN(DAY(($D72+N($J72))),DAY(EOMONTH((AH72-1),0))),1,0))))</f>
        <v/>
      </c>
      <c r="AA72" s="9" t="str">
        <f aca="false">IF(V72=0,"",IF($E72="Full-Time","FT",IF(AND($E72="Part-Time",N($F72)&gt;=PT_MinHours),"PT","None")))</f>
        <v/>
      </c>
      <c r="AB72" s="9" t="str">
        <f aca="false">IF(V72=0,"",IF($H72="Full-Time","FT",IF(AND($H72="Part-Time",N($I72)&gt;=PT_MinHours),"PT","None")))</f>
        <v/>
      </c>
      <c r="AC72" s="9" t="str">
        <f aca="false">IF(V72=0,"",IF(AH72&lt;&gt;"",AB72,AA72))</f>
        <v/>
      </c>
      <c r="AD72" s="9" t="str">
        <f aca="false">IF(V72=0,"",IF(AA72="FT",IF(Z72&lt;FT_First,0,IF(Z72&lt;FT_Y5,1+INT((Z72-FT_First)/FT_Int1),FT_PreY5+FT_PerYear*INT((Z72-FT_Y5)/12)+FT_AnnivDays+INT(MOD(Z72-FT_Y5,12)/FT_Int2))),IF(AA72="PT",IF(Z72&lt;PT_First,0,1+INT((Z72-PT_First)/PT_Int)),0)))</f>
        <v/>
      </c>
      <c r="AE72" s="9" t="str">
        <f aca="false">IF(V72=0,"",IF(AB72="FT",IF(Z72&lt;FT_First,0,IF(Z72&lt;FT_Y5,1+INT((Z72-FT_First)/FT_Int1),FT_PreY5+FT_PerYear*INT((Z72-FT_Y5)/12)+FT_AnnivDays+INT(MOD(Z72-FT_Y5,12)/FT_Int2))),IF(AB72="PT",IF(Z72&lt;PT_First,0,1+INT((Z72-PT_First)/PT_Int)),0)))</f>
        <v/>
      </c>
      <c r="AF72" s="9" t="str">
        <f aca="false">IF(V72=0,"",IF(AB72="FT",IF(Y72&lt;FT_First,0,IF(Y72&lt;FT_Y5,1+INT((Y72-FT_First)/FT_Int1),FT_PreY5+FT_PerYear*INT((Y72-FT_Y5)/12)+FT_AnnivDays+INT(MOD(Y72-FT_Y5,12)/FT_Int2))),IF(AB72="PT",IF(Y72&lt;PT_First,0,1+INT((Y72-PT_First)/PT_Int)),0)))</f>
        <v/>
      </c>
      <c r="AG72" s="9" t="str">
        <f aca="false">IF(V72=0,"",IF(AC72="FT",IF(Y72&lt;FT_First,FT_First,IF(Y72&lt;FT_Y5,MIN(FT_Y5,FT_First+FT_Int1*(INT((Y72-FT_First)/FT_Int1)+1)),FT_Y5+12*INT((Y72-FT_Y5)/12)+FT_Int2*(INT(MOD(Y72-FT_Y5,12)/FT_Int2)+1))),IF(AC72="PT",IF(Y72&lt;PT_First,PT_First,PT_First+PT_Int*(INT((Y72-PT_First)/PT_Int)+1)),"")))</f>
        <v/>
      </c>
      <c r="AH72" s="11" t="str">
        <f aca="false">IF(V72=0,"",IF($G72="","",IF($G72&gt;X72,"",$G72)))</f>
        <v/>
      </c>
    </row>
    <row r="73" customFormat="false" ht="15" hidden="false" customHeight="false" outlineLevel="0" collapsed="false">
      <c r="A73" s="12"/>
      <c r="B73" s="12"/>
      <c r="C73" s="12"/>
      <c r="D73" s="13"/>
      <c r="E73" s="12"/>
      <c r="F73" s="14"/>
      <c r="G73" s="13"/>
      <c r="H73" s="12"/>
      <c r="I73" s="14"/>
      <c r="J73" s="14"/>
      <c r="K73" s="13"/>
      <c r="L73" s="9" t="str">
        <f aca="false">IF(V73=0,"",IF($G73="","",$E73&amp;" to "&amp;$H73&amp;IF($H73="Part-Time"," "&amp;N($I73)&amp;" hrs","")&amp;" on "&amp;TEXT($G73,"dd/mm/yyyy")&amp;IF($G73&gt;AsOfDate," (future)",IF(AA73=AC73,"",IF(AC73="None"," - STOPPED accruing",IF(AA73="None"," - now qualifying"," - pathway changed"))))))</f>
        <v/>
      </c>
      <c r="M73" s="9" t="str">
        <f aca="false">IF(V73=0,"",IF(W73=1,"Terminated",IF(AC73="None",IF(O73&gt;0,"No longer accruing","Not eligible - "&amp;IF(AND(AC73="None",IF(AH73&lt;&gt;"",$H73,$E73)="Part-Time"),"under "&amp;PT_MinHours&amp;" hrs",IF(AH73&lt;&gt;"",$H73,$E73))),IF(O73&gt;0,"Yes - accruing","Not yet - from "&amp;TEXT(Q73,"dd/mm/yyyy")))))</f>
        <v/>
      </c>
      <c r="N73" s="9" t="str">
        <f aca="false">IF(V73=0,"",IF(Y73&lt;0,"-",INT(Y73/12)&amp;"y "&amp;MOD(Y73,12)&amp;"m"))</f>
        <v/>
      </c>
      <c r="O73" s="10" t="str">
        <f aca="false">IF(V73=0,"",AD73+IF(AH73="",0,AF73-AE73))</f>
        <v/>
      </c>
      <c r="P73" s="10" t="str">
        <f aca="false">IF(V73=0,"",O73*HoursPerDay)</f>
        <v/>
      </c>
      <c r="Q73" s="11" t="str">
        <f aca="false">IF(V73=0,"",IF(OR(W73=1,AC73="None"),"",EDATE(($D73+N($J73)),AG73)))</f>
        <v/>
      </c>
      <c r="R73" s="10" t="str">
        <f aca="false">IF(V73=0,"",IF(NOT(EH_Ready),"",SUMIFS(INDEX(EH_Data,0,EH_ColBal),INDEX(EH_Data,0,EH_ColFirst),$A73,INDEX(EH_Data,0,EH_ColSur),$B73,INDEX(EH_Data,0,EH_ColCat),BonusCat)/IF(EHUnit="Hours",HoursPerDay,1)))</f>
        <v/>
      </c>
      <c r="S73" s="10" t="str">
        <f aca="false">IF(OR(V73=0,R73="",W73=1),"",O73-R73)</f>
        <v/>
      </c>
      <c r="T73" s="10" t="str">
        <f aca="false">IF(S73="","",S73*HoursPerDay)</f>
        <v/>
      </c>
      <c r="U73" s="9" t="str">
        <f aca="false">IF(V73=0,"",IF(W73=1,IF(N(R73)&gt;0,"TERMINATED - forfeit "&amp;TEXT(R73,"0.##")&amp;" days in EH","Terminated"),IF(NOT(EH_Ready),"Paste EH export (see Settings)",IF(S73&gt;0,"ADD "&amp;TEXT(S73,"0.##")&amp;" day(s) = "&amp;TEXT(T73,"0.##")&amp;" hrs in EH",IF(S73&lt;0,"CHECK - EH has "&amp;TEXT(-S73,"0.##")&amp;" days more than policy",IF(O73&gt;0,"OK","-"))))))</f>
        <v/>
      </c>
      <c r="V73" s="9" t="n">
        <f aca="false">IF(OR(LEN($A73&amp;$B73)=0,$D73=""),0,1)</f>
        <v>0</v>
      </c>
      <c r="W73" s="9" t="n">
        <f aca="false">IF(V73=0,0,IF(AND($K73&lt;&gt;"",$K73&lt;=AsOfDate),1,0))</f>
        <v>0</v>
      </c>
      <c r="X73" s="11" t="str">
        <f aca="false">IF(V73=0,"",IF($K73="",AsOfDate,MIN(AsOfDate,$K73)))</f>
        <v/>
      </c>
      <c r="Y73" s="9" t="str">
        <f aca="false">IF(V73=0,"",IF(X73&lt;($D73+N($J73)),-1,12*(YEAR(X73)-YEAR(($D73+N($J73))))+MONTH(X73)-MONTH(($D73+N($J73)))-IF(DAY(X73)&lt;MIN(DAY(($D73+N($J73))),DAY(EOMONTH(X73,0))),1,0)))</f>
        <v/>
      </c>
      <c r="Z73" s="9" t="str">
        <f aca="false">IF(V73=0,"",IF(AH73="",Y73,IF((AH73-1)&lt;($D73+N($J73)),-1,12*(YEAR((AH73-1))-YEAR(($D73+N($J73))))+MONTH((AH73-1))-MONTH(($D73+N($J73)))-IF(DAY((AH73-1))&lt;MIN(DAY(($D73+N($J73))),DAY(EOMONTH((AH73-1),0))),1,0))))</f>
        <v/>
      </c>
      <c r="AA73" s="9" t="str">
        <f aca="false">IF(V73=0,"",IF($E73="Full-Time","FT",IF(AND($E73="Part-Time",N($F73)&gt;=PT_MinHours),"PT","None")))</f>
        <v/>
      </c>
      <c r="AB73" s="9" t="str">
        <f aca="false">IF(V73=0,"",IF($H73="Full-Time","FT",IF(AND($H73="Part-Time",N($I73)&gt;=PT_MinHours),"PT","None")))</f>
        <v/>
      </c>
      <c r="AC73" s="9" t="str">
        <f aca="false">IF(V73=0,"",IF(AH73&lt;&gt;"",AB73,AA73))</f>
        <v/>
      </c>
      <c r="AD73" s="9" t="str">
        <f aca="false">IF(V73=0,"",IF(AA73="FT",IF(Z73&lt;FT_First,0,IF(Z73&lt;FT_Y5,1+INT((Z73-FT_First)/FT_Int1),FT_PreY5+FT_PerYear*INT((Z73-FT_Y5)/12)+FT_AnnivDays+INT(MOD(Z73-FT_Y5,12)/FT_Int2))),IF(AA73="PT",IF(Z73&lt;PT_First,0,1+INT((Z73-PT_First)/PT_Int)),0)))</f>
        <v/>
      </c>
      <c r="AE73" s="9" t="str">
        <f aca="false">IF(V73=0,"",IF(AB73="FT",IF(Z73&lt;FT_First,0,IF(Z73&lt;FT_Y5,1+INT((Z73-FT_First)/FT_Int1),FT_PreY5+FT_PerYear*INT((Z73-FT_Y5)/12)+FT_AnnivDays+INT(MOD(Z73-FT_Y5,12)/FT_Int2))),IF(AB73="PT",IF(Z73&lt;PT_First,0,1+INT((Z73-PT_First)/PT_Int)),0)))</f>
        <v/>
      </c>
      <c r="AF73" s="9" t="str">
        <f aca="false">IF(V73=0,"",IF(AB73="FT",IF(Y73&lt;FT_First,0,IF(Y73&lt;FT_Y5,1+INT((Y73-FT_First)/FT_Int1),FT_PreY5+FT_PerYear*INT((Y73-FT_Y5)/12)+FT_AnnivDays+INT(MOD(Y73-FT_Y5,12)/FT_Int2))),IF(AB73="PT",IF(Y73&lt;PT_First,0,1+INT((Y73-PT_First)/PT_Int)),0)))</f>
        <v/>
      </c>
      <c r="AG73" s="9" t="str">
        <f aca="false">IF(V73=0,"",IF(AC73="FT",IF(Y73&lt;FT_First,FT_First,IF(Y73&lt;FT_Y5,MIN(FT_Y5,FT_First+FT_Int1*(INT((Y73-FT_First)/FT_Int1)+1)),FT_Y5+12*INT((Y73-FT_Y5)/12)+FT_Int2*(INT(MOD(Y73-FT_Y5,12)/FT_Int2)+1))),IF(AC73="PT",IF(Y73&lt;PT_First,PT_First,PT_First+PT_Int*(INT((Y73-PT_First)/PT_Int)+1)),"")))</f>
        <v/>
      </c>
      <c r="AH73" s="11" t="str">
        <f aca="false">IF(V73=0,"",IF($G73="","",IF($G73&gt;X73,"",$G73)))</f>
        <v/>
      </c>
    </row>
    <row r="74" customFormat="false" ht="15" hidden="false" customHeight="false" outlineLevel="0" collapsed="false">
      <c r="A74" s="12"/>
      <c r="B74" s="12"/>
      <c r="C74" s="12"/>
      <c r="D74" s="13"/>
      <c r="E74" s="12"/>
      <c r="F74" s="14"/>
      <c r="G74" s="13"/>
      <c r="H74" s="12"/>
      <c r="I74" s="14"/>
      <c r="J74" s="14"/>
      <c r="K74" s="13"/>
      <c r="L74" s="9" t="str">
        <f aca="false">IF(V74=0,"",IF($G74="","",$E74&amp;" to "&amp;$H74&amp;IF($H74="Part-Time"," "&amp;N($I74)&amp;" hrs","")&amp;" on "&amp;TEXT($G74,"dd/mm/yyyy")&amp;IF($G74&gt;AsOfDate," (future)",IF(AA74=AC74,"",IF(AC74="None"," - STOPPED accruing",IF(AA74="None"," - now qualifying"," - pathway changed"))))))</f>
        <v/>
      </c>
      <c r="M74" s="9" t="str">
        <f aca="false">IF(V74=0,"",IF(W74=1,"Terminated",IF(AC74="None",IF(O74&gt;0,"No longer accruing","Not eligible - "&amp;IF(AND(AC74="None",IF(AH74&lt;&gt;"",$H74,$E74)="Part-Time"),"under "&amp;PT_MinHours&amp;" hrs",IF(AH74&lt;&gt;"",$H74,$E74))),IF(O74&gt;0,"Yes - accruing","Not yet - from "&amp;TEXT(Q74,"dd/mm/yyyy")))))</f>
        <v/>
      </c>
      <c r="N74" s="9" t="str">
        <f aca="false">IF(V74=0,"",IF(Y74&lt;0,"-",INT(Y74/12)&amp;"y "&amp;MOD(Y74,12)&amp;"m"))</f>
        <v/>
      </c>
      <c r="O74" s="10" t="str">
        <f aca="false">IF(V74=0,"",AD74+IF(AH74="",0,AF74-AE74))</f>
        <v/>
      </c>
      <c r="P74" s="10" t="str">
        <f aca="false">IF(V74=0,"",O74*HoursPerDay)</f>
        <v/>
      </c>
      <c r="Q74" s="11" t="str">
        <f aca="false">IF(V74=0,"",IF(OR(W74=1,AC74="None"),"",EDATE(($D74+N($J74)),AG74)))</f>
        <v/>
      </c>
      <c r="R74" s="10" t="str">
        <f aca="false">IF(V74=0,"",IF(NOT(EH_Ready),"",SUMIFS(INDEX(EH_Data,0,EH_ColBal),INDEX(EH_Data,0,EH_ColFirst),$A74,INDEX(EH_Data,0,EH_ColSur),$B74,INDEX(EH_Data,0,EH_ColCat),BonusCat)/IF(EHUnit="Hours",HoursPerDay,1)))</f>
        <v/>
      </c>
      <c r="S74" s="10" t="str">
        <f aca="false">IF(OR(V74=0,R74="",W74=1),"",O74-R74)</f>
        <v/>
      </c>
      <c r="T74" s="10" t="str">
        <f aca="false">IF(S74="","",S74*HoursPerDay)</f>
        <v/>
      </c>
      <c r="U74" s="9" t="str">
        <f aca="false">IF(V74=0,"",IF(W74=1,IF(N(R74)&gt;0,"TERMINATED - forfeit "&amp;TEXT(R74,"0.##")&amp;" days in EH","Terminated"),IF(NOT(EH_Ready),"Paste EH export (see Settings)",IF(S74&gt;0,"ADD "&amp;TEXT(S74,"0.##")&amp;" day(s) = "&amp;TEXT(T74,"0.##")&amp;" hrs in EH",IF(S74&lt;0,"CHECK - EH has "&amp;TEXT(-S74,"0.##")&amp;" days more than policy",IF(O74&gt;0,"OK","-"))))))</f>
        <v/>
      </c>
      <c r="V74" s="9" t="n">
        <f aca="false">IF(OR(LEN($A74&amp;$B74)=0,$D74=""),0,1)</f>
        <v>0</v>
      </c>
      <c r="W74" s="9" t="n">
        <f aca="false">IF(V74=0,0,IF(AND($K74&lt;&gt;"",$K74&lt;=AsOfDate),1,0))</f>
        <v>0</v>
      </c>
      <c r="X74" s="11" t="str">
        <f aca="false">IF(V74=0,"",IF($K74="",AsOfDate,MIN(AsOfDate,$K74)))</f>
        <v/>
      </c>
      <c r="Y74" s="9" t="str">
        <f aca="false">IF(V74=0,"",IF(X74&lt;($D74+N($J74)),-1,12*(YEAR(X74)-YEAR(($D74+N($J74))))+MONTH(X74)-MONTH(($D74+N($J74)))-IF(DAY(X74)&lt;MIN(DAY(($D74+N($J74))),DAY(EOMONTH(X74,0))),1,0)))</f>
        <v/>
      </c>
      <c r="Z74" s="9" t="str">
        <f aca="false">IF(V74=0,"",IF(AH74="",Y74,IF((AH74-1)&lt;($D74+N($J74)),-1,12*(YEAR((AH74-1))-YEAR(($D74+N($J74))))+MONTH((AH74-1))-MONTH(($D74+N($J74)))-IF(DAY((AH74-1))&lt;MIN(DAY(($D74+N($J74))),DAY(EOMONTH((AH74-1),0))),1,0))))</f>
        <v/>
      </c>
      <c r="AA74" s="9" t="str">
        <f aca="false">IF(V74=0,"",IF($E74="Full-Time","FT",IF(AND($E74="Part-Time",N($F74)&gt;=PT_MinHours),"PT","None")))</f>
        <v/>
      </c>
      <c r="AB74" s="9" t="str">
        <f aca="false">IF(V74=0,"",IF($H74="Full-Time","FT",IF(AND($H74="Part-Time",N($I74)&gt;=PT_MinHours),"PT","None")))</f>
        <v/>
      </c>
      <c r="AC74" s="9" t="str">
        <f aca="false">IF(V74=0,"",IF(AH74&lt;&gt;"",AB74,AA74))</f>
        <v/>
      </c>
      <c r="AD74" s="9" t="str">
        <f aca="false">IF(V74=0,"",IF(AA74="FT",IF(Z74&lt;FT_First,0,IF(Z74&lt;FT_Y5,1+INT((Z74-FT_First)/FT_Int1),FT_PreY5+FT_PerYear*INT((Z74-FT_Y5)/12)+FT_AnnivDays+INT(MOD(Z74-FT_Y5,12)/FT_Int2))),IF(AA74="PT",IF(Z74&lt;PT_First,0,1+INT((Z74-PT_First)/PT_Int)),0)))</f>
        <v/>
      </c>
      <c r="AE74" s="9" t="str">
        <f aca="false">IF(V74=0,"",IF(AB74="FT",IF(Z74&lt;FT_First,0,IF(Z74&lt;FT_Y5,1+INT((Z74-FT_First)/FT_Int1),FT_PreY5+FT_PerYear*INT((Z74-FT_Y5)/12)+FT_AnnivDays+INT(MOD(Z74-FT_Y5,12)/FT_Int2))),IF(AB74="PT",IF(Z74&lt;PT_First,0,1+INT((Z74-PT_First)/PT_Int)),0)))</f>
        <v/>
      </c>
      <c r="AF74" s="9" t="str">
        <f aca="false">IF(V74=0,"",IF(AB74="FT",IF(Y74&lt;FT_First,0,IF(Y74&lt;FT_Y5,1+INT((Y74-FT_First)/FT_Int1),FT_PreY5+FT_PerYear*INT((Y74-FT_Y5)/12)+FT_AnnivDays+INT(MOD(Y74-FT_Y5,12)/FT_Int2))),IF(AB74="PT",IF(Y74&lt;PT_First,0,1+INT((Y74-PT_First)/PT_Int)),0)))</f>
        <v/>
      </c>
      <c r="AG74" s="9" t="str">
        <f aca="false">IF(V74=0,"",IF(AC74="FT",IF(Y74&lt;FT_First,FT_First,IF(Y74&lt;FT_Y5,MIN(FT_Y5,FT_First+FT_Int1*(INT((Y74-FT_First)/FT_Int1)+1)),FT_Y5+12*INT((Y74-FT_Y5)/12)+FT_Int2*(INT(MOD(Y74-FT_Y5,12)/FT_Int2)+1))),IF(AC74="PT",IF(Y74&lt;PT_First,PT_First,PT_First+PT_Int*(INT((Y74-PT_First)/PT_Int)+1)),"")))</f>
        <v/>
      </c>
      <c r="AH74" s="11" t="str">
        <f aca="false">IF(V74=0,"",IF($G74="","",IF($G74&gt;X74,"",$G74)))</f>
        <v/>
      </c>
    </row>
    <row r="75" customFormat="false" ht="15" hidden="false" customHeight="false" outlineLevel="0" collapsed="false">
      <c r="A75" s="12"/>
      <c r="B75" s="12"/>
      <c r="C75" s="12"/>
      <c r="D75" s="13"/>
      <c r="E75" s="12"/>
      <c r="F75" s="14"/>
      <c r="G75" s="13"/>
      <c r="H75" s="12"/>
      <c r="I75" s="14"/>
      <c r="J75" s="14"/>
      <c r="K75" s="13"/>
      <c r="L75" s="9" t="str">
        <f aca="false">IF(V75=0,"",IF($G75="","",$E75&amp;" to "&amp;$H75&amp;IF($H75="Part-Time"," "&amp;N($I75)&amp;" hrs","")&amp;" on "&amp;TEXT($G75,"dd/mm/yyyy")&amp;IF($G75&gt;AsOfDate," (future)",IF(AA75=AC75,"",IF(AC75="None"," - STOPPED accruing",IF(AA75="None"," - now qualifying"," - pathway changed"))))))</f>
        <v/>
      </c>
      <c r="M75" s="9" t="str">
        <f aca="false">IF(V75=0,"",IF(W75=1,"Terminated",IF(AC75="None",IF(O75&gt;0,"No longer accruing","Not eligible - "&amp;IF(AND(AC75="None",IF(AH75&lt;&gt;"",$H75,$E75)="Part-Time"),"under "&amp;PT_MinHours&amp;" hrs",IF(AH75&lt;&gt;"",$H75,$E75))),IF(O75&gt;0,"Yes - accruing","Not yet - from "&amp;TEXT(Q75,"dd/mm/yyyy")))))</f>
        <v/>
      </c>
      <c r="N75" s="9" t="str">
        <f aca="false">IF(V75=0,"",IF(Y75&lt;0,"-",INT(Y75/12)&amp;"y "&amp;MOD(Y75,12)&amp;"m"))</f>
        <v/>
      </c>
      <c r="O75" s="10" t="str">
        <f aca="false">IF(V75=0,"",AD75+IF(AH75="",0,AF75-AE75))</f>
        <v/>
      </c>
      <c r="P75" s="10" t="str">
        <f aca="false">IF(V75=0,"",O75*HoursPerDay)</f>
        <v/>
      </c>
      <c r="Q75" s="11" t="str">
        <f aca="false">IF(V75=0,"",IF(OR(W75=1,AC75="None"),"",EDATE(($D75+N($J75)),AG75)))</f>
        <v/>
      </c>
      <c r="R75" s="10" t="str">
        <f aca="false">IF(V75=0,"",IF(NOT(EH_Ready),"",SUMIFS(INDEX(EH_Data,0,EH_ColBal),INDEX(EH_Data,0,EH_ColFirst),$A75,INDEX(EH_Data,0,EH_ColSur),$B75,INDEX(EH_Data,0,EH_ColCat),BonusCat)/IF(EHUnit="Hours",HoursPerDay,1)))</f>
        <v/>
      </c>
      <c r="S75" s="10" t="str">
        <f aca="false">IF(OR(V75=0,R75="",W75=1),"",O75-R75)</f>
        <v/>
      </c>
      <c r="T75" s="10" t="str">
        <f aca="false">IF(S75="","",S75*HoursPerDay)</f>
        <v/>
      </c>
      <c r="U75" s="9" t="str">
        <f aca="false">IF(V75=0,"",IF(W75=1,IF(N(R75)&gt;0,"TERMINATED - forfeit "&amp;TEXT(R75,"0.##")&amp;" days in EH","Terminated"),IF(NOT(EH_Ready),"Paste EH export (see Settings)",IF(S75&gt;0,"ADD "&amp;TEXT(S75,"0.##")&amp;" day(s) = "&amp;TEXT(T75,"0.##")&amp;" hrs in EH",IF(S75&lt;0,"CHECK - EH has "&amp;TEXT(-S75,"0.##")&amp;" days more than policy",IF(O75&gt;0,"OK","-"))))))</f>
        <v/>
      </c>
      <c r="V75" s="9" t="n">
        <f aca="false">IF(OR(LEN($A75&amp;$B75)=0,$D75=""),0,1)</f>
        <v>0</v>
      </c>
      <c r="W75" s="9" t="n">
        <f aca="false">IF(V75=0,0,IF(AND($K75&lt;&gt;"",$K75&lt;=AsOfDate),1,0))</f>
        <v>0</v>
      </c>
      <c r="X75" s="11" t="str">
        <f aca="false">IF(V75=0,"",IF($K75="",AsOfDate,MIN(AsOfDate,$K75)))</f>
        <v/>
      </c>
      <c r="Y75" s="9" t="str">
        <f aca="false">IF(V75=0,"",IF(X75&lt;($D75+N($J75)),-1,12*(YEAR(X75)-YEAR(($D75+N($J75))))+MONTH(X75)-MONTH(($D75+N($J75)))-IF(DAY(X75)&lt;MIN(DAY(($D75+N($J75))),DAY(EOMONTH(X75,0))),1,0)))</f>
        <v/>
      </c>
      <c r="Z75" s="9" t="str">
        <f aca="false">IF(V75=0,"",IF(AH75="",Y75,IF((AH75-1)&lt;($D75+N($J75)),-1,12*(YEAR((AH75-1))-YEAR(($D75+N($J75))))+MONTH((AH75-1))-MONTH(($D75+N($J75)))-IF(DAY((AH75-1))&lt;MIN(DAY(($D75+N($J75))),DAY(EOMONTH((AH75-1),0))),1,0))))</f>
        <v/>
      </c>
      <c r="AA75" s="9" t="str">
        <f aca="false">IF(V75=0,"",IF($E75="Full-Time","FT",IF(AND($E75="Part-Time",N($F75)&gt;=PT_MinHours),"PT","None")))</f>
        <v/>
      </c>
      <c r="AB75" s="9" t="str">
        <f aca="false">IF(V75=0,"",IF($H75="Full-Time","FT",IF(AND($H75="Part-Time",N($I75)&gt;=PT_MinHours),"PT","None")))</f>
        <v/>
      </c>
      <c r="AC75" s="9" t="str">
        <f aca="false">IF(V75=0,"",IF(AH75&lt;&gt;"",AB75,AA75))</f>
        <v/>
      </c>
      <c r="AD75" s="9" t="str">
        <f aca="false">IF(V75=0,"",IF(AA75="FT",IF(Z75&lt;FT_First,0,IF(Z75&lt;FT_Y5,1+INT((Z75-FT_First)/FT_Int1),FT_PreY5+FT_PerYear*INT((Z75-FT_Y5)/12)+FT_AnnivDays+INT(MOD(Z75-FT_Y5,12)/FT_Int2))),IF(AA75="PT",IF(Z75&lt;PT_First,0,1+INT((Z75-PT_First)/PT_Int)),0)))</f>
        <v/>
      </c>
      <c r="AE75" s="9" t="str">
        <f aca="false">IF(V75=0,"",IF(AB75="FT",IF(Z75&lt;FT_First,0,IF(Z75&lt;FT_Y5,1+INT((Z75-FT_First)/FT_Int1),FT_PreY5+FT_PerYear*INT((Z75-FT_Y5)/12)+FT_AnnivDays+INT(MOD(Z75-FT_Y5,12)/FT_Int2))),IF(AB75="PT",IF(Z75&lt;PT_First,0,1+INT((Z75-PT_First)/PT_Int)),0)))</f>
        <v/>
      </c>
      <c r="AF75" s="9" t="str">
        <f aca="false">IF(V75=0,"",IF(AB75="FT",IF(Y75&lt;FT_First,0,IF(Y75&lt;FT_Y5,1+INT((Y75-FT_First)/FT_Int1),FT_PreY5+FT_PerYear*INT((Y75-FT_Y5)/12)+FT_AnnivDays+INT(MOD(Y75-FT_Y5,12)/FT_Int2))),IF(AB75="PT",IF(Y75&lt;PT_First,0,1+INT((Y75-PT_First)/PT_Int)),0)))</f>
        <v/>
      </c>
      <c r="AG75" s="9" t="str">
        <f aca="false">IF(V75=0,"",IF(AC75="FT",IF(Y75&lt;FT_First,FT_First,IF(Y75&lt;FT_Y5,MIN(FT_Y5,FT_First+FT_Int1*(INT((Y75-FT_First)/FT_Int1)+1)),FT_Y5+12*INT((Y75-FT_Y5)/12)+FT_Int2*(INT(MOD(Y75-FT_Y5,12)/FT_Int2)+1))),IF(AC75="PT",IF(Y75&lt;PT_First,PT_First,PT_First+PT_Int*(INT((Y75-PT_First)/PT_Int)+1)),"")))</f>
        <v/>
      </c>
      <c r="AH75" s="11" t="str">
        <f aca="false">IF(V75=0,"",IF($G75="","",IF($G75&gt;X75,"",$G75)))</f>
        <v/>
      </c>
    </row>
    <row r="76" customFormat="false" ht="15" hidden="false" customHeight="false" outlineLevel="0" collapsed="false">
      <c r="A76" s="12"/>
      <c r="B76" s="12"/>
      <c r="C76" s="12"/>
      <c r="D76" s="13"/>
      <c r="E76" s="12"/>
      <c r="F76" s="14"/>
      <c r="G76" s="13"/>
      <c r="H76" s="12"/>
      <c r="I76" s="14"/>
      <c r="J76" s="14"/>
      <c r="K76" s="13"/>
      <c r="L76" s="9" t="str">
        <f aca="false">IF(V76=0,"",IF($G76="","",$E76&amp;" to "&amp;$H76&amp;IF($H76="Part-Time"," "&amp;N($I76)&amp;" hrs","")&amp;" on "&amp;TEXT($G76,"dd/mm/yyyy")&amp;IF($G76&gt;AsOfDate," (future)",IF(AA76=AC76,"",IF(AC76="None"," - STOPPED accruing",IF(AA76="None"," - now qualifying"," - pathway changed"))))))</f>
        <v/>
      </c>
      <c r="M76" s="9" t="str">
        <f aca="false">IF(V76=0,"",IF(W76=1,"Terminated",IF(AC76="None",IF(O76&gt;0,"No longer accruing","Not eligible - "&amp;IF(AND(AC76="None",IF(AH76&lt;&gt;"",$H76,$E76)="Part-Time"),"under "&amp;PT_MinHours&amp;" hrs",IF(AH76&lt;&gt;"",$H76,$E76))),IF(O76&gt;0,"Yes - accruing","Not yet - from "&amp;TEXT(Q76,"dd/mm/yyyy")))))</f>
        <v/>
      </c>
      <c r="N76" s="9" t="str">
        <f aca="false">IF(V76=0,"",IF(Y76&lt;0,"-",INT(Y76/12)&amp;"y "&amp;MOD(Y76,12)&amp;"m"))</f>
        <v/>
      </c>
      <c r="O76" s="10" t="str">
        <f aca="false">IF(V76=0,"",AD76+IF(AH76="",0,AF76-AE76))</f>
        <v/>
      </c>
      <c r="P76" s="10" t="str">
        <f aca="false">IF(V76=0,"",O76*HoursPerDay)</f>
        <v/>
      </c>
      <c r="Q76" s="11" t="str">
        <f aca="false">IF(V76=0,"",IF(OR(W76=1,AC76="None"),"",EDATE(($D76+N($J76)),AG76)))</f>
        <v/>
      </c>
      <c r="R76" s="10" t="str">
        <f aca="false">IF(V76=0,"",IF(NOT(EH_Ready),"",SUMIFS(INDEX(EH_Data,0,EH_ColBal),INDEX(EH_Data,0,EH_ColFirst),$A76,INDEX(EH_Data,0,EH_ColSur),$B76,INDEX(EH_Data,0,EH_ColCat),BonusCat)/IF(EHUnit="Hours",HoursPerDay,1)))</f>
        <v/>
      </c>
      <c r="S76" s="10" t="str">
        <f aca="false">IF(OR(V76=0,R76="",W76=1),"",O76-R76)</f>
        <v/>
      </c>
      <c r="T76" s="10" t="str">
        <f aca="false">IF(S76="","",S76*HoursPerDay)</f>
        <v/>
      </c>
      <c r="U76" s="9" t="str">
        <f aca="false">IF(V76=0,"",IF(W76=1,IF(N(R76)&gt;0,"TERMINATED - forfeit "&amp;TEXT(R76,"0.##")&amp;" days in EH","Terminated"),IF(NOT(EH_Ready),"Paste EH export (see Settings)",IF(S76&gt;0,"ADD "&amp;TEXT(S76,"0.##")&amp;" day(s) = "&amp;TEXT(T76,"0.##")&amp;" hrs in EH",IF(S76&lt;0,"CHECK - EH has "&amp;TEXT(-S76,"0.##")&amp;" days more than policy",IF(O76&gt;0,"OK","-"))))))</f>
        <v/>
      </c>
      <c r="V76" s="9" t="n">
        <f aca="false">IF(OR(LEN($A76&amp;$B76)=0,$D76=""),0,1)</f>
        <v>0</v>
      </c>
      <c r="W76" s="9" t="n">
        <f aca="false">IF(V76=0,0,IF(AND($K76&lt;&gt;"",$K76&lt;=AsOfDate),1,0))</f>
        <v>0</v>
      </c>
      <c r="X76" s="11" t="str">
        <f aca="false">IF(V76=0,"",IF($K76="",AsOfDate,MIN(AsOfDate,$K76)))</f>
        <v/>
      </c>
      <c r="Y76" s="9" t="str">
        <f aca="false">IF(V76=0,"",IF(X76&lt;($D76+N($J76)),-1,12*(YEAR(X76)-YEAR(($D76+N($J76))))+MONTH(X76)-MONTH(($D76+N($J76)))-IF(DAY(X76)&lt;MIN(DAY(($D76+N($J76))),DAY(EOMONTH(X76,0))),1,0)))</f>
        <v/>
      </c>
      <c r="Z76" s="9" t="str">
        <f aca="false">IF(V76=0,"",IF(AH76="",Y76,IF((AH76-1)&lt;($D76+N($J76)),-1,12*(YEAR((AH76-1))-YEAR(($D76+N($J76))))+MONTH((AH76-1))-MONTH(($D76+N($J76)))-IF(DAY((AH76-1))&lt;MIN(DAY(($D76+N($J76))),DAY(EOMONTH((AH76-1),0))),1,0))))</f>
        <v/>
      </c>
      <c r="AA76" s="9" t="str">
        <f aca="false">IF(V76=0,"",IF($E76="Full-Time","FT",IF(AND($E76="Part-Time",N($F76)&gt;=PT_MinHours),"PT","None")))</f>
        <v/>
      </c>
      <c r="AB76" s="9" t="str">
        <f aca="false">IF(V76=0,"",IF($H76="Full-Time","FT",IF(AND($H76="Part-Time",N($I76)&gt;=PT_MinHours),"PT","None")))</f>
        <v/>
      </c>
      <c r="AC76" s="9" t="str">
        <f aca="false">IF(V76=0,"",IF(AH76&lt;&gt;"",AB76,AA76))</f>
        <v/>
      </c>
      <c r="AD76" s="9" t="str">
        <f aca="false">IF(V76=0,"",IF(AA76="FT",IF(Z76&lt;FT_First,0,IF(Z76&lt;FT_Y5,1+INT((Z76-FT_First)/FT_Int1),FT_PreY5+FT_PerYear*INT((Z76-FT_Y5)/12)+FT_AnnivDays+INT(MOD(Z76-FT_Y5,12)/FT_Int2))),IF(AA76="PT",IF(Z76&lt;PT_First,0,1+INT((Z76-PT_First)/PT_Int)),0)))</f>
        <v/>
      </c>
      <c r="AE76" s="9" t="str">
        <f aca="false">IF(V76=0,"",IF(AB76="FT",IF(Z76&lt;FT_First,0,IF(Z76&lt;FT_Y5,1+INT((Z76-FT_First)/FT_Int1),FT_PreY5+FT_PerYear*INT((Z76-FT_Y5)/12)+FT_AnnivDays+INT(MOD(Z76-FT_Y5,12)/FT_Int2))),IF(AB76="PT",IF(Z76&lt;PT_First,0,1+INT((Z76-PT_First)/PT_Int)),0)))</f>
        <v/>
      </c>
      <c r="AF76" s="9" t="str">
        <f aca="false">IF(V76=0,"",IF(AB76="FT",IF(Y76&lt;FT_First,0,IF(Y76&lt;FT_Y5,1+INT((Y76-FT_First)/FT_Int1),FT_PreY5+FT_PerYear*INT((Y76-FT_Y5)/12)+FT_AnnivDays+INT(MOD(Y76-FT_Y5,12)/FT_Int2))),IF(AB76="PT",IF(Y76&lt;PT_First,0,1+INT((Y76-PT_First)/PT_Int)),0)))</f>
        <v/>
      </c>
      <c r="AG76" s="9" t="str">
        <f aca="false">IF(V76=0,"",IF(AC76="FT",IF(Y76&lt;FT_First,FT_First,IF(Y76&lt;FT_Y5,MIN(FT_Y5,FT_First+FT_Int1*(INT((Y76-FT_First)/FT_Int1)+1)),FT_Y5+12*INT((Y76-FT_Y5)/12)+FT_Int2*(INT(MOD(Y76-FT_Y5,12)/FT_Int2)+1))),IF(AC76="PT",IF(Y76&lt;PT_First,PT_First,PT_First+PT_Int*(INT((Y76-PT_First)/PT_Int)+1)),"")))</f>
        <v/>
      </c>
      <c r="AH76" s="11" t="str">
        <f aca="false">IF(V76=0,"",IF($G76="","",IF($G76&gt;X76,"",$G76)))</f>
        <v/>
      </c>
    </row>
    <row r="77" customFormat="false" ht="15" hidden="false" customHeight="false" outlineLevel="0" collapsed="false">
      <c r="A77" s="12"/>
      <c r="B77" s="12"/>
      <c r="C77" s="12"/>
      <c r="D77" s="13"/>
      <c r="E77" s="12"/>
      <c r="F77" s="14"/>
      <c r="G77" s="13"/>
      <c r="H77" s="12"/>
      <c r="I77" s="14"/>
      <c r="J77" s="14"/>
      <c r="K77" s="13"/>
      <c r="L77" s="9" t="str">
        <f aca="false">IF(V77=0,"",IF($G77="","",$E77&amp;" to "&amp;$H77&amp;IF($H77="Part-Time"," "&amp;N($I77)&amp;" hrs","")&amp;" on "&amp;TEXT($G77,"dd/mm/yyyy")&amp;IF($G77&gt;AsOfDate," (future)",IF(AA77=AC77,"",IF(AC77="None"," - STOPPED accruing",IF(AA77="None"," - now qualifying"," - pathway changed"))))))</f>
        <v/>
      </c>
      <c r="M77" s="9" t="str">
        <f aca="false">IF(V77=0,"",IF(W77=1,"Terminated",IF(AC77="None",IF(O77&gt;0,"No longer accruing","Not eligible - "&amp;IF(AND(AC77="None",IF(AH77&lt;&gt;"",$H77,$E77)="Part-Time"),"under "&amp;PT_MinHours&amp;" hrs",IF(AH77&lt;&gt;"",$H77,$E77))),IF(O77&gt;0,"Yes - accruing","Not yet - from "&amp;TEXT(Q77,"dd/mm/yyyy")))))</f>
        <v/>
      </c>
      <c r="N77" s="9" t="str">
        <f aca="false">IF(V77=0,"",IF(Y77&lt;0,"-",INT(Y77/12)&amp;"y "&amp;MOD(Y77,12)&amp;"m"))</f>
        <v/>
      </c>
      <c r="O77" s="10" t="str">
        <f aca="false">IF(V77=0,"",AD77+IF(AH77="",0,AF77-AE77))</f>
        <v/>
      </c>
      <c r="P77" s="10" t="str">
        <f aca="false">IF(V77=0,"",O77*HoursPerDay)</f>
        <v/>
      </c>
      <c r="Q77" s="11" t="str">
        <f aca="false">IF(V77=0,"",IF(OR(W77=1,AC77="None"),"",EDATE(($D77+N($J77)),AG77)))</f>
        <v/>
      </c>
      <c r="R77" s="10" t="str">
        <f aca="false">IF(V77=0,"",IF(NOT(EH_Ready),"",SUMIFS(INDEX(EH_Data,0,EH_ColBal),INDEX(EH_Data,0,EH_ColFirst),$A77,INDEX(EH_Data,0,EH_ColSur),$B77,INDEX(EH_Data,0,EH_ColCat),BonusCat)/IF(EHUnit="Hours",HoursPerDay,1)))</f>
        <v/>
      </c>
      <c r="S77" s="10" t="str">
        <f aca="false">IF(OR(V77=0,R77="",W77=1),"",O77-R77)</f>
        <v/>
      </c>
      <c r="T77" s="10" t="str">
        <f aca="false">IF(S77="","",S77*HoursPerDay)</f>
        <v/>
      </c>
      <c r="U77" s="9" t="str">
        <f aca="false">IF(V77=0,"",IF(W77=1,IF(N(R77)&gt;0,"TERMINATED - forfeit "&amp;TEXT(R77,"0.##")&amp;" days in EH","Terminated"),IF(NOT(EH_Ready),"Paste EH export (see Settings)",IF(S77&gt;0,"ADD "&amp;TEXT(S77,"0.##")&amp;" day(s) = "&amp;TEXT(T77,"0.##")&amp;" hrs in EH",IF(S77&lt;0,"CHECK - EH has "&amp;TEXT(-S77,"0.##")&amp;" days more than policy",IF(O77&gt;0,"OK","-"))))))</f>
        <v/>
      </c>
      <c r="V77" s="9" t="n">
        <f aca="false">IF(OR(LEN($A77&amp;$B77)=0,$D77=""),0,1)</f>
        <v>0</v>
      </c>
      <c r="W77" s="9" t="n">
        <f aca="false">IF(V77=0,0,IF(AND($K77&lt;&gt;"",$K77&lt;=AsOfDate),1,0))</f>
        <v>0</v>
      </c>
      <c r="X77" s="11" t="str">
        <f aca="false">IF(V77=0,"",IF($K77="",AsOfDate,MIN(AsOfDate,$K77)))</f>
        <v/>
      </c>
      <c r="Y77" s="9" t="str">
        <f aca="false">IF(V77=0,"",IF(X77&lt;($D77+N($J77)),-1,12*(YEAR(X77)-YEAR(($D77+N($J77))))+MONTH(X77)-MONTH(($D77+N($J77)))-IF(DAY(X77)&lt;MIN(DAY(($D77+N($J77))),DAY(EOMONTH(X77,0))),1,0)))</f>
        <v/>
      </c>
      <c r="Z77" s="9" t="str">
        <f aca="false">IF(V77=0,"",IF(AH77="",Y77,IF((AH77-1)&lt;($D77+N($J77)),-1,12*(YEAR((AH77-1))-YEAR(($D77+N($J77))))+MONTH((AH77-1))-MONTH(($D77+N($J77)))-IF(DAY((AH77-1))&lt;MIN(DAY(($D77+N($J77))),DAY(EOMONTH((AH77-1),0))),1,0))))</f>
        <v/>
      </c>
      <c r="AA77" s="9" t="str">
        <f aca="false">IF(V77=0,"",IF($E77="Full-Time","FT",IF(AND($E77="Part-Time",N($F77)&gt;=PT_MinHours),"PT","None")))</f>
        <v/>
      </c>
      <c r="AB77" s="9" t="str">
        <f aca="false">IF(V77=0,"",IF($H77="Full-Time","FT",IF(AND($H77="Part-Time",N($I77)&gt;=PT_MinHours),"PT","None")))</f>
        <v/>
      </c>
      <c r="AC77" s="9" t="str">
        <f aca="false">IF(V77=0,"",IF(AH77&lt;&gt;"",AB77,AA77))</f>
        <v/>
      </c>
      <c r="AD77" s="9" t="str">
        <f aca="false">IF(V77=0,"",IF(AA77="FT",IF(Z77&lt;FT_First,0,IF(Z77&lt;FT_Y5,1+INT((Z77-FT_First)/FT_Int1),FT_PreY5+FT_PerYear*INT((Z77-FT_Y5)/12)+FT_AnnivDays+INT(MOD(Z77-FT_Y5,12)/FT_Int2))),IF(AA77="PT",IF(Z77&lt;PT_First,0,1+INT((Z77-PT_First)/PT_Int)),0)))</f>
        <v/>
      </c>
      <c r="AE77" s="9" t="str">
        <f aca="false">IF(V77=0,"",IF(AB77="FT",IF(Z77&lt;FT_First,0,IF(Z77&lt;FT_Y5,1+INT((Z77-FT_First)/FT_Int1),FT_PreY5+FT_PerYear*INT((Z77-FT_Y5)/12)+FT_AnnivDays+INT(MOD(Z77-FT_Y5,12)/FT_Int2))),IF(AB77="PT",IF(Z77&lt;PT_First,0,1+INT((Z77-PT_First)/PT_Int)),0)))</f>
        <v/>
      </c>
      <c r="AF77" s="9" t="str">
        <f aca="false">IF(V77=0,"",IF(AB77="FT",IF(Y77&lt;FT_First,0,IF(Y77&lt;FT_Y5,1+INT((Y77-FT_First)/FT_Int1),FT_PreY5+FT_PerYear*INT((Y77-FT_Y5)/12)+FT_AnnivDays+INT(MOD(Y77-FT_Y5,12)/FT_Int2))),IF(AB77="PT",IF(Y77&lt;PT_First,0,1+INT((Y77-PT_First)/PT_Int)),0)))</f>
        <v/>
      </c>
      <c r="AG77" s="9" t="str">
        <f aca="false">IF(V77=0,"",IF(AC77="FT",IF(Y77&lt;FT_First,FT_First,IF(Y77&lt;FT_Y5,MIN(FT_Y5,FT_First+FT_Int1*(INT((Y77-FT_First)/FT_Int1)+1)),FT_Y5+12*INT((Y77-FT_Y5)/12)+FT_Int2*(INT(MOD(Y77-FT_Y5,12)/FT_Int2)+1))),IF(AC77="PT",IF(Y77&lt;PT_First,PT_First,PT_First+PT_Int*(INT((Y77-PT_First)/PT_Int)+1)),"")))</f>
        <v/>
      </c>
      <c r="AH77" s="11" t="str">
        <f aca="false">IF(V77=0,"",IF($G77="","",IF($G77&gt;X77,"",$G77)))</f>
        <v/>
      </c>
    </row>
    <row r="78" customFormat="false" ht="15" hidden="false" customHeight="false" outlineLevel="0" collapsed="false">
      <c r="A78" s="12"/>
      <c r="B78" s="12"/>
      <c r="C78" s="12"/>
      <c r="D78" s="13"/>
      <c r="E78" s="12"/>
      <c r="F78" s="14"/>
      <c r="G78" s="13"/>
      <c r="H78" s="12"/>
      <c r="I78" s="14"/>
      <c r="J78" s="14"/>
      <c r="K78" s="13"/>
      <c r="L78" s="9" t="str">
        <f aca="false">IF(V78=0,"",IF($G78="","",$E78&amp;" to "&amp;$H78&amp;IF($H78="Part-Time"," "&amp;N($I78)&amp;" hrs","")&amp;" on "&amp;TEXT($G78,"dd/mm/yyyy")&amp;IF($G78&gt;AsOfDate," (future)",IF(AA78=AC78,"",IF(AC78="None"," - STOPPED accruing",IF(AA78="None"," - now qualifying"," - pathway changed"))))))</f>
        <v/>
      </c>
      <c r="M78" s="9" t="str">
        <f aca="false">IF(V78=0,"",IF(W78=1,"Terminated",IF(AC78="None",IF(O78&gt;0,"No longer accruing","Not eligible - "&amp;IF(AND(AC78="None",IF(AH78&lt;&gt;"",$H78,$E78)="Part-Time"),"under "&amp;PT_MinHours&amp;" hrs",IF(AH78&lt;&gt;"",$H78,$E78))),IF(O78&gt;0,"Yes - accruing","Not yet - from "&amp;TEXT(Q78,"dd/mm/yyyy")))))</f>
        <v/>
      </c>
      <c r="N78" s="9" t="str">
        <f aca="false">IF(V78=0,"",IF(Y78&lt;0,"-",INT(Y78/12)&amp;"y "&amp;MOD(Y78,12)&amp;"m"))</f>
        <v/>
      </c>
      <c r="O78" s="10" t="str">
        <f aca="false">IF(V78=0,"",AD78+IF(AH78="",0,AF78-AE78))</f>
        <v/>
      </c>
      <c r="P78" s="10" t="str">
        <f aca="false">IF(V78=0,"",O78*HoursPerDay)</f>
        <v/>
      </c>
      <c r="Q78" s="11" t="str">
        <f aca="false">IF(V78=0,"",IF(OR(W78=1,AC78="None"),"",EDATE(($D78+N($J78)),AG78)))</f>
        <v/>
      </c>
      <c r="R78" s="10" t="str">
        <f aca="false">IF(V78=0,"",IF(NOT(EH_Ready),"",SUMIFS(INDEX(EH_Data,0,EH_ColBal),INDEX(EH_Data,0,EH_ColFirst),$A78,INDEX(EH_Data,0,EH_ColSur),$B78,INDEX(EH_Data,0,EH_ColCat),BonusCat)/IF(EHUnit="Hours",HoursPerDay,1)))</f>
        <v/>
      </c>
      <c r="S78" s="10" t="str">
        <f aca="false">IF(OR(V78=0,R78="",W78=1),"",O78-R78)</f>
        <v/>
      </c>
      <c r="T78" s="10" t="str">
        <f aca="false">IF(S78="","",S78*HoursPerDay)</f>
        <v/>
      </c>
      <c r="U78" s="9" t="str">
        <f aca="false">IF(V78=0,"",IF(W78=1,IF(N(R78)&gt;0,"TERMINATED - forfeit "&amp;TEXT(R78,"0.##")&amp;" days in EH","Terminated"),IF(NOT(EH_Ready),"Paste EH export (see Settings)",IF(S78&gt;0,"ADD "&amp;TEXT(S78,"0.##")&amp;" day(s) = "&amp;TEXT(T78,"0.##")&amp;" hrs in EH",IF(S78&lt;0,"CHECK - EH has "&amp;TEXT(-S78,"0.##")&amp;" days more than policy",IF(O78&gt;0,"OK","-"))))))</f>
        <v/>
      </c>
      <c r="V78" s="9" t="n">
        <f aca="false">IF(OR(LEN($A78&amp;$B78)=0,$D78=""),0,1)</f>
        <v>0</v>
      </c>
      <c r="W78" s="9" t="n">
        <f aca="false">IF(V78=0,0,IF(AND($K78&lt;&gt;"",$K78&lt;=AsOfDate),1,0))</f>
        <v>0</v>
      </c>
      <c r="X78" s="11" t="str">
        <f aca="false">IF(V78=0,"",IF($K78="",AsOfDate,MIN(AsOfDate,$K78)))</f>
        <v/>
      </c>
      <c r="Y78" s="9" t="str">
        <f aca="false">IF(V78=0,"",IF(X78&lt;($D78+N($J78)),-1,12*(YEAR(X78)-YEAR(($D78+N($J78))))+MONTH(X78)-MONTH(($D78+N($J78)))-IF(DAY(X78)&lt;MIN(DAY(($D78+N($J78))),DAY(EOMONTH(X78,0))),1,0)))</f>
        <v/>
      </c>
      <c r="Z78" s="9" t="str">
        <f aca="false">IF(V78=0,"",IF(AH78="",Y78,IF((AH78-1)&lt;($D78+N($J78)),-1,12*(YEAR((AH78-1))-YEAR(($D78+N($J78))))+MONTH((AH78-1))-MONTH(($D78+N($J78)))-IF(DAY((AH78-1))&lt;MIN(DAY(($D78+N($J78))),DAY(EOMONTH((AH78-1),0))),1,0))))</f>
        <v/>
      </c>
      <c r="AA78" s="9" t="str">
        <f aca="false">IF(V78=0,"",IF($E78="Full-Time","FT",IF(AND($E78="Part-Time",N($F78)&gt;=PT_MinHours),"PT","None")))</f>
        <v/>
      </c>
      <c r="AB78" s="9" t="str">
        <f aca="false">IF(V78=0,"",IF($H78="Full-Time","FT",IF(AND($H78="Part-Time",N($I78)&gt;=PT_MinHours),"PT","None")))</f>
        <v/>
      </c>
      <c r="AC78" s="9" t="str">
        <f aca="false">IF(V78=0,"",IF(AH78&lt;&gt;"",AB78,AA78))</f>
        <v/>
      </c>
      <c r="AD78" s="9" t="str">
        <f aca="false">IF(V78=0,"",IF(AA78="FT",IF(Z78&lt;FT_First,0,IF(Z78&lt;FT_Y5,1+INT((Z78-FT_First)/FT_Int1),FT_PreY5+FT_PerYear*INT((Z78-FT_Y5)/12)+FT_AnnivDays+INT(MOD(Z78-FT_Y5,12)/FT_Int2))),IF(AA78="PT",IF(Z78&lt;PT_First,0,1+INT((Z78-PT_First)/PT_Int)),0)))</f>
        <v/>
      </c>
      <c r="AE78" s="9" t="str">
        <f aca="false">IF(V78=0,"",IF(AB78="FT",IF(Z78&lt;FT_First,0,IF(Z78&lt;FT_Y5,1+INT((Z78-FT_First)/FT_Int1),FT_PreY5+FT_PerYear*INT((Z78-FT_Y5)/12)+FT_AnnivDays+INT(MOD(Z78-FT_Y5,12)/FT_Int2))),IF(AB78="PT",IF(Z78&lt;PT_First,0,1+INT((Z78-PT_First)/PT_Int)),0)))</f>
        <v/>
      </c>
      <c r="AF78" s="9" t="str">
        <f aca="false">IF(V78=0,"",IF(AB78="FT",IF(Y78&lt;FT_First,0,IF(Y78&lt;FT_Y5,1+INT((Y78-FT_First)/FT_Int1),FT_PreY5+FT_PerYear*INT((Y78-FT_Y5)/12)+FT_AnnivDays+INT(MOD(Y78-FT_Y5,12)/FT_Int2))),IF(AB78="PT",IF(Y78&lt;PT_First,0,1+INT((Y78-PT_First)/PT_Int)),0)))</f>
        <v/>
      </c>
      <c r="AG78" s="9" t="str">
        <f aca="false">IF(V78=0,"",IF(AC78="FT",IF(Y78&lt;FT_First,FT_First,IF(Y78&lt;FT_Y5,MIN(FT_Y5,FT_First+FT_Int1*(INT((Y78-FT_First)/FT_Int1)+1)),FT_Y5+12*INT((Y78-FT_Y5)/12)+FT_Int2*(INT(MOD(Y78-FT_Y5,12)/FT_Int2)+1))),IF(AC78="PT",IF(Y78&lt;PT_First,PT_First,PT_First+PT_Int*(INT((Y78-PT_First)/PT_Int)+1)),"")))</f>
        <v/>
      </c>
      <c r="AH78" s="11" t="str">
        <f aca="false">IF(V78=0,"",IF($G78="","",IF($G78&gt;X78,"",$G78)))</f>
        <v/>
      </c>
    </row>
    <row r="79" customFormat="false" ht="15" hidden="false" customHeight="false" outlineLevel="0" collapsed="false">
      <c r="A79" s="12"/>
      <c r="B79" s="12"/>
      <c r="C79" s="12"/>
      <c r="D79" s="13"/>
      <c r="E79" s="12"/>
      <c r="F79" s="14"/>
      <c r="G79" s="13"/>
      <c r="H79" s="12"/>
      <c r="I79" s="14"/>
      <c r="J79" s="14"/>
      <c r="K79" s="13"/>
      <c r="L79" s="9" t="str">
        <f aca="false">IF(V79=0,"",IF($G79="","",$E79&amp;" to "&amp;$H79&amp;IF($H79="Part-Time"," "&amp;N($I79)&amp;" hrs","")&amp;" on "&amp;TEXT($G79,"dd/mm/yyyy")&amp;IF($G79&gt;AsOfDate," (future)",IF(AA79=AC79,"",IF(AC79="None"," - STOPPED accruing",IF(AA79="None"," - now qualifying"," - pathway changed"))))))</f>
        <v/>
      </c>
      <c r="M79" s="9" t="str">
        <f aca="false">IF(V79=0,"",IF(W79=1,"Terminated",IF(AC79="None",IF(O79&gt;0,"No longer accruing","Not eligible - "&amp;IF(AND(AC79="None",IF(AH79&lt;&gt;"",$H79,$E79)="Part-Time"),"under "&amp;PT_MinHours&amp;" hrs",IF(AH79&lt;&gt;"",$H79,$E79))),IF(O79&gt;0,"Yes - accruing","Not yet - from "&amp;TEXT(Q79,"dd/mm/yyyy")))))</f>
        <v/>
      </c>
      <c r="N79" s="9" t="str">
        <f aca="false">IF(V79=0,"",IF(Y79&lt;0,"-",INT(Y79/12)&amp;"y "&amp;MOD(Y79,12)&amp;"m"))</f>
        <v/>
      </c>
      <c r="O79" s="10" t="str">
        <f aca="false">IF(V79=0,"",AD79+IF(AH79="",0,AF79-AE79))</f>
        <v/>
      </c>
      <c r="P79" s="10" t="str">
        <f aca="false">IF(V79=0,"",O79*HoursPerDay)</f>
        <v/>
      </c>
      <c r="Q79" s="11" t="str">
        <f aca="false">IF(V79=0,"",IF(OR(W79=1,AC79="None"),"",EDATE(($D79+N($J79)),AG79)))</f>
        <v/>
      </c>
      <c r="R79" s="10" t="str">
        <f aca="false">IF(V79=0,"",IF(NOT(EH_Ready),"",SUMIFS(INDEX(EH_Data,0,EH_ColBal),INDEX(EH_Data,0,EH_ColFirst),$A79,INDEX(EH_Data,0,EH_ColSur),$B79,INDEX(EH_Data,0,EH_ColCat),BonusCat)/IF(EHUnit="Hours",HoursPerDay,1)))</f>
        <v/>
      </c>
      <c r="S79" s="10" t="str">
        <f aca="false">IF(OR(V79=0,R79="",W79=1),"",O79-R79)</f>
        <v/>
      </c>
      <c r="T79" s="10" t="str">
        <f aca="false">IF(S79="","",S79*HoursPerDay)</f>
        <v/>
      </c>
      <c r="U79" s="9" t="str">
        <f aca="false">IF(V79=0,"",IF(W79=1,IF(N(R79)&gt;0,"TERMINATED - forfeit "&amp;TEXT(R79,"0.##")&amp;" days in EH","Terminated"),IF(NOT(EH_Ready),"Paste EH export (see Settings)",IF(S79&gt;0,"ADD "&amp;TEXT(S79,"0.##")&amp;" day(s) = "&amp;TEXT(T79,"0.##")&amp;" hrs in EH",IF(S79&lt;0,"CHECK - EH has "&amp;TEXT(-S79,"0.##")&amp;" days more than policy",IF(O79&gt;0,"OK","-"))))))</f>
        <v/>
      </c>
      <c r="V79" s="9" t="n">
        <f aca="false">IF(OR(LEN($A79&amp;$B79)=0,$D79=""),0,1)</f>
        <v>0</v>
      </c>
      <c r="W79" s="9" t="n">
        <f aca="false">IF(V79=0,0,IF(AND($K79&lt;&gt;"",$K79&lt;=AsOfDate),1,0))</f>
        <v>0</v>
      </c>
      <c r="X79" s="11" t="str">
        <f aca="false">IF(V79=0,"",IF($K79="",AsOfDate,MIN(AsOfDate,$K79)))</f>
        <v/>
      </c>
      <c r="Y79" s="9" t="str">
        <f aca="false">IF(V79=0,"",IF(X79&lt;($D79+N($J79)),-1,12*(YEAR(X79)-YEAR(($D79+N($J79))))+MONTH(X79)-MONTH(($D79+N($J79)))-IF(DAY(X79)&lt;MIN(DAY(($D79+N($J79))),DAY(EOMONTH(X79,0))),1,0)))</f>
        <v/>
      </c>
      <c r="Z79" s="9" t="str">
        <f aca="false">IF(V79=0,"",IF(AH79="",Y79,IF((AH79-1)&lt;($D79+N($J79)),-1,12*(YEAR((AH79-1))-YEAR(($D79+N($J79))))+MONTH((AH79-1))-MONTH(($D79+N($J79)))-IF(DAY((AH79-1))&lt;MIN(DAY(($D79+N($J79))),DAY(EOMONTH((AH79-1),0))),1,0))))</f>
        <v/>
      </c>
      <c r="AA79" s="9" t="str">
        <f aca="false">IF(V79=0,"",IF($E79="Full-Time","FT",IF(AND($E79="Part-Time",N($F79)&gt;=PT_MinHours),"PT","None")))</f>
        <v/>
      </c>
      <c r="AB79" s="9" t="str">
        <f aca="false">IF(V79=0,"",IF($H79="Full-Time","FT",IF(AND($H79="Part-Time",N($I79)&gt;=PT_MinHours),"PT","None")))</f>
        <v/>
      </c>
      <c r="AC79" s="9" t="str">
        <f aca="false">IF(V79=0,"",IF(AH79&lt;&gt;"",AB79,AA79))</f>
        <v/>
      </c>
      <c r="AD79" s="9" t="str">
        <f aca="false">IF(V79=0,"",IF(AA79="FT",IF(Z79&lt;FT_First,0,IF(Z79&lt;FT_Y5,1+INT((Z79-FT_First)/FT_Int1),FT_PreY5+FT_PerYear*INT((Z79-FT_Y5)/12)+FT_AnnivDays+INT(MOD(Z79-FT_Y5,12)/FT_Int2))),IF(AA79="PT",IF(Z79&lt;PT_First,0,1+INT((Z79-PT_First)/PT_Int)),0)))</f>
        <v/>
      </c>
      <c r="AE79" s="9" t="str">
        <f aca="false">IF(V79=0,"",IF(AB79="FT",IF(Z79&lt;FT_First,0,IF(Z79&lt;FT_Y5,1+INT((Z79-FT_First)/FT_Int1),FT_PreY5+FT_PerYear*INT((Z79-FT_Y5)/12)+FT_AnnivDays+INT(MOD(Z79-FT_Y5,12)/FT_Int2))),IF(AB79="PT",IF(Z79&lt;PT_First,0,1+INT((Z79-PT_First)/PT_Int)),0)))</f>
        <v/>
      </c>
      <c r="AF79" s="9" t="str">
        <f aca="false">IF(V79=0,"",IF(AB79="FT",IF(Y79&lt;FT_First,0,IF(Y79&lt;FT_Y5,1+INT((Y79-FT_First)/FT_Int1),FT_PreY5+FT_PerYear*INT((Y79-FT_Y5)/12)+FT_AnnivDays+INT(MOD(Y79-FT_Y5,12)/FT_Int2))),IF(AB79="PT",IF(Y79&lt;PT_First,0,1+INT((Y79-PT_First)/PT_Int)),0)))</f>
        <v/>
      </c>
      <c r="AG79" s="9" t="str">
        <f aca="false">IF(V79=0,"",IF(AC79="FT",IF(Y79&lt;FT_First,FT_First,IF(Y79&lt;FT_Y5,MIN(FT_Y5,FT_First+FT_Int1*(INT((Y79-FT_First)/FT_Int1)+1)),FT_Y5+12*INT((Y79-FT_Y5)/12)+FT_Int2*(INT(MOD(Y79-FT_Y5,12)/FT_Int2)+1))),IF(AC79="PT",IF(Y79&lt;PT_First,PT_First,PT_First+PT_Int*(INT((Y79-PT_First)/PT_Int)+1)),"")))</f>
        <v/>
      </c>
      <c r="AH79" s="11" t="str">
        <f aca="false">IF(V79=0,"",IF($G79="","",IF($G79&gt;X79,"",$G79)))</f>
        <v/>
      </c>
    </row>
    <row r="80" customFormat="false" ht="15" hidden="false" customHeight="false" outlineLevel="0" collapsed="false">
      <c r="A80" s="12"/>
      <c r="B80" s="12"/>
      <c r="C80" s="12"/>
      <c r="D80" s="13"/>
      <c r="E80" s="12"/>
      <c r="F80" s="14"/>
      <c r="G80" s="13"/>
      <c r="H80" s="12"/>
      <c r="I80" s="14"/>
      <c r="J80" s="14"/>
      <c r="K80" s="13"/>
      <c r="L80" s="9" t="str">
        <f aca="false">IF(V80=0,"",IF($G80="","",$E80&amp;" to "&amp;$H80&amp;IF($H80="Part-Time"," "&amp;N($I80)&amp;" hrs","")&amp;" on "&amp;TEXT($G80,"dd/mm/yyyy")&amp;IF($G80&gt;AsOfDate," (future)",IF(AA80=AC80,"",IF(AC80="None"," - STOPPED accruing",IF(AA80="None"," - now qualifying"," - pathway changed"))))))</f>
        <v/>
      </c>
      <c r="M80" s="9" t="str">
        <f aca="false">IF(V80=0,"",IF(W80=1,"Terminated",IF(AC80="None",IF(O80&gt;0,"No longer accruing","Not eligible - "&amp;IF(AND(AC80="None",IF(AH80&lt;&gt;"",$H80,$E80)="Part-Time"),"under "&amp;PT_MinHours&amp;" hrs",IF(AH80&lt;&gt;"",$H80,$E80))),IF(O80&gt;0,"Yes - accruing","Not yet - from "&amp;TEXT(Q80,"dd/mm/yyyy")))))</f>
        <v/>
      </c>
      <c r="N80" s="9" t="str">
        <f aca="false">IF(V80=0,"",IF(Y80&lt;0,"-",INT(Y80/12)&amp;"y "&amp;MOD(Y80,12)&amp;"m"))</f>
        <v/>
      </c>
      <c r="O80" s="10" t="str">
        <f aca="false">IF(V80=0,"",AD80+IF(AH80="",0,AF80-AE80))</f>
        <v/>
      </c>
      <c r="P80" s="10" t="str">
        <f aca="false">IF(V80=0,"",O80*HoursPerDay)</f>
        <v/>
      </c>
      <c r="Q80" s="11" t="str">
        <f aca="false">IF(V80=0,"",IF(OR(W80=1,AC80="None"),"",EDATE(($D80+N($J80)),AG80)))</f>
        <v/>
      </c>
      <c r="R80" s="10" t="str">
        <f aca="false">IF(V80=0,"",IF(NOT(EH_Ready),"",SUMIFS(INDEX(EH_Data,0,EH_ColBal),INDEX(EH_Data,0,EH_ColFirst),$A80,INDEX(EH_Data,0,EH_ColSur),$B80,INDEX(EH_Data,0,EH_ColCat),BonusCat)/IF(EHUnit="Hours",HoursPerDay,1)))</f>
        <v/>
      </c>
      <c r="S80" s="10" t="str">
        <f aca="false">IF(OR(V80=0,R80="",W80=1),"",O80-R80)</f>
        <v/>
      </c>
      <c r="T80" s="10" t="str">
        <f aca="false">IF(S80="","",S80*HoursPerDay)</f>
        <v/>
      </c>
      <c r="U80" s="9" t="str">
        <f aca="false">IF(V80=0,"",IF(W80=1,IF(N(R80)&gt;0,"TERMINATED - forfeit "&amp;TEXT(R80,"0.##")&amp;" days in EH","Terminated"),IF(NOT(EH_Ready),"Paste EH export (see Settings)",IF(S80&gt;0,"ADD "&amp;TEXT(S80,"0.##")&amp;" day(s) = "&amp;TEXT(T80,"0.##")&amp;" hrs in EH",IF(S80&lt;0,"CHECK - EH has "&amp;TEXT(-S80,"0.##")&amp;" days more than policy",IF(O80&gt;0,"OK","-"))))))</f>
        <v/>
      </c>
      <c r="V80" s="9" t="n">
        <f aca="false">IF(OR(LEN($A80&amp;$B80)=0,$D80=""),0,1)</f>
        <v>0</v>
      </c>
      <c r="W80" s="9" t="n">
        <f aca="false">IF(V80=0,0,IF(AND($K80&lt;&gt;"",$K80&lt;=AsOfDate),1,0))</f>
        <v>0</v>
      </c>
      <c r="X80" s="11" t="str">
        <f aca="false">IF(V80=0,"",IF($K80="",AsOfDate,MIN(AsOfDate,$K80)))</f>
        <v/>
      </c>
      <c r="Y80" s="9" t="str">
        <f aca="false">IF(V80=0,"",IF(X80&lt;($D80+N($J80)),-1,12*(YEAR(X80)-YEAR(($D80+N($J80))))+MONTH(X80)-MONTH(($D80+N($J80)))-IF(DAY(X80)&lt;MIN(DAY(($D80+N($J80))),DAY(EOMONTH(X80,0))),1,0)))</f>
        <v/>
      </c>
      <c r="Z80" s="9" t="str">
        <f aca="false">IF(V80=0,"",IF(AH80="",Y80,IF((AH80-1)&lt;($D80+N($J80)),-1,12*(YEAR((AH80-1))-YEAR(($D80+N($J80))))+MONTH((AH80-1))-MONTH(($D80+N($J80)))-IF(DAY((AH80-1))&lt;MIN(DAY(($D80+N($J80))),DAY(EOMONTH((AH80-1),0))),1,0))))</f>
        <v/>
      </c>
      <c r="AA80" s="9" t="str">
        <f aca="false">IF(V80=0,"",IF($E80="Full-Time","FT",IF(AND($E80="Part-Time",N($F80)&gt;=PT_MinHours),"PT","None")))</f>
        <v/>
      </c>
      <c r="AB80" s="9" t="str">
        <f aca="false">IF(V80=0,"",IF($H80="Full-Time","FT",IF(AND($H80="Part-Time",N($I80)&gt;=PT_MinHours),"PT","None")))</f>
        <v/>
      </c>
      <c r="AC80" s="9" t="str">
        <f aca="false">IF(V80=0,"",IF(AH80&lt;&gt;"",AB80,AA80))</f>
        <v/>
      </c>
      <c r="AD80" s="9" t="str">
        <f aca="false">IF(V80=0,"",IF(AA80="FT",IF(Z80&lt;FT_First,0,IF(Z80&lt;FT_Y5,1+INT((Z80-FT_First)/FT_Int1),FT_PreY5+FT_PerYear*INT((Z80-FT_Y5)/12)+FT_AnnivDays+INT(MOD(Z80-FT_Y5,12)/FT_Int2))),IF(AA80="PT",IF(Z80&lt;PT_First,0,1+INT((Z80-PT_First)/PT_Int)),0)))</f>
        <v/>
      </c>
      <c r="AE80" s="9" t="str">
        <f aca="false">IF(V80=0,"",IF(AB80="FT",IF(Z80&lt;FT_First,0,IF(Z80&lt;FT_Y5,1+INT((Z80-FT_First)/FT_Int1),FT_PreY5+FT_PerYear*INT((Z80-FT_Y5)/12)+FT_AnnivDays+INT(MOD(Z80-FT_Y5,12)/FT_Int2))),IF(AB80="PT",IF(Z80&lt;PT_First,0,1+INT((Z80-PT_First)/PT_Int)),0)))</f>
        <v/>
      </c>
      <c r="AF80" s="9" t="str">
        <f aca="false">IF(V80=0,"",IF(AB80="FT",IF(Y80&lt;FT_First,0,IF(Y80&lt;FT_Y5,1+INT((Y80-FT_First)/FT_Int1),FT_PreY5+FT_PerYear*INT((Y80-FT_Y5)/12)+FT_AnnivDays+INT(MOD(Y80-FT_Y5,12)/FT_Int2))),IF(AB80="PT",IF(Y80&lt;PT_First,0,1+INT((Y80-PT_First)/PT_Int)),0)))</f>
        <v/>
      </c>
      <c r="AG80" s="9" t="str">
        <f aca="false">IF(V80=0,"",IF(AC80="FT",IF(Y80&lt;FT_First,FT_First,IF(Y80&lt;FT_Y5,MIN(FT_Y5,FT_First+FT_Int1*(INT((Y80-FT_First)/FT_Int1)+1)),FT_Y5+12*INT((Y80-FT_Y5)/12)+FT_Int2*(INT(MOD(Y80-FT_Y5,12)/FT_Int2)+1))),IF(AC80="PT",IF(Y80&lt;PT_First,PT_First,PT_First+PT_Int*(INT((Y80-PT_First)/PT_Int)+1)),"")))</f>
        <v/>
      </c>
      <c r="AH80" s="11" t="str">
        <f aca="false">IF(V80=0,"",IF($G80="","",IF($G80&gt;X80,"",$G80)))</f>
        <v/>
      </c>
    </row>
    <row r="81" customFormat="false" ht="15" hidden="false" customHeight="false" outlineLevel="0" collapsed="false">
      <c r="A81" s="12"/>
      <c r="B81" s="12"/>
      <c r="C81" s="12"/>
      <c r="D81" s="13"/>
      <c r="E81" s="12"/>
      <c r="F81" s="14"/>
      <c r="G81" s="13"/>
      <c r="H81" s="12"/>
      <c r="I81" s="14"/>
      <c r="J81" s="14"/>
      <c r="K81" s="13"/>
      <c r="L81" s="9" t="str">
        <f aca="false">IF(V81=0,"",IF($G81="","",$E81&amp;" to "&amp;$H81&amp;IF($H81="Part-Time"," "&amp;N($I81)&amp;" hrs","")&amp;" on "&amp;TEXT($G81,"dd/mm/yyyy")&amp;IF($G81&gt;AsOfDate," (future)",IF(AA81=AC81,"",IF(AC81="None"," - STOPPED accruing",IF(AA81="None"," - now qualifying"," - pathway changed"))))))</f>
        <v/>
      </c>
      <c r="M81" s="9" t="str">
        <f aca="false">IF(V81=0,"",IF(W81=1,"Terminated",IF(AC81="None",IF(O81&gt;0,"No longer accruing","Not eligible - "&amp;IF(AND(AC81="None",IF(AH81&lt;&gt;"",$H81,$E81)="Part-Time"),"under "&amp;PT_MinHours&amp;" hrs",IF(AH81&lt;&gt;"",$H81,$E81))),IF(O81&gt;0,"Yes - accruing","Not yet - from "&amp;TEXT(Q81,"dd/mm/yyyy")))))</f>
        <v/>
      </c>
      <c r="N81" s="9" t="str">
        <f aca="false">IF(V81=0,"",IF(Y81&lt;0,"-",INT(Y81/12)&amp;"y "&amp;MOD(Y81,12)&amp;"m"))</f>
        <v/>
      </c>
      <c r="O81" s="10" t="str">
        <f aca="false">IF(V81=0,"",AD81+IF(AH81="",0,AF81-AE81))</f>
        <v/>
      </c>
      <c r="P81" s="10" t="str">
        <f aca="false">IF(V81=0,"",O81*HoursPerDay)</f>
        <v/>
      </c>
      <c r="Q81" s="11" t="str">
        <f aca="false">IF(V81=0,"",IF(OR(W81=1,AC81="None"),"",EDATE(($D81+N($J81)),AG81)))</f>
        <v/>
      </c>
      <c r="R81" s="10" t="str">
        <f aca="false">IF(V81=0,"",IF(NOT(EH_Ready),"",SUMIFS(INDEX(EH_Data,0,EH_ColBal),INDEX(EH_Data,0,EH_ColFirst),$A81,INDEX(EH_Data,0,EH_ColSur),$B81,INDEX(EH_Data,0,EH_ColCat),BonusCat)/IF(EHUnit="Hours",HoursPerDay,1)))</f>
        <v/>
      </c>
      <c r="S81" s="10" t="str">
        <f aca="false">IF(OR(V81=0,R81="",W81=1),"",O81-R81)</f>
        <v/>
      </c>
      <c r="T81" s="10" t="str">
        <f aca="false">IF(S81="","",S81*HoursPerDay)</f>
        <v/>
      </c>
      <c r="U81" s="9" t="str">
        <f aca="false">IF(V81=0,"",IF(W81=1,IF(N(R81)&gt;0,"TERMINATED - forfeit "&amp;TEXT(R81,"0.##")&amp;" days in EH","Terminated"),IF(NOT(EH_Ready),"Paste EH export (see Settings)",IF(S81&gt;0,"ADD "&amp;TEXT(S81,"0.##")&amp;" day(s) = "&amp;TEXT(T81,"0.##")&amp;" hrs in EH",IF(S81&lt;0,"CHECK - EH has "&amp;TEXT(-S81,"0.##")&amp;" days more than policy",IF(O81&gt;0,"OK","-"))))))</f>
        <v/>
      </c>
      <c r="V81" s="9" t="n">
        <f aca="false">IF(OR(LEN($A81&amp;$B81)=0,$D81=""),0,1)</f>
        <v>0</v>
      </c>
      <c r="W81" s="9" t="n">
        <f aca="false">IF(V81=0,0,IF(AND($K81&lt;&gt;"",$K81&lt;=AsOfDate),1,0))</f>
        <v>0</v>
      </c>
      <c r="X81" s="11" t="str">
        <f aca="false">IF(V81=0,"",IF($K81="",AsOfDate,MIN(AsOfDate,$K81)))</f>
        <v/>
      </c>
      <c r="Y81" s="9" t="str">
        <f aca="false">IF(V81=0,"",IF(X81&lt;($D81+N($J81)),-1,12*(YEAR(X81)-YEAR(($D81+N($J81))))+MONTH(X81)-MONTH(($D81+N($J81)))-IF(DAY(X81)&lt;MIN(DAY(($D81+N($J81))),DAY(EOMONTH(X81,0))),1,0)))</f>
        <v/>
      </c>
      <c r="Z81" s="9" t="str">
        <f aca="false">IF(V81=0,"",IF(AH81="",Y81,IF((AH81-1)&lt;($D81+N($J81)),-1,12*(YEAR((AH81-1))-YEAR(($D81+N($J81))))+MONTH((AH81-1))-MONTH(($D81+N($J81)))-IF(DAY((AH81-1))&lt;MIN(DAY(($D81+N($J81))),DAY(EOMONTH((AH81-1),0))),1,0))))</f>
        <v/>
      </c>
      <c r="AA81" s="9" t="str">
        <f aca="false">IF(V81=0,"",IF($E81="Full-Time","FT",IF(AND($E81="Part-Time",N($F81)&gt;=PT_MinHours),"PT","None")))</f>
        <v/>
      </c>
      <c r="AB81" s="9" t="str">
        <f aca="false">IF(V81=0,"",IF($H81="Full-Time","FT",IF(AND($H81="Part-Time",N($I81)&gt;=PT_MinHours),"PT","None")))</f>
        <v/>
      </c>
      <c r="AC81" s="9" t="str">
        <f aca="false">IF(V81=0,"",IF(AH81&lt;&gt;"",AB81,AA81))</f>
        <v/>
      </c>
      <c r="AD81" s="9" t="str">
        <f aca="false">IF(V81=0,"",IF(AA81="FT",IF(Z81&lt;FT_First,0,IF(Z81&lt;FT_Y5,1+INT((Z81-FT_First)/FT_Int1),FT_PreY5+FT_PerYear*INT((Z81-FT_Y5)/12)+FT_AnnivDays+INT(MOD(Z81-FT_Y5,12)/FT_Int2))),IF(AA81="PT",IF(Z81&lt;PT_First,0,1+INT((Z81-PT_First)/PT_Int)),0)))</f>
        <v/>
      </c>
      <c r="AE81" s="9" t="str">
        <f aca="false">IF(V81=0,"",IF(AB81="FT",IF(Z81&lt;FT_First,0,IF(Z81&lt;FT_Y5,1+INT((Z81-FT_First)/FT_Int1),FT_PreY5+FT_PerYear*INT((Z81-FT_Y5)/12)+FT_AnnivDays+INT(MOD(Z81-FT_Y5,12)/FT_Int2))),IF(AB81="PT",IF(Z81&lt;PT_First,0,1+INT((Z81-PT_First)/PT_Int)),0)))</f>
        <v/>
      </c>
      <c r="AF81" s="9" t="str">
        <f aca="false">IF(V81=0,"",IF(AB81="FT",IF(Y81&lt;FT_First,0,IF(Y81&lt;FT_Y5,1+INT((Y81-FT_First)/FT_Int1),FT_PreY5+FT_PerYear*INT((Y81-FT_Y5)/12)+FT_AnnivDays+INT(MOD(Y81-FT_Y5,12)/FT_Int2))),IF(AB81="PT",IF(Y81&lt;PT_First,0,1+INT((Y81-PT_First)/PT_Int)),0)))</f>
        <v/>
      </c>
      <c r="AG81" s="9" t="str">
        <f aca="false">IF(V81=0,"",IF(AC81="FT",IF(Y81&lt;FT_First,FT_First,IF(Y81&lt;FT_Y5,MIN(FT_Y5,FT_First+FT_Int1*(INT((Y81-FT_First)/FT_Int1)+1)),FT_Y5+12*INT((Y81-FT_Y5)/12)+FT_Int2*(INT(MOD(Y81-FT_Y5,12)/FT_Int2)+1))),IF(AC81="PT",IF(Y81&lt;PT_First,PT_First,PT_First+PT_Int*(INT((Y81-PT_First)/PT_Int)+1)),"")))</f>
        <v/>
      </c>
      <c r="AH81" s="11" t="str">
        <f aca="false">IF(V81=0,"",IF($G81="","",IF($G81&gt;X81,"",$G81)))</f>
        <v/>
      </c>
    </row>
    <row r="82" customFormat="false" ht="15" hidden="false" customHeight="false" outlineLevel="0" collapsed="false">
      <c r="A82" s="12"/>
      <c r="B82" s="12"/>
      <c r="C82" s="12"/>
      <c r="D82" s="13"/>
      <c r="E82" s="12"/>
      <c r="F82" s="14"/>
      <c r="G82" s="13"/>
      <c r="H82" s="12"/>
      <c r="I82" s="14"/>
      <c r="J82" s="14"/>
      <c r="K82" s="13"/>
      <c r="L82" s="9" t="str">
        <f aca="false">IF(V82=0,"",IF($G82="","",$E82&amp;" to "&amp;$H82&amp;IF($H82="Part-Time"," "&amp;N($I82)&amp;" hrs","")&amp;" on "&amp;TEXT($G82,"dd/mm/yyyy")&amp;IF($G82&gt;AsOfDate," (future)",IF(AA82=AC82,"",IF(AC82="None"," - STOPPED accruing",IF(AA82="None"," - now qualifying"," - pathway changed"))))))</f>
        <v/>
      </c>
      <c r="M82" s="9" t="str">
        <f aca="false">IF(V82=0,"",IF(W82=1,"Terminated",IF(AC82="None",IF(O82&gt;0,"No longer accruing","Not eligible - "&amp;IF(AND(AC82="None",IF(AH82&lt;&gt;"",$H82,$E82)="Part-Time"),"under "&amp;PT_MinHours&amp;" hrs",IF(AH82&lt;&gt;"",$H82,$E82))),IF(O82&gt;0,"Yes - accruing","Not yet - from "&amp;TEXT(Q82,"dd/mm/yyyy")))))</f>
        <v/>
      </c>
      <c r="N82" s="9" t="str">
        <f aca="false">IF(V82=0,"",IF(Y82&lt;0,"-",INT(Y82/12)&amp;"y "&amp;MOD(Y82,12)&amp;"m"))</f>
        <v/>
      </c>
      <c r="O82" s="10" t="str">
        <f aca="false">IF(V82=0,"",AD82+IF(AH82="",0,AF82-AE82))</f>
        <v/>
      </c>
      <c r="P82" s="10" t="str">
        <f aca="false">IF(V82=0,"",O82*HoursPerDay)</f>
        <v/>
      </c>
      <c r="Q82" s="11" t="str">
        <f aca="false">IF(V82=0,"",IF(OR(W82=1,AC82="None"),"",EDATE(($D82+N($J82)),AG82)))</f>
        <v/>
      </c>
      <c r="R82" s="10" t="str">
        <f aca="false">IF(V82=0,"",IF(NOT(EH_Ready),"",SUMIFS(INDEX(EH_Data,0,EH_ColBal),INDEX(EH_Data,0,EH_ColFirst),$A82,INDEX(EH_Data,0,EH_ColSur),$B82,INDEX(EH_Data,0,EH_ColCat),BonusCat)/IF(EHUnit="Hours",HoursPerDay,1)))</f>
        <v/>
      </c>
      <c r="S82" s="10" t="str">
        <f aca="false">IF(OR(V82=0,R82="",W82=1),"",O82-R82)</f>
        <v/>
      </c>
      <c r="T82" s="10" t="str">
        <f aca="false">IF(S82="","",S82*HoursPerDay)</f>
        <v/>
      </c>
      <c r="U82" s="9" t="str">
        <f aca="false">IF(V82=0,"",IF(W82=1,IF(N(R82)&gt;0,"TERMINATED - forfeit "&amp;TEXT(R82,"0.##")&amp;" days in EH","Terminated"),IF(NOT(EH_Ready),"Paste EH export (see Settings)",IF(S82&gt;0,"ADD "&amp;TEXT(S82,"0.##")&amp;" day(s) = "&amp;TEXT(T82,"0.##")&amp;" hrs in EH",IF(S82&lt;0,"CHECK - EH has "&amp;TEXT(-S82,"0.##")&amp;" days more than policy",IF(O82&gt;0,"OK","-"))))))</f>
        <v/>
      </c>
      <c r="V82" s="9" t="n">
        <f aca="false">IF(OR(LEN($A82&amp;$B82)=0,$D82=""),0,1)</f>
        <v>0</v>
      </c>
      <c r="W82" s="9" t="n">
        <f aca="false">IF(V82=0,0,IF(AND($K82&lt;&gt;"",$K82&lt;=AsOfDate),1,0))</f>
        <v>0</v>
      </c>
      <c r="X82" s="11" t="str">
        <f aca="false">IF(V82=0,"",IF($K82="",AsOfDate,MIN(AsOfDate,$K82)))</f>
        <v/>
      </c>
      <c r="Y82" s="9" t="str">
        <f aca="false">IF(V82=0,"",IF(X82&lt;($D82+N($J82)),-1,12*(YEAR(X82)-YEAR(($D82+N($J82))))+MONTH(X82)-MONTH(($D82+N($J82)))-IF(DAY(X82)&lt;MIN(DAY(($D82+N($J82))),DAY(EOMONTH(X82,0))),1,0)))</f>
        <v/>
      </c>
      <c r="Z82" s="9" t="str">
        <f aca="false">IF(V82=0,"",IF(AH82="",Y82,IF((AH82-1)&lt;($D82+N($J82)),-1,12*(YEAR((AH82-1))-YEAR(($D82+N($J82))))+MONTH((AH82-1))-MONTH(($D82+N($J82)))-IF(DAY((AH82-1))&lt;MIN(DAY(($D82+N($J82))),DAY(EOMONTH((AH82-1),0))),1,0))))</f>
        <v/>
      </c>
      <c r="AA82" s="9" t="str">
        <f aca="false">IF(V82=0,"",IF($E82="Full-Time","FT",IF(AND($E82="Part-Time",N($F82)&gt;=PT_MinHours),"PT","None")))</f>
        <v/>
      </c>
      <c r="AB82" s="9" t="str">
        <f aca="false">IF(V82=0,"",IF($H82="Full-Time","FT",IF(AND($H82="Part-Time",N($I82)&gt;=PT_MinHours),"PT","None")))</f>
        <v/>
      </c>
      <c r="AC82" s="9" t="str">
        <f aca="false">IF(V82=0,"",IF(AH82&lt;&gt;"",AB82,AA82))</f>
        <v/>
      </c>
      <c r="AD82" s="9" t="str">
        <f aca="false">IF(V82=0,"",IF(AA82="FT",IF(Z82&lt;FT_First,0,IF(Z82&lt;FT_Y5,1+INT((Z82-FT_First)/FT_Int1),FT_PreY5+FT_PerYear*INT((Z82-FT_Y5)/12)+FT_AnnivDays+INT(MOD(Z82-FT_Y5,12)/FT_Int2))),IF(AA82="PT",IF(Z82&lt;PT_First,0,1+INT((Z82-PT_First)/PT_Int)),0)))</f>
        <v/>
      </c>
      <c r="AE82" s="9" t="str">
        <f aca="false">IF(V82=0,"",IF(AB82="FT",IF(Z82&lt;FT_First,0,IF(Z82&lt;FT_Y5,1+INT((Z82-FT_First)/FT_Int1),FT_PreY5+FT_PerYear*INT((Z82-FT_Y5)/12)+FT_AnnivDays+INT(MOD(Z82-FT_Y5,12)/FT_Int2))),IF(AB82="PT",IF(Z82&lt;PT_First,0,1+INT((Z82-PT_First)/PT_Int)),0)))</f>
        <v/>
      </c>
      <c r="AF82" s="9" t="str">
        <f aca="false">IF(V82=0,"",IF(AB82="FT",IF(Y82&lt;FT_First,0,IF(Y82&lt;FT_Y5,1+INT((Y82-FT_First)/FT_Int1),FT_PreY5+FT_PerYear*INT((Y82-FT_Y5)/12)+FT_AnnivDays+INT(MOD(Y82-FT_Y5,12)/FT_Int2))),IF(AB82="PT",IF(Y82&lt;PT_First,0,1+INT((Y82-PT_First)/PT_Int)),0)))</f>
        <v/>
      </c>
      <c r="AG82" s="9" t="str">
        <f aca="false">IF(V82=0,"",IF(AC82="FT",IF(Y82&lt;FT_First,FT_First,IF(Y82&lt;FT_Y5,MIN(FT_Y5,FT_First+FT_Int1*(INT((Y82-FT_First)/FT_Int1)+1)),FT_Y5+12*INT((Y82-FT_Y5)/12)+FT_Int2*(INT(MOD(Y82-FT_Y5,12)/FT_Int2)+1))),IF(AC82="PT",IF(Y82&lt;PT_First,PT_First,PT_First+PT_Int*(INT((Y82-PT_First)/PT_Int)+1)),"")))</f>
        <v/>
      </c>
      <c r="AH82" s="11" t="str">
        <f aca="false">IF(V82=0,"",IF($G82="","",IF($G82&gt;X82,"",$G82)))</f>
        <v/>
      </c>
    </row>
    <row r="83" customFormat="false" ht="15" hidden="false" customHeight="false" outlineLevel="0" collapsed="false">
      <c r="A83" s="12"/>
      <c r="B83" s="12"/>
      <c r="C83" s="12"/>
      <c r="D83" s="13"/>
      <c r="E83" s="12"/>
      <c r="F83" s="14"/>
      <c r="G83" s="13"/>
      <c r="H83" s="12"/>
      <c r="I83" s="14"/>
      <c r="J83" s="14"/>
      <c r="K83" s="13"/>
      <c r="L83" s="9" t="str">
        <f aca="false">IF(V83=0,"",IF($G83="","",$E83&amp;" to "&amp;$H83&amp;IF($H83="Part-Time"," "&amp;N($I83)&amp;" hrs","")&amp;" on "&amp;TEXT($G83,"dd/mm/yyyy")&amp;IF($G83&gt;AsOfDate," (future)",IF(AA83=AC83,"",IF(AC83="None"," - STOPPED accruing",IF(AA83="None"," - now qualifying"," - pathway changed"))))))</f>
        <v/>
      </c>
      <c r="M83" s="9" t="str">
        <f aca="false">IF(V83=0,"",IF(W83=1,"Terminated",IF(AC83="None",IF(O83&gt;0,"No longer accruing","Not eligible - "&amp;IF(AND(AC83="None",IF(AH83&lt;&gt;"",$H83,$E83)="Part-Time"),"under "&amp;PT_MinHours&amp;" hrs",IF(AH83&lt;&gt;"",$H83,$E83))),IF(O83&gt;0,"Yes - accruing","Not yet - from "&amp;TEXT(Q83,"dd/mm/yyyy")))))</f>
        <v/>
      </c>
      <c r="N83" s="9" t="str">
        <f aca="false">IF(V83=0,"",IF(Y83&lt;0,"-",INT(Y83/12)&amp;"y "&amp;MOD(Y83,12)&amp;"m"))</f>
        <v/>
      </c>
      <c r="O83" s="10" t="str">
        <f aca="false">IF(V83=0,"",AD83+IF(AH83="",0,AF83-AE83))</f>
        <v/>
      </c>
      <c r="P83" s="10" t="str">
        <f aca="false">IF(V83=0,"",O83*HoursPerDay)</f>
        <v/>
      </c>
      <c r="Q83" s="11" t="str">
        <f aca="false">IF(V83=0,"",IF(OR(W83=1,AC83="None"),"",EDATE(($D83+N($J83)),AG83)))</f>
        <v/>
      </c>
      <c r="R83" s="10" t="str">
        <f aca="false">IF(V83=0,"",IF(NOT(EH_Ready),"",SUMIFS(INDEX(EH_Data,0,EH_ColBal),INDEX(EH_Data,0,EH_ColFirst),$A83,INDEX(EH_Data,0,EH_ColSur),$B83,INDEX(EH_Data,0,EH_ColCat),BonusCat)/IF(EHUnit="Hours",HoursPerDay,1)))</f>
        <v/>
      </c>
      <c r="S83" s="10" t="str">
        <f aca="false">IF(OR(V83=0,R83="",W83=1),"",O83-R83)</f>
        <v/>
      </c>
      <c r="T83" s="10" t="str">
        <f aca="false">IF(S83="","",S83*HoursPerDay)</f>
        <v/>
      </c>
      <c r="U83" s="9" t="str">
        <f aca="false">IF(V83=0,"",IF(W83=1,IF(N(R83)&gt;0,"TERMINATED - forfeit "&amp;TEXT(R83,"0.##")&amp;" days in EH","Terminated"),IF(NOT(EH_Ready),"Paste EH export (see Settings)",IF(S83&gt;0,"ADD "&amp;TEXT(S83,"0.##")&amp;" day(s) = "&amp;TEXT(T83,"0.##")&amp;" hrs in EH",IF(S83&lt;0,"CHECK - EH has "&amp;TEXT(-S83,"0.##")&amp;" days more than policy",IF(O83&gt;0,"OK","-"))))))</f>
        <v/>
      </c>
      <c r="V83" s="9" t="n">
        <f aca="false">IF(OR(LEN($A83&amp;$B83)=0,$D83=""),0,1)</f>
        <v>0</v>
      </c>
      <c r="W83" s="9" t="n">
        <f aca="false">IF(V83=0,0,IF(AND($K83&lt;&gt;"",$K83&lt;=AsOfDate),1,0))</f>
        <v>0</v>
      </c>
      <c r="X83" s="11" t="str">
        <f aca="false">IF(V83=0,"",IF($K83="",AsOfDate,MIN(AsOfDate,$K83)))</f>
        <v/>
      </c>
      <c r="Y83" s="9" t="str">
        <f aca="false">IF(V83=0,"",IF(X83&lt;($D83+N($J83)),-1,12*(YEAR(X83)-YEAR(($D83+N($J83))))+MONTH(X83)-MONTH(($D83+N($J83)))-IF(DAY(X83)&lt;MIN(DAY(($D83+N($J83))),DAY(EOMONTH(X83,0))),1,0)))</f>
        <v/>
      </c>
      <c r="Z83" s="9" t="str">
        <f aca="false">IF(V83=0,"",IF(AH83="",Y83,IF((AH83-1)&lt;($D83+N($J83)),-1,12*(YEAR((AH83-1))-YEAR(($D83+N($J83))))+MONTH((AH83-1))-MONTH(($D83+N($J83)))-IF(DAY((AH83-1))&lt;MIN(DAY(($D83+N($J83))),DAY(EOMONTH((AH83-1),0))),1,0))))</f>
        <v/>
      </c>
      <c r="AA83" s="9" t="str">
        <f aca="false">IF(V83=0,"",IF($E83="Full-Time","FT",IF(AND($E83="Part-Time",N($F83)&gt;=PT_MinHours),"PT","None")))</f>
        <v/>
      </c>
      <c r="AB83" s="9" t="str">
        <f aca="false">IF(V83=0,"",IF($H83="Full-Time","FT",IF(AND($H83="Part-Time",N($I83)&gt;=PT_MinHours),"PT","None")))</f>
        <v/>
      </c>
      <c r="AC83" s="9" t="str">
        <f aca="false">IF(V83=0,"",IF(AH83&lt;&gt;"",AB83,AA83))</f>
        <v/>
      </c>
      <c r="AD83" s="9" t="str">
        <f aca="false">IF(V83=0,"",IF(AA83="FT",IF(Z83&lt;FT_First,0,IF(Z83&lt;FT_Y5,1+INT((Z83-FT_First)/FT_Int1),FT_PreY5+FT_PerYear*INT((Z83-FT_Y5)/12)+FT_AnnivDays+INT(MOD(Z83-FT_Y5,12)/FT_Int2))),IF(AA83="PT",IF(Z83&lt;PT_First,0,1+INT((Z83-PT_First)/PT_Int)),0)))</f>
        <v/>
      </c>
      <c r="AE83" s="9" t="str">
        <f aca="false">IF(V83=0,"",IF(AB83="FT",IF(Z83&lt;FT_First,0,IF(Z83&lt;FT_Y5,1+INT((Z83-FT_First)/FT_Int1),FT_PreY5+FT_PerYear*INT((Z83-FT_Y5)/12)+FT_AnnivDays+INT(MOD(Z83-FT_Y5,12)/FT_Int2))),IF(AB83="PT",IF(Z83&lt;PT_First,0,1+INT((Z83-PT_First)/PT_Int)),0)))</f>
        <v/>
      </c>
      <c r="AF83" s="9" t="str">
        <f aca="false">IF(V83=0,"",IF(AB83="FT",IF(Y83&lt;FT_First,0,IF(Y83&lt;FT_Y5,1+INT((Y83-FT_First)/FT_Int1),FT_PreY5+FT_PerYear*INT((Y83-FT_Y5)/12)+FT_AnnivDays+INT(MOD(Y83-FT_Y5,12)/FT_Int2))),IF(AB83="PT",IF(Y83&lt;PT_First,0,1+INT((Y83-PT_First)/PT_Int)),0)))</f>
        <v/>
      </c>
      <c r="AG83" s="9" t="str">
        <f aca="false">IF(V83=0,"",IF(AC83="FT",IF(Y83&lt;FT_First,FT_First,IF(Y83&lt;FT_Y5,MIN(FT_Y5,FT_First+FT_Int1*(INT((Y83-FT_First)/FT_Int1)+1)),FT_Y5+12*INT((Y83-FT_Y5)/12)+FT_Int2*(INT(MOD(Y83-FT_Y5,12)/FT_Int2)+1))),IF(AC83="PT",IF(Y83&lt;PT_First,PT_First,PT_First+PT_Int*(INT((Y83-PT_First)/PT_Int)+1)),"")))</f>
        <v/>
      </c>
      <c r="AH83" s="11" t="str">
        <f aca="false">IF(V83=0,"",IF($G83="","",IF($G83&gt;X83,"",$G83)))</f>
        <v/>
      </c>
    </row>
    <row r="84" customFormat="false" ht="15" hidden="false" customHeight="false" outlineLevel="0" collapsed="false">
      <c r="A84" s="12"/>
      <c r="B84" s="12"/>
      <c r="C84" s="12"/>
      <c r="D84" s="13"/>
      <c r="E84" s="12"/>
      <c r="F84" s="14"/>
      <c r="G84" s="13"/>
      <c r="H84" s="12"/>
      <c r="I84" s="14"/>
      <c r="J84" s="14"/>
      <c r="K84" s="13"/>
      <c r="L84" s="9" t="str">
        <f aca="false">IF(V84=0,"",IF($G84="","",$E84&amp;" to "&amp;$H84&amp;IF($H84="Part-Time"," "&amp;N($I84)&amp;" hrs","")&amp;" on "&amp;TEXT($G84,"dd/mm/yyyy")&amp;IF($G84&gt;AsOfDate," (future)",IF(AA84=AC84,"",IF(AC84="None"," - STOPPED accruing",IF(AA84="None"," - now qualifying"," - pathway changed"))))))</f>
        <v/>
      </c>
      <c r="M84" s="9" t="str">
        <f aca="false">IF(V84=0,"",IF(W84=1,"Terminated",IF(AC84="None",IF(O84&gt;0,"No longer accruing","Not eligible - "&amp;IF(AND(AC84="None",IF(AH84&lt;&gt;"",$H84,$E84)="Part-Time"),"under "&amp;PT_MinHours&amp;" hrs",IF(AH84&lt;&gt;"",$H84,$E84))),IF(O84&gt;0,"Yes - accruing","Not yet - from "&amp;TEXT(Q84,"dd/mm/yyyy")))))</f>
        <v/>
      </c>
      <c r="N84" s="9" t="str">
        <f aca="false">IF(V84=0,"",IF(Y84&lt;0,"-",INT(Y84/12)&amp;"y "&amp;MOD(Y84,12)&amp;"m"))</f>
        <v/>
      </c>
      <c r="O84" s="10" t="str">
        <f aca="false">IF(V84=0,"",AD84+IF(AH84="",0,AF84-AE84))</f>
        <v/>
      </c>
      <c r="P84" s="10" t="str">
        <f aca="false">IF(V84=0,"",O84*HoursPerDay)</f>
        <v/>
      </c>
      <c r="Q84" s="11" t="str">
        <f aca="false">IF(V84=0,"",IF(OR(W84=1,AC84="None"),"",EDATE(($D84+N($J84)),AG84)))</f>
        <v/>
      </c>
      <c r="R84" s="10" t="str">
        <f aca="false">IF(V84=0,"",IF(NOT(EH_Ready),"",SUMIFS(INDEX(EH_Data,0,EH_ColBal),INDEX(EH_Data,0,EH_ColFirst),$A84,INDEX(EH_Data,0,EH_ColSur),$B84,INDEX(EH_Data,0,EH_ColCat),BonusCat)/IF(EHUnit="Hours",HoursPerDay,1)))</f>
        <v/>
      </c>
      <c r="S84" s="10" t="str">
        <f aca="false">IF(OR(V84=0,R84="",W84=1),"",O84-R84)</f>
        <v/>
      </c>
      <c r="T84" s="10" t="str">
        <f aca="false">IF(S84="","",S84*HoursPerDay)</f>
        <v/>
      </c>
      <c r="U84" s="9" t="str">
        <f aca="false">IF(V84=0,"",IF(W84=1,IF(N(R84)&gt;0,"TERMINATED - forfeit "&amp;TEXT(R84,"0.##")&amp;" days in EH","Terminated"),IF(NOT(EH_Ready),"Paste EH export (see Settings)",IF(S84&gt;0,"ADD "&amp;TEXT(S84,"0.##")&amp;" day(s) = "&amp;TEXT(T84,"0.##")&amp;" hrs in EH",IF(S84&lt;0,"CHECK - EH has "&amp;TEXT(-S84,"0.##")&amp;" days more than policy",IF(O84&gt;0,"OK","-"))))))</f>
        <v/>
      </c>
      <c r="V84" s="9" t="n">
        <f aca="false">IF(OR(LEN($A84&amp;$B84)=0,$D84=""),0,1)</f>
        <v>0</v>
      </c>
      <c r="W84" s="9" t="n">
        <f aca="false">IF(V84=0,0,IF(AND($K84&lt;&gt;"",$K84&lt;=AsOfDate),1,0))</f>
        <v>0</v>
      </c>
      <c r="X84" s="11" t="str">
        <f aca="false">IF(V84=0,"",IF($K84="",AsOfDate,MIN(AsOfDate,$K84)))</f>
        <v/>
      </c>
      <c r="Y84" s="9" t="str">
        <f aca="false">IF(V84=0,"",IF(X84&lt;($D84+N($J84)),-1,12*(YEAR(X84)-YEAR(($D84+N($J84))))+MONTH(X84)-MONTH(($D84+N($J84)))-IF(DAY(X84)&lt;MIN(DAY(($D84+N($J84))),DAY(EOMONTH(X84,0))),1,0)))</f>
        <v/>
      </c>
      <c r="Z84" s="9" t="str">
        <f aca="false">IF(V84=0,"",IF(AH84="",Y84,IF((AH84-1)&lt;($D84+N($J84)),-1,12*(YEAR((AH84-1))-YEAR(($D84+N($J84))))+MONTH((AH84-1))-MONTH(($D84+N($J84)))-IF(DAY((AH84-1))&lt;MIN(DAY(($D84+N($J84))),DAY(EOMONTH((AH84-1),0))),1,0))))</f>
        <v/>
      </c>
      <c r="AA84" s="9" t="str">
        <f aca="false">IF(V84=0,"",IF($E84="Full-Time","FT",IF(AND($E84="Part-Time",N($F84)&gt;=PT_MinHours),"PT","None")))</f>
        <v/>
      </c>
      <c r="AB84" s="9" t="str">
        <f aca="false">IF(V84=0,"",IF($H84="Full-Time","FT",IF(AND($H84="Part-Time",N($I84)&gt;=PT_MinHours),"PT","None")))</f>
        <v/>
      </c>
      <c r="AC84" s="9" t="str">
        <f aca="false">IF(V84=0,"",IF(AH84&lt;&gt;"",AB84,AA84))</f>
        <v/>
      </c>
      <c r="AD84" s="9" t="str">
        <f aca="false">IF(V84=0,"",IF(AA84="FT",IF(Z84&lt;FT_First,0,IF(Z84&lt;FT_Y5,1+INT((Z84-FT_First)/FT_Int1),FT_PreY5+FT_PerYear*INT((Z84-FT_Y5)/12)+FT_AnnivDays+INT(MOD(Z84-FT_Y5,12)/FT_Int2))),IF(AA84="PT",IF(Z84&lt;PT_First,0,1+INT((Z84-PT_First)/PT_Int)),0)))</f>
        <v/>
      </c>
      <c r="AE84" s="9" t="str">
        <f aca="false">IF(V84=0,"",IF(AB84="FT",IF(Z84&lt;FT_First,0,IF(Z84&lt;FT_Y5,1+INT((Z84-FT_First)/FT_Int1),FT_PreY5+FT_PerYear*INT((Z84-FT_Y5)/12)+FT_AnnivDays+INT(MOD(Z84-FT_Y5,12)/FT_Int2))),IF(AB84="PT",IF(Z84&lt;PT_First,0,1+INT((Z84-PT_First)/PT_Int)),0)))</f>
        <v/>
      </c>
      <c r="AF84" s="9" t="str">
        <f aca="false">IF(V84=0,"",IF(AB84="FT",IF(Y84&lt;FT_First,0,IF(Y84&lt;FT_Y5,1+INT((Y84-FT_First)/FT_Int1),FT_PreY5+FT_PerYear*INT((Y84-FT_Y5)/12)+FT_AnnivDays+INT(MOD(Y84-FT_Y5,12)/FT_Int2))),IF(AB84="PT",IF(Y84&lt;PT_First,0,1+INT((Y84-PT_First)/PT_Int)),0)))</f>
        <v/>
      </c>
      <c r="AG84" s="9" t="str">
        <f aca="false">IF(V84=0,"",IF(AC84="FT",IF(Y84&lt;FT_First,FT_First,IF(Y84&lt;FT_Y5,MIN(FT_Y5,FT_First+FT_Int1*(INT((Y84-FT_First)/FT_Int1)+1)),FT_Y5+12*INT((Y84-FT_Y5)/12)+FT_Int2*(INT(MOD(Y84-FT_Y5,12)/FT_Int2)+1))),IF(AC84="PT",IF(Y84&lt;PT_First,PT_First,PT_First+PT_Int*(INT((Y84-PT_First)/PT_Int)+1)),"")))</f>
        <v/>
      </c>
      <c r="AH84" s="11" t="str">
        <f aca="false">IF(V84=0,"",IF($G84="","",IF($G84&gt;X84,"",$G84)))</f>
        <v/>
      </c>
    </row>
    <row r="85" customFormat="false" ht="15" hidden="false" customHeight="false" outlineLevel="0" collapsed="false">
      <c r="A85" s="12"/>
      <c r="B85" s="12"/>
      <c r="C85" s="12"/>
      <c r="D85" s="13"/>
      <c r="E85" s="12"/>
      <c r="F85" s="14"/>
      <c r="G85" s="13"/>
      <c r="H85" s="12"/>
      <c r="I85" s="14"/>
      <c r="J85" s="14"/>
      <c r="K85" s="13"/>
      <c r="L85" s="9" t="str">
        <f aca="false">IF(V85=0,"",IF($G85="","",$E85&amp;" to "&amp;$H85&amp;IF($H85="Part-Time"," "&amp;N($I85)&amp;" hrs","")&amp;" on "&amp;TEXT($G85,"dd/mm/yyyy")&amp;IF($G85&gt;AsOfDate," (future)",IF(AA85=AC85,"",IF(AC85="None"," - STOPPED accruing",IF(AA85="None"," - now qualifying"," - pathway changed"))))))</f>
        <v/>
      </c>
      <c r="M85" s="9" t="str">
        <f aca="false">IF(V85=0,"",IF(W85=1,"Terminated",IF(AC85="None",IF(O85&gt;0,"No longer accruing","Not eligible - "&amp;IF(AND(AC85="None",IF(AH85&lt;&gt;"",$H85,$E85)="Part-Time"),"under "&amp;PT_MinHours&amp;" hrs",IF(AH85&lt;&gt;"",$H85,$E85))),IF(O85&gt;0,"Yes - accruing","Not yet - from "&amp;TEXT(Q85,"dd/mm/yyyy")))))</f>
        <v/>
      </c>
      <c r="N85" s="9" t="str">
        <f aca="false">IF(V85=0,"",IF(Y85&lt;0,"-",INT(Y85/12)&amp;"y "&amp;MOD(Y85,12)&amp;"m"))</f>
        <v/>
      </c>
      <c r="O85" s="10" t="str">
        <f aca="false">IF(V85=0,"",AD85+IF(AH85="",0,AF85-AE85))</f>
        <v/>
      </c>
      <c r="P85" s="10" t="str">
        <f aca="false">IF(V85=0,"",O85*HoursPerDay)</f>
        <v/>
      </c>
      <c r="Q85" s="11" t="str">
        <f aca="false">IF(V85=0,"",IF(OR(W85=1,AC85="None"),"",EDATE(($D85+N($J85)),AG85)))</f>
        <v/>
      </c>
      <c r="R85" s="10" t="str">
        <f aca="false">IF(V85=0,"",IF(NOT(EH_Ready),"",SUMIFS(INDEX(EH_Data,0,EH_ColBal),INDEX(EH_Data,0,EH_ColFirst),$A85,INDEX(EH_Data,0,EH_ColSur),$B85,INDEX(EH_Data,0,EH_ColCat),BonusCat)/IF(EHUnit="Hours",HoursPerDay,1)))</f>
        <v/>
      </c>
      <c r="S85" s="10" t="str">
        <f aca="false">IF(OR(V85=0,R85="",W85=1),"",O85-R85)</f>
        <v/>
      </c>
      <c r="T85" s="10" t="str">
        <f aca="false">IF(S85="","",S85*HoursPerDay)</f>
        <v/>
      </c>
      <c r="U85" s="9" t="str">
        <f aca="false">IF(V85=0,"",IF(W85=1,IF(N(R85)&gt;0,"TERMINATED - forfeit "&amp;TEXT(R85,"0.##")&amp;" days in EH","Terminated"),IF(NOT(EH_Ready),"Paste EH export (see Settings)",IF(S85&gt;0,"ADD "&amp;TEXT(S85,"0.##")&amp;" day(s) = "&amp;TEXT(T85,"0.##")&amp;" hrs in EH",IF(S85&lt;0,"CHECK - EH has "&amp;TEXT(-S85,"0.##")&amp;" days more than policy",IF(O85&gt;0,"OK","-"))))))</f>
        <v/>
      </c>
      <c r="V85" s="9" t="n">
        <f aca="false">IF(OR(LEN($A85&amp;$B85)=0,$D85=""),0,1)</f>
        <v>0</v>
      </c>
      <c r="W85" s="9" t="n">
        <f aca="false">IF(V85=0,0,IF(AND($K85&lt;&gt;"",$K85&lt;=AsOfDate),1,0))</f>
        <v>0</v>
      </c>
      <c r="X85" s="11" t="str">
        <f aca="false">IF(V85=0,"",IF($K85="",AsOfDate,MIN(AsOfDate,$K85)))</f>
        <v/>
      </c>
      <c r="Y85" s="9" t="str">
        <f aca="false">IF(V85=0,"",IF(X85&lt;($D85+N($J85)),-1,12*(YEAR(X85)-YEAR(($D85+N($J85))))+MONTH(X85)-MONTH(($D85+N($J85)))-IF(DAY(X85)&lt;MIN(DAY(($D85+N($J85))),DAY(EOMONTH(X85,0))),1,0)))</f>
        <v/>
      </c>
      <c r="Z85" s="9" t="str">
        <f aca="false">IF(V85=0,"",IF(AH85="",Y85,IF((AH85-1)&lt;($D85+N($J85)),-1,12*(YEAR((AH85-1))-YEAR(($D85+N($J85))))+MONTH((AH85-1))-MONTH(($D85+N($J85)))-IF(DAY((AH85-1))&lt;MIN(DAY(($D85+N($J85))),DAY(EOMONTH((AH85-1),0))),1,0))))</f>
        <v/>
      </c>
      <c r="AA85" s="9" t="str">
        <f aca="false">IF(V85=0,"",IF($E85="Full-Time","FT",IF(AND($E85="Part-Time",N($F85)&gt;=PT_MinHours),"PT","None")))</f>
        <v/>
      </c>
      <c r="AB85" s="9" t="str">
        <f aca="false">IF(V85=0,"",IF($H85="Full-Time","FT",IF(AND($H85="Part-Time",N($I85)&gt;=PT_MinHours),"PT","None")))</f>
        <v/>
      </c>
      <c r="AC85" s="9" t="str">
        <f aca="false">IF(V85=0,"",IF(AH85&lt;&gt;"",AB85,AA85))</f>
        <v/>
      </c>
      <c r="AD85" s="9" t="str">
        <f aca="false">IF(V85=0,"",IF(AA85="FT",IF(Z85&lt;FT_First,0,IF(Z85&lt;FT_Y5,1+INT((Z85-FT_First)/FT_Int1),FT_PreY5+FT_PerYear*INT((Z85-FT_Y5)/12)+FT_AnnivDays+INT(MOD(Z85-FT_Y5,12)/FT_Int2))),IF(AA85="PT",IF(Z85&lt;PT_First,0,1+INT((Z85-PT_First)/PT_Int)),0)))</f>
        <v/>
      </c>
      <c r="AE85" s="9" t="str">
        <f aca="false">IF(V85=0,"",IF(AB85="FT",IF(Z85&lt;FT_First,0,IF(Z85&lt;FT_Y5,1+INT((Z85-FT_First)/FT_Int1),FT_PreY5+FT_PerYear*INT((Z85-FT_Y5)/12)+FT_AnnivDays+INT(MOD(Z85-FT_Y5,12)/FT_Int2))),IF(AB85="PT",IF(Z85&lt;PT_First,0,1+INT((Z85-PT_First)/PT_Int)),0)))</f>
        <v/>
      </c>
      <c r="AF85" s="9" t="str">
        <f aca="false">IF(V85=0,"",IF(AB85="FT",IF(Y85&lt;FT_First,0,IF(Y85&lt;FT_Y5,1+INT((Y85-FT_First)/FT_Int1),FT_PreY5+FT_PerYear*INT((Y85-FT_Y5)/12)+FT_AnnivDays+INT(MOD(Y85-FT_Y5,12)/FT_Int2))),IF(AB85="PT",IF(Y85&lt;PT_First,0,1+INT((Y85-PT_First)/PT_Int)),0)))</f>
        <v/>
      </c>
      <c r="AG85" s="9" t="str">
        <f aca="false">IF(V85=0,"",IF(AC85="FT",IF(Y85&lt;FT_First,FT_First,IF(Y85&lt;FT_Y5,MIN(FT_Y5,FT_First+FT_Int1*(INT((Y85-FT_First)/FT_Int1)+1)),FT_Y5+12*INT((Y85-FT_Y5)/12)+FT_Int2*(INT(MOD(Y85-FT_Y5,12)/FT_Int2)+1))),IF(AC85="PT",IF(Y85&lt;PT_First,PT_First,PT_First+PT_Int*(INT((Y85-PT_First)/PT_Int)+1)),"")))</f>
        <v/>
      </c>
      <c r="AH85" s="11" t="str">
        <f aca="false">IF(V85=0,"",IF($G85="","",IF($G85&gt;X85,"",$G85)))</f>
        <v/>
      </c>
    </row>
    <row r="86" customFormat="false" ht="15" hidden="false" customHeight="false" outlineLevel="0" collapsed="false">
      <c r="A86" s="12"/>
      <c r="B86" s="12"/>
      <c r="C86" s="12"/>
      <c r="D86" s="13"/>
      <c r="E86" s="12"/>
      <c r="F86" s="14"/>
      <c r="G86" s="13"/>
      <c r="H86" s="12"/>
      <c r="I86" s="14"/>
      <c r="J86" s="14"/>
      <c r="K86" s="13"/>
      <c r="L86" s="9" t="str">
        <f aca="false">IF(V86=0,"",IF($G86="","",$E86&amp;" to "&amp;$H86&amp;IF($H86="Part-Time"," "&amp;N($I86)&amp;" hrs","")&amp;" on "&amp;TEXT($G86,"dd/mm/yyyy")&amp;IF($G86&gt;AsOfDate," (future)",IF(AA86=AC86,"",IF(AC86="None"," - STOPPED accruing",IF(AA86="None"," - now qualifying"," - pathway changed"))))))</f>
        <v/>
      </c>
      <c r="M86" s="9" t="str">
        <f aca="false">IF(V86=0,"",IF(W86=1,"Terminated",IF(AC86="None",IF(O86&gt;0,"No longer accruing","Not eligible - "&amp;IF(AND(AC86="None",IF(AH86&lt;&gt;"",$H86,$E86)="Part-Time"),"under "&amp;PT_MinHours&amp;" hrs",IF(AH86&lt;&gt;"",$H86,$E86))),IF(O86&gt;0,"Yes - accruing","Not yet - from "&amp;TEXT(Q86,"dd/mm/yyyy")))))</f>
        <v/>
      </c>
      <c r="N86" s="9" t="str">
        <f aca="false">IF(V86=0,"",IF(Y86&lt;0,"-",INT(Y86/12)&amp;"y "&amp;MOD(Y86,12)&amp;"m"))</f>
        <v/>
      </c>
      <c r="O86" s="10" t="str">
        <f aca="false">IF(V86=0,"",AD86+IF(AH86="",0,AF86-AE86))</f>
        <v/>
      </c>
      <c r="P86" s="10" t="str">
        <f aca="false">IF(V86=0,"",O86*HoursPerDay)</f>
        <v/>
      </c>
      <c r="Q86" s="11" t="str">
        <f aca="false">IF(V86=0,"",IF(OR(W86=1,AC86="None"),"",EDATE(($D86+N($J86)),AG86)))</f>
        <v/>
      </c>
      <c r="R86" s="10" t="str">
        <f aca="false">IF(V86=0,"",IF(NOT(EH_Ready),"",SUMIFS(INDEX(EH_Data,0,EH_ColBal),INDEX(EH_Data,0,EH_ColFirst),$A86,INDEX(EH_Data,0,EH_ColSur),$B86,INDEX(EH_Data,0,EH_ColCat),BonusCat)/IF(EHUnit="Hours",HoursPerDay,1)))</f>
        <v/>
      </c>
      <c r="S86" s="10" t="str">
        <f aca="false">IF(OR(V86=0,R86="",W86=1),"",O86-R86)</f>
        <v/>
      </c>
      <c r="T86" s="10" t="str">
        <f aca="false">IF(S86="","",S86*HoursPerDay)</f>
        <v/>
      </c>
      <c r="U86" s="9" t="str">
        <f aca="false">IF(V86=0,"",IF(W86=1,IF(N(R86)&gt;0,"TERMINATED - forfeit "&amp;TEXT(R86,"0.##")&amp;" days in EH","Terminated"),IF(NOT(EH_Ready),"Paste EH export (see Settings)",IF(S86&gt;0,"ADD "&amp;TEXT(S86,"0.##")&amp;" day(s) = "&amp;TEXT(T86,"0.##")&amp;" hrs in EH",IF(S86&lt;0,"CHECK - EH has "&amp;TEXT(-S86,"0.##")&amp;" days more than policy",IF(O86&gt;0,"OK","-"))))))</f>
        <v/>
      </c>
      <c r="V86" s="9" t="n">
        <f aca="false">IF(OR(LEN($A86&amp;$B86)=0,$D86=""),0,1)</f>
        <v>0</v>
      </c>
      <c r="W86" s="9" t="n">
        <f aca="false">IF(V86=0,0,IF(AND($K86&lt;&gt;"",$K86&lt;=AsOfDate),1,0))</f>
        <v>0</v>
      </c>
      <c r="X86" s="11" t="str">
        <f aca="false">IF(V86=0,"",IF($K86="",AsOfDate,MIN(AsOfDate,$K86)))</f>
        <v/>
      </c>
      <c r="Y86" s="9" t="str">
        <f aca="false">IF(V86=0,"",IF(X86&lt;($D86+N($J86)),-1,12*(YEAR(X86)-YEAR(($D86+N($J86))))+MONTH(X86)-MONTH(($D86+N($J86)))-IF(DAY(X86)&lt;MIN(DAY(($D86+N($J86))),DAY(EOMONTH(X86,0))),1,0)))</f>
        <v/>
      </c>
      <c r="Z86" s="9" t="str">
        <f aca="false">IF(V86=0,"",IF(AH86="",Y86,IF((AH86-1)&lt;($D86+N($J86)),-1,12*(YEAR((AH86-1))-YEAR(($D86+N($J86))))+MONTH((AH86-1))-MONTH(($D86+N($J86)))-IF(DAY((AH86-1))&lt;MIN(DAY(($D86+N($J86))),DAY(EOMONTH((AH86-1),0))),1,0))))</f>
        <v/>
      </c>
      <c r="AA86" s="9" t="str">
        <f aca="false">IF(V86=0,"",IF($E86="Full-Time","FT",IF(AND($E86="Part-Time",N($F86)&gt;=PT_MinHours),"PT","None")))</f>
        <v/>
      </c>
      <c r="AB86" s="9" t="str">
        <f aca="false">IF(V86=0,"",IF($H86="Full-Time","FT",IF(AND($H86="Part-Time",N($I86)&gt;=PT_MinHours),"PT","None")))</f>
        <v/>
      </c>
      <c r="AC86" s="9" t="str">
        <f aca="false">IF(V86=0,"",IF(AH86&lt;&gt;"",AB86,AA86))</f>
        <v/>
      </c>
      <c r="AD86" s="9" t="str">
        <f aca="false">IF(V86=0,"",IF(AA86="FT",IF(Z86&lt;FT_First,0,IF(Z86&lt;FT_Y5,1+INT((Z86-FT_First)/FT_Int1),FT_PreY5+FT_PerYear*INT((Z86-FT_Y5)/12)+FT_AnnivDays+INT(MOD(Z86-FT_Y5,12)/FT_Int2))),IF(AA86="PT",IF(Z86&lt;PT_First,0,1+INT((Z86-PT_First)/PT_Int)),0)))</f>
        <v/>
      </c>
      <c r="AE86" s="9" t="str">
        <f aca="false">IF(V86=0,"",IF(AB86="FT",IF(Z86&lt;FT_First,0,IF(Z86&lt;FT_Y5,1+INT((Z86-FT_First)/FT_Int1),FT_PreY5+FT_PerYear*INT((Z86-FT_Y5)/12)+FT_AnnivDays+INT(MOD(Z86-FT_Y5,12)/FT_Int2))),IF(AB86="PT",IF(Z86&lt;PT_First,0,1+INT((Z86-PT_First)/PT_Int)),0)))</f>
        <v/>
      </c>
      <c r="AF86" s="9" t="str">
        <f aca="false">IF(V86=0,"",IF(AB86="FT",IF(Y86&lt;FT_First,0,IF(Y86&lt;FT_Y5,1+INT((Y86-FT_First)/FT_Int1),FT_PreY5+FT_PerYear*INT((Y86-FT_Y5)/12)+FT_AnnivDays+INT(MOD(Y86-FT_Y5,12)/FT_Int2))),IF(AB86="PT",IF(Y86&lt;PT_First,0,1+INT((Y86-PT_First)/PT_Int)),0)))</f>
        <v/>
      </c>
      <c r="AG86" s="9" t="str">
        <f aca="false">IF(V86=0,"",IF(AC86="FT",IF(Y86&lt;FT_First,FT_First,IF(Y86&lt;FT_Y5,MIN(FT_Y5,FT_First+FT_Int1*(INT((Y86-FT_First)/FT_Int1)+1)),FT_Y5+12*INT((Y86-FT_Y5)/12)+FT_Int2*(INT(MOD(Y86-FT_Y5,12)/FT_Int2)+1))),IF(AC86="PT",IF(Y86&lt;PT_First,PT_First,PT_First+PT_Int*(INT((Y86-PT_First)/PT_Int)+1)),"")))</f>
        <v/>
      </c>
      <c r="AH86" s="11" t="str">
        <f aca="false">IF(V86=0,"",IF($G86="","",IF($G86&gt;X86,"",$G86)))</f>
        <v/>
      </c>
    </row>
    <row r="87" customFormat="false" ht="15" hidden="false" customHeight="false" outlineLevel="0" collapsed="false">
      <c r="A87" s="12"/>
      <c r="B87" s="12"/>
      <c r="C87" s="12"/>
      <c r="D87" s="13"/>
      <c r="E87" s="12"/>
      <c r="F87" s="14"/>
      <c r="G87" s="13"/>
      <c r="H87" s="12"/>
      <c r="I87" s="14"/>
      <c r="J87" s="14"/>
      <c r="K87" s="13"/>
      <c r="L87" s="9" t="str">
        <f aca="false">IF(V87=0,"",IF($G87="","",$E87&amp;" to "&amp;$H87&amp;IF($H87="Part-Time"," "&amp;N($I87)&amp;" hrs","")&amp;" on "&amp;TEXT($G87,"dd/mm/yyyy")&amp;IF($G87&gt;AsOfDate," (future)",IF(AA87=AC87,"",IF(AC87="None"," - STOPPED accruing",IF(AA87="None"," - now qualifying"," - pathway changed"))))))</f>
        <v/>
      </c>
      <c r="M87" s="9" t="str">
        <f aca="false">IF(V87=0,"",IF(W87=1,"Terminated",IF(AC87="None",IF(O87&gt;0,"No longer accruing","Not eligible - "&amp;IF(AND(AC87="None",IF(AH87&lt;&gt;"",$H87,$E87)="Part-Time"),"under "&amp;PT_MinHours&amp;" hrs",IF(AH87&lt;&gt;"",$H87,$E87))),IF(O87&gt;0,"Yes - accruing","Not yet - from "&amp;TEXT(Q87,"dd/mm/yyyy")))))</f>
        <v/>
      </c>
      <c r="N87" s="9" t="str">
        <f aca="false">IF(V87=0,"",IF(Y87&lt;0,"-",INT(Y87/12)&amp;"y "&amp;MOD(Y87,12)&amp;"m"))</f>
        <v/>
      </c>
      <c r="O87" s="10" t="str">
        <f aca="false">IF(V87=0,"",AD87+IF(AH87="",0,AF87-AE87))</f>
        <v/>
      </c>
      <c r="P87" s="10" t="str">
        <f aca="false">IF(V87=0,"",O87*HoursPerDay)</f>
        <v/>
      </c>
      <c r="Q87" s="11" t="str">
        <f aca="false">IF(V87=0,"",IF(OR(W87=1,AC87="None"),"",EDATE(($D87+N($J87)),AG87)))</f>
        <v/>
      </c>
      <c r="R87" s="10" t="str">
        <f aca="false">IF(V87=0,"",IF(NOT(EH_Ready),"",SUMIFS(INDEX(EH_Data,0,EH_ColBal),INDEX(EH_Data,0,EH_ColFirst),$A87,INDEX(EH_Data,0,EH_ColSur),$B87,INDEX(EH_Data,0,EH_ColCat),BonusCat)/IF(EHUnit="Hours",HoursPerDay,1)))</f>
        <v/>
      </c>
      <c r="S87" s="10" t="str">
        <f aca="false">IF(OR(V87=0,R87="",W87=1),"",O87-R87)</f>
        <v/>
      </c>
      <c r="T87" s="10" t="str">
        <f aca="false">IF(S87="","",S87*HoursPerDay)</f>
        <v/>
      </c>
      <c r="U87" s="9" t="str">
        <f aca="false">IF(V87=0,"",IF(W87=1,IF(N(R87)&gt;0,"TERMINATED - forfeit "&amp;TEXT(R87,"0.##")&amp;" days in EH","Terminated"),IF(NOT(EH_Ready),"Paste EH export (see Settings)",IF(S87&gt;0,"ADD "&amp;TEXT(S87,"0.##")&amp;" day(s) = "&amp;TEXT(T87,"0.##")&amp;" hrs in EH",IF(S87&lt;0,"CHECK - EH has "&amp;TEXT(-S87,"0.##")&amp;" days more than policy",IF(O87&gt;0,"OK","-"))))))</f>
        <v/>
      </c>
      <c r="V87" s="9" t="n">
        <f aca="false">IF(OR(LEN($A87&amp;$B87)=0,$D87=""),0,1)</f>
        <v>0</v>
      </c>
      <c r="W87" s="9" t="n">
        <f aca="false">IF(V87=0,0,IF(AND($K87&lt;&gt;"",$K87&lt;=AsOfDate),1,0))</f>
        <v>0</v>
      </c>
      <c r="X87" s="11" t="str">
        <f aca="false">IF(V87=0,"",IF($K87="",AsOfDate,MIN(AsOfDate,$K87)))</f>
        <v/>
      </c>
      <c r="Y87" s="9" t="str">
        <f aca="false">IF(V87=0,"",IF(X87&lt;($D87+N($J87)),-1,12*(YEAR(X87)-YEAR(($D87+N($J87))))+MONTH(X87)-MONTH(($D87+N($J87)))-IF(DAY(X87)&lt;MIN(DAY(($D87+N($J87))),DAY(EOMONTH(X87,0))),1,0)))</f>
        <v/>
      </c>
      <c r="Z87" s="9" t="str">
        <f aca="false">IF(V87=0,"",IF(AH87="",Y87,IF((AH87-1)&lt;($D87+N($J87)),-1,12*(YEAR((AH87-1))-YEAR(($D87+N($J87))))+MONTH((AH87-1))-MONTH(($D87+N($J87)))-IF(DAY((AH87-1))&lt;MIN(DAY(($D87+N($J87))),DAY(EOMONTH((AH87-1),0))),1,0))))</f>
        <v/>
      </c>
      <c r="AA87" s="9" t="str">
        <f aca="false">IF(V87=0,"",IF($E87="Full-Time","FT",IF(AND($E87="Part-Time",N($F87)&gt;=PT_MinHours),"PT","None")))</f>
        <v/>
      </c>
      <c r="AB87" s="9" t="str">
        <f aca="false">IF(V87=0,"",IF($H87="Full-Time","FT",IF(AND($H87="Part-Time",N($I87)&gt;=PT_MinHours),"PT","None")))</f>
        <v/>
      </c>
      <c r="AC87" s="9" t="str">
        <f aca="false">IF(V87=0,"",IF(AH87&lt;&gt;"",AB87,AA87))</f>
        <v/>
      </c>
      <c r="AD87" s="9" t="str">
        <f aca="false">IF(V87=0,"",IF(AA87="FT",IF(Z87&lt;FT_First,0,IF(Z87&lt;FT_Y5,1+INT((Z87-FT_First)/FT_Int1),FT_PreY5+FT_PerYear*INT((Z87-FT_Y5)/12)+FT_AnnivDays+INT(MOD(Z87-FT_Y5,12)/FT_Int2))),IF(AA87="PT",IF(Z87&lt;PT_First,0,1+INT((Z87-PT_First)/PT_Int)),0)))</f>
        <v/>
      </c>
      <c r="AE87" s="9" t="str">
        <f aca="false">IF(V87=0,"",IF(AB87="FT",IF(Z87&lt;FT_First,0,IF(Z87&lt;FT_Y5,1+INT((Z87-FT_First)/FT_Int1),FT_PreY5+FT_PerYear*INT((Z87-FT_Y5)/12)+FT_AnnivDays+INT(MOD(Z87-FT_Y5,12)/FT_Int2))),IF(AB87="PT",IF(Z87&lt;PT_First,0,1+INT((Z87-PT_First)/PT_Int)),0)))</f>
        <v/>
      </c>
      <c r="AF87" s="9" t="str">
        <f aca="false">IF(V87=0,"",IF(AB87="FT",IF(Y87&lt;FT_First,0,IF(Y87&lt;FT_Y5,1+INT((Y87-FT_First)/FT_Int1),FT_PreY5+FT_PerYear*INT((Y87-FT_Y5)/12)+FT_AnnivDays+INT(MOD(Y87-FT_Y5,12)/FT_Int2))),IF(AB87="PT",IF(Y87&lt;PT_First,0,1+INT((Y87-PT_First)/PT_Int)),0)))</f>
        <v/>
      </c>
      <c r="AG87" s="9" t="str">
        <f aca="false">IF(V87=0,"",IF(AC87="FT",IF(Y87&lt;FT_First,FT_First,IF(Y87&lt;FT_Y5,MIN(FT_Y5,FT_First+FT_Int1*(INT((Y87-FT_First)/FT_Int1)+1)),FT_Y5+12*INT((Y87-FT_Y5)/12)+FT_Int2*(INT(MOD(Y87-FT_Y5,12)/FT_Int2)+1))),IF(AC87="PT",IF(Y87&lt;PT_First,PT_First,PT_First+PT_Int*(INT((Y87-PT_First)/PT_Int)+1)),"")))</f>
        <v/>
      </c>
      <c r="AH87" s="11" t="str">
        <f aca="false">IF(V87=0,"",IF($G87="","",IF($G87&gt;X87,"",$G87)))</f>
        <v/>
      </c>
    </row>
    <row r="88" customFormat="false" ht="15" hidden="false" customHeight="false" outlineLevel="0" collapsed="false">
      <c r="A88" s="12"/>
      <c r="B88" s="12"/>
      <c r="C88" s="12"/>
      <c r="D88" s="13"/>
      <c r="E88" s="12"/>
      <c r="F88" s="14"/>
      <c r="G88" s="13"/>
      <c r="H88" s="12"/>
      <c r="I88" s="14"/>
      <c r="J88" s="14"/>
      <c r="K88" s="13"/>
      <c r="L88" s="9" t="str">
        <f aca="false">IF(V88=0,"",IF($G88="","",$E88&amp;" to "&amp;$H88&amp;IF($H88="Part-Time"," "&amp;N($I88)&amp;" hrs","")&amp;" on "&amp;TEXT($G88,"dd/mm/yyyy")&amp;IF($G88&gt;AsOfDate," (future)",IF(AA88=AC88,"",IF(AC88="None"," - STOPPED accruing",IF(AA88="None"," - now qualifying"," - pathway changed"))))))</f>
        <v/>
      </c>
      <c r="M88" s="9" t="str">
        <f aca="false">IF(V88=0,"",IF(W88=1,"Terminated",IF(AC88="None",IF(O88&gt;0,"No longer accruing","Not eligible - "&amp;IF(AND(AC88="None",IF(AH88&lt;&gt;"",$H88,$E88)="Part-Time"),"under "&amp;PT_MinHours&amp;" hrs",IF(AH88&lt;&gt;"",$H88,$E88))),IF(O88&gt;0,"Yes - accruing","Not yet - from "&amp;TEXT(Q88,"dd/mm/yyyy")))))</f>
        <v/>
      </c>
      <c r="N88" s="9" t="str">
        <f aca="false">IF(V88=0,"",IF(Y88&lt;0,"-",INT(Y88/12)&amp;"y "&amp;MOD(Y88,12)&amp;"m"))</f>
        <v/>
      </c>
      <c r="O88" s="10" t="str">
        <f aca="false">IF(V88=0,"",AD88+IF(AH88="",0,AF88-AE88))</f>
        <v/>
      </c>
      <c r="P88" s="10" t="str">
        <f aca="false">IF(V88=0,"",O88*HoursPerDay)</f>
        <v/>
      </c>
      <c r="Q88" s="11" t="str">
        <f aca="false">IF(V88=0,"",IF(OR(W88=1,AC88="None"),"",EDATE(($D88+N($J88)),AG88)))</f>
        <v/>
      </c>
      <c r="R88" s="10" t="str">
        <f aca="false">IF(V88=0,"",IF(NOT(EH_Ready),"",SUMIFS(INDEX(EH_Data,0,EH_ColBal),INDEX(EH_Data,0,EH_ColFirst),$A88,INDEX(EH_Data,0,EH_ColSur),$B88,INDEX(EH_Data,0,EH_ColCat),BonusCat)/IF(EHUnit="Hours",HoursPerDay,1)))</f>
        <v/>
      </c>
      <c r="S88" s="10" t="str">
        <f aca="false">IF(OR(V88=0,R88="",W88=1),"",O88-R88)</f>
        <v/>
      </c>
      <c r="T88" s="10" t="str">
        <f aca="false">IF(S88="","",S88*HoursPerDay)</f>
        <v/>
      </c>
      <c r="U88" s="9" t="str">
        <f aca="false">IF(V88=0,"",IF(W88=1,IF(N(R88)&gt;0,"TERMINATED - forfeit "&amp;TEXT(R88,"0.##")&amp;" days in EH","Terminated"),IF(NOT(EH_Ready),"Paste EH export (see Settings)",IF(S88&gt;0,"ADD "&amp;TEXT(S88,"0.##")&amp;" day(s) = "&amp;TEXT(T88,"0.##")&amp;" hrs in EH",IF(S88&lt;0,"CHECK - EH has "&amp;TEXT(-S88,"0.##")&amp;" days more than policy",IF(O88&gt;0,"OK","-"))))))</f>
        <v/>
      </c>
      <c r="V88" s="9" t="n">
        <f aca="false">IF(OR(LEN($A88&amp;$B88)=0,$D88=""),0,1)</f>
        <v>0</v>
      </c>
      <c r="W88" s="9" t="n">
        <f aca="false">IF(V88=0,0,IF(AND($K88&lt;&gt;"",$K88&lt;=AsOfDate),1,0))</f>
        <v>0</v>
      </c>
      <c r="X88" s="11" t="str">
        <f aca="false">IF(V88=0,"",IF($K88="",AsOfDate,MIN(AsOfDate,$K88)))</f>
        <v/>
      </c>
      <c r="Y88" s="9" t="str">
        <f aca="false">IF(V88=0,"",IF(X88&lt;($D88+N($J88)),-1,12*(YEAR(X88)-YEAR(($D88+N($J88))))+MONTH(X88)-MONTH(($D88+N($J88)))-IF(DAY(X88)&lt;MIN(DAY(($D88+N($J88))),DAY(EOMONTH(X88,0))),1,0)))</f>
        <v/>
      </c>
      <c r="Z88" s="9" t="str">
        <f aca="false">IF(V88=0,"",IF(AH88="",Y88,IF((AH88-1)&lt;($D88+N($J88)),-1,12*(YEAR((AH88-1))-YEAR(($D88+N($J88))))+MONTH((AH88-1))-MONTH(($D88+N($J88)))-IF(DAY((AH88-1))&lt;MIN(DAY(($D88+N($J88))),DAY(EOMONTH((AH88-1),0))),1,0))))</f>
        <v/>
      </c>
      <c r="AA88" s="9" t="str">
        <f aca="false">IF(V88=0,"",IF($E88="Full-Time","FT",IF(AND($E88="Part-Time",N($F88)&gt;=PT_MinHours),"PT","None")))</f>
        <v/>
      </c>
      <c r="AB88" s="9" t="str">
        <f aca="false">IF(V88=0,"",IF($H88="Full-Time","FT",IF(AND($H88="Part-Time",N($I88)&gt;=PT_MinHours),"PT","None")))</f>
        <v/>
      </c>
      <c r="AC88" s="9" t="str">
        <f aca="false">IF(V88=0,"",IF(AH88&lt;&gt;"",AB88,AA88))</f>
        <v/>
      </c>
      <c r="AD88" s="9" t="str">
        <f aca="false">IF(V88=0,"",IF(AA88="FT",IF(Z88&lt;FT_First,0,IF(Z88&lt;FT_Y5,1+INT((Z88-FT_First)/FT_Int1),FT_PreY5+FT_PerYear*INT((Z88-FT_Y5)/12)+FT_AnnivDays+INT(MOD(Z88-FT_Y5,12)/FT_Int2))),IF(AA88="PT",IF(Z88&lt;PT_First,0,1+INT((Z88-PT_First)/PT_Int)),0)))</f>
        <v/>
      </c>
      <c r="AE88" s="9" t="str">
        <f aca="false">IF(V88=0,"",IF(AB88="FT",IF(Z88&lt;FT_First,0,IF(Z88&lt;FT_Y5,1+INT((Z88-FT_First)/FT_Int1),FT_PreY5+FT_PerYear*INT((Z88-FT_Y5)/12)+FT_AnnivDays+INT(MOD(Z88-FT_Y5,12)/FT_Int2))),IF(AB88="PT",IF(Z88&lt;PT_First,0,1+INT((Z88-PT_First)/PT_Int)),0)))</f>
        <v/>
      </c>
      <c r="AF88" s="9" t="str">
        <f aca="false">IF(V88=0,"",IF(AB88="FT",IF(Y88&lt;FT_First,0,IF(Y88&lt;FT_Y5,1+INT((Y88-FT_First)/FT_Int1),FT_PreY5+FT_PerYear*INT((Y88-FT_Y5)/12)+FT_AnnivDays+INT(MOD(Y88-FT_Y5,12)/FT_Int2))),IF(AB88="PT",IF(Y88&lt;PT_First,0,1+INT((Y88-PT_First)/PT_Int)),0)))</f>
        <v/>
      </c>
      <c r="AG88" s="9" t="str">
        <f aca="false">IF(V88=0,"",IF(AC88="FT",IF(Y88&lt;FT_First,FT_First,IF(Y88&lt;FT_Y5,MIN(FT_Y5,FT_First+FT_Int1*(INT((Y88-FT_First)/FT_Int1)+1)),FT_Y5+12*INT((Y88-FT_Y5)/12)+FT_Int2*(INT(MOD(Y88-FT_Y5,12)/FT_Int2)+1))),IF(AC88="PT",IF(Y88&lt;PT_First,PT_First,PT_First+PT_Int*(INT((Y88-PT_First)/PT_Int)+1)),"")))</f>
        <v/>
      </c>
      <c r="AH88" s="11" t="str">
        <f aca="false">IF(V88=0,"",IF($G88="","",IF($G88&gt;X88,"",$G88)))</f>
        <v/>
      </c>
    </row>
    <row r="89" customFormat="false" ht="15" hidden="false" customHeight="false" outlineLevel="0" collapsed="false">
      <c r="A89" s="12"/>
      <c r="B89" s="12"/>
      <c r="C89" s="12"/>
      <c r="D89" s="13"/>
      <c r="E89" s="12"/>
      <c r="F89" s="14"/>
      <c r="G89" s="13"/>
      <c r="H89" s="12"/>
      <c r="I89" s="14"/>
      <c r="J89" s="14"/>
      <c r="K89" s="13"/>
      <c r="L89" s="9" t="str">
        <f aca="false">IF(V89=0,"",IF($G89="","",$E89&amp;" to "&amp;$H89&amp;IF($H89="Part-Time"," "&amp;N($I89)&amp;" hrs","")&amp;" on "&amp;TEXT($G89,"dd/mm/yyyy")&amp;IF($G89&gt;AsOfDate," (future)",IF(AA89=AC89,"",IF(AC89="None"," - STOPPED accruing",IF(AA89="None"," - now qualifying"," - pathway changed"))))))</f>
        <v/>
      </c>
      <c r="M89" s="9" t="str">
        <f aca="false">IF(V89=0,"",IF(W89=1,"Terminated",IF(AC89="None",IF(O89&gt;0,"No longer accruing","Not eligible - "&amp;IF(AND(AC89="None",IF(AH89&lt;&gt;"",$H89,$E89)="Part-Time"),"under "&amp;PT_MinHours&amp;" hrs",IF(AH89&lt;&gt;"",$H89,$E89))),IF(O89&gt;0,"Yes - accruing","Not yet - from "&amp;TEXT(Q89,"dd/mm/yyyy")))))</f>
        <v/>
      </c>
      <c r="N89" s="9" t="str">
        <f aca="false">IF(V89=0,"",IF(Y89&lt;0,"-",INT(Y89/12)&amp;"y "&amp;MOD(Y89,12)&amp;"m"))</f>
        <v/>
      </c>
      <c r="O89" s="10" t="str">
        <f aca="false">IF(V89=0,"",AD89+IF(AH89="",0,AF89-AE89))</f>
        <v/>
      </c>
      <c r="P89" s="10" t="str">
        <f aca="false">IF(V89=0,"",O89*HoursPerDay)</f>
        <v/>
      </c>
      <c r="Q89" s="11" t="str">
        <f aca="false">IF(V89=0,"",IF(OR(W89=1,AC89="None"),"",EDATE(($D89+N($J89)),AG89)))</f>
        <v/>
      </c>
      <c r="R89" s="10" t="str">
        <f aca="false">IF(V89=0,"",IF(NOT(EH_Ready),"",SUMIFS(INDEX(EH_Data,0,EH_ColBal),INDEX(EH_Data,0,EH_ColFirst),$A89,INDEX(EH_Data,0,EH_ColSur),$B89,INDEX(EH_Data,0,EH_ColCat),BonusCat)/IF(EHUnit="Hours",HoursPerDay,1)))</f>
        <v/>
      </c>
      <c r="S89" s="10" t="str">
        <f aca="false">IF(OR(V89=0,R89="",W89=1),"",O89-R89)</f>
        <v/>
      </c>
      <c r="T89" s="10" t="str">
        <f aca="false">IF(S89="","",S89*HoursPerDay)</f>
        <v/>
      </c>
      <c r="U89" s="9" t="str">
        <f aca="false">IF(V89=0,"",IF(W89=1,IF(N(R89)&gt;0,"TERMINATED - forfeit "&amp;TEXT(R89,"0.##")&amp;" days in EH","Terminated"),IF(NOT(EH_Ready),"Paste EH export (see Settings)",IF(S89&gt;0,"ADD "&amp;TEXT(S89,"0.##")&amp;" day(s) = "&amp;TEXT(T89,"0.##")&amp;" hrs in EH",IF(S89&lt;0,"CHECK - EH has "&amp;TEXT(-S89,"0.##")&amp;" days more than policy",IF(O89&gt;0,"OK","-"))))))</f>
        <v/>
      </c>
      <c r="V89" s="9" t="n">
        <f aca="false">IF(OR(LEN($A89&amp;$B89)=0,$D89=""),0,1)</f>
        <v>0</v>
      </c>
      <c r="W89" s="9" t="n">
        <f aca="false">IF(V89=0,0,IF(AND($K89&lt;&gt;"",$K89&lt;=AsOfDate),1,0))</f>
        <v>0</v>
      </c>
      <c r="X89" s="11" t="str">
        <f aca="false">IF(V89=0,"",IF($K89="",AsOfDate,MIN(AsOfDate,$K89)))</f>
        <v/>
      </c>
      <c r="Y89" s="9" t="str">
        <f aca="false">IF(V89=0,"",IF(X89&lt;($D89+N($J89)),-1,12*(YEAR(X89)-YEAR(($D89+N($J89))))+MONTH(X89)-MONTH(($D89+N($J89)))-IF(DAY(X89)&lt;MIN(DAY(($D89+N($J89))),DAY(EOMONTH(X89,0))),1,0)))</f>
        <v/>
      </c>
      <c r="Z89" s="9" t="str">
        <f aca="false">IF(V89=0,"",IF(AH89="",Y89,IF((AH89-1)&lt;($D89+N($J89)),-1,12*(YEAR((AH89-1))-YEAR(($D89+N($J89))))+MONTH((AH89-1))-MONTH(($D89+N($J89)))-IF(DAY((AH89-1))&lt;MIN(DAY(($D89+N($J89))),DAY(EOMONTH((AH89-1),0))),1,0))))</f>
        <v/>
      </c>
      <c r="AA89" s="9" t="str">
        <f aca="false">IF(V89=0,"",IF($E89="Full-Time","FT",IF(AND($E89="Part-Time",N($F89)&gt;=PT_MinHours),"PT","None")))</f>
        <v/>
      </c>
      <c r="AB89" s="9" t="str">
        <f aca="false">IF(V89=0,"",IF($H89="Full-Time","FT",IF(AND($H89="Part-Time",N($I89)&gt;=PT_MinHours),"PT","None")))</f>
        <v/>
      </c>
      <c r="AC89" s="9" t="str">
        <f aca="false">IF(V89=0,"",IF(AH89&lt;&gt;"",AB89,AA89))</f>
        <v/>
      </c>
      <c r="AD89" s="9" t="str">
        <f aca="false">IF(V89=0,"",IF(AA89="FT",IF(Z89&lt;FT_First,0,IF(Z89&lt;FT_Y5,1+INT((Z89-FT_First)/FT_Int1),FT_PreY5+FT_PerYear*INT((Z89-FT_Y5)/12)+FT_AnnivDays+INT(MOD(Z89-FT_Y5,12)/FT_Int2))),IF(AA89="PT",IF(Z89&lt;PT_First,0,1+INT((Z89-PT_First)/PT_Int)),0)))</f>
        <v/>
      </c>
      <c r="AE89" s="9" t="str">
        <f aca="false">IF(V89=0,"",IF(AB89="FT",IF(Z89&lt;FT_First,0,IF(Z89&lt;FT_Y5,1+INT((Z89-FT_First)/FT_Int1),FT_PreY5+FT_PerYear*INT((Z89-FT_Y5)/12)+FT_AnnivDays+INT(MOD(Z89-FT_Y5,12)/FT_Int2))),IF(AB89="PT",IF(Z89&lt;PT_First,0,1+INT((Z89-PT_First)/PT_Int)),0)))</f>
        <v/>
      </c>
      <c r="AF89" s="9" t="str">
        <f aca="false">IF(V89=0,"",IF(AB89="FT",IF(Y89&lt;FT_First,0,IF(Y89&lt;FT_Y5,1+INT((Y89-FT_First)/FT_Int1),FT_PreY5+FT_PerYear*INT((Y89-FT_Y5)/12)+FT_AnnivDays+INT(MOD(Y89-FT_Y5,12)/FT_Int2))),IF(AB89="PT",IF(Y89&lt;PT_First,0,1+INT((Y89-PT_First)/PT_Int)),0)))</f>
        <v/>
      </c>
      <c r="AG89" s="9" t="str">
        <f aca="false">IF(V89=0,"",IF(AC89="FT",IF(Y89&lt;FT_First,FT_First,IF(Y89&lt;FT_Y5,MIN(FT_Y5,FT_First+FT_Int1*(INT((Y89-FT_First)/FT_Int1)+1)),FT_Y5+12*INT((Y89-FT_Y5)/12)+FT_Int2*(INT(MOD(Y89-FT_Y5,12)/FT_Int2)+1))),IF(AC89="PT",IF(Y89&lt;PT_First,PT_First,PT_First+PT_Int*(INT((Y89-PT_First)/PT_Int)+1)),"")))</f>
        <v/>
      </c>
      <c r="AH89" s="11" t="str">
        <f aca="false">IF(V89=0,"",IF($G89="","",IF($G89&gt;X89,"",$G89)))</f>
        <v/>
      </c>
    </row>
    <row r="90" customFormat="false" ht="15" hidden="false" customHeight="false" outlineLevel="0" collapsed="false">
      <c r="A90" s="12"/>
      <c r="B90" s="12"/>
      <c r="C90" s="12"/>
      <c r="D90" s="13"/>
      <c r="E90" s="12"/>
      <c r="F90" s="14"/>
      <c r="G90" s="13"/>
      <c r="H90" s="12"/>
      <c r="I90" s="14"/>
      <c r="J90" s="14"/>
      <c r="K90" s="13"/>
      <c r="L90" s="9" t="str">
        <f aca="false">IF(V90=0,"",IF($G90="","",$E90&amp;" to "&amp;$H90&amp;IF($H90="Part-Time"," "&amp;N($I90)&amp;" hrs","")&amp;" on "&amp;TEXT($G90,"dd/mm/yyyy")&amp;IF($G90&gt;AsOfDate," (future)",IF(AA90=AC90,"",IF(AC90="None"," - STOPPED accruing",IF(AA90="None"," - now qualifying"," - pathway changed"))))))</f>
        <v/>
      </c>
      <c r="M90" s="9" t="str">
        <f aca="false">IF(V90=0,"",IF(W90=1,"Terminated",IF(AC90="None",IF(O90&gt;0,"No longer accruing","Not eligible - "&amp;IF(AND(AC90="None",IF(AH90&lt;&gt;"",$H90,$E90)="Part-Time"),"under "&amp;PT_MinHours&amp;" hrs",IF(AH90&lt;&gt;"",$H90,$E90))),IF(O90&gt;0,"Yes - accruing","Not yet - from "&amp;TEXT(Q90,"dd/mm/yyyy")))))</f>
        <v/>
      </c>
      <c r="N90" s="9" t="str">
        <f aca="false">IF(V90=0,"",IF(Y90&lt;0,"-",INT(Y90/12)&amp;"y "&amp;MOD(Y90,12)&amp;"m"))</f>
        <v/>
      </c>
      <c r="O90" s="10" t="str">
        <f aca="false">IF(V90=0,"",AD90+IF(AH90="",0,AF90-AE90))</f>
        <v/>
      </c>
      <c r="P90" s="10" t="str">
        <f aca="false">IF(V90=0,"",O90*HoursPerDay)</f>
        <v/>
      </c>
      <c r="Q90" s="11" t="str">
        <f aca="false">IF(V90=0,"",IF(OR(W90=1,AC90="None"),"",EDATE(($D90+N($J90)),AG90)))</f>
        <v/>
      </c>
      <c r="R90" s="10" t="str">
        <f aca="false">IF(V90=0,"",IF(NOT(EH_Ready),"",SUMIFS(INDEX(EH_Data,0,EH_ColBal),INDEX(EH_Data,0,EH_ColFirst),$A90,INDEX(EH_Data,0,EH_ColSur),$B90,INDEX(EH_Data,0,EH_ColCat),BonusCat)/IF(EHUnit="Hours",HoursPerDay,1)))</f>
        <v/>
      </c>
      <c r="S90" s="10" t="str">
        <f aca="false">IF(OR(V90=0,R90="",W90=1),"",O90-R90)</f>
        <v/>
      </c>
      <c r="T90" s="10" t="str">
        <f aca="false">IF(S90="","",S90*HoursPerDay)</f>
        <v/>
      </c>
      <c r="U90" s="9" t="str">
        <f aca="false">IF(V90=0,"",IF(W90=1,IF(N(R90)&gt;0,"TERMINATED - forfeit "&amp;TEXT(R90,"0.##")&amp;" days in EH","Terminated"),IF(NOT(EH_Ready),"Paste EH export (see Settings)",IF(S90&gt;0,"ADD "&amp;TEXT(S90,"0.##")&amp;" day(s) = "&amp;TEXT(T90,"0.##")&amp;" hrs in EH",IF(S90&lt;0,"CHECK - EH has "&amp;TEXT(-S90,"0.##")&amp;" days more than policy",IF(O90&gt;0,"OK","-"))))))</f>
        <v/>
      </c>
      <c r="V90" s="9" t="n">
        <f aca="false">IF(OR(LEN($A90&amp;$B90)=0,$D90=""),0,1)</f>
        <v>0</v>
      </c>
      <c r="W90" s="9" t="n">
        <f aca="false">IF(V90=0,0,IF(AND($K90&lt;&gt;"",$K90&lt;=AsOfDate),1,0))</f>
        <v>0</v>
      </c>
      <c r="X90" s="11" t="str">
        <f aca="false">IF(V90=0,"",IF($K90="",AsOfDate,MIN(AsOfDate,$K90)))</f>
        <v/>
      </c>
      <c r="Y90" s="9" t="str">
        <f aca="false">IF(V90=0,"",IF(X90&lt;($D90+N($J90)),-1,12*(YEAR(X90)-YEAR(($D90+N($J90))))+MONTH(X90)-MONTH(($D90+N($J90)))-IF(DAY(X90)&lt;MIN(DAY(($D90+N($J90))),DAY(EOMONTH(X90,0))),1,0)))</f>
        <v/>
      </c>
      <c r="Z90" s="9" t="str">
        <f aca="false">IF(V90=0,"",IF(AH90="",Y90,IF((AH90-1)&lt;($D90+N($J90)),-1,12*(YEAR((AH90-1))-YEAR(($D90+N($J90))))+MONTH((AH90-1))-MONTH(($D90+N($J90)))-IF(DAY((AH90-1))&lt;MIN(DAY(($D90+N($J90))),DAY(EOMONTH((AH90-1),0))),1,0))))</f>
        <v/>
      </c>
      <c r="AA90" s="9" t="str">
        <f aca="false">IF(V90=0,"",IF($E90="Full-Time","FT",IF(AND($E90="Part-Time",N($F90)&gt;=PT_MinHours),"PT","None")))</f>
        <v/>
      </c>
      <c r="AB90" s="9" t="str">
        <f aca="false">IF(V90=0,"",IF($H90="Full-Time","FT",IF(AND($H90="Part-Time",N($I90)&gt;=PT_MinHours),"PT","None")))</f>
        <v/>
      </c>
      <c r="AC90" s="9" t="str">
        <f aca="false">IF(V90=0,"",IF(AH90&lt;&gt;"",AB90,AA90))</f>
        <v/>
      </c>
      <c r="AD90" s="9" t="str">
        <f aca="false">IF(V90=0,"",IF(AA90="FT",IF(Z90&lt;FT_First,0,IF(Z90&lt;FT_Y5,1+INT((Z90-FT_First)/FT_Int1),FT_PreY5+FT_PerYear*INT((Z90-FT_Y5)/12)+FT_AnnivDays+INT(MOD(Z90-FT_Y5,12)/FT_Int2))),IF(AA90="PT",IF(Z90&lt;PT_First,0,1+INT((Z90-PT_First)/PT_Int)),0)))</f>
        <v/>
      </c>
      <c r="AE90" s="9" t="str">
        <f aca="false">IF(V90=0,"",IF(AB90="FT",IF(Z90&lt;FT_First,0,IF(Z90&lt;FT_Y5,1+INT((Z90-FT_First)/FT_Int1),FT_PreY5+FT_PerYear*INT((Z90-FT_Y5)/12)+FT_AnnivDays+INT(MOD(Z90-FT_Y5,12)/FT_Int2))),IF(AB90="PT",IF(Z90&lt;PT_First,0,1+INT((Z90-PT_First)/PT_Int)),0)))</f>
        <v/>
      </c>
      <c r="AF90" s="9" t="str">
        <f aca="false">IF(V90=0,"",IF(AB90="FT",IF(Y90&lt;FT_First,0,IF(Y90&lt;FT_Y5,1+INT((Y90-FT_First)/FT_Int1),FT_PreY5+FT_PerYear*INT((Y90-FT_Y5)/12)+FT_AnnivDays+INT(MOD(Y90-FT_Y5,12)/FT_Int2))),IF(AB90="PT",IF(Y90&lt;PT_First,0,1+INT((Y90-PT_First)/PT_Int)),0)))</f>
        <v/>
      </c>
      <c r="AG90" s="9" t="str">
        <f aca="false">IF(V90=0,"",IF(AC90="FT",IF(Y90&lt;FT_First,FT_First,IF(Y90&lt;FT_Y5,MIN(FT_Y5,FT_First+FT_Int1*(INT((Y90-FT_First)/FT_Int1)+1)),FT_Y5+12*INT((Y90-FT_Y5)/12)+FT_Int2*(INT(MOD(Y90-FT_Y5,12)/FT_Int2)+1))),IF(AC90="PT",IF(Y90&lt;PT_First,PT_First,PT_First+PT_Int*(INT((Y90-PT_First)/PT_Int)+1)),"")))</f>
        <v/>
      </c>
      <c r="AH90" s="11" t="str">
        <f aca="false">IF(V90=0,"",IF($G90="","",IF($G90&gt;X90,"",$G90)))</f>
        <v/>
      </c>
    </row>
    <row r="91" customFormat="false" ht="15" hidden="false" customHeight="false" outlineLevel="0" collapsed="false">
      <c r="A91" s="12"/>
      <c r="B91" s="12"/>
      <c r="C91" s="12"/>
      <c r="D91" s="13"/>
      <c r="E91" s="12"/>
      <c r="F91" s="14"/>
      <c r="G91" s="13"/>
      <c r="H91" s="12"/>
      <c r="I91" s="14"/>
      <c r="J91" s="14"/>
      <c r="K91" s="13"/>
      <c r="L91" s="9" t="str">
        <f aca="false">IF(V91=0,"",IF($G91="","",$E91&amp;" to "&amp;$H91&amp;IF($H91="Part-Time"," "&amp;N($I91)&amp;" hrs","")&amp;" on "&amp;TEXT($G91,"dd/mm/yyyy")&amp;IF($G91&gt;AsOfDate," (future)",IF(AA91=AC91,"",IF(AC91="None"," - STOPPED accruing",IF(AA91="None"," - now qualifying"," - pathway changed"))))))</f>
        <v/>
      </c>
      <c r="M91" s="9" t="str">
        <f aca="false">IF(V91=0,"",IF(W91=1,"Terminated",IF(AC91="None",IF(O91&gt;0,"No longer accruing","Not eligible - "&amp;IF(AND(AC91="None",IF(AH91&lt;&gt;"",$H91,$E91)="Part-Time"),"under "&amp;PT_MinHours&amp;" hrs",IF(AH91&lt;&gt;"",$H91,$E91))),IF(O91&gt;0,"Yes - accruing","Not yet - from "&amp;TEXT(Q91,"dd/mm/yyyy")))))</f>
        <v/>
      </c>
      <c r="N91" s="9" t="str">
        <f aca="false">IF(V91=0,"",IF(Y91&lt;0,"-",INT(Y91/12)&amp;"y "&amp;MOD(Y91,12)&amp;"m"))</f>
        <v/>
      </c>
      <c r="O91" s="10" t="str">
        <f aca="false">IF(V91=0,"",AD91+IF(AH91="",0,AF91-AE91))</f>
        <v/>
      </c>
      <c r="P91" s="10" t="str">
        <f aca="false">IF(V91=0,"",O91*HoursPerDay)</f>
        <v/>
      </c>
      <c r="Q91" s="11" t="str">
        <f aca="false">IF(V91=0,"",IF(OR(W91=1,AC91="None"),"",EDATE(($D91+N($J91)),AG91)))</f>
        <v/>
      </c>
      <c r="R91" s="10" t="str">
        <f aca="false">IF(V91=0,"",IF(NOT(EH_Ready),"",SUMIFS(INDEX(EH_Data,0,EH_ColBal),INDEX(EH_Data,0,EH_ColFirst),$A91,INDEX(EH_Data,0,EH_ColSur),$B91,INDEX(EH_Data,0,EH_ColCat),BonusCat)/IF(EHUnit="Hours",HoursPerDay,1)))</f>
        <v/>
      </c>
      <c r="S91" s="10" t="str">
        <f aca="false">IF(OR(V91=0,R91="",W91=1),"",O91-R91)</f>
        <v/>
      </c>
      <c r="T91" s="10" t="str">
        <f aca="false">IF(S91="","",S91*HoursPerDay)</f>
        <v/>
      </c>
      <c r="U91" s="9" t="str">
        <f aca="false">IF(V91=0,"",IF(W91=1,IF(N(R91)&gt;0,"TERMINATED - forfeit "&amp;TEXT(R91,"0.##")&amp;" days in EH","Terminated"),IF(NOT(EH_Ready),"Paste EH export (see Settings)",IF(S91&gt;0,"ADD "&amp;TEXT(S91,"0.##")&amp;" day(s) = "&amp;TEXT(T91,"0.##")&amp;" hrs in EH",IF(S91&lt;0,"CHECK - EH has "&amp;TEXT(-S91,"0.##")&amp;" days more than policy",IF(O91&gt;0,"OK","-"))))))</f>
        <v/>
      </c>
      <c r="V91" s="9" t="n">
        <f aca="false">IF(OR(LEN($A91&amp;$B91)=0,$D91=""),0,1)</f>
        <v>0</v>
      </c>
      <c r="W91" s="9" t="n">
        <f aca="false">IF(V91=0,0,IF(AND($K91&lt;&gt;"",$K91&lt;=AsOfDate),1,0))</f>
        <v>0</v>
      </c>
      <c r="X91" s="11" t="str">
        <f aca="false">IF(V91=0,"",IF($K91="",AsOfDate,MIN(AsOfDate,$K91)))</f>
        <v/>
      </c>
      <c r="Y91" s="9" t="str">
        <f aca="false">IF(V91=0,"",IF(X91&lt;($D91+N($J91)),-1,12*(YEAR(X91)-YEAR(($D91+N($J91))))+MONTH(X91)-MONTH(($D91+N($J91)))-IF(DAY(X91)&lt;MIN(DAY(($D91+N($J91))),DAY(EOMONTH(X91,0))),1,0)))</f>
        <v/>
      </c>
      <c r="Z91" s="9" t="str">
        <f aca="false">IF(V91=0,"",IF(AH91="",Y91,IF((AH91-1)&lt;($D91+N($J91)),-1,12*(YEAR((AH91-1))-YEAR(($D91+N($J91))))+MONTH((AH91-1))-MONTH(($D91+N($J91)))-IF(DAY((AH91-1))&lt;MIN(DAY(($D91+N($J91))),DAY(EOMONTH((AH91-1),0))),1,0))))</f>
        <v/>
      </c>
      <c r="AA91" s="9" t="str">
        <f aca="false">IF(V91=0,"",IF($E91="Full-Time","FT",IF(AND($E91="Part-Time",N($F91)&gt;=PT_MinHours),"PT","None")))</f>
        <v/>
      </c>
      <c r="AB91" s="9" t="str">
        <f aca="false">IF(V91=0,"",IF($H91="Full-Time","FT",IF(AND($H91="Part-Time",N($I91)&gt;=PT_MinHours),"PT","None")))</f>
        <v/>
      </c>
      <c r="AC91" s="9" t="str">
        <f aca="false">IF(V91=0,"",IF(AH91&lt;&gt;"",AB91,AA91))</f>
        <v/>
      </c>
      <c r="AD91" s="9" t="str">
        <f aca="false">IF(V91=0,"",IF(AA91="FT",IF(Z91&lt;FT_First,0,IF(Z91&lt;FT_Y5,1+INT((Z91-FT_First)/FT_Int1),FT_PreY5+FT_PerYear*INT((Z91-FT_Y5)/12)+FT_AnnivDays+INT(MOD(Z91-FT_Y5,12)/FT_Int2))),IF(AA91="PT",IF(Z91&lt;PT_First,0,1+INT((Z91-PT_First)/PT_Int)),0)))</f>
        <v/>
      </c>
      <c r="AE91" s="9" t="str">
        <f aca="false">IF(V91=0,"",IF(AB91="FT",IF(Z91&lt;FT_First,0,IF(Z91&lt;FT_Y5,1+INT((Z91-FT_First)/FT_Int1),FT_PreY5+FT_PerYear*INT((Z91-FT_Y5)/12)+FT_AnnivDays+INT(MOD(Z91-FT_Y5,12)/FT_Int2))),IF(AB91="PT",IF(Z91&lt;PT_First,0,1+INT((Z91-PT_First)/PT_Int)),0)))</f>
        <v/>
      </c>
      <c r="AF91" s="9" t="str">
        <f aca="false">IF(V91=0,"",IF(AB91="FT",IF(Y91&lt;FT_First,0,IF(Y91&lt;FT_Y5,1+INT((Y91-FT_First)/FT_Int1),FT_PreY5+FT_PerYear*INT((Y91-FT_Y5)/12)+FT_AnnivDays+INT(MOD(Y91-FT_Y5,12)/FT_Int2))),IF(AB91="PT",IF(Y91&lt;PT_First,0,1+INT((Y91-PT_First)/PT_Int)),0)))</f>
        <v/>
      </c>
      <c r="AG91" s="9" t="str">
        <f aca="false">IF(V91=0,"",IF(AC91="FT",IF(Y91&lt;FT_First,FT_First,IF(Y91&lt;FT_Y5,MIN(FT_Y5,FT_First+FT_Int1*(INT((Y91-FT_First)/FT_Int1)+1)),FT_Y5+12*INT((Y91-FT_Y5)/12)+FT_Int2*(INT(MOD(Y91-FT_Y5,12)/FT_Int2)+1))),IF(AC91="PT",IF(Y91&lt;PT_First,PT_First,PT_First+PT_Int*(INT((Y91-PT_First)/PT_Int)+1)),"")))</f>
        <v/>
      </c>
      <c r="AH91" s="11" t="str">
        <f aca="false">IF(V91=0,"",IF($G91="","",IF($G91&gt;X91,"",$G91)))</f>
        <v/>
      </c>
    </row>
    <row r="92" customFormat="false" ht="15" hidden="false" customHeight="false" outlineLevel="0" collapsed="false">
      <c r="A92" s="12"/>
      <c r="B92" s="12"/>
      <c r="C92" s="12"/>
      <c r="D92" s="13"/>
      <c r="E92" s="12"/>
      <c r="F92" s="14"/>
      <c r="G92" s="13"/>
      <c r="H92" s="12"/>
      <c r="I92" s="14"/>
      <c r="J92" s="14"/>
      <c r="K92" s="13"/>
      <c r="L92" s="9" t="str">
        <f aca="false">IF(V92=0,"",IF($G92="","",$E92&amp;" to "&amp;$H92&amp;IF($H92="Part-Time"," "&amp;N($I92)&amp;" hrs","")&amp;" on "&amp;TEXT($G92,"dd/mm/yyyy")&amp;IF($G92&gt;AsOfDate," (future)",IF(AA92=AC92,"",IF(AC92="None"," - STOPPED accruing",IF(AA92="None"," - now qualifying"," - pathway changed"))))))</f>
        <v/>
      </c>
      <c r="M92" s="9" t="str">
        <f aca="false">IF(V92=0,"",IF(W92=1,"Terminated",IF(AC92="None",IF(O92&gt;0,"No longer accruing","Not eligible - "&amp;IF(AND(AC92="None",IF(AH92&lt;&gt;"",$H92,$E92)="Part-Time"),"under "&amp;PT_MinHours&amp;" hrs",IF(AH92&lt;&gt;"",$H92,$E92))),IF(O92&gt;0,"Yes - accruing","Not yet - from "&amp;TEXT(Q92,"dd/mm/yyyy")))))</f>
        <v/>
      </c>
      <c r="N92" s="9" t="str">
        <f aca="false">IF(V92=0,"",IF(Y92&lt;0,"-",INT(Y92/12)&amp;"y "&amp;MOD(Y92,12)&amp;"m"))</f>
        <v/>
      </c>
      <c r="O92" s="10" t="str">
        <f aca="false">IF(V92=0,"",AD92+IF(AH92="",0,AF92-AE92))</f>
        <v/>
      </c>
      <c r="P92" s="10" t="str">
        <f aca="false">IF(V92=0,"",O92*HoursPerDay)</f>
        <v/>
      </c>
      <c r="Q92" s="11" t="str">
        <f aca="false">IF(V92=0,"",IF(OR(W92=1,AC92="None"),"",EDATE(($D92+N($J92)),AG92)))</f>
        <v/>
      </c>
      <c r="R92" s="10" t="str">
        <f aca="false">IF(V92=0,"",IF(NOT(EH_Ready),"",SUMIFS(INDEX(EH_Data,0,EH_ColBal),INDEX(EH_Data,0,EH_ColFirst),$A92,INDEX(EH_Data,0,EH_ColSur),$B92,INDEX(EH_Data,0,EH_ColCat),BonusCat)/IF(EHUnit="Hours",HoursPerDay,1)))</f>
        <v/>
      </c>
      <c r="S92" s="10" t="str">
        <f aca="false">IF(OR(V92=0,R92="",W92=1),"",O92-R92)</f>
        <v/>
      </c>
      <c r="T92" s="10" t="str">
        <f aca="false">IF(S92="","",S92*HoursPerDay)</f>
        <v/>
      </c>
      <c r="U92" s="9" t="str">
        <f aca="false">IF(V92=0,"",IF(W92=1,IF(N(R92)&gt;0,"TERMINATED - forfeit "&amp;TEXT(R92,"0.##")&amp;" days in EH","Terminated"),IF(NOT(EH_Ready),"Paste EH export (see Settings)",IF(S92&gt;0,"ADD "&amp;TEXT(S92,"0.##")&amp;" day(s) = "&amp;TEXT(T92,"0.##")&amp;" hrs in EH",IF(S92&lt;0,"CHECK - EH has "&amp;TEXT(-S92,"0.##")&amp;" days more than policy",IF(O92&gt;0,"OK","-"))))))</f>
        <v/>
      </c>
      <c r="V92" s="9" t="n">
        <f aca="false">IF(OR(LEN($A92&amp;$B92)=0,$D92=""),0,1)</f>
        <v>0</v>
      </c>
      <c r="W92" s="9" t="n">
        <f aca="false">IF(V92=0,0,IF(AND($K92&lt;&gt;"",$K92&lt;=AsOfDate),1,0))</f>
        <v>0</v>
      </c>
      <c r="X92" s="11" t="str">
        <f aca="false">IF(V92=0,"",IF($K92="",AsOfDate,MIN(AsOfDate,$K92)))</f>
        <v/>
      </c>
      <c r="Y92" s="9" t="str">
        <f aca="false">IF(V92=0,"",IF(X92&lt;($D92+N($J92)),-1,12*(YEAR(X92)-YEAR(($D92+N($J92))))+MONTH(X92)-MONTH(($D92+N($J92)))-IF(DAY(X92)&lt;MIN(DAY(($D92+N($J92))),DAY(EOMONTH(X92,0))),1,0)))</f>
        <v/>
      </c>
      <c r="Z92" s="9" t="str">
        <f aca="false">IF(V92=0,"",IF(AH92="",Y92,IF((AH92-1)&lt;($D92+N($J92)),-1,12*(YEAR((AH92-1))-YEAR(($D92+N($J92))))+MONTH((AH92-1))-MONTH(($D92+N($J92)))-IF(DAY((AH92-1))&lt;MIN(DAY(($D92+N($J92))),DAY(EOMONTH((AH92-1),0))),1,0))))</f>
        <v/>
      </c>
      <c r="AA92" s="9" t="str">
        <f aca="false">IF(V92=0,"",IF($E92="Full-Time","FT",IF(AND($E92="Part-Time",N($F92)&gt;=PT_MinHours),"PT","None")))</f>
        <v/>
      </c>
      <c r="AB92" s="9" t="str">
        <f aca="false">IF(V92=0,"",IF($H92="Full-Time","FT",IF(AND($H92="Part-Time",N($I92)&gt;=PT_MinHours),"PT","None")))</f>
        <v/>
      </c>
      <c r="AC92" s="9" t="str">
        <f aca="false">IF(V92=0,"",IF(AH92&lt;&gt;"",AB92,AA92))</f>
        <v/>
      </c>
      <c r="AD92" s="9" t="str">
        <f aca="false">IF(V92=0,"",IF(AA92="FT",IF(Z92&lt;FT_First,0,IF(Z92&lt;FT_Y5,1+INT((Z92-FT_First)/FT_Int1),FT_PreY5+FT_PerYear*INT((Z92-FT_Y5)/12)+FT_AnnivDays+INT(MOD(Z92-FT_Y5,12)/FT_Int2))),IF(AA92="PT",IF(Z92&lt;PT_First,0,1+INT((Z92-PT_First)/PT_Int)),0)))</f>
        <v/>
      </c>
      <c r="AE92" s="9" t="str">
        <f aca="false">IF(V92=0,"",IF(AB92="FT",IF(Z92&lt;FT_First,0,IF(Z92&lt;FT_Y5,1+INT((Z92-FT_First)/FT_Int1),FT_PreY5+FT_PerYear*INT((Z92-FT_Y5)/12)+FT_AnnivDays+INT(MOD(Z92-FT_Y5,12)/FT_Int2))),IF(AB92="PT",IF(Z92&lt;PT_First,0,1+INT((Z92-PT_First)/PT_Int)),0)))</f>
        <v/>
      </c>
      <c r="AF92" s="9" t="str">
        <f aca="false">IF(V92=0,"",IF(AB92="FT",IF(Y92&lt;FT_First,0,IF(Y92&lt;FT_Y5,1+INT((Y92-FT_First)/FT_Int1),FT_PreY5+FT_PerYear*INT((Y92-FT_Y5)/12)+FT_AnnivDays+INT(MOD(Y92-FT_Y5,12)/FT_Int2))),IF(AB92="PT",IF(Y92&lt;PT_First,0,1+INT((Y92-PT_First)/PT_Int)),0)))</f>
        <v/>
      </c>
      <c r="AG92" s="9" t="str">
        <f aca="false">IF(V92=0,"",IF(AC92="FT",IF(Y92&lt;FT_First,FT_First,IF(Y92&lt;FT_Y5,MIN(FT_Y5,FT_First+FT_Int1*(INT((Y92-FT_First)/FT_Int1)+1)),FT_Y5+12*INT((Y92-FT_Y5)/12)+FT_Int2*(INT(MOD(Y92-FT_Y5,12)/FT_Int2)+1))),IF(AC92="PT",IF(Y92&lt;PT_First,PT_First,PT_First+PT_Int*(INT((Y92-PT_First)/PT_Int)+1)),"")))</f>
        <v/>
      </c>
      <c r="AH92" s="11" t="str">
        <f aca="false">IF(V92=0,"",IF($G92="","",IF($G92&gt;X92,"",$G92)))</f>
        <v/>
      </c>
    </row>
    <row r="93" customFormat="false" ht="15" hidden="false" customHeight="false" outlineLevel="0" collapsed="false">
      <c r="A93" s="12"/>
      <c r="B93" s="12"/>
      <c r="C93" s="12"/>
      <c r="D93" s="13"/>
      <c r="E93" s="12"/>
      <c r="F93" s="14"/>
      <c r="G93" s="13"/>
      <c r="H93" s="12"/>
      <c r="I93" s="14"/>
      <c r="J93" s="14"/>
      <c r="K93" s="13"/>
      <c r="L93" s="9" t="str">
        <f aca="false">IF(V93=0,"",IF($G93="","",$E93&amp;" to "&amp;$H93&amp;IF($H93="Part-Time"," "&amp;N($I93)&amp;" hrs","")&amp;" on "&amp;TEXT($G93,"dd/mm/yyyy")&amp;IF($G93&gt;AsOfDate," (future)",IF(AA93=AC93,"",IF(AC93="None"," - STOPPED accruing",IF(AA93="None"," - now qualifying"," - pathway changed"))))))</f>
        <v/>
      </c>
      <c r="M93" s="9" t="str">
        <f aca="false">IF(V93=0,"",IF(W93=1,"Terminated",IF(AC93="None",IF(O93&gt;0,"No longer accruing","Not eligible - "&amp;IF(AND(AC93="None",IF(AH93&lt;&gt;"",$H93,$E93)="Part-Time"),"under "&amp;PT_MinHours&amp;" hrs",IF(AH93&lt;&gt;"",$H93,$E93))),IF(O93&gt;0,"Yes - accruing","Not yet - from "&amp;TEXT(Q93,"dd/mm/yyyy")))))</f>
        <v/>
      </c>
      <c r="N93" s="9" t="str">
        <f aca="false">IF(V93=0,"",IF(Y93&lt;0,"-",INT(Y93/12)&amp;"y "&amp;MOD(Y93,12)&amp;"m"))</f>
        <v/>
      </c>
      <c r="O93" s="10" t="str">
        <f aca="false">IF(V93=0,"",AD93+IF(AH93="",0,AF93-AE93))</f>
        <v/>
      </c>
      <c r="P93" s="10" t="str">
        <f aca="false">IF(V93=0,"",O93*HoursPerDay)</f>
        <v/>
      </c>
      <c r="Q93" s="11" t="str">
        <f aca="false">IF(V93=0,"",IF(OR(W93=1,AC93="None"),"",EDATE(($D93+N($J93)),AG93)))</f>
        <v/>
      </c>
      <c r="R93" s="10" t="str">
        <f aca="false">IF(V93=0,"",IF(NOT(EH_Ready),"",SUMIFS(INDEX(EH_Data,0,EH_ColBal),INDEX(EH_Data,0,EH_ColFirst),$A93,INDEX(EH_Data,0,EH_ColSur),$B93,INDEX(EH_Data,0,EH_ColCat),BonusCat)/IF(EHUnit="Hours",HoursPerDay,1)))</f>
        <v/>
      </c>
      <c r="S93" s="10" t="str">
        <f aca="false">IF(OR(V93=0,R93="",W93=1),"",O93-R93)</f>
        <v/>
      </c>
      <c r="T93" s="10" t="str">
        <f aca="false">IF(S93="","",S93*HoursPerDay)</f>
        <v/>
      </c>
      <c r="U93" s="9" t="str">
        <f aca="false">IF(V93=0,"",IF(W93=1,IF(N(R93)&gt;0,"TERMINATED - forfeit "&amp;TEXT(R93,"0.##")&amp;" days in EH","Terminated"),IF(NOT(EH_Ready),"Paste EH export (see Settings)",IF(S93&gt;0,"ADD "&amp;TEXT(S93,"0.##")&amp;" day(s) = "&amp;TEXT(T93,"0.##")&amp;" hrs in EH",IF(S93&lt;0,"CHECK - EH has "&amp;TEXT(-S93,"0.##")&amp;" days more than policy",IF(O93&gt;0,"OK","-"))))))</f>
        <v/>
      </c>
      <c r="V93" s="9" t="n">
        <f aca="false">IF(OR(LEN($A93&amp;$B93)=0,$D93=""),0,1)</f>
        <v>0</v>
      </c>
      <c r="W93" s="9" t="n">
        <f aca="false">IF(V93=0,0,IF(AND($K93&lt;&gt;"",$K93&lt;=AsOfDate),1,0))</f>
        <v>0</v>
      </c>
      <c r="X93" s="11" t="str">
        <f aca="false">IF(V93=0,"",IF($K93="",AsOfDate,MIN(AsOfDate,$K93)))</f>
        <v/>
      </c>
      <c r="Y93" s="9" t="str">
        <f aca="false">IF(V93=0,"",IF(X93&lt;($D93+N($J93)),-1,12*(YEAR(X93)-YEAR(($D93+N($J93))))+MONTH(X93)-MONTH(($D93+N($J93)))-IF(DAY(X93)&lt;MIN(DAY(($D93+N($J93))),DAY(EOMONTH(X93,0))),1,0)))</f>
        <v/>
      </c>
      <c r="Z93" s="9" t="str">
        <f aca="false">IF(V93=0,"",IF(AH93="",Y93,IF((AH93-1)&lt;($D93+N($J93)),-1,12*(YEAR((AH93-1))-YEAR(($D93+N($J93))))+MONTH((AH93-1))-MONTH(($D93+N($J93)))-IF(DAY((AH93-1))&lt;MIN(DAY(($D93+N($J93))),DAY(EOMONTH((AH93-1),0))),1,0))))</f>
        <v/>
      </c>
      <c r="AA93" s="9" t="str">
        <f aca="false">IF(V93=0,"",IF($E93="Full-Time","FT",IF(AND($E93="Part-Time",N($F93)&gt;=PT_MinHours),"PT","None")))</f>
        <v/>
      </c>
      <c r="AB93" s="9" t="str">
        <f aca="false">IF(V93=0,"",IF($H93="Full-Time","FT",IF(AND($H93="Part-Time",N($I93)&gt;=PT_MinHours),"PT","None")))</f>
        <v/>
      </c>
      <c r="AC93" s="9" t="str">
        <f aca="false">IF(V93=0,"",IF(AH93&lt;&gt;"",AB93,AA93))</f>
        <v/>
      </c>
      <c r="AD93" s="9" t="str">
        <f aca="false">IF(V93=0,"",IF(AA93="FT",IF(Z93&lt;FT_First,0,IF(Z93&lt;FT_Y5,1+INT((Z93-FT_First)/FT_Int1),FT_PreY5+FT_PerYear*INT((Z93-FT_Y5)/12)+FT_AnnivDays+INT(MOD(Z93-FT_Y5,12)/FT_Int2))),IF(AA93="PT",IF(Z93&lt;PT_First,0,1+INT((Z93-PT_First)/PT_Int)),0)))</f>
        <v/>
      </c>
      <c r="AE93" s="9" t="str">
        <f aca="false">IF(V93=0,"",IF(AB93="FT",IF(Z93&lt;FT_First,0,IF(Z93&lt;FT_Y5,1+INT((Z93-FT_First)/FT_Int1),FT_PreY5+FT_PerYear*INT((Z93-FT_Y5)/12)+FT_AnnivDays+INT(MOD(Z93-FT_Y5,12)/FT_Int2))),IF(AB93="PT",IF(Z93&lt;PT_First,0,1+INT((Z93-PT_First)/PT_Int)),0)))</f>
        <v/>
      </c>
      <c r="AF93" s="9" t="str">
        <f aca="false">IF(V93=0,"",IF(AB93="FT",IF(Y93&lt;FT_First,0,IF(Y93&lt;FT_Y5,1+INT((Y93-FT_First)/FT_Int1),FT_PreY5+FT_PerYear*INT((Y93-FT_Y5)/12)+FT_AnnivDays+INT(MOD(Y93-FT_Y5,12)/FT_Int2))),IF(AB93="PT",IF(Y93&lt;PT_First,0,1+INT((Y93-PT_First)/PT_Int)),0)))</f>
        <v/>
      </c>
      <c r="AG93" s="9" t="str">
        <f aca="false">IF(V93=0,"",IF(AC93="FT",IF(Y93&lt;FT_First,FT_First,IF(Y93&lt;FT_Y5,MIN(FT_Y5,FT_First+FT_Int1*(INT((Y93-FT_First)/FT_Int1)+1)),FT_Y5+12*INT((Y93-FT_Y5)/12)+FT_Int2*(INT(MOD(Y93-FT_Y5,12)/FT_Int2)+1))),IF(AC93="PT",IF(Y93&lt;PT_First,PT_First,PT_First+PT_Int*(INT((Y93-PT_First)/PT_Int)+1)),"")))</f>
        <v/>
      </c>
      <c r="AH93" s="11" t="str">
        <f aca="false">IF(V93=0,"",IF($G93="","",IF($G93&gt;X93,"",$G93)))</f>
        <v/>
      </c>
    </row>
    <row r="94" customFormat="false" ht="15" hidden="false" customHeight="false" outlineLevel="0" collapsed="false">
      <c r="A94" s="12"/>
      <c r="B94" s="12"/>
      <c r="C94" s="12"/>
      <c r="D94" s="13"/>
      <c r="E94" s="12"/>
      <c r="F94" s="14"/>
      <c r="G94" s="13"/>
      <c r="H94" s="12"/>
      <c r="I94" s="14"/>
      <c r="J94" s="14"/>
      <c r="K94" s="13"/>
      <c r="L94" s="9" t="str">
        <f aca="false">IF(V94=0,"",IF($G94="","",$E94&amp;" to "&amp;$H94&amp;IF($H94="Part-Time"," "&amp;N($I94)&amp;" hrs","")&amp;" on "&amp;TEXT($G94,"dd/mm/yyyy")&amp;IF($G94&gt;AsOfDate," (future)",IF(AA94=AC94,"",IF(AC94="None"," - STOPPED accruing",IF(AA94="None"," - now qualifying"," - pathway changed"))))))</f>
        <v/>
      </c>
      <c r="M94" s="9" t="str">
        <f aca="false">IF(V94=0,"",IF(W94=1,"Terminated",IF(AC94="None",IF(O94&gt;0,"No longer accruing","Not eligible - "&amp;IF(AND(AC94="None",IF(AH94&lt;&gt;"",$H94,$E94)="Part-Time"),"under "&amp;PT_MinHours&amp;" hrs",IF(AH94&lt;&gt;"",$H94,$E94))),IF(O94&gt;0,"Yes - accruing","Not yet - from "&amp;TEXT(Q94,"dd/mm/yyyy")))))</f>
        <v/>
      </c>
      <c r="N94" s="9" t="str">
        <f aca="false">IF(V94=0,"",IF(Y94&lt;0,"-",INT(Y94/12)&amp;"y "&amp;MOD(Y94,12)&amp;"m"))</f>
        <v/>
      </c>
      <c r="O94" s="10" t="str">
        <f aca="false">IF(V94=0,"",AD94+IF(AH94="",0,AF94-AE94))</f>
        <v/>
      </c>
      <c r="P94" s="10" t="str">
        <f aca="false">IF(V94=0,"",O94*HoursPerDay)</f>
        <v/>
      </c>
      <c r="Q94" s="11" t="str">
        <f aca="false">IF(V94=0,"",IF(OR(W94=1,AC94="None"),"",EDATE(($D94+N($J94)),AG94)))</f>
        <v/>
      </c>
      <c r="R94" s="10" t="str">
        <f aca="false">IF(V94=0,"",IF(NOT(EH_Ready),"",SUMIFS(INDEX(EH_Data,0,EH_ColBal),INDEX(EH_Data,0,EH_ColFirst),$A94,INDEX(EH_Data,0,EH_ColSur),$B94,INDEX(EH_Data,0,EH_ColCat),BonusCat)/IF(EHUnit="Hours",HoursPerDay,1)))</f>
        <v/>
      </c>
      <c r="S94" s="10" t="str">
        <f aca="false">IF(OR(V94=0,R94="",W94=1),"",O94-R94)</f>
        <v/>
      </c>
      <c r="T94" s="10" t="str">
        <f aca="false">IF(S94="","",S94*HoursPerDay)</f>
        <v/>
      </c>
      <c r="U94" s="9" t="str">
        <f aca="false">IF(V94=0,"",IF(W94=1,IF(N(R94)&gt;0,"TERMINATED - forfeit "&amp;TEXT(R94,"0.##")&amp;" days in EH","Terminated"),IF(NOT(EH_Ready),"Paste EH export (see Settings)",IF(S94&gt;0,"ADD "&amp;TEXT(S94,"0.##")&amp;" day(s) = "&amp;TEXT(T94,"0.##")&amp;" hrs in EH",IF(S94&lt;0,"CHECK - EH has "&amp;TEXT(-S94,"0.##")&amp;" days more than policy",IF(O94&gt;0,"OK","-"))))))</f>
        <v/>
      </c>
      <c r="V94" s="9" t="n">
        <f aca="false">IF(OR(LEN($A94&amp;$B94)=0,$D94=""),0,1)</f>
        <v>0</v>
      </c>
      <c r="W94" s="9" t="n">
        <f aca="false">IF(V94=0,0,IF(AND($K94&lt;&gt;"",$K94&lt;=AsOfDate),1,0))</f>
        <v>0</v>
      </c>
      <c r="X94" s="11" t="str">
        <f aca="false">IF(V94=0,"",IF($K94="",AsOfDate,MIN(AsOfDate,$K94)))</f>
        <v/>
      </c>
      <c r="Y94" s="9" t="str">
        <f aca="false">IF(V94=0,"",IF(X94&lt;($D94+N($J94)),-1,12*(YEAR(X94)-YEAR(($D94+N($J94))))+MONTH(X94)-MONTH(($D94+N($J94)))-IF(DAY(X94)&lt;MIN(DAY(($D94+N($J94))),DAY(EOMONTH(X94,0))),1,0)))</f>
        <v/>
      </c>
      <c r="Z94" s="9" t="str">
        <f aca="false">IF(V94=0,"",IF(AH94="",Y94,IF((AH94-1)&lt;($D94+N($J94)),-1,12*(YEAR((AH94-1))-YEAR(($D94+N($J94))))+MONTH((AH94-1))-MONTH(($D94+N($J94)))-IF(DAY((AH94-1))&lt;MIN(DAY(($D94+N($J94))),DAY(EOMONTH((AH94-1),0))),1,0))))</f>
        <v/>
      </c>
      <c r="AA94" s="9" t="str">
        <f aca="false">IF(V94=0,"",IF($E94="Full-Time","FT",IF(AND($E94="Part-Time",N($F94)&gt;=PT_MinHours),"PT","None")))</f>
        <v/>
      </c>
      <c r="AB94" s="9" t="str">
        <f aca="false">IF(V94=0,"",IF($H94="Full-Time","FT",IF(AND($H94="Part-Time",N($I94)&gt;=PT_MinHours),"PT","None")))</f>
        <v/>
      </c>
      <c r="AC94" s="9" t="str">
        <f aca="false">IF(V94=0,"",IF(AH94&lt;&gt;"",AB94,AA94))</f>
        <v/>
      </c>
      <c r="AD94" s="9" t="str">
        <f aca="false">IF(V94=0,"",IF(AA94="FT",IF(Z94&lt;FT_First,0,IF(Z94&lt;FT_Y5,1+INT((Z94-FT_First)/FT_Int1),FT_PreY5+FT_PerYear*INT((Z94-FT_Y5)/12)+FT_AnnivDays+INT(MOD(Z94-FT_Y5,12)/FT_Int2))),IF(AA94="PT",IF(Z94&lt;PT_First,0,1+INT((Z94-PT_First)/PT_Int)),0)))</f>
        <v/>
      </c>
      <c r="AE94" s="9" t="str">
        <f aca="false">IF(V94=0,"",IF(AB94="FT",IF(Z94&lt;FT_First,0,IF(Z94&lt;FT_Y5,1+INT((Z94-FT_First)/FT_Int1),FT_PreY5+FT_PerYear*INT((Z94-FT_Y5)/12)+FT_AnnivDays+INT(MOD(Z94-FT_Y5,12)/FT_Int2))),IF(AB94="PT",IF(Z94&lt;PT_First,0,1+INT((Z94-PT_First)/PT_Int)),0)))</f>
        <v/>
      </c>
      <c r="AF94" s="9" t="str">
        <f aca="false">IF(V94=0,"",IF(AB94="FT",IF(Y94&lt;FT_First,0,IF(Y94&lt;FT_Y5,1+INT((Y94-FT_First)/FT_Int1),FT_PreY5+FT_PerYear*INT((Y94-FT_Y5)/12)+FT_AnnivDays+INT(MOD(Y94-FT_Y5,12)/FT_Int2))),IF(AB94="PT",IF(Y94&lt;PT_First,0,1+INT((Y94-PT_First)/PT_Int)),0)))</f>
        <v/>
      </c>
      <c r="AG94" s="9" t="str">
        <f aca="false">IF(V94=0,"",IF(AC94="FT",IF(Y94&lt;FT_First,FT_First,IF(Y94&lt;FT_Y5,MIN(FT_Y5,FT_First+FT_Int1*(INT((Y94-FT_First)/FT_Int1)+1)),FT_Y5+12*INT((Y94-FT_Y5)/12)+FT_Int2*(INT(MOD(Y94-FT_Y5,12)/FT_Int2)+1))),IF(AC94="PT",IF(Y94&lt;PT_First,PT_First,PT_First+PT_Int*(INT((Y94-PT_First)/PT_Int)+1)),"")))</f>
        <v/>
      </c>
      <c r="AH94" s="11" t="str">
        <f aca="false">IF(V94=0,"",IF($G94="","",IF($G94&gt;X94,"",$G94)))</f>
        <v/>
      </c>
    </row>
    <row r="95" customFormat="false" ht="15" hidden="false" customHeight="false" outlineLevel="0" collapsed="false">
      <c r="A95" s="12"/>
      <c r="B95" s="12"/>
      <c r="C95" s="12"/>
      <c r="D95" s="13"/>
      <c r="E95" s="12"/>
      <c r="F95" s="14"/>
      <c r="G95" s="13"/>
      <c r="H95" s="12"/>
      <c r="I95" s="14"/>
      <c r="J95" s="14"/>
      <c r="K95" s="13"/>
      <c r="L95" s="9" t="str">
        <f aca="false">IF(V95=0,"",IF($G95="","",$E95&amp;" to "&amp;$H95&amp;IF($H95="Part-Time"," "&amp;N($I95)&amp;" hrs","")&amp;" on "&amp;TEXT($G95,"dd/mm/yyyy")&amp;IF($G95&gt;AsOfDate," (future)",IF(AA95=AC95,"",IF(AC95="None"," - STOPPED accruing",IF(AA95="None"," - now qualifying"," - pathway changed"))))))</f>
        <v/>
      </c>
      <c r="M95" s="9" t="str">
        <f aca="false">IF(V95=0,"",IF(W95=1,"Terminated",IF(AC95="None",IF(O95&gt;0,"No longer accruing","Not eligible - "&amp;IF(AND(AC95="None",IF(AH95&lt;&gt;"",$H95,$E95)="Part-Time"),"under "&amp;PT_MinHours&amp;" hrs",IF(AH95&lt;&gt;"",$H95,$E95))),IF(O95&gt;0,"Yes - accruing","Not yet - from "&amp;TEXT(Q95,"dd/mm/yyyy")))))</f>
        <v/>
      </c>
      <c r="N95" s="9" t="str">
        <f aca="false">IF(V95=0,"",IF(Y95&lt;0,"-",INT(Y95/12)&amp;"y "&amp;MOD(Y95,12)&amp;"m"))</f>
        <v/>
      </c>
      <c r="O95" s="10" t="str">
        <f aca="false">IF(V95=0,"",AD95+IF(AH95="",0,AF95-AE95))</f>
        <v/>
      </c>
      <c r="P95" s="10" t="str">
        <f aca="false">IF(V95=0,"",O95*HoursPerDay)</f>
        <v/>
      </c>
      <c r="Q95" s="11" t="str">
        <f aca="false">IF(V95=0,"",IF(OR(W95=1,AC95="None"),"",EDATE(($D95+N($J95)),AG95)))</f>
        <v/>
      </c>
      <c r="R95" s="10" t="str">
        <f aca="false">IF(V95=0,"",IF(NOT(EH_Ready),"",SUMIFS(INDEX(EH_Data,0,EH_ColBal),INDEX(EH_Data,0,EH_ColFirst),$A95,INDEX(EH_Data,0,EH_ColSur),$B95,INDEX(EH_Data,0,EH_ColCat),BonusCat)/IF(EHUnit="Hours",HoursPerDay,1)))</f>
        <v/>
      </c>
      <c r="S95" s="10" t="str">
        <f aca="false">IF(OR(V95=0,R95="",W95=1),"",O95-R95)</f>
        <v/>
      </c>
      <c r="T95" s="10" t="str">
        <f aca="false">IF(S95="","",S95*HoursPerDay)</f>
        <v/>
      </c>
      <c r="U95" s="9" t="str">
        <f aca="false">IF(V95=0,"",IF(W95=1,IF(N(R95)&gt;0,"TERMINATED - forfeit "&amp;TEXT(R95,"0.##")&amp;" days in EH","Terminated"),IF(NOT(EH_Ready),"Paste EH export (see Settings)",IF(S95&gt;0,"ADD "&amp;TEXT(S95,"0.##")&amp;" day(s) = "&amp;TEXT(T95,"0.##")&amp;" hrs in EH",IF(S95&lt;0,"CHECK - EH has "&amp;TEXT(-S95,"0.##")&amp;" days more than policy",IF(O95&gt;0,"OK","-"))))))</f>
        <v/>
      </c>
      <c r="V95" s="9" t="n">
        <f aca="false">IF(OR(LEN($A95&amp;$B95)=0,$D95=""),0,1)</f>
        <v>0</v>
      </c>
      <c r="W95" s="9" t="n">
        <f aca="false">IF(V95=0,0,IF(AND($K95&lt;&gt;"",$K95&lt;=AsOfDate),1,0))</f>
        <v>0</v>
      </c>
      <c r="X95" s="11" t="str">
        <f aca="false">IF(V95=0,"",IF($K95="",AsOfDate,MIN(AsOfDate,$K95)))</f>
        <v/>
      </c>
      <c r="Y95" s="9" t="str">
        <f aca="false">IF(V95=0,"",IF(X95&lt;($D95+N($J95)),-1,12*(YEAR(X95)-YEAR(($D95+N($J95))))+MONTH(X95)-MONTH(($D95+N($J95)))-IF(DAY(X95)&lt;MIN(DAY(($D95+N($J95))),DAY(EOMONTH(X95,0))),1,0)))</f>
        <v/>
      </c>
      <c r="Z95" s="9" t="str">
        <f aca="false">IF(V95=0,"",IF(AH95="",Y95,IF((AH95-1)&lt;($D95+N($J95)),-1,12*(YEAR((AH95-1))-YEAR(($D95+N($J95))))+MONTH((AH95-1))-MONTH(($D95+N($J95)))-IF(DAY((AH95-1))&lt;MIN(DAY(($D95+N($J95))),DAY(EOMONTH((AH95-1),0))),1,0))))</f>
        <v/>
      </c>
      <c r="AA95" s="9" t="str">
        <f aca="false">IF(V95=0,"",IF($E95="Full-Time","FT",IF(AND($E95="Part-Time",N($F95)&gt;=PT_MinHours),"PT","None")))</f>
        <v/>
      </c>
      <c r="AB95" s="9" t="str">
        <f aca="false">IF(V95=0,"",IF($H95="Full-Time","FT",IF(AND($H95="Part-Time",N($I95)&gt;=PT_MinHours),"PT","None")))</f>
        <v/>
      </c>
      <c r="AC95" s="9" t="str">
        <f aca="false">IF(V95=0,"",IF(AH95&lt;&gt;"",AB95,AA95))</f>
        <v/>
      </c>
      <c r="AD95" s="9" t="str">
        <f aca="false">IF(V95=0,"",IF(AA95="FT",IF(Z95&lt;FT_First,0,IF(Z95&lt;FT_Y5,1+INT((Z95-FT_First)/FT_Int1),FT_PreY5+FT_PerYear*INT((Z95-FT_Y5)/12)+FT_AnnivDays+INT(MOD(Z95-FT_Y5,12)/FT_Int2))),IF(AA95="PT",IF(Z95&lt;PT_First,0,1+INT((Z95-PT_First)/PT_Int)),0)))</f>
        <v/>
      </c>
      <c r="AE95" s="9" t="str">
        <f aca="false">IF(V95=0,"",IF(AB95="FT",IF(Z95&lt;FT_First,0,IF(Z95&lt;FT_Y5,1+INT((Z95-FT_First)/FT_Int1),FT_PreY5+FT_PerYear*INT((Z95-FT_Y5)/12)+FT_AnnivDays+INT(MOD(Z95-FT_Y5,12)/FT_Int2))),IF(AB95="PT",IF(Z95&lt;PT_First,0,1+INT((Z95-PT_First)/PT_Int)),0)))</f>
        <v/>
      </c>
      <c r="AF95" s="9" t="str">
        <f aca="false">IF(V95=0,"",IF(AB95="FT",IF(Y95&lt;FT_First,0,IF(Y95&lt;FT_Y5,1+INT((Y95-FT_First)/FT_Int1),FT_PreY5+FT_PerYear*INT((Y95-FT_Y5)/12)+FT_AnnivDays+INT(MOD(Y95-FT_Y5,12)/FT_Int2))),IF(AB95="PT",IF(Y95&lt;PT_First,0,1+INT((Y95-PT_First)/PT_Int)),0)))</f>
        <v/>
      </c>
      <c r="AG95" s="9" t="str">
        <f aca="false">IF(V95=0,"",IF(AC95="FT",IF(Y95&lt;FT_First,FT_First,IF(Y95&lt;FT_Y5,MIN(FT_Y5,FT_First+FT_Int1*(INT((Y95-FT_First)/FT_Int1)+1)),FT_Y5+12*INT((Y95-FT_Y5)/12)+FT_Int2*(INT(MOD(Y95-FT_Y5,12)/FT_Int2)+1))),IF(AC95="PT",IF(Y95&lt;PT_First,PT_First,PT_First+PT_Int*(INT((Y95-PT_First)/PT_Int)+1)),"")))</f>
        <v/>
      </c>
      <c r="AH95" s="11" t="str">
        <f aca="false">IF(V95=0,"",IF($G95="","",IF($G95&gt;X95,"",$G95)))</f>
        <v/>
      </c>
    </row>
    <row r="96" customFormat="false" ht="15" hidden="false" customHeight="false" outlineLevel="0" collapsed="false">
      <c r="A96" s="12"/>
      <c r="B96" s="12"/>
      <c r="C96" s="12"/>
      <c r="D96" s="13"/>
      <c r="E96" s="12"/>
      <c r="F96" s="14"/>
      <c r="G96" s="13"/>
      <c r="H96" s="12"/>
      <c r="I96" s="14"/>
      <c r="J96" s="14"/>
      <c r="K96" s="13"/>
      <c r="L96" s="9" t="str">
        <f aca="false">IF(V96=0,"",IF($G96="","",$E96&amp;" to "&amp;$H96&amp;IF($H96="Part-Time"," "&amp;N($I96)&amp;" hrs","")&amp;" on "&amp;TEXT($G96,"dd/mm/yyyy")&amp;IF($G96&gt;AsOfDate," (future)",IF(AA96=AC96,"",IF(AC96="None"," - STOPPED accruing",IF(AA96="None"," - now qualifying"," - pathway changed"))))))</f>
        <v/>
      </c>
      <c r="M96" s="9" t="str">
        <f aca="false">IF(V96=0,"",IF(W96=1,"Terminated",IF(AC96="None",IF(O96&gt;0,"No longer accruing","Not eligible - "&amp;IF(AND(AC96="None",IF(AH96&lt;&gt;"",$H96,$E96)="Part-Time"),"under "&amp;PT_MinHours&amp;" hrs",IF(AH96&lt;&gt;"",$H96,$E96))),IF(O96&gt;0,"Yes - accruing","Not yet - from "&amp;TEXT(Q96,"dd/mm/yyyy")))))</f>
        <v/>
      </c>
      <c r="N96" s="9" t="str">
        <f aca="false">IF(V96=0,"",IF(Y96&lt;0,"-",INT(Y96/12)&amp;"y "&amp;MOD(Y96,12)&amp;"m"))</f>
        <v/>
      </c>
      <c r="O96" s="10" t="str">
        <f aca="false">IF(V96=0,"",AD96+IF(AH96="",0,AF96-AE96))</f>
        <v/>
      </c>
      <c r="P96" s="10" t="str">
        <f aca="false">IF(V96=0,"",O96*HoursPerDay)</f>
        <v/>
      </c>
      <c r="Q96" s="11" t="str">
        <f aca="false">IF(V96=0,"",IF(OR(W96=1,AC96="None"),"",EDATE(($D96+N($J96)),AG96)))</f>
        <v/>
      </c>
      <c r="R96" s="10" t="str">
        <f aca="false">IF(V96=0,"",IF(NOT(EH_Ready),"",SUMIFS(INDEX(EH_Data,0,EH_ColBal),INDEX(EH_Data,0,EH_ColFirst),$A96,INDEX(EH_Data,0,EH_ColSur),$B96,INDEX(EH_Data,0,EH_ColCat),BonusCat)/IF(EHUnit="Hours",HoursPerDay,1)))</f>
        <v/>
      </c>
      <c r="S96" s="10" t="str">
        <f aca="false">IF(OR(V96=0,R96="",W96=1),"",O96-R96)</f>
        <v/>
      </c>
      <c r="T96" s="10" t="str">
        <f aca="false">IF(S96="","",S96*HoursPerDay)</f>
        <v/>
      </c>
      <c r="U96" s="9" t="str">
        <f aca="false">IF(V96=0,"",IF(W96=1,IF(N(R96)&gt;0,"TERMINATED - forfeit "&amp;TEXT(R96,"0.##")&amp;" days in EH","Terminated"),IF(NOT(EH_Ready),"Paste EH export (see Settings)",IF(S96&gt;0,"ADD "&amp;TEXT(S96,"0.##")&amp;" day(s) = "&amp;TEXT(T96,"0.##")&amp;" hrs in EH",IF(S96&lt;0,"CHECK - EH has "&amp;TEXT(-S96,"0.##")&amp;" days more than policy",IF(O96&gt;0,"OK","-"))))))</f>
        <v/>
      </c>
      <c r="V96" s="9" t="n">
        <f aca="false">IF(OR(LEN($A96&amp;$B96)=0,$D96=""),0,1)</f>
        <v>0</v>
      </c>
      <c r="W96" s="9" t="n">
        <f aca="false">IF(V96=0,0,IF(AND($K96&lt;&gt;"",$K96&lt;=AsOfDate),1,0))</f>
        <v>0</v>
      </c>
      <c r="X96" s="11" t="str">
        <f aca="false">IF(V96=0,"",IF($K96="",AsOfDate,MIN(AsOfDate,$K96)))</f>
        <v/>
      </c>
      <c r="Y96" s="9" t="str">
        <f aca="false">IF(V96=0,"",IF(X96&lt;($D96+N($J96)),-1,12*(YEAR(X96)-YEAR(($D96+N($J96))))+MONTH(X96)-MONTH(($D96+N($J96)))-IF(DAY(X96)&lt;MIN(DAY(($D96+N($J96))),DAY(EOMONTH(X96,0))),1,0)))</f>
        <v/>
      </c>
      <c r="Z96" s="9" t="str">
        <f aca="false">IF(V96=0,"",IF(AH96="",Y96,IF((AH96-1)&lt;($D96+N($J96)),-1,12*(YEAR((AH96-1))-YEAR(($D96+N($J96))))+MONTH((AH96-1))-MONTH(($D96+N($J96)))-IF(DAY((AH96-1))&lt;MIN(DAY(($D96+N($J96))),DAY(EOMONTH((AH96-1),0))),1,0))))</f>
        <v/>
      </c>
      <c r="AA96" s="9" t="str">
        <f aca="false">IF(V96=0,"",IF($E96="Full-Time","FT",IF(AND($E96="Part-Time",N($F96)&gt;=PT_MinHours),"PT","None")))</f>
        <v/>
      </c>
      <c r="AB96" s="9" t="str">
        <f aca="false">IF(V96=0,"",IF($H96="Full-Time","FT",IF(AND($H96="Part-Time",N($I96)&gt;=PT_MinHours),"PT","None")))</f>
        <v/>
      </c>
      <c r="AC96" s="9" t="str">
        <f aca="false">IF(V96=0,"",IF(AH96&lt;&gt;"",AB96,AA96))</f>
        <v/>
      </c>
      <c r="AD96" s="9" t="str">
        <f aca="false">IF(V96=0,"",IF(AA96="FT",IF(Z96&lt;FT_First,0,IF(Z96&lt;FT_Y5,1+INT((Z96-FT_First)/FT_Int1),FT_PreY5+FT_PerYear*INT((Z96-FT_Y5)/12)+FT_AnnivDays+INT(MOD(Z96-FT_Y5,12)/FT_Int2))),IF(AA96="PT",IF(Z96&lt;PT_First,0,1+INT((Z96-PT_First)/PT_Int)),0)))</f>
        <v/>
      </c>
      <c r="AE96" s="9" t="str">
        <f aca="false">IF(V96=0,"",IF(AB96="FT",IF(Z96&lt;FT_First,0,IF(Z96&lt;FT_Y5,1+INT((Z96-FT_First)/FT_Int1),FT_PreY5+FT_PerYear*INT((Z96-FT_Y5)/12)+FT_AnnivDays+INT(MOD(Z96-FT_Y5,12)/FT_Int2))),IF(AB96="PT",IF(Z96&lt;PT_First,0,1+INT((Z96-PT_First)/PT_Int)),0)))</f>
        <v/>
      </c>
      <c r="AF96" s="9" t="str">
        <f aca="false">IF(V96=0,"",IF(AB96="FT",IF(Y96&lt;FT_First,0,IF(Y96&lt;FT_Y5,1+INT((Y96-FT_First)/FT_Int1),FT_PreY5+FT_PerYear*INT((Y96-FT_Y5)/12)+FT_AnnivDays+INT(MOD(Y96-FT_Y5,12)/FT_Int2))),IF(AB96="PT",IF(Y96&lt;PT_First,0,1+INT((Y96-PT_First)/PT_Int)),0)))</f>
        <v/>
      </c>
      <c r="AG96" s="9" t="str">
        <f aca="false">IF(V96=0,"",IF(AC96="FT",IF(Y96&lt;FT_First,FT_First,IF(Y96&lt;FT_Y5,MIN(FT_Y5,FT_First+FT_Int1*(INT((Y96-FT_First)/FT_Int1)+1)),FT_Y5+12*INT((Y96-FT_Y5)/12)+FT_Int2*(INT(MOD(Y96-FT_Y5,12)/FT_Int2)+1))),IF(AC96="PT",IF(Y96&lt;PT_First,PT_First,PT_First+PT_Int*(INT((Y96-PT_First)/PT_Int)+1)),"")))</f>
        <v/>
      </c>
      <c r="AH96" s="11" t="str">
        <f aca="false">IF(V96=0,"",IF($G96="","",IF($G96&gt;X96,"",$G96)))</f>
        <v/>
      </c>
    </row>
    <row r="97" customFormat="false" ht="15" hidden="false" customHeight="false" outlineLevel="0" collapsed="false">
      <c r="A97" s="12"/>
      <c r="B97" s="12"/>
      <c r="C97" s="12"/>
      <c r="D97" s="13"/>
      <c r="E97" s="12"/>
      <c r="F97" s="14"/>
      <c r="G97" s="13"/>
      <c r="H97" s="12"/>
      <c r="I97" s="14"/>
      <c r="J97" s="14"/>
      <c r="K97" s="13"/>
      <c r="L97" s="9" t="str">
        <f aca="false">IF(V97=0,"",IF($G97="","",$E97&amp;" to "&amp;$H97&amp;IF($H97="Part-Time"," "&amp;N($I97)&amp;" hrs","")&amp;" on "&amp;TEXT($G97,"dd/mm/yyyy")&amp;IF($G97&gt;AsOfDate," (future)",IF(AA97=AC97,"",IF(AC97="None"," - STOPPED accruing",IF(AA97="None"," - now qualifying"," - pathway changed"))))))</f>
        <v/>
      </c>
      <c r="M97" s="9" t="str">
        <f aca="false">IF(V97=0,"",IF(W97=1,"Terminated",IF(AC97="None",IF(O97&gt;0,"No longer accruing","Not eligible - "&amp;IF(AND(AC97="None",IF(AH97&lt;&gt;"",$H97,$E97)="Part-Time"),"under "&amp;PT_MinHours&amp;" hrs",IF(AH97&lt;&gt;"",$H97,$E97))),IF(O97&gt;0,"Yes - accruing","Not yet - from "&amp;TEXT(Q97,"dd/mm/yyyy")))))</f>
        <v/>
      </c>
      <c r="N97" s="9" t="str">
        <f aca="false">IF(V97=0,"",IF(Y97&lt;0,"-",INT(Y97/12)&amp;"y "&amp;MOD(Y97,12)&amp;"m"))</f>
        <v/>
      </c>
      <c r="O97" s="10" t="str">
        <f aca="false">IF(V97=0,"",AD97+IF(AH97="",0,AF97-AE97))</f>
        <v/>
      </c>
      <c r="P97" s="10" t="str">
        <f aca="false">IF(V97=0,"",O97*HoursPerDay)</f>
        <v/>
      </c>
      <c r="Q97" s="11" t="str">
        <f aca="false">IF(V97=0,"",IF(OR(W97=1,AC97="None"),"",EDATE(($D97+N($J97)),AG97)))</f>
        <v/>
      </c>
      <c r="R97" s="10" t="str">
        <f aca="false">IF(V97=0,"",IF(NOT(EH_Ready),"",SUMIFS(INDEX(EH_Data,0,EH_ColBal),INDEX(EH_Data,0,EH_ColFirst),$A97,INDEX(EH_Data,0,EH_ColSur),$B97,INDEX(EH_Data,0,EH_ColCat),BonusCat)/IF(EHUnit="Hours",HoursPerDay,1)))</f>
        <v/>
      </c>
      <c r="S97" s="10" t="str">
        <f aca="false">IF(OR(V97=0,R97="",W97=1),"",O97-R97)</f>
        <v/>
      </c>
      <c r="T97" s="10" t="str">
        <f aca="false">IF(S97="","",S97*HoursPerDay)</f>
        <v/>
      </c>
      <c r="U97" s="9" t="str">
        <f aca="false">IF(V97=0,"",IF(W97=1,IF(N(R97)&gt;0,"TERMINATED - forfeit "&amp;TEXT(R97,"0.##")&amp;" days in EH","Terminated"),IF(NOT(EH_Ready),"Paste EH export (see Settings)",IF(S97&gt;0,"ADD "&amp;TEXT(S97,"0.##")&amp;" day(s) = "&amp;TEXT(T97,"0.##")&amp;" hrs in EH",IF(S97&lt;0,"CHECK - EH has "&amp;TEXT(-S97,"0.##")&amp;" days more than policy",IF(O97&gt;0,"OK","-"))))))</f>
        <v/>
      </c>
      <c r="V97" s="9" t="n">
        <f aca="false">IF(OR(LEN($A97&amp;$B97)=0,$D97=""),0,1)</f>
        <v>0</v>
      </c>
      <c r="W97" s="9" t="n">
        <f aca="false">IF(V97=0,0,IF(AND($K97&lt;&gt;"",$K97&lt;=AsOfDate),1,0))</f>
        <v>0</v>
      </c>
      <c r="X97" s="11" t="str">
        <f aca="false">IF(V97=0,"",IF($K97="",AsOfDate,MIN(AsOfDate,$K97)))</f>
        <v/>
      </c>
      <c r="Y97" s="9" t="str">
        <f aca="false">IF(V97=0,"",IF(X97&lt;($D97+N($J97)),-1,12*(YEAR(X97)-YEAR(($D97+N($J97))))+MONTH(X97)-MONTH(($D97+N($J97)))-IF(DAY(X97)&lt;MIN(DAY(($D97+N($J97))),DAY(EOMONTH(X97,0))),1,0)))</f>
        <v/>
      </c>
      <c r="Z97" s="9" t="str">
        <f aca="false">IF(V97=0,"",IF(AH97="",Y97,IF((AH97-1)&lt;($D97+N($J97)),-1,12*(YEAR((AH97-1))-YEAR(($D97+N($J97))))+MONTH((AH97-1))-MONTH(($D97+N($J97)))-IF(DAY((AH97-1))&lt;MIN(DAY(($D97+N($J97))),DAY(EOMONTH((AH97-1),0))),1,0))))</f>
        <v/>
      </c>
      <c r="AA97" s="9" t="str">
        <f aca="false">IF(V97=0,"",IF($E97="Full-Time","FT",IF(AND($E97="Part-Time",N($F97)&gt;=PT_MinHours),"PT","None")))</f>
        <v/>
      </c>
      <c r="AB97" s="9" t="str">
        <f aca="false">IF(V97=0,"",IF($H97="Full-Time","FT",IF(AND($H97="Part-Time",N($I97)&gt;=PT_MinHours),"PT","None")))</f>
        <v/>
      </c>
      <c r="AC97" s="9" t="str">
        <f aca="false">IF(V97=0,"",IF(AH97&lt;&gt;"",AB97,AA97))</f>
        <v/>
      </c>
      <c r="AD97" s="9" t="str">
        <f aca="false">IF(V97=0,"",IF(AA97="FT",IF(Z97&lt;FT_First,0,IF(Z97&lt;FT_Y5,1+INT((Z97-FT_First)/FT_Int1),FT_PreY5+FT_PerYear*INT((Z97-FT_Y5)/12)+FT_AnnivDays+INT(MOD(Z97-FT_Y5,12)/FT_Int2))),IF(AA97="PT",IF(Z97&lt;PT_First,0,1+INT((Z97-PT_First)/PT_Int)),0)))</f>
        <v/>
      </c>
      <c r="AE97" s="9" t="str">
        <f aca="false">IF(V97=0,"",IF(AB97="FT",IF(Z97&lt;FT_First,0,IF(Z97&lt;FT_Y5,1+INT((Z97-FT_First)/FT_Int1),FT_PreY5+FT_PerYear*INT((Z97-FT_Y5)/12)+FT_AnnivDays+INT(MOD(Z97-FT_Y5,12)/FT_Int2))),IF(AB97="PT",IF(Z97&lt;PT_First,0,1+INT((Z97-PT_First)/PT_Int)),0)))</f>
        <v/>
      </c>
      <c r="AF97" s="9" t="str">
        <f aca="false">IF(V97=0,"",IF(AB97="FT",IF(Y97&lt;FT_First,0,IF(Y97&lt;FT_Y5,1+INT((Y97-FT_First)/FT_Int1),FT_PreY5+FT_PerYear*INT((Y97-FT_Y5)/12)+FT_AnnivDays+INT(MOD(Y97-FT_Y5,12)/FT_Int2))),IF(AB97="PT",IF(Y97&lt;PT_First,0,1+INT((Y97-PT_First)/PT_Int)),0)))</f>
        <v/>
      </c>
      <c r="AG97" s="9" t="str">
        <f aca="false">IF(V97=0,"",IF(AC97="FT",IF(Y97&lt;FT_First,FT_First,IF(Y97&lt;FT_Y5,MIN(FT_Y5,FT_First+FT_Int1*(INT((Y97-FT_First)/FT_Int1)+1)),FT_Y5+12*INT((Y97-FT_Y5)/12)+FT_Int2*(INT(MOD(Y97-FT_Y5,12)/FT_Int2)+1))),IF(AC97="PT",IF(Y97&lt;PT_First,PT_First,PT_First+PT_Int*(INT((Y97-PT_First)/PT_Int)+1)),"")))</f>
        <v/>
      </c>
      <c r="AH97" s="11" t="str">
        <f aca="false">IF(V97=0,"",IF($G97="","",IF($G97&gt;X97,"",$G97)))</f>
        <v/>
      </c>
    </row>
    <row r="98" customFormat="false" ht="15" hidden="false" customHeight="false" outlineLevel="0" collapsed="false">
      <c r="A98" s="12"/>
      <c r="B98" s="12"/>
      <c r="C98" s="12"/>
      <c r="D98" s="13"/>
      <c r="E98" s="12"/>
      <c r="F98" s="14"/>
      <c r="G98" s="13"/>
      <c r="H98" s="12"/>
      <c r="I98" s="14"/>
      <c r="J98" s="14"/>
      <c r="K98" s="13"/>
      <c r="L98" s="9" t="str">
        <f aca="false">IF(V98=0,"",IF($G98="","",$E98&amp;" to "&amp;$H98&amp;IF($H98="Part-Time"," "&amp;N($I98)&amp;" hrs","")&amp;" on "&amp;TEXT($G98,"dd/mm/yyyy")&amp;IF($G98&gt;AsOfDate," (future)",IF(AA98=AC98,"",IF(AC98="None"," - STOPPED accruing",IF(AA98="None"," - now qualifying"," - pathway changed"))))))</f>
        <v/>
      </c>
      <c r="M98" s="9" t="str">
        <f aca="false">IF(V98=0,"",IF(W98=1,"Terminated",IF(AC98="None",IF(O98&gt;0,"No longer accruing","Not eligible - "&amp;IF(AND(AC98="None",IF(AH98&lt;&gt;"",$H98,$E98)="Part-Time"),"under "&amp;PT_MinHours&amp;" hrs",IF(AH98&lt;&gt;"",$H98,$E98))),IF(O98&gt;0,"Yes - accruing","Not yet - from "&amp;TEXT(Q98,"dd/mm/yyyy")))))</f>
        <v/>
      </c>
      <c r="N98" s="9" t="str">
        <f aca="false">IF(V98=0,"",IF(Y98&lt;0,"-",INT(Y98/12)&amp;"y "&amp;MOD(Y98,12)&amp;"m"))</f>
        <v/>
      </c>
      <c r="O98" s="10" t="str">
        <f aca="false">IF(V98=0,"",AD98+IF(AH98="",0,AF98-AE98))</f>
        <v/>
      </c>
      <c r="P98" s="10" t="str">
        <f aca="false">IF(V98=0,"",O98*HoursPerDay)</f>
        <v/>
      </c>
      <c r="Q98" s="11" t="str">
        <f aca="false">IF(V98=0,"",IF(OR(W98=1,AC98="None"),"",EDATE(($D98+N($J98)),AG98)))</f>
        <v/>
      </c>
      <c r="R98" s="10" t="str">
        <f aca="false">IF(V98=0,"",IF(NOT(EH_Ready),"",SUMIFS(INDEX(EH_Data,0,EH_ColBal),INDEX(EH_Data,0,EH_ColFirst),$A98,INDEX(EH_Data,0,EH_ColSur),$B98,INDEX(EH_Data,0,EH_ColCat),BonusCat)/IF(EHUnit="Hours",HoursPerDay,1)))</f>
        <v/>
      </c>
      <c r="S98" s="10" t="str">
        <f aca="false">IF(OR(V98=0,R98="",W98=1),"",O98-R98)</f>
        <v/>
      </c>
      <c r="T98" s="10" t="str">
        <f aca="false">IF(S98="","",S98*HoursPerDay)</f>
        <v/>
      </c>
      <c r="U98" s="9" t="str">
        <f aca="false">IF(V98=0,"",IF(W98=1,IF(N(R98)&gt;0,"TERMINATED - forfeit "&amp;TEXT(R98,"0.##")&amp;" days in EH","Terminated"),IF(NOT(EH_Ready),"Paste EH export (see Settings)",IF(S98&gt;0,"ADD "&amp;TEXT(S98,"0.##")&amp;" day(s) = "&amp;TEXT(T98,"0.##")&amp;" hrs in EH",IF(S98&lt;0,"CHECK - EH has "&amp;TEXT(-S98,"0.##")&amp;" days more than policy",IF(O98&gt;0,"OK","-"))))))</f>
        <v/>
      </c>
      <c r="V98" s="9" t="n">
        <f aca="false">IF(OR(LEN($A98&amp;$B98)=0,$D98=""),0,1)</f>
        <v>0</v>
      </c>
      <c r="W98" s="9" t="n">
        <f aca="false">IF(V98=0,0,IF(AND($K98&lt;&gt;"",$K98&lt;=AsOfDate),1,0))</f>
        <v>0</v>
      </c>
      <c r="X98" s="11" t="str">
        <f aca="false">IF(V98=0,"",IF($K98="",AsOfDate,MIN(AsOfDate,$K98)))</f>
        <v/>
      </c>
      <c r="Y98" s="9" t="str">
        <f aca="false">IF(V98=0,"",IF(X98&lt;($D98+N($J98)),-1,12*(YEAR(X98)-YEAR(($D98+N($J98))))+MONTH(X98)-MONTH(($D98+N($J98)))-IF(DAY(X98)&lt;MIN(DAY(($D98+N($J98))),DAY(EOMONTH(X98,0))),1,0)))</f>
        <v/>
      </c>
      <c r="Z98" s="9" t="str">
        <f aca="false">IF(V98=0,"",IF(AH98="",Y98,IF((AH98-1)&lt;($D98+N($J98)),-1,12*(YEAR((AH98-1))-YEAR(($D98+N($J98))))+MONTH((AH98-1))-MONTH(($D98+N($J98)))-IF(DAY((AH98-1))&lt;MIN(DAY(($D98+N($J98))),DAY(EOMONTH((AH98-1),0))),1,0))))</f>
        <v/>
      </c>
      <c r="AA98" s="9" t="str">
        <f aca="false">IF(V98=0,"",IF($E98="Full-Time","FT",IF(AND($E98="Part-Time",N($F98)&gt;=PT_MinHours),"PT","None")))</f>
        <v/>
      </c>
      <c r="AB98" s="9" t="str">
        <f aca="false">IF(V98=0,"",IF($H98="Full-Time","FT",IF(AND($H98="Part-Time",N($I98)&gt;=PT_MinHours),"PT","None")))</f>
        <v/>
      </c>
      <c r="AC98" s="9" t="str">
        <f aca="false">IF(V98=0,"",IF(AH98&lt;&gt;"",AB98,AA98))</f>
        <v/>
      </c>
      <c r="AD98" s="9" t="str">
        <f aca="false">IF(V98=0,"",IF(AA98="FT",IF(Z98&lt;FT_First,0,IF(Z98&lt;FT_Y5,1+INT((Z98-FT_First)/FT_Int1),FT_PreY5+FT_PerYear*INT((Z98-FT_Y5)/12)+FT_AnnivDays+INT(MOD(Z98-FT_Y5,12)/FT_Int2))),IF(AA98="PT",IF(Z98&lt;PT_First,0,1+INT((Z98-PT_First)/PT_Int)),0)))</f>
        <v/>
      </c>
      <c r="AE98" s="9" t="str">
        <f aca="false">IF(V98=0,"",IF(AB98="FT",IF(Z98&lt;FT_First,0,IF(Z98&lt;FT_Y5,1+INT((Z98-FT_First)/FT_Int1),FT_PreY5+FT_PerYear*INT((Z98-FT_Y5)/12)+FT_AnnivDays+INT(MOD(Z98-FT_Y5,12)/FT_Int2))),IF(AB98="PT",IF(Z98&lt;PT_First,0,1+INT((Z98-PT_First)/PT_Int)),0)))</f>
        <v/>
      </c>
      <c r="AF98" s="9" t="str">
        <f aca="false">IF(V98=0,"",IF(AB98="FT",IF(Y98&lt;FT_First,0,IF(Y98&lt;FT_Y5,1+INT((Y98-FT_First)/FT_Int1),FT_PreY5+FT_PerYear*INT((Y98-FT_Y5)/12)+FT_AnnivDays+INT(MOD(Y98-FT_Y5,12)/FT_Int2))),IF(AB98="PT",IF(Y98&lt;PT_First,0,1+INT((Y98-PT_First)/PT_Int)),0)))</f>
        <v/>
      </c>
      <c r="AG98" s="9" t="str">
        <f aca="false">IF(V98=0,"",IF(AC98="FT",IF(Y98&lt;FT_First,FT_First,IF(Y98&lt;FT_Y5,MIN(FT_Y5,FT_First+FT_Int1*(INT((Y98-FT_First)/FT_Int1)+1)),FT_Y5+12*INT((Y98-FT_Y5)/12)+FT_Int2*(INT(MOD(Y98-FT_Y5,12)/FT_Int2)+1))),IF(AC98="PT",IF(Y98&lt;PT_First,PT_First,PT_First+PT_Int*(INT((Y98-PT_First)/PT_Int)+1)),"")))</f>
        <v/>
      </c>
      <c r="AH98" s="11" t="str">
        <f aca="false">IF(V98=0,"",IF($G98="","",IF($G98&gt;X98,"",$G98)))</f>
        <v/>
      </c>
    </row>
    <row r="99" customFormat="false" ht="15" hidden="false" customHeight="false" outlineLevel="0" collapsed="false">
      <c r="A99" s="12"/>
      <c r="B99" s="12"/>
      <c r="C99" s="12"/>
      <c r="D99" s="13"/>
      <c r="E99" s="12"/>
      <c r="F99" s="14"/>
      <c r="G99" s="13"/>
      <c r="H99" s="12"/>
      <c r="I99" s="14"/>
      <c r="J99" s="14"/>
      <c r="K99" s="13"/>
      <c r="L99" s="9" t="str">
        <f aca="false">IF(V99=0,"",IF($G99="","",$E99&amp;" to "&amp;$H99&amp;IF($H99="Part-Time"," "&amp;N($I99)&amp;" hrs","")&amp;" on "&amp;TEXT($G99,"dd/mm/yyyy")&amp;IF($G99&gt;AsOfDate," (future)",IF(AA99=AC99,"",IF(AC99="None"," - STOPPED accruing",IF(AA99="None"," - now qualifying"," - pathway changed"))))))</f>
        <v/>
      </c>
      <c r="M99" s="9" t="str">
        <f aca="false">IF(V99=0,"",IF(W99=1,"Terminated",IF(AC99="None",IF(O99&gt;0,"No longer accruing","Not eligible - "&amp;IF(AND(AC99="None",IF(AH99&lt;&gt;"",$H99,$E99)="Part-Time"),"under "&amp;PT_MinHours&amp;" hrs",IF(AH99&lt;&gt;"",$H99,$E99))),IF(O99&gt;0,"Yes - accruing","Not yet - from "&amp;TEXT(Q99,"dd/mm/yyyy")))))</f>
        <v/>
      </c>
      <c r="N99" s="9" t="str">
        <f aca="false">IF(V99=0,"",IF(Y99&lt;0,"-",INT(Y99/12)&amp;"y "&amp;MOD(Y99,12)&amp;"m"))</f>
        <v/>
      </c>
      <c r="O99" s="10" t="str">
        <f aca="false">IF(V99=0,"",AD99+IF(AH99="",0,AF99-AE99))</f>
        <v/>
      </c>
      <c r="P99" s="10" t="str">
        <f aca="false">IF(V99=0,"",O99*HoursPerDay)</f>
        <v/>
      </c>
      <c r="Q99" s="11" t="str">
        <f aca="false">IF(V99=0,"",IF(OR(W99=1,AC99="None"),"",EDATE(($D99+N($J99)),AG99)))</f>
        <v/>
      </c>
      <c r="R99" s="10" t="str">
        <f aca="false">IF(V99=0,"",IF(NOT(EH_Ready),"",SUMIFS(INDEX(EH_Data,0,EH_ColBal),INDEX(EH_Data,0,EH_ColFirst),$A99,INDEX(EH_Data,0,EH_ColSur),$B99,INDEX(EH_Data,0,EH_ColCat),BonusCat)/IF(EHUnit="Hours",HoursPerDay,1)))</f>
        <v/>
      </c>
      <c r="S99" s="10" t="str">
        <f aca="false">IF(OR(V99=0,R99="",W99=1),"",O99-R99)</f>
        <v/>
      </c>
      <c r="T99" s="10" t="str">
        <f aca="false">IF(S99="","",S99*HoursPerDay)</f>
        <v/>
      </c>
      <c r="U99" s="9" t="str">
        <f aca="false">IF(V99=0,"",IF(W99=1,IF(N(R99)&gt;0,"TERMINATED - forfeit "&amp;TEXT(R99,"0.##")&amp;" days in EH","Terminated"),IF(NOT(EH_Ready),"Paste EH export (see Settings)",IF(S99&gt;0,"ADD "&amp;TEXT(S99,"0.##")&amp;" day(s) = "&amp;TEXT(T99,"0.##")&amp;" hrs in EH",IF(S99&lt;0,"CHECK - EH has "&amp;TEXT(-S99,"0.##")&amp;" days more than policy",IF(O99&gt;0,"OK","-"))))))</f>
        <v/>
      </c>
      <c r="V99" s="9" t="n">
        <f aca="false">IF(OR(LEN($A99&amp;$B99)=0,$D99=""),0,1)</f>
        <v>0</v>
      </c>
      <c r="W99" s="9" t="n">
        <f aca="false">IF(V99=0,0,IF(AND($K99&lt;&gt;"",$K99&lt;=AsOfDate),1,0))</f>
        <v>0</v>
      </c>
      <c r="X99" s="11" t="str">
        <f aca="false">IF(V99=0,"",IF($K99="",AsOfDate,MIN(AsOfDate,$K99)))</f>
        <v/>
      </c>
      <c r="Y99" s="9" t="str">
        <f aca="false">IF(V99=0,"",IF(X99&lt;($D99+N($J99)),-1,12*(YEAR(X99)-YEAR(($D99+N($J99))))+MONTH(X99)-MONTH(($D99+N($J99)))-IF(DAY(X99)&lt;MIN(DAY(($D99+N($J99))),DAY(EOMONTH(X99,0))),1,0)))</f>
        <v/>
      </c>
      <c r="Z99" s="9" t="str">
        <f aca="false">IF(V99=0,"",IF(AH99="",Y99,IF((AH99-1)&lt;($D99+N($J99)),-1,12*(YEAR((AH99-1))-YEAR(($D99+N($J99))))+MONTH((AH99-1))-MONTH(($D99+N($J99)))-IF(DAY((AH99-1))&lt;MIN(DAY(($D99+N($J99))),DAY(EOMONTH((AH99-1),0))),1,0))))</f>
        <v/>
      </c>
      <c r="AA99" s="9" t="str">
        <f aca="false">IF(V99=0,"",IF($E99="Full-Time","FT",IF(AND($E99="Part-Time",N($F99)&gt;=PT_MinHours),"PT","None")))</f>
        <v/>
      </c>
      <c r="AB99" s="9" t="str">
        <f aca="false">IF(V99=0,"",IF($H99="Full-Time","FT",IF(AND($H99="Part-Time",N($I99)&gt;=PT_MinHours),"PT","None")))</f>
        <v/>
      </c>
      <c r="AC99" s="9" t="str">
        <f aca="false">IF(V99=0,"",IF(AH99&lt;&gt;"",AB99,AA99))</f>
        <v/>
      </c>
      <c r="AD99" s="9" t="str">
        <f aca="false">IF(V99=0,"",IF(AA99="FT",IF(Z99&lt;FT_First,0,IF(Z99&lt;FT_Y5,1+INT((Z99-FT_First)/FT_Int1),FT_PreY5+FT_PerYear*INT((Z99-FT_Y5)/12)+FT_AnnivDays+INT(MOD(Z99-FT_Y5,12)/FT_Int2))),IF(AA99="PT",IF(Z99&lt;PT_First,0,1+INT((Z99-PT_First)/PT_Int)),0)))</f>
        <v/>
      </c>
      <c r="AE99" s="9" t="str">
        <f aca="false">IF(V99=0,"",IF(AB99="FT",IF(Z99&lt;FT_First,0,IF(Z99&lt;FT_Y5,1+INT((Z99-FT_First)/FT_Int1),FT_PreY5+FT_PerYear*INT((Z99-FT_Y5)/12)+FT_AnnivDays+INT(MOD(Z99-FT_Y5,12)/FT_Int2))),IF(AB99="PT",IF(Z99&lt;PT_First,0,1+INT((Z99-PT_First)/PT_Int)),0)))</f>
        <v/>
      </c>
      <c r="AF99" s="9" t="str">
        <f aca="false">IF(V99=0,"",IF(AB99="FT",IF(Y99&lt;FT_First,0,IF(Y99&lt;FT_Y5,1+INT((Y99-FT_First)/FT_Int1),FT_PreY5+FT_PerYear*INT((Y99-FT_Y5)/12)+FT_AnnivDays+INT(MOD(Y99-FT_Y5,12)/FT_Int2))),IF(AB99="PT",IF(Y99&lt;PT_First,0,1+INT((Y99-PT_First)/PT_Int)),0)))</f>
        <v/>
      </c>
      <c r="AG99" s="9" t="str">
        <f aca="false">IF(V99=0,"",IF(AC99="FT",IF(Y99&lt;FT_First,FT_First,IF(Y99&lt;FT_Y5,MIN(FT_Y5,FT_First+FT_Int1*(INT((Y99-FT_First)/FT_Int1)+1)),FT_Y5+12*INT((Y99-FT_Y5)/12)+FT_Int2*(INT(MOD(Y99-FT_Y5,12)/FT_Int2)+1))),IF(AC99="PT",IF(Y99&lt;PT_First,PT_First,PT_First+PT_Int*(INT((Y99-PT_First)/PT_Int)+1)),"")))</f>
        <v/>
      </c>
      <c r="AH99" s="11" t="str">
        <f aca="false">IF(V99=0,"",IF($G99="","",IF($G99&gt;X99,"",$G99)))</f>
        <v/>
      </c>
    </row>
    <row r="100" customFormat="false" ht="15" hidden="false" customHeight="false" outlineLevel="0" collapsed="false">
      <c r="A100" s="12"/>
      <c r="B100" s="12"/>
      <c r="C100" s="12"/>
      <c r="D100" s="13"/>
      <c r="E100" s="12"/>
      <c r="F100" s="14"/>
      <c r="G100" s="13"/>
      <c r="H100" s="12"/>
      <c r="I100" s="14"/>
      <c r="J100" s="14"/>
      <c r="K100" s="13"/>
      <c r="L100" s="9" t="str">
        <f aca="false">IF(V100=0,"",IF($G100="","",$E100&amp;" to "&amp;$H100&amp;IF($H100="Part-Time"," "&amp;N($I100)&amp;" hrs","")&amp;" on "&amp;TEXT($G100,"dd/mm/yyyy")&amp;IF($G100&gt;AsOfDate," (future)",IF(AA100=AC100,"",IF(AC100="None"," - STOPPED accruing",IF(AA100="None"," - now qualifying"," - pathway changed"))))))</f>
        <v/>
      </c>
      <c r="M100" s="9" t="str">
        <f aca="false">IF(V100=0,"",IF(W100=1,"Terminated",IF(AC100="None",IF(O100&gt;0,"No longer accruing","Not eligible - "&amp;IF(AND(AC100="None",IF(AH100&lt;&gt;"",$H100,$E100)="Part-Time"),"under "&amp;PT_MinHours&amp;" hrs",IF(AH100&lt;&gt;"",$H100,$E100))),IF(O100&gt;0,"Yes - accruing","Not yet - from "&amp;TEXT(Q100,"dd/mm/yyyy")))))</f>
        <v/>
      </c>
      <c r="N100" s="9" t="str">
        <f aca="false">IF(V100=0,"",IF(Y100&lt;0,"-",INT(Y100/12)&amp;"y "&amp;MOD(Y100,12)&amp;"m"))</f>
        <v/>
      </c>
      <c r="O100" s="10" t="str">
        <f aca="false">IF(V100=0,"",AD100+IF(AH100="",0,AF100-AE100))</f>
        <v/>
      </c>
      <c r="P100" s="10" t="str">
        <f aca="false">IF(V100=0,"",O100*HoursPerDay)</f>
        <v/>
      </c>
      <c r="Q100" s="11" t="str">
        <f aca="false">IF(V100=0,"",IF(OR(W100=1,AC100="None"),"",EDATE(($D100+N($J100)),AG100)))</f>
        <v/>
      </c>
      <c r="R100" s="10" t="str">
        <f aca="false">IF(V100=0,"",IF(NOT(EH_Ready),"",SUMIFS(INDEX(EH_Data,0,EH_ColBal),INDEX(EH_Data,0,EH_ColFirst),$A100,INDEX(EH_Data,0,EH_ColSur),$B100,INDEX(EH_Data,0,EH_ColCat),BonusCat)/IF(EHUnit="Hours",HoursPerDay,1)))</f>
        <v/>
      </c>
      <c r="S100" s="10" t="str">
        <f aca="false">IF(OR(V100=0,R100="",W100=1),"",O100-R100)</f>
        <v/>
      </c>
      <c r="T100" s="10" t="str">
        <f aca="false">IF(S100="","",S100*HoursPerDay)</f>
        <v/>
      </c>
      <c r="U100" s="9" t="str">
        <f aca="false">IF(V100=0,"",IF(W100=1,IF(N(R100)&gt;0,"TERMINATED - forfeit "&amp;TEXT(R100,"0.##")&amp;" days in EH","Terminated"),IF(NOT(EH_Ready),"Paste EH export (see Settings)",IF(S100&gt;0,"ADD "&amp;TEXT(S100,"0.##")&amp;" day(s) = "&amp;TEXT(T100,"0.##")&amp;" hrs in EH",IF(S100&lt;0,"CHECK - EH has "&amp;TEXT(-S100,"0.##")&amp;" days more than policy",IF(O100&gt;0,"OK","-"))))))</f>
        <v/>
      </c>
      <c r="V100" s="9" t="n">
        <f aca="false">IF(OR(LEN($A100&amp;$B100)=0,$D100=""),0,1)</f>
        <v>0</v>
      </c>
      <c r="W100" s="9" t="n">
        <f aca="false">IF(V100=0,0,IF(AND($K100&lt;&gt;"",$K100&lt;=AsOfDate),1,0))</f>
        <v>0</v>
      </c>
      <c r="X100" s="11" t="str">
        <f aca="false">IF(V100=0,"",IF($K100="",AsOfDate,MIN(AsOfDate,$K100)))</f>
        <v/>
      </c>
      <c r="Y100" s="9" t="str">
        <f aca="false">IF(V100=0,"",IF(X100&lt;($D100+N($J100)),-1,12*(YEAR(X100)-YEAR(($D100+N($J100))))+MONTH(X100)-MONTH(($D100+N($J100)))-IF(DAY(X100)&lt;MIN(DAY(($D100+N($J100))),DAY(EOMONTH(X100,0))),1,0)))</f>
        <v/>
      </c>
      <c r="Z100" s="9" t="str">
        <f aca="false">IF(V100=0,"",IF(AH100="",Y100,IF((AH100-1)&lt;($D100+N($J100)),-1,12*(YEAR((AH100-1))-YEAR(($D100+N($J100))))+MONTH((AH100-1))-MONTH(($D100+N($J100)))-IF(DAY((AH100-1))&lt;MIN(DAY(($D100+N($J100))),DAY(EOMONTH((AH100-1),0))),1,0))))</f>
        <v/>
      </c>
      <c r="AA100" s="9" t="str">
        <f aca="false">IF(V100=0,"",IF($E100="Full-Time","FT",IF(AND($E100="Part-Time",N($F100)&gt;=PT_MinHours),"PT","None")))</f>
        <v/>
      </c>
      <c r="AB100" s="9" t="str">
        <f aca="false">IF(V100=0,"",IF($H100="Full-Time","FT",IF(AND($H100="Part-Time",N($I100)&gt;=PT_MinHours),"PT","None")))</f>
        <v/>
      </c>
      <c r="AC100" s="9" t="str">
        <f aca="false">IF(V100=0,"",IF(AH100&lt;&gt;"",AB100,AA100))</f>
        <v/>
      </c>
      <c r="AD100" s="9" t="str">
        <f aca="false">IF(V100=0,"",IF(AA100="FT",IF(Z100&lt;FT_First,0,IF(Z100&lt;FT_Y5,1+INT((Z100-FT_First)/FT_Int1),FT_PreY5+FT_PerYear*INT((Z100-FT_Y5)/12)+FT_AnnivDays+INT(MOD(Z100-FT_Y5,12)/FT_Int2))),IF(AA100="PT",IF(Z100&lt;PT_First,0,1+INT((Z100-PT_First)/PT_Int)),0)))</f>
        <v/>
      </c>
      <c r="AE100" s="9" t="str">
        <f aca="false">IF(V100=0,"",IF(AB100="FT",IF(Z100&lt;FT_First,0,IF(Z100&lt;FT_Y5,1+INT((Z100-FT_First)/FT_Int1),FT_PreY5+FT_PerYear*INT((Z100-FT_Y5)/12)+FT_AnnivDays+INT(MOD(Z100-FT_Y5,12)/FT_Int2))),IF(AB100="PT",IF(Z100&lt;PT_First,0,1+INT((Z100-PT_First)/PT_Int)),0)))</f>
        <v/>
      </c>
      <c r="AF100" s="9" t="str">
        <f aca="false">IF(V100=0,"",IF(AB100="FT",IF(Y100&lt;FT_First,0,IF(Y100&lt;FT_Y5,1+INT((Y100-FT_First)/FT_Int1),FT_PreY5+FT_PerYear*INT((Y100-FT_Y5)/12)+FT_AnnivDays+INT(MOD(Y100-FT_Y5,12)/FT_Int2))),IF(AB100="PT",IF(Y100&lt;PT_First,0,1+INT((Y100-PT_First)/PT_Int)),0)))</f>
        <v/>
      </c>
      <c r="AG100" s="9" t="str">
        <f aca="false">IF(V100=0,"",IF(AC100="FT",IF(Y100&lt;FT_First,FT_First,IF(Y100&lt;FT_Y5,MIN(FT_Y5,FT_First+FT_Int1*(INT((Y100-FT_First)/FT_Int1)+1)),FT_Y5+12*INT((Y100-FT_Y5)/12)+FT_Int2*(INT(MOD(Y100-FT_Y5,12)/FT_Int2)+1))),IF(AC100="PT",IF(Y100&lt;PT_First,PT_First,PT_First+PT_Int*(INT((Y100-PT_First)/PT_Int)+1)),"")))</f>
        <v/>
      </c>
      <c r="AH100" s="11" t="str">
        <f aca="false">IF(V100=0,"",IF($G100="","",IF($G100&gt;X100,"",$G100)))</f>
        <v/>
      </c>
    </row>
    <row r="101" customFormat="false" ht="15" hidden="false" customHeight="false" outlineLevel="0" collapsed="false">
      <c r="A101" s="12"/>
      <c r="B101" s="12"/>
      <c r="C101" s="12"/>
      <c r="D101" s="13"/>
      <c r="E101" s="12"/>
      <c r="F101" s="14"/>
      <c r="G101" s="13"/>
      <c r="H101" s="12"/>
      <c r="I101" s="14"/>
      <c r="J101" s="14"/>
      <c r="K101" s="13"/>
      <c r="L101" s="9" t="str">
        <f aca="false">IF(V101=0,"",IF($G101="","",$E101&amp;" to "&amp;$H101&amp;IF($H101="Part-Time"," "&amp;N($I101)&amp;" hrs","")&amp;" on "&amp;TEXT($G101,"dd/mm/yyyy")&amp;IF($G101&gt;AsOfDate," (future)",IF(AA101=AC101,"",IF(AC101="None"," - STOPPED accruing",IF(AA101="None"," - now qualifying"," - pathway changed"))))))</f>
        <v/>
      </c>
      <c r="M101" s="9" t="str">
        <f aca="false">IF(V101=0,"",IF(W101=1,"Terminated",IF(AC101="None",IF(O101&gt;0,"No longer accruing","Not eligible - "&amp;IF(AND(AC101="None",IF(AH101&lt;&gt;"",$H101,$E101)="Part-Time"),"under "&amp;PT_MinHours&amp;" hrs",IF(AH101&lt;&gt;"",$H101,$E101))),IF(O101&gt;0,"Yes - accruing","Not yet - from "&amp;TEXT(Q101,"dd/mm/yyyy")))))</f>
        <v/>
      </c>
      <c r="N101" s="9" t="str">
        <f aca="false">IF(V101=0,"",IF(Y101&lt;0,"-",INT(Y101/12)&amp;"y "&amp;MOD(Y101,12)&amp;"m"))</f>
        <v/>
      </c>
      <c r="O101" s="10" t="str">
        <f aca="false">IF(V101=0,"",AD101+IF(AH101="",0,AF101-AE101))</f>
        <v/>
      </c>
      <c r="P101" s="10" t="str">
        <f aca="false">IF(V101=0,"",O101*HoursPerDay)</f>
        <v/>
      </c>
      <c r="Q101" s="11" t="str">
        <f aca="false">IF(V101=0,"",IF(OR(W101=1,AC101="None"),"",EDATE(($D101+N($J101)),AG101)))</f>
        <v/>
      </c>
      <c r="R101" s="10" t="str">
        <f aca="false">IF(V101=0,"",IF(NOT(EH_Ready),"",SUMIFS(INDEX(EH_Data,0,EH_ColBal),INDEX(EH_Data,0,EH_ColFirst),$A101,INDEX(EH_Data,0,EH_ColSur),$B101,INDEX(EH_Data,0,EH_ColCat),BonusCat)/IF(EHUnit="Hours",HoursPerDay,1)))</f>
        <v/>
      </c>
      <c r="S101" s="10" t="str">
        <f aca="false">IF(OR(V101=0,R101="",W101=1),"",O101-R101)</f>
        <v/>
      </c>
      <c r="T101" s="10" t="str">
        <f aca="false">IF(S101="","",S101*HoursPerDay)</f>
        <v/>
      </c>
      <c r="U101" s="9" t="str">
        <f aca="false">IF(V101=0,"",IF(W101=1,IF(N(R101)&gt;0,"TERMINATED - forfeit "&amp;TEXT(R101,"0.##")&amp;" days in EH","Terminated"),IF(NOT(EH_Ready),"Paste EH export (see Settings)",IF(S101&gt;0,"ADD "&amp;TEXT(S101,"0.##")&amp;" day(s) = "&amp;TEXT(T101,"0.##")&amp;" hrs in EH",IF(S101&lt;0,"CHECK - EH has "&amp;TEXT(-S101,"0.##")&amp;" days more than policy",IF(O101&gt;0,"OK","-"))))))</f>
        <v/>
      </c>
      <c r="V101" s="9" t="n">
        <f aca="false">IF(OR(LEN($A101&amp;$B101)=0,$D101=""),0,1)</f>
        <v>0</v>
      </c>
      <c r="W101" s="9" t="n">
        <f aca="false">IF(V101=0,0,IF(AND($K101&lt;&gt;"",$K101&lt;=AsOfDate),1,0))</f>
        <v>0</v>
      </c>
      <c r="X101" s="11" t="str">
        <f aca="false">IF(V101=0,"",IF($K101="",AsOfDate,MIN(AsOfDate,$K101)))</f>
        <v/>
      </c>
      <c r="Y101" s="9" t="str">
        <f aca="false">IF(V101=0,"",IF(X101&lt;($D101+N($J101)),-1,12*(YEAR(X101)-YEAR(($D101+N($J101))))+MONTH(X101)-MONTH(($D101+N($J101)))-IF(DAY(X101)&lt;MIN(DAY(($D101+N($J101))),DAY(EOMONTH(X101,0))),1,0)))</f>
        <v/>
      </c>
      <c r="Z101" s="9" t="str">
        <f aca="false">IF(V101=0,"",IF(AH101="",Y101,IF((AH101-1)&lt;($D101+N($J101)),-1,12*(YEAR((AH101-1))-YEAR(($D101+N($J101))))+MONTH((AH101-1))-MONTH(($D101+N($J101)))-IF(DAY((AH101-1))&lt;MIN(DAY(($D101+N($J101))),DAY(EOMONTH((AH101-1),0))),1,0))))</f>
        <v/>
      </c>
      <c r="AA101" s="9" t="str">
        <f aca="false">IF(V101=0,"",IF($E101="Full-Time","FT",IF(AND($E101="Part-Time",N($F101)&gt;=PT_MinHours),"PT","None")))</f>
        <v/>
      </c>
      <c r="AB101" s="9" t="str">
        <f aca="false">IF(V101=0,"",IF($H101="Full-Time","FT",IF(AND($H101="Part-Time",N($I101)&gt;=PT_MinHours),"PT","None")))</f>
        <v/>
      </c>
      <c r="AC101" s="9" t="str">
        <f aca="false">IF(V101=0,"",IF(AH101&lt;&gt;"",AB101,AA101))</f>
        <v/>
      </c>
      <c r="AD101" s="9" t="str">
        <f aca="false">IF(V101=0,"",IF(AA101="FT",IF(Z101&lt;FT_First,0,IF(Z101&lt;FT_Y5,1+INT((Z101-FT_First)/FT_Int1),FT_PreY5+FT_PerYear*INT((Z101-FT_Y5)/12)+FT_AnnivDays+INT(MOD(Z101-FT_Y5,12)/FT_Int2))),IF(AA101="PT",IF(Z101&lt;PT_First,0,1+INT((Z101-PT_First)/PT_Int)),0)))</f>
        <v/>
      </c>
      <c r="AE101" s="9" t="str">
        <f aca="false">IF(V101=0,"",IF(AB101="FT",IF(Z101&lt;FT_First,0,IF(Z101&lt;FT_Y5,1+INT((Z101-FT_First)/FT_Int1),FT_PreY5+FT_PerYear*INT((Z101-FT_Y5)/12)+FT_AnnivDays+INT(MOD(Z101-FT_Y5,12)/FT_Int2))),IF(AB101="PT",IF(Z101&lt;PT_First,0,1+INT((Z101-PT_First)/PT_Int)),0)))</f>
        <v/>
      </c>
      <c r="AF101" s="9" t="str">
        <f aca="false">IF(V101=0,"",IF(AB101="FT",IF(Y101&lt;FT_First,0,IF(Y101&lt;FT_Y5,1+INT((Y101-FT_First)/FT_Int1),FT_PreY5+FT_PerYear*INT((Y101-FT_Y5)/12)+FT_AnnivDays+INT(MOD(Y101-FT_Y5,12)/FT_Int2))),IF(AB101="PT",IF(Y101&lt;PT_First,0,1+INT((Y101-PT_First)/PT_Int)),0)))</f>
        <v/>
      </c>
      <c r="AG101" s="9" t="str">
        <f aca="false">IF(V101=0,"",IF(AC101="FT",IF(Y101&lt;FT_First,FT_First,IF(Y101&lt;FT_Y5,MIN(FT_Y5,FT_First+FT_Int1*(INT((Y101-FT_First)/FT_Int1)+1)),FT_Y5+12*INT((Y101-FT_Y5)/12)+FT_Int2*(INT(MOD(Y101-FT_Y5,12)/FT_Int2)+1))),IF(AC101="PT",IF(Y101&lt;PT_First,PT_First,PT_First+PT_Int*(INT((Y101-PT_First)/PT_Int)+1)),"")))</f>
        <v/>
      </c>
      <c r="AH101" s="11" t="str">
        <f aca="false">IF(V101=0,"",IF($G101="","",IF($G101&gt;X101,"",$G101)))</f>
        <v/>
      </c>
    </row>
    <row r="102" customFormat="false" ht="15" hidden="false" customHeight="false" outlineLevel="0" collapsed="false">
      <c r="A102" s="12"/>
      <c r="B102" s="12"/>
      <c r="C102" s="12"/>
      <c r="D102" s="13"/>
      <c r="E102" s="12"/>
      <c r="F102" s="14"/>
      <c r="G102" s="13"/>
      <c r="H102" s="12"/>
      <c r="I102" s="14"/>
      <c r="J102" s="14"/>
      <c r="K102" s="13"/>
      <c r="L102" s="9" t="str">
        <f aca="false">IF(V102=0,"",IF($G102="","",$E102&amp;" to "&amp;$H102&amp;IF($H102="Part-Time"," "&amp;N($I102)&amp;" hrs","")&amp;" on "&amp;TEXT($G102,"dd/mm/yyyy")&amp;IF($G102&gt;AsOfDate," (future)",IF(AA102=AC102,"",IF(AC102="None"," - STOPPED accruing",IF(AA102="None"," - now qualifying"," - pathway changed"))))))</f>
        <v/>
      </c>
      <c r="M102" s="9" t="str">
        <f aca="false">IF(V102=0,"",IF(W102=1,"Terminated",IF(AC102="None",IF(O102&gt;0,"No longer accruing","Not eligible - "&amp;IF(AND(AC102="None",IF(AH102&lt;&gt;"",$H102,$E102)="Part-Time"),"under "&amp;PT_MinHours&amp;" hrs",IF(AH102&lt;&gt;"",$H102,$E102))),IF(O102&gt;0,"Yes - accruing","Not yet - from "&amp;TEXT(Q102,"dd/mm/yyyy")))))</f>
        <v/>
      </c>
      <c r="N102" s="9" t="str">
        <f aca="false">IF(V102=0,"",IF(Y102&lt;0,"-",INT(Y102/12)&amp;"y "&amp;MOD(Y102,12)&amp;"m"))</f>
        <v/>
      </c>
      <c r="O102" s="10" t="str">
        <f aca="false">IF(V102=0,"",AD102+IF(AH102="",0,AF102-AE102))</f>
        <v/>
      </c>
      <c r="P102" s="10" t="str">
        <f aca="false">IF(V102=0,"",O102*HoursPerDay)</f>
        <v/>
      </c>
      <c r="Q102" s="11" t="str">
        <f aca="false">IF(V102=0,"",IF(OR(W102=1,AC102="None"),"",EDATE(($D102+N($J102)),AG102)))</f>
        <v/>
      </c>
      <c r="R102" s="10" t="str">
        <f aca="false">IF(V102=0,"",IF(NOT(EH_Ready),"",SUMIFS(INDEX(EH_Data,0,EH_ColBal),INDEX(EH_Data,0,EH_ColFirst),$A102,INDEX(EH_Data,0,EH_ColSur),$B102,INDEX(EH_Data,0,EH_ColCat),BonusCat)/IF(EHUnit="Hours",HoursPerDay,1)))</f>
        <v/>
      </c>
      <c r="S102" s="10" t="str">
        <f aca="false">IF(OR(V102=0,R102="",W102=1),"",O102-R102)</f>
        <v/>
      </c>
      <c r="T102" s="10" t="str">
        <f aca="false">IF(S102="","",S102*HoursPerDay)</f>
        <v/>
      </c>
      <c r="U102" s="9" t="str">
        <f aca="false">IF(V102=0,"",IF(W102=1,IF(N(R102)&gt;0,"TERMINATED - forfeit "&amp;TEXT(R102,"0.##")&amp;" days in EH","Terminated"),IF(NOT(EH_Ready),"Paste EH export (see Settings)",IF(S102&gt;0,"ADD "&amp;TEXT(S102,"0.##")&amp;" day(s) = "&amp;TEXT(T102,"0.##")&amp;" hrs in EH",IF(S102&lt;0,"CHECK - EH has "&amp;TEXT(-S102,"0.##")&amp;" days more than policy",IF(O102&gt;0,"OK","-"))))))</f>
        <v/>
      </c>
      <c r="V102" s="9" t="n">
        <f aca="false">IF(OR(LEN($A102&amp;$B102)=0,$D102=""),0,1)</f>
        <v>0</v>
      </c>
      <c r="W102" s="9" t="n">
        <f aca="false">IF(V102=0,0,IF(AND($K102&lt;&gt;"",$K102&lt;=AsOfDate),1,0))</f>
        <v>0</v>
      </c>
      <c r="X102" s="11" t="str">
        <f aca="false">IF(V102=0,"",IF($K102="",AsOfDate,MIN(AsOfDate,$K102)))</f>
        <v/>
      </c>
      <c r="Y102" s="9" t="str">
        <f aca="false">IF(V102=0,"",IF(X102&lt;($D102+N($J102)),-1,12*(YEAR(X102)-YEAR(($D102+N($J102))))+MONTH(X102)-MONTH(($D102+N($J102)))-IF(DAY(X102)&lt;MIN(DAY(($D102+N($J102))),DAY(EOMONTH(X102,0))),1,0)))</f>
        <v/>
      </c>
      <c r="Z102" s="9" t="str">
        <f aca="false">IF(V102=0,"",IF(AH102="",Y102,IF((AH102-1)&lt;($D102+N($J102)),-1,12*(YEAR((AH102-1))-YEAR(($D102+N($J102))))+MONTH((AH102-1))-MONTH(($D102+N($J102)))-IF(DAY((AH102-1))&lt;MIN(DAY(($D102+N($J102))),DAY(EOMONTH((AH102-1),0))),1,0))))</f>
        <v/>
      </c>
      <c r="AA102" s="9" t="str">
        <f aca="false">IF(V102=0,"",IF($E102="Full-Time","FT",IF(AND($E102="Part-Time",N($F102)&gt;=PT_MinHours),"PT","None")))</f>
        <v/>
      </c>
      <c r="AB102" s="9" t="str">
        <f aca="false">IF(V102=0,"",IF($H102="Full-Time","FT",IF(AND($H102="Part-Time",N($I102)&gt;=PT_MinHours),"PT","None")))</f>
        <v/>
      </c>
      <c r="AC102" s="9" t="str">
        <f aca="false">IF(V102=0,"",IF(AH102&lt;&gt;"",AB102,AA102))</f>
        <v/>
      </c>
      <c r="AD102" s="9" t="str">
        <f aca="false">IF(V102=0,"",IF(AA102="FT",IF(Z102&lt;FT_First,0,IF(Z102&lt;FT_Y5,1+INT((Z102-FT_First)/FT_Int1),FT_PreY5+FT_PerYear*INT((Z102-FT_Y5)/12)+FT_AnnivDays+INT(MOD(Z102-FT_Y5,12)/FT_Int2))),IF(AA102="PT",IF(Z102&lt;PT_First,0,1+INT((Z102-PT_First)/PT_Int)),0)))</f>
        <v/>
      </c>
      <c r="AE102" s="9" t="str">
        <f aca="false">IF(V102=0,"",IF(AB102="FT",IF(Z102&lt;FT_First,0,IF(Z102&lt;FT_Y5,1+INT((Z102-FT_First)/FT_Int1),FT_PreY5+FT_PerYear*INT((Z102-FT_Y5)/12)+FT_AnnivDays+INT(MOD(Z102-FT_Y5,12)/FT_Int2))),IF(AB102="PT",IF(Z102&lt;PT_First,0,1+INT((Z102-PT_First)/PT_Int)),0)))</f>
        <v/>
      </c>
      <c r="AF102" s="9" t="str">
        <f aca="false">IF(V102=0,"",IF(AB102="FT",IF(Y102&lt;FT_First,0,IF(Y102&lt;FT_Y5,1+INT((Y102-FT_First)/FT_Int1),FT_PreY5+FT_PerYear*INT((Y102-FT_Y5)/12)+FT_AnnivDays+INT(MOD(Y102-FT_Y5,12)/FT_Int2))),IF(AB102="PT",IF(Y102&lt;PT_First,0,1+INT((Y102-PT_First)/PT_Int)),0)))</f>
        <v/>
      </c>
      <c r="AG102" s="9" t="str">
        <f aca="false">IF(V102=0,"",IF(AC102="FT",IF(Y102&lt;FT_First,FT_First,IF(Y102&lt;FT_Y5,MIN(FT_Y5,FT_First+FT_Int1*(INT((Y102-FT_First)/FT_Int1)+1)),FT_Y5+12*INT((Y102-FT_Y5)/12)+FT_Int2*(INT(MOD(Y102-FT_Y5,12)/FT_Int2)+1))),IF(AC102="PT",IF(Y102&lt;PT_First,PT_First,PT_First+PT_Int*(INT((Y102-PT_First)/PT_Int)+1)),"")))</f>
        <v/>
      </c>
      <c r="AH102" s="11" t="str">
        <f aca="false">IF(V102=0,"",IF($G102="","",IF($G102&gt;X102,"",$G102)))</f>
        <v/>
      </c>
    </row>
    <row r="103" customFormat="false" ht="15" hidden="false" customHeight="false" outlineLevel="0" collapsed="false">
      <c r="A103" s="12"/>
      <c r="B103" s="12"/>
      <c r="C103" s="12"/>
      <c r="D103" s="13"/>
      <c r="E103" s="12"/>
      <c r="F103" s="14"/>
      <c r="G103" s="13"/>
      <c r="H103" s="12"/>
      <c r="I103" s="14"/>
      <c r="J103" s="14"/>
      <c r="K103" s="13"/>
      <c r="L103" s="9" t="str">
        <f aca="false">IF(V103=0,"",IF($G103="","",$E103&amp;" to "&amp;$H103&amp;IF($H103="Part-Time"," "&amp;N($I103)&amp;" hrs","")&amp;" on "&amp;TEXT($G103,"dd/mm/yyyy")&amp;IF($G103&gt;AsOfDate," (future)",IF(AA103=AC103,"",IF(AC103="None"," - STOPPED accruing",IF(AA103="None"," - now qualifying"," - pathway changed"))))))</f>
        <v/>
      </c>
      <c r="M103" s="9" t="str">
        <f aca="false">IF(V103=0,"",IF(W103=1,"Terminated",IF(AC103="None",IF(O103&gt;0,"No longer accruing","Not eligible - "&amp;IF(AND(AC103="None",IF(AH103&lt;&gt;"",$H103,$E103)="Part-Time"),"under "&amp;PT_MinHours&amp;" hrs",IF(AH103&lt;&gt;"",$H103,$E103))),IF(O103&gt;0,"Yes - accruing","Not yet - from "&amp;TEXT(Q103,"dd/mm/yyyy")))))</f>
        <v/>
      </c>
      <c r="N103" s="9" t="str">
        <f aca="false">IF(V103=0,"",IF(Y103&lt;0,"-",INT(Y103/12)&amp;"y "&amp;MOD(Y103,12)&amp;"m"))</f>
        <v/>
      </c>
      <c r="O103" s="10" t="str">
        <f aca="false">IF(V103=0,"",AD103+IF(AH103="",0,AF103-AE103))</f>
        <v/>
      </c>
      <c r="P103" s="10" t="str">
        <f aca="false">IF(V103=0,"",O103*HoursPerDay)</f>
        <v/>
      </c>
      <c r="Q103" s="11" t="str">
        <f aca="false">IF(V103=0,"",IF(OR(W103=1,AC103="None"),"",EDATE(($D103+N($J103)),AG103)))</f>
        <v/>
      </c>
      <c r="R103" s="10" t="str">
        <f aca="false">IF(V103=0,"",IF(NOT(EH_Ready),"",SUMIFS(INDEX(EH_Data,0,EH_ColBal),INDEX(EH_Data,0,EH_ColFirst),$A103,INDEX(EH_Data,0,EH_ColSur),$B103,INDEX(EH_Data,0,EH_ColCat),BonusCat)/IF(EHUnit="Hours",HoursPerDay,1)))</f>
        <v/>
      </c>
      <c r="S103" s="10" t="str">
        <f aca="false">IF(OR(V103=0,R103="",W103=1),"",O103-R103)</f>
        <v/>
      </c>
      <c r="T103" s="10" t="str">
        <f aca="false">IF(S103="","",S103*HoursPerDay)</f>
        <v/>
      </c>
      <c r="U103" s="9" t="str">
        <f aca="false">IF(V103=0,"",IF(W103=1,IF(N(R103)&gt;0,"TERMINATED - forfeit "&amp;TEXT(R103,"0.##")&amp;" days in EH","Terminated"),IF(NOT(EH_Ready),"Paste EH export (see Settings)",IF(S103&gt;0,"ADD "&amp;TEXT(S103,"0.##")&amp;" day(s) = "&amp;TEXT(T103,"0.##")&amp;" hrs in EH",IF(S103&lt;0,"CHECK - EH has "&amp;TEXT(-S103,"0.##")&amp;" days more than policy",IF(O103&gt;0,"OK","-"))))))</f>
        <v/>
      </c>
      <c r="V103" s="9" t="n">
        <f aca="false">IF(OR(LEN($A103&amp;$B103)=0,$D103=""),0,1)</f>
        <v>0</v>
      </c>
      <c r="W103" s="9" t="n">
        <f aca="false">IF(V103=0,0,IF(AND($K103&lt;&gt;"",$K103&lt;=AsOfDate),1,0))</f>
        <v>0</v>
      </c>
      <c r="X103" s="11" t="str">
        <f aca="false">IF(V103=0,"",IF($K103="",AsOfDate,MIN(AsOfDate,$K103)))</f>
        <v/>
      </c>
      <c r="Y103" s="9" t="str">
        <f aca="false">IF(V103=0,"",IF(X103&lt;($D103+N($J103)),-1,12*(YEAR(X103)-YEAR(($D103+N($J103))))+MONTH(X103)-MONTH(($D103+N($J103)))-IF(DAY(X103)&lt;MIN(DAY(($D103+N($J103))),DAY(EOMONTH(X103,0))),1,0)))</f>
        <v/>
      </c>
      <c r="Z103" s="9" t="str">
        <f aca="false">IF(V103=0,"",IF(AH103="",Y103,IF((AH103-1)&lt;($D103+N($J103)),-1,12*(YEAR((AH103-1))-YEAR(($D103+N($J103))))+MONTH((AH103-1))-MONTH(($D103+N($J103)))-IF(DAY((AH103-1))&lt;MIN(DAY(($D103+N($J103))),DAY(EOMONTH((AH103-1),0))),1,0))))</f>
        <v/>
      </c>
      <c r="AA103" s="9" t="str">
        <f aca="false">IF(V103=0,"",IF($E103="Full-Time","FT",IF(AND($E103="Part-Time",N($F103)&gt;=PT_MinHours),"PT","None")))</f>
        <v/>
      </c>
      <c r="AB103" s="9" t="str">
        <f aca="false">IF(V103=0,"",IF($H103="Full-Time","FT",IF(AND($H103="Part-Time",N($I103)&gt;=PT_MinHours),"PT","None")))</f>
        <v/>
      </c>
      <c r="AC103" s="9" t="str">
        <f aca="false">IF(V103=0,"",IF(AH103&lt;&gt;"",AB103,AA103))</f>
        <v/>
      </c>
      <c r="AD103" s="9" t="str">
        <f aca="false">IF(V103=0,"",IF(AA103="FT",IF(Z103&lt;FT_First,0,IF(Z103&lt;FT_Y5,1+INT((Z103-FT_First)/FT_Int1),FT_PreY5+FT_PerYear*INT((Z103-FT_Y5)/12)+FT_AnnivDays+INT(MOD(Z103-FT_Y5,12)/FT_Int2))),IF(AA103="PT",IF(Z103&lt;PT_First,0,1+INT((Z103-PT_First)/PT_Int)),0)))</f>
        <v/>
      </c>
      <c r="AE103" s="9" t="str">
        <f aca="false">IF(V103=0,"",IF(AB103="FT",IF(Z103&lt;FT_First,0,IF(Z103&lt;FT_Y5,1+INT((Z103-FT_First)/FT_Int1),FT_PreY5+FT_PerYear*INT((Z103-FT_Y5)/12)+FT_AnnivDays+INT(MOD(Z103-FT_Y5,12)/FT_Int2))),IF(AB103="PT",IF(Z103&lt;PT_First,0,1+INT((Z103-PT_First)/PT_Int)),0)))</f>
        <v/>
      </c>
      <c r="AF103" s="9" t="str">
        <f aca="false">IF(V103=0,"",IF(AB103="FT",IF(Y103&lt;FT_First,0,IF(Y103&lt;FT_Y5,1+INT((Y103-FT_First)/FT_Int1),FT_PreY5+FT_PerYear*INT((Y103-FT_Y5)/12)+FT_AnnivDays+INT(MOD(Y103-FT_Y5,12)/FT_Int2))),IF(AB103="PT",IF(Y103&lt;PT_First,0,1+INT((Y103-PT_First)/PT_Int)),0)))</f>
        <v/>
      </c>
      <c r="AG103" s="9" t="str">
        <f aca="false">IF(V103=0,"",IF(AC103="FT",IF(Y103&lt;FT_First,FT_First,IF(Y103&lt;FT_Y5,MIN(FT_Y5,FT_First+FT_Int1*(INT((Y103-FT_First)/FT_Int1)+1)),FT_Y5+12*INT((Y103-FT_Y5)/12)+FT_Int2*(INT(MOD(Y103-FT_Y5,12)/FT_Int2)+1))),IF(AC103="PT",IF(Y103&lt;PT_First,PT_First,PT_First+PT_Int*(INT((Y103-PT_First)/PT_Int)+1)),"")))</f>
        <v/>
      </c>
      <c r="AH103" s="11" t="str">
        <f aca="false">IF(V103=0,"",IF($G103="","",IF($G103&gt;X103,"",$G103)))</f>
        <v/>
      </c>
    </row>
    <row r="104" customFormat="false" ht="15" hidden="false" customHeight="false" outlineLevel="0" collapsed="false">
      <c r="A104" s="12"/>
      <c r="B104" s="12"/>
      <c r="C104" s="12"/>
      <c r="D104" s="13"/>
      <c r="E104" s="12"/>
      <c r="F104" s="14"/>
      <c r="G104" s="13"/>
      <c r="H104" s="12"/>
      <c r="I104" s="14"/>
      <c r="J104" s="14"/>
      <c r="K104" s="13"/>
      <c r="L104" s="9" t="str">
        <f aca="false">IF(V104=0,"",IF($G104="","",$E104&amp;" to "&amp;$H104&amp;IF($H104="Part-Time"," "&amp;N($I104)&amp;" hrs","")&amp;" on "&amp;TEXT($G104,"dd/mm/yyyy")&amp;IF($G104&gt;AsOfDate," (future)",IF(AA104=AC104,"",IF(AC104="None"," - STOPPED accruing",IF(AA104="None"," - now qualifying"," - pathway changed"))))))</f>
        <v/>
      </c>
      <c r="M104" s="9" t="str">
        <f aca="false">IF(V104=0,"",IF(W104=1,"Terminated",IF(AC104="None",IF(O104&gt;0,"No longer accruing","Not eligible - "&amp;IF(AND(AC104="None",IF(AH104&lt;&gt;"",$H104,$E104)="Part-Time"),"under "&amp;PT_MinHours&amp;" hrs",IF(AH104&lt;&gt;"",$H104,$E104))),IF(O104&gt;0,"Yes - accruing","Not yet - from "&amp;TEXT(Q104,"dd/mm/yyyy")))))</f>
        <v/>
      </c>
      <c r="N104" s="9" t="str">
        <f aca="false">IF(V104=0,"",IF(Y104&lt;0,"-",INT(Y104/12)&amp;"y "&amp;MOD(Y104,12)&amp;"m"))</f>
        <v/>
      </c>
      <c r="O104" s="10" t="str">
        <f aca="false">IF(V104=0,"",AD104+IF(AH104="",0,AF104-AE104))</f>
        <v/>
      </c>
      <c r="P104" s="10" t="str">
        <f aca="false">IF(V104=0,"",O104*HoursPerDay)</f>
        <v/>
      </c>
      <c r="Q104" s="11" t="str">
        <f aca="false">IF(V104=0,"",IF(OR(W104=1,AC104="None"),"",EDATE(($D104+N($J104)),AG104)))</f>
        <v/>
      </c>
      <c r="R104" s="10" t="str">
        <f aca="false">IF(V104=0,"",IF(NOT(EH_Ready),"",SUMIFS(INDEX(EH_Data,0,EH_ColBal),INDEX(EH_Data,0,EH_ColFirst),$A104,INDEX(EH_Data,0,EH_ColSur),$B104,INDEX(EH_Data,0,EH_ColCat),BonusCat)/IF(EHUnit="Hours",HoursPerDay,1)))</f>
        <v/>
      </c>
      <c r="S104" s="10" t="str">
        <f aca="false">IF(OR(V104=0,R104="",W104=1),"",O104-R104)</f>
        <v/>
      </c>
      <c r="T104" s="10" t="str">
        <f aca="false">IF(S104="","",S104*HoursPerDay)</f>
        <v/>
      </c>
      <c r="U104" s="9" t="str">
        <f aca="false">IF(V104=0,"",IF(W104=1,IF(N(R104)&gt;0,"TERMINATED - forfeit "&amp;TEXT(R104,"0.##")&amp;" days in EH","Terminated"),IF(NOT(EH_Ready),"Paste EH export (see Settings)",IF(S104&gt;0,"ADD "&amp;TEXT(S104,"0.##")&amp;" day(s) = "&amp;TEXT(T104,"0.##")&amp;" hrs in EH",IF(S104&lt;0,"CHECK - EH has "&amp;TEXT(-S104,"0.##")&amp;" days more than policy",IF(O104&gt;0,"OK","-"))))))</f>
        <v/>
      </c>
      <c r="V104" s="9" t="n">
        <f aca="false">IF(OR(LEN($A104&amp;$B104)=0,$D104=""),0,1)</f>
        <v>0</v>
      </c>
      <c r="W104" s="9" t="n">
        <f aca="false">IF(V104=0,0,IF(AND($K104&lt;&gt;"",$K104&lt;=AsOfDate),1,0))</f>
        <v>0</v>
      </c>
      <c r="X104" s="11" t="str">
        <f aca="false">IF(V104=0,"",IF($K104="",AsOfDate,MIN(AsOfDate,$K104)))</f>
        <v/>
      </c>
      <c r="Y104" s="9" t="str">
        <f aca="false">IF(V104=0,"",IF(X104&lt;($D104+N($J104)),-1,12*(YEAR(X104)-YEAR(($D104+N($J104))))+MONTH(X104)-MONTH(($D104+N($J104)))-IF(DAY(X104)&lt;MIN(DAY(($D104+N($J104))),DAY(EOMONTH(X104,0))),1,0)))</f>
        <v/>
      </c>
      <c r="Z104" s="9" t="str">
        <f aca="false">IF(V104=0,"",IF(AH104="",Y104,IF((AH104-1)&lt;($D104+N($J104)),-1,12*(YEAR((AH104-1))-YEAR(($D104+N($J104))))+MONTH((AH104-1))-MONTH(($D104+N($J104)))-IF(DAY((AH104-1))&lt;MIN(DAY(($D104+N($J104))),DAY(EOMONTH((AH104-1),0))),1,0))))</f>
        <v/>
      </c>
      <c r="AA104" s="9" t="str">
        <f aca="false">IF(V104=0,"",IF($E104="Full-Time","FT",IF(AND($E104="Part-Time",N($F104)&gt;=PT_MinHours),"PT","None")))</f>
        <v/>
      </c>
      <c r="AB104" s="9" t="str">
        <f aca="false">IF(V104=0,"",IF($H104="Full-Time","FT",IF(AND($H104="Part-Time",N($I104)&gt;=PT_MinHours),"PT","None")))</f>
        <v/>
      </c>
      <c r="AC104" s="9" t="str">
        <f aca="false">IF(V104=0,"",IF(AH104&lt;&gt;"",AB104,AA104))</f>
        <v/>
      </c>
      <c r="AD104" s="9" t="str">
        <f aca="false">IF(V104=0,"",IF(AA104="FT",IF(Z104&lt;FT_First,0,IF(Z104&lt;FT_Y5,1+INT((Z104-FT_First)/FT_Int1),FT_PreY5+FT_PerYear*INT((Z104-FT_Y5)/12)+FT_AnnivDays+INT(MOD(Z104-FT_Y5,12)/FT_Int2))),IF(AA104="PT",IF(Z104&lt;PT_First,0,1+INT((Z104-PT_First)/PT_Int)),0)))</f>
        <v/>
      </c>
      <c r="AE104" s="9" t="str">
        <f aca="false">IF(V104=0,"",IF(AB104="FT",IF(Z104&lt;FT_First,0,IF(Z104&lt;FT_Y5,1+INT((Z104-FT_First)/FT_Int1),FT_PreY5+FT_PerYear*INT((Z104-FT_Y5)/12)+FT_AnnivDays+INT(MOD(Z104-FT_Y5,12)/FT_Int2))),IF(AB104="PT",IF(Z104&lt;PT_First,0,1+INT((Z104-PT_First)/PT_Int)),0)))</f>
        <v/>
      </c>
      <c r="AF104" s="9" t="str">
        <f aca="false">IF(V104=0,"",IF(AB104="FT",IF(Y104&lt;FT_First,0,IF(Y104&lt;FT_Y5,1+INT((Y104-FT_First)/FT_Int1),FT_PreY5+FT_PerYear*INT((Y104-FT_Y5)/12)+FT_AnnivDays+INT(MOD(Y104-FT_Y5,12)/FT_Int2))),IF(AB104="PT",IF(Y104&lt;PT_First,0,1+INT((Y104-PT_First)/PT_Int)),0)))</f>
        <v/>
      </c>
      <c r="AG104" s="9" t="str">
        <f aca="false">IF(V104=0,"",IF(AC104="FT",IF(Y104&lt;FT_First,FT_First,IF(Y104&lt;FT_Y5,MIN(FT_Y5,FT_First+FT_Int1*(INT((Y104-FT_First)/FT_Int1)+1)),FT_Y5+12*INT((Y104-FT_Y5)/12)+FT_Int2*(INT(MOD(Y104-FT_Y5,12)/FT_Int2)+1))),IF(AC104="PT",IF(Y104&lt;PT_First,PT_First,PT_First+PT_Int*(INT((Y104-PT_First)/PT_Int)+1)),"")))</f>
        <v/>
      </c>
      <c r="AH104" s="11" t="str">
        <f aca="false">IF(V104=0,"",IF($G104="","",IF($G104&gt;X104,"",$G104)))</f>
        <v/>
      </c>
    </row>
    <row r="105" customFormat="false" ht="15" hidden="false" customHeight="false" outlineLevel="0" collapsed="false">
      <c r="A105" s="12"/>
      <c r="B105" s="12"/>
      <c r="C105" s="12"/>
      <c r="D105" s="13"/>
      <c r="E105" s="12"/>
      <c r="F105" s="14"/>
      <c r="G105" s="13"/>
      <c r="H105" s="12"/>
      <c r="I105" s="14"/>
      <c r="J105" s="14"/>
      <c r="K105" s="13"/>
      <c r="L105" s="9" t="str">
        <f aca="false">IF(V105=0,"",IF($G105="","",$E105&amp;" to "&amp;$H105&amp;IF($H105="Part-Time"," "&amp;N($I105)&amp;" hrs","")&amp;" on "&amp;TEXT($G105,"dd/mm/yyyy")&amp;IF($G105&gt;AsOfDate," (future)",IF(AA105=AC105,"",IF(AC105="None"," - STOPPED accruing",IF(AA105="None"," - now qualifying"," - pathway changed"))))))</f>
        <v/>
      </c>
      <c r="M105" s="9" t="str">
        <f aca="false">IF(V105=0,"",IF(W105=1,"Terminated",IF(AC105="None",IF(O105&gt;0,"No longer accruing","Not eligible - "&amp;IF(AND(AC105="None",IF(AH105&lt;&gt;"",$H105,$E105)="Part-Time"),"under "&amp;PT_MinHours&amp;" hrs",IF(AH105&lt;&gt;"",$H105,$E105))),IF(O105&gt;0,"Yes - accruing","Not yet - from "&amp;TEXT(Q105,"dd/mm/yyyy")))))</f>
        <v/>
      </c>
      <c r="N105" s="9" t="str">
        <f aca="false">IF(V105=0,"",IF(Y105&lt;0,"-",INT(Y105/12)&amp;"y "&amp;MOD(Y105,12)&amp;"m"))</f>
        <v/>
      </c>
      <c r="O105" s="10" t="str">
        <f aca="false">IF(V105=0,"",AD105+IF(AH105="",0,AF105-AE105))</f>
        <v/>
      </c>
      <c r="P105" s="10" t="str">
        <f aca="false">IF(V105=0,"",O105*HoursPerDay)</f>
        <v/>
      </c>
      <c r="Q105" s="11" t="str">
        <f aca="false">IF(V105=0,"",IF(OR(W105=1,AC105="None"),"",EDATE(($D105+N($J105)),AG105)))</f>
        <v/>
      </c>
      <c r="R105" s="10" t="str">
        <f aca="false">IF(V105=0,"",IF(NOT(EH_Ready),"",SUMIFS(INDEX(EH_Data,0,EH_ColBal),INDEX(EH_Data,0,EH_ColFirst),$A105,INDEX(EH_Data,0,EH_ColSur),$B105,INDEX(EH_Data,0,EH_ColCat),BonusCat)/IF(EHUnit="Hours",HoursPerDay,1)))</f>
        <v/>
      </c>
      <c r="S105" s="10" t="str">
        <f aca="false">IF(OR(V105=0,R105="",W105=1),"",O105-R105)</f>
        <v/>
      </c>
      <c r="T105" s="10" t="str">
        <f aca="false">IF(S105="","",S105*HoursPerDay)</f>
        <v/>
      </c>
      <c r="U105" s="9" t="str">
        <f aca="false">IF(V105=0,"",IF(W105=1,IF(N(R105)&gt;0,"TERMINATED - forfeit "&amp;TEXT(R105,"0.##")&amp;" days in EH","Terminated"),IF(NOT(EH_Ready),"Paste EH export (see Settings)",IF(S105&gt;0,"ADD "&amp;TEXT(S105,"0.##")&amp;" day(s) = "&amp;TEXT(T105,"0.##")&amp;" hrs in EH",IF(S105&lt;0,"CHECK - EH has "&amp;TEXT(-S105,"0.##")&amp;" days more than policy",IF(O105&gt;0,"OK","-"))))))</f>
        <v/>
      </c>
      <c r="V105" s="9" t="n">
        <f aca="false">IF(OR(LEN($A105&amp;$B105)=0,$D105=""),0,1)</f>
        <v>0</v>
      </c>
      <c r="W105" s="9" t="n">
        <f aca="false">IF(V105=0,0,IF(AND($K105&lt;&gt;"",$K105&lt;=AsOfDate),1,0))</f>
        <v>0</v>
      </c>
      <c r="X105" s="11" t="str">
        <f aca="false">IF(V105=0,"",IF($K105="",AsOfDate,MIN(AsOfDate,$K105)))</f>
        <v/>
      </c>
      <c r="Y105" s="9" t="str">
        <f aca="false">IF(V105=0,"",IF(X105&lt;($D105+N($J105)),-1,12*(YEAR(X105)-YEAR(($D105+N($J105))))+MONTH(X105)-MONTH(($D105+N($J105)))-IF(DAY(X105)&lt;MIN(DAY(($D105+N($J105))),DAY(EOMONTH(X105,0))),1,0)))</f>
        <v/>
      </c>
      <c r="Z105" s="9" t="str">
        <f aca="false">IF(V105=0,"",IF(AH105="",Y105,IF((AH105-1)&lt;($D105+N($J105)),-1,12*(YEAR((AH105-1))-YEAR(($D105+N($J105))))+MONTH((AH105-1))-MONTH(($D105+N($J105)))-IF(DAY((AH105-1))&lt;MIN(DAY(($D105+N($J105))),DAY(EOMONTH((AH105-1),0))),1,0))))</f>
        <v/>
      </c>
      <c r="AA105" s="9" t="str">
        <f aca="false">IF(V105=0,"",IF($E105="Full-Time","FT",IF(AND($E105="Part-Time",N($F105)&gt;=PT_MinHours),"PT","None")))</f>
        <v/>
      </c>
      <c r="AB105" s="9" t="str">
        <f aca="false">IF(V105=0,"",IF($H105="Full-Time","FT",IF(AND($H105="Part-Time",N($I105)&gt;=PT_MinHours),"PT","None")))</f>
        <v/>
      </c>
      <c r="AC105" s="9" t="str">
        <f aca="false">IF(V105=0,"",IF(AH105&lt;&gt;"",AB105,AA105))</f>
        <v/>
      </c>
      <c r="AD105" s="9" t="str">
        <f aca="false">IF(V105=0,"",IF(AA105="FT",IF(Z105&lt;FT_First,0,IF(Z105&lt;FT_Y5,1+INT((Z105-FT_First)/FT_Int1),FT_PreY5+FT_PerYear*INT((Z105-FT_Y5)/12)+FT_AnnivDays+INT(MOD(Z105-FT_Y5,12)/FT_Int2))),IF(AA105="PT",IF(Z105&lt;PT_First,0,1+INT((Z105-PT_First)/PT_Int)),0)))</f>
        <v/>
      </c>
      <c r="AE105" s="9" t="str">
        <f aca="false">IF(V105=0,"",IF(AB105="FT",IF(Z105&lt;FT_First,0,IF(Z105&lt;FT_Y5,1+INT((Z105-FT_First)/FT_Int1),FT_PreY5+FT_PerYear*INT((Z105-FT_Y5)/12)+FT_AnnivDays+INT(MOD(Z105-FT_Y5,12)/FT_Int2))),IF(AB105="PT",IF(Z105&lt;PT_First,0,1+INT((Z105-PT_First)/PT_Int)),0)))</f>
        <v/>
      </c>
      <c r="AF105" s="9" t="str">
        <f aca="false">IF(V105=0,"",IF(AB105="FT",IF(Y105&lt;FT_First,0,IF(Y105&lt;FT_Y5,1+INT((Y105-FT_First)/FT_Int1),FT_PreY5+FT_PerYear*INT((Y105-FT_Y5)/12)+FT_AnnivDays+INT(MOD(Y105-FT_Y5,12)/FT_Int2))),IF(AB105="PT",IF(Y105&lt;PT_First,0,1+INT((Y105-PT_First)/PT_Int)),0)))</f>
        <v/>
      </c>
      <c r="AG105" s="9" t="str">
        <f aca="false">IF(V105=0,"",IF(AC105="FT",IF(Y105&lt;FT_First,FT_First,IF(Y105&lt;FT_Y5,MIN(FT_Y5,FT_First+FT_Int1*(INT((Y105-FT_First)/FT_Int1)+1)),FT_Y5+12*INT((Y105-FT_Y5)/12)+FT_Int2*(INT(MOD(Y105-FT_Y5,12)/FT_Int2)+1))),IF(AC105="PT",IF(Y105&lt;PT_First,PT_First,PT_First+PT_Int*(INT((Y105-PT_First)/PT_Int)+1)),"")))</f>
        <v/>
      </c>
      <c r="AH105" s="11" t="str">
        <f aca="false">IF(V105=0,"",IF($G105="","",IF($G105&gt;X105,"",$G105)))</f>
        <v/>
      </c>
    </row>
    <row r="106" customFormat="false" ht="15" hidden="false" customHeight="false" outlineLevel="0" collapsed="false">
      <c r="A106" s="12"/>
      <c r="B106" s="12"/>
      <c r="C106" s="12"/>
      <c r="D106" s="13"/>
      <c r="E106" s="12"/>
      <c r="F106" s="14"/>
      <c r="G106" s="13"/>
      <c r="H106" s="12"/>
      <c r="I106" s="14"/>
      <c r="J106" s="14"/>
      <c r="K106" s="13"/>
      <c r="L106" s="9" t="str">
        <f aca="false">IF(V106=0,"",IF($G106="","",$E106&amp;" to "&amp;$H106&amp;IF($H106="Part-Time"," "&amp;N($I106)&amp;" hrs","")&amp;" on "&amp;TEXT($G106,"dd/mm/yyyy")&amp;IF($G106&gt;AsOfDate," (future)",IF(AA106=AC106,"",IF(AC106="None"," - STOPPED accruing",IF(AA106="None"," - now qualifying"," - pathway changed"))))))</f>
        <v/>
      </c>
      <c r="M106" s="9" t="str">
        <f aca="false">IF(V106=0,"",IF(W106=1,"Terminated",IF(AC106="None",IF(O106&gt;0,"No longer accruing","Not eligible - "&amp;IF(AND(AC106="None",IF(AH106&lt;&gt;"",$H106,$E106)="Part-Time"),"under "&amp;PT_MinHours&amp;" hrs",IF(AH106&lt;&gt;"",$H106,$E106))),IF(O106&gt;0,"Yes - accruing","Not yet - from "&amp;TEXT(Q106,"dd/mm/yyyy")))))</f>
        <v/>
      </c>
      <c r="N106" s="9" t="str">
        <f aca="false">IF(V106=0,"",IF(Y106&lt;0,"-",INT(Y106/12)&amp;"y "&amp;MOD(Y106,12)&amp;"m"))</f>
        <v/>
      </c>
      <c r="O106" s="10" t="str">
        <f aca="false">IF(V106=0,"",AD106+IF(AH106="",0,AF106-AE106))</f>
        <v/>
      </c>
      <c r="P106" s="10" t="str">
        <f aca="false">IF(V106=0,"",O106*HoursPerDay)</f>
        <v/>
      </c>
      <c r="Q106" s="11" t="str">
        <f aca="false">IF(V106=0,"",IF(OR(W106=1,AC106="None"),"",EDATE(($D106+N($J106)),AG106)))</f>
        <v/>
      </c>
      <c r="R106" s="10" t="str">
        <f aca="false">IF(V106=0,"",IF(NOT(EH_Ready),"",SUMIFS(INDEX(EH_Data,0,EH_ColBal),INDEX(EH_Data,0,EH_ColFirst),$A106,INDEX(EH_Data,0,EH_ColSur),$B106,INDEX(EH_Data,0,EH_ColCat),BonusCat)/IF(EHUnit="Hours",HoursPerDay,1)))</f>
        <v/>
      </c>
      <c r="S106" s="10" t="str">
        <f aca="false">IF(OR(V106=0,R106="",W106=1),"",O106-R106)</f>
        <v/>
      </c>
      <c r="T106" s="10" t="str">
        <f aca="false">IF(S106="","",S106*HoursPerDay)</f>
        <v/>
      </c>
      <c r="U106" s="9" t="str">
        <f aca="false">IF(V106=0,"",IF(W106=1,IF(N(R106)&gt;0,"TERMINATED - forfeit "&amp;TEXT(R106,"0.##")&amp;" days in EH","Terminated"),IF(NOT(EH_Ready),"Paste EH export (see Settings)",IF(S106&gt;0,"ADD "&amp;TEXT(S106,"0.##")&amp;" day(s) = "&amp;TEXT(T106,"0.##")&amp;" hrs in EH",IF(S106&lt;0,"CHECK - EH has "&amp;TEXT(-S106,"0.##")&amp;" days more than policy",IF(O106&gt;0,"OK","-"))))))</f>
        <v/>
      </c>
      <c r="V106" s="9" t="n">
        <f aca="false">IF(OR(LEN($A106&amp;$B106)=0,$D106=""),0,1)</f>
        <v>0</v>
      </c>
      <c r="W106" s="9" t="n">
        <f aca="false">IF(V106=0,0,IF(AND($K106&lt;&gt;"",$K106&lt;=AsOfDate),1,0))</f>
        <v>0</v>
      </c>
      <c r="X106" s="11" t="str">
        <f aca="false">IF(V106=0,"",IF($K106="",AsOfDate,MIN(AsOfDate,$K106)))</f>
        <v/>
      </c>
      <c r="Y106" s="9" t="str">
        <f aca="false">IF(V106=0,"",IF(X106&lt;($D106+N($J106)),-1,12*(YEAR(X106)-YEAR(($D106+N($J106))))+MONTH(X106)-MONTH(($D106+N($J106)))-IF(DAY(X106)&lt;MIN(DAY(($D106+N($J106))),DAY(EOMONTH(X106,0))),1,0)))</f>
        <v/>
      </c>
      <c r="Z106" s="9" t="str">
        <f aca="false">IF(V106=0,"",IF(AH106="",Y106,IF((AH106-1)&lt;($D106+N($J106)),-1,12*(YEAR((AH106-1))-YEAR(($D106+N($J106))))+MONTH((AH106-1))-MONTH(($D106+N($J106)))-IF(DAY((AH106-1))&lt;MIN(DAY(($D106+N($J106))),DAY(EOMONTH((AH106-1),0))),1,0))))</f>
        <v/>
      </c>
      <c r="AA106" s="9" t="str">
        <f aca="false">IF(V106=0,"",IF($E106="Full-Time","FT",IF(AND($E106="Part-Time",N($F106)&gt;=PT_MinHours),"PT","None")))</f>
        <v/>
      </c>
      <c r="AB106" s="9" t="str">
        <f aca="false">IF(V106=0,"",IF($H106="Full-Time","FT",IF(AND($H106="Part-Time",N($I106)&gt;=PT_MinHours),"PT","None")))</f>
        <v/>
      </c>
      <c r="AC106" s="9" t="str">
        <f aca="false">IF(V106=0,"",IF(AH106&lt;&gt;"",AB106,AA106))</f>
        <v/>
      </c>
      <c r="AD106" s="9" t="str">
        <f aca="false">IF(V106=0,"",IF(AA106="FT",IF(Z106&lt;FT_First,0,IF(Z106&lt;FT_Y5,1+INT((Z106-FT_First)/FT_Int1),FT_PreY5+FT_PerYear*INT((Z106-FT_Y5)/12)+FT_AnnivDays+INT(MOD(Z106-FT_Y5,12)/FT_Int2))),IF(AA106="PT",IF(Z106&lt;PT_First,0,1+INT((Z106-PT_First)/PT_Int)),0)))</f>
        <v/>
      </c>
      <c r="AE106" s="9" t="str">
        <f aca="false">IF(V106=0,"",IF(AB106="FT",IF(Z106&lt;FT_First,0,IF(Z106&lt;FT_Y5,1+INT((Z106-FT_First)/FT_Int1),FT_PreY5+FT_PerYear*INT((Z106-FT_Y5)/12)+FT_AnnivDays+INT(MOD(Z106-FT_Y5,12)/FT_Int2))),IF(AB106="PT",IF(Z106&lt;PT_First,0,1+INT((Z106-PT_First)/PT_Int)),0)))</f>
        <v/>
      </c>
      <c r="AF106" s="9" t="str">
        <f aca="false">IF(V106=0,"",IF(AB106="FT",IF(Y106&lt;FT_First,0,IF(Y106&lt;FT_Y5,1+INT((Y106-FT_First)/FT_Int1),FT_PreY5+FT_PerYear*INT((Y106-FT_Y5)/12)+FT_AnnivDays+INT(MOD(Y106-FT_Y5,12)/FT_Int2))),IF(AB106="PT",IF(Y106&lt;PT_First,0,1+INT((Y106-PT_First)/PT_Int)),0)))</f>
        <v/>
      </c>
      <c r="AG106" s="9" t="str">
        <f aca="false">IF(V106=0,"",IF(AC106="FT",IF(Y106&lt;FT_First,FT_First,IF(Y106&lt;FT_Y5,MIN(FT_Y5,FT_First+FT_Int1*(INT((Y106-FT_First)/FT_Int1)+1)),FT_Y5+12*INT((Y106-FT_Y5)/12)+FT_Int2*(INT(MOD(Y106-FT_Y5,12)/FT_Int2)+1))),IF(AC106="PT",IF(Y106&lt;PT_First,PT_First,PT_First+PT_Int*(INT((Y106-PT_First)/PT_Int)+1)),"")))</f>
        <v/>
      </c>
      <c r="AH106" s="11" t="str">
        <f aca="false">IF(V106=0,"",IF($G106="","",IF($G106&gt;X106,"",$G106)))</f>
        <v/>
      </c>
    </row>
    <row r="107" customFormat="false" ht="15" hidden="false" customHeight="false" outlineLevel="0" collapsed="false">
      <c r="A107" s="12"/>
      <c r="B107" s="12"/>
      <c r="C107" s="12"/>
      <c r="D107" s="13"/>
      <c r="E107" s="12"/>
      <c r="F107" s="14"/>
      <c r="G107" s="13"/>
      <c r="H107" s="12"/>
      <c r="I107" s="14"/>
      <c r="J107" s="14"/>
      <c r="K107" s="13"/>
      <c r="L107" s="9" t="str">
        <f aca="false">IF(V107=0,"",IF($G107="","",$E107&amp;" to "&amp;$H107&amp;IF($H107="Part-Time"," "&amp;N($I107)&amp;" hrs","")&amp;" on "&amp;TEXT($G107,"dd/mm/yyyy")&amp;IF($G107&gt;AsOfDate," (future)",IF(AA107=AC107,"",IF(AC107="None"," - STOPPED accruing",IF(AA107="None"," - now qualifying"," - pathway changed"))))))</f>
        <v/>
      </c>
      <c r="M107" s="9" t="str">
        <f aca="false">IF(V107=0,"",IF(W107=1,"Terminated",IF(AC107="None",IF(O107&gt;0,"No longer accruing","Not eligible - "&amp;IF(AND(AC107="None",IF(AH107&lt;&gt;"",$H107,$E107)="Part-Time"),"under "&amp;PT_MinHours&amp;" hrs",IF(AH107&lt;&gt;"",$H107,$E107))),IF(O107&gt;0,"Yes - accruing","Not yet - from "&amp;TEXT(Q107,"dd/mm/yyyy")))))</f>
        <v/>
      </c>
      <c r="N107" s="9" t="str">
        <f aca="false">IF(V107=0,"",IF(Y107&lt;0,"-",INT(Y107/12)&amp;"y "&amp;MOD(Y107,12)&amp;"m"))</f>
        <v/>
      </c>
      <c r="O107" s="10" t="str">
        <f aca="false">IF(V107=0,"",AD107+IF(AH107="",0,AF107-AE107))</f>
        <v/>
      </c>
      <c r="P107" s="10" t="str">
        <f aca="false">IF(V107=0,"",O107*HoursPerDay)</f>
        <v/>
      </c>
      <c r="Q107" s="11" t="str">
        <f aca="false">IF(V107=0,"",IF(OR(W107=1,AC107="None"),"",EDATE(($D107+N($J107)),AG107)))</f>
        <v/>
      </c>
      <c r="R107" s="10" t="str">
        <f aca="false">IF(V107=0,"",IF(NOT(EH_Ready),"",SUMIFS(INDEX(EH_Data,0,EH_ColBal),INDEX(EH_Data,0,EH_ColFirst),$A107,INDEX(EH_Data,0,EH_ColSur),$B107,INDEX(EH_Data,0,EH_ColCat),BonusCat)/IF(EHUnit="Hours",HoursPerDay,1)))</f>
        <v/>
      </c>
      <c r="S107" s="10" t="str">
        <f aca="false">IF(OR(V107=0,R107="",W107=1),"",O107-R107)</f>
        <v/>
      </c>
      <c r="T107" s="10" t="str">
        <f aca="false">IF(S107="","",S107*HoursPerDay)</f>
        <v/>
      </c>
      <c r="U107" s="9" t="str">
        <f aca="false">IF(V107=0,"",IF(W107=1,IF(N(R107)&gt;0,"TERMINATED - forfeit "&amp;TEXT(R107,"0.##")&amp;" days in EH","Terminated"),IF(NOT(EH_Ready),"Paste EH export (see Settings)",IF(S107&gt;0,"ADD "&amp;TEXT(S107,"0.##")&amp;" day(s) = "&amp;TEXT(T107,"0.##")&amp;" hrs in EH",IF(S107&lt;0,"CHECK - EH has "&amp;TEXT(-S107,"0.##")&amp;" days more than policy",IF(O107&gt;0,"OK","-"))))))</f>
        <v/>
      </c>
      <c r="V107" s="9" t="n">
        <f aca="false">IF(OR(LEN($A107&amp;$B107)=0,$D107=""),0,1)</f>
        <v>0</v>
      </c>
      <c r="W107" s="9" t="n">
        <f aca="false">IF(V107=0,0,IF(AND($K107&lt;&gt;"",$K107&lt;=AsOfDate),1,0))</f>
        <v>0</v>
      </c>
      <c r="X107" s="11" t="str">
        <f aca="false">IF(V107=0,"",IF($K107="",AsOfDate,MIN(AsOfDate,$K107)))</f>
        <v/>
      </c>
      <c r="Y107" s="9" t="str">
        <f aca="false">IF(V107=0,"",IF(X107&lt;($D107+N($J107)),-1,12*(YEAR(X107)-YEAR(($D107+N($J107))))+MONTH(X107)-MONTH(($D107+N($J107)))-IF(DAY(X107)&lt;MIN(DAY(($D107+N($J107))),DAY(EOMONTH(X107,0))),1,0)))</f>
        <v/>
      </c>
      <c r="Z107" s="9" t="str">
        <f aca="false">IF(V107=0,"",IF(AH107="",Y107,IF((AH107-1)&lt;($D107+N($J107)),-1,12*(YEAR((AH107-1))-YEAR(($D107+N($J107))))+MONTH((AH107-1))-MONTH(($D107+N($J107)))-IF(DAY((AH107-1))&lt;MIN(DAY(($D107+N($J107))),DAY(EOMONTH((AH107-1),0))),1,0))))</f>
        <v/>
      </c>
      <c r="AA107" s="9" t="str">
        <f aca="false">IF(V107=0,"",IF($E107="Full-Time","FT",IF(AND($E107="Part-Time",N($F107)&gt;=PT_MinHours),"PT","None")))</f>
        <v/>
      </c>
      <c r="AB107" s="9" t="str">
        <f aca="false">IF(V107=0,"",IF($H107="Full-Time","FT",IF(AND($H107="Part-Time",N($I107)&gt;=PT_MinHours),"PT","None")))</f>
        <v/>
      </c>
      <c r="AC107" s="9" t="str">
        <f aca="false">IF(V107=0,"",IF(AH107&lt;&gt;"",AB107,AA107))</f>
        <v/>
      </c>
      <c r="AD107" s="9" t="str">
        <f aca="false">IF(V107=0,"",IF(AA107="FT",IF(Z107&lt;FT_First,0,IF(Z107&lt;FT_Y5,1+INT((Z107-FT_First)/FT_Int1),FT_PreY5+FT_PerYear*INT((Z107-FT_Y5)/12)+FT_AnnivDays+INT(MOD(Z107-FT_Y5,12)/FT_Int2))),IF(AA107="PT",IF(Z107&lt;PT_First,0,1+INT((Z107-PT_First)/PT_Int)),0)))</f>
        <v/>
      </c>
      <c r="AE107" s="9" t="str">
        <f aca="false">IF(V107=0,"",IF(AB107="FT",IF(Z107&lt;FT_First,0,IF(Z107&lt;FT_Y5,1+INT((Z107-FT_First)/FT_Int1),FT_PreY5+FT_PerYear*INT((Z107-FT_Y5)/12)+FT_AnnivDays+INT(MOD(Z107-FT_Y5,12)/FT_Int2))),IF(AB107="PT",IF(Z107&lt;PT_First,0,1+INT((Z107-PT_First)/PT_Int)),0)))</f>
        <v/>
      </c>
      <c r="AF107" s="9" t="str">
        <f aca="false">IF(V107=0,"",IF(AB107="FT",IF(Y107&lt;FT_First,0,IF(Y107&lt;FT_Y5,1+INT((Y107-FT_First)/FT_Int1),FT_PreY5+FT_PerYear*INT((Y107-FT_Y5)/12)+FT_AnnivDays+INT(MOD(Y107-FT_Y5,12)/FT_Int2))),IF(AB107="PT",IF(Y107&lt;PT_First,0,1+INT((Y107-PT_First)/PT_Int)),0)))</f>
        <v/>
      </c>
      <c r="AG107" s="9" t="str">
        <f aca="false">IF(V107=0,"",IF(AC107="FT",IF(Y107&lt;FT_First,FT_First,IF(Y107&lt;FT_Y5,MIN(FT_Y5,FT_First+FT_Int1*(INT((Y107-FT_First)/FT_Int1)+1)),FT_Y5+12*INT((Y107-FT_Y5)/12)+FT_Int2*(INT(MOD(Y107-FT_Y5,12)/FT_Int2)+1))),IF(AC107="PT",IF(Y107&lt;PT_First,PT_First,PT_First+PT_Int*(INT((Y107-PT_First)/PT_Int)+1)),"")))</f>
        <v/>
      </c>
      <c r="AH107" s="11" t="str">
        <f aca="false">IF(V107=0,"",IF($G107="","",IF($G107&gt;X107,"",$G107)))</f>
        <v/>
      </c>
    </row>
    <row r="108" customFormat="false" ht="15" hidden="false" customHeight="false" outlineLevel="0" collapsed="false">
      <c r="A108" s="12"/>
      <c r="B108" s="12"/>
      <c r="C108" s="12"/>
      <c r="D108" s="13"/>
      <c r="E108" s="12"/>
      <c r="F108" s="14"/>
      <c r="G108" s="13"/>
      <c r="H108" s="12"/>
      <c r="I108" s="14"/>
      <c r="J108" s="14"/>
      <c r="K108" s="13"/>
      <c r="L108" s="9" t="str">
        <f aca="false">IF(V108=0,"",IF($G108="","",$E108&amp;" to "&amp;$H108&amp;IF($H108="Part-Time"," "&amp;N($I108)&amp;" hrs","")&amp;" on "&amp;TEXT($G108,"dd/mm/yyyy")&amp;IF($G108&gt;AsOfDate," (future)",IF(AA108=AC108,"",IF(AC108="None"," - STOPPED accruing",IF(AA108="None"," - now qualifying"," - pathway changed"))))))</f>
        <v/>
      </c>
      <c r="M108" s="9" t="str">
        <f aca="false">IF(V108=0,"",IF(W108=1,"Terminated",IF(AC108="None",IF(O108&gt;0,"No longer accruing","Not eligible - "&amp;IF(AND(AC108="None",IF(AH108&lt;&gt;"",$H108,$E108)="Part-Time"),"under "&amp;PT_MinHours&amp;" hrs",IF(AH108&lt;&gt;"",$H108,$E108))),IF(O108&gt;0,"Yes - accruing","Not yet - from "&amp;TEXT(Q108,"dd/mm/yyyy")))))</f>
        <v/>
      </c>
      <c r="N108" s="9" t="str">
        <f aca="false">IF(V108=0,"",IF(Y108&lt;0,"-",INT(Y108/12)&amp;"y "&amp;MOD(Y108,12)&amp;"m"))</f>
        <v/>
      </c>
      <c r="O108" s="10" t="str">
        <f aca="false">IF(V108=0,"",AD108+IF(AH108="",0,AF108-AE108))</f>
        <v/>
      </c>
      <c r="P108" s="10" t="str">
        <f aca="false">IF(V108=0,"",O108*HoursPerDay)</f>
        <v/>
      </c>
      <c r="Q108" s="11" t="str">
        <f aca="false">IF(V108=0,"",IF(OR(W108=1,AC108="None"),"",EDATE(($D108+N($J108)),AG108)))</f>
        <v/>
      </c>
      <c r="R108" s="10" t="str">
        <f aca="false">IF(V108=0,"",IF(NOT(EH_Ready),"",SUMIFS(INDEX(EH_Data,0,EH_ColBal),INDEX(EH_Data,0,EH_ColFirst),$A108,INDEX(EH_Data,0,EH_ColSur),$B108,INDEX(EH_Data,0,EH_ColCat),BonusCat)/IF(EHUnit="Hours",HoursPerDay,1)))</f>
        <v/>
      </c>
      <c r="S108" s="10" t="str">
        <f aca="false">IF(OR(V108=0,R108="",W108=1),"",O108-R108)</f>
        <v/>
      </c>
      <c r="T108" s="10" t="str">
        <f aca="false">IF(S108="","",S108*HoursPerDay)</f>
        <v/>
      </c>
      <c r="U108" s="9" t="str">
        <f aca="false">IF(V108=0,"",IF(W108=1,IF(N(R108)&gt;0,"TERMINATED - forfeit "&amp;TEXT(R108,"0.##")&amp;" days in EH","Terminated"),IF(NOT(EH_Ready),"Paste EH export (see Settings)",IF(S108&gt;0,"ADD "&amp;TEXT(S108,"0.##")&amp;" day(s) = "&amp;TEXT(T108,"0.##")&amp;" hrs in EH",IF(S108&lt;0,"CHECK - EH has "&amp;TEXT(-S108,"0.##")&amp;" days more than policy",IF(O108&gt;0,"OK","-"))))))</f>
        <v/>
      </c>
      <c r="V108" s="9" t="n">
        <f aca="false">IF(OR(LEN($A108&amp;$B108)=0,$D108=""),0,1)</f>
        <v>0</v>
      </c>
      <c r="W108" s="9" t="n">
        <f aca="false">IF(V108=0,0,IF(AND($K108&lt;&gt;"",$K108&lt;=AsOfDate),1,0))</f>
        <v>0</v>
      </c>
      <c r="X108" s="11" t="str">
        <f aca="false">IF(V108=0,"",IF($K108="",AsOfDate,MIN(AsOfDate,$K108)))</f>
        <v/>
      </c>
      <c r="Y108" s="9" t="str">
        <f aca="false">IF(V108=0,"",IF(X108&lt;($D108+N($J108)),-1,12*(YEAR(X108)-YEAR(($D108+N($J108))))+MONTH(X108)-MONTH(($D108+N($J108)))-IF(DAY(X108)&lt;MIN(DAY(($D108+N($J108))),DAY(EOMONTH(X108,0))),1,0)))</f>
        <v/>
      </c>
      <c r="Z108" s="9" t="str">
        <f aca="false">IF(V108=0,"",IF(AH108="",Y108,IF((AH108-1)&lt;($D108+N($J108)),-1,12*(YEAR((AH108-1))-YEAR(($D108+N($J108))))+MONTH((AH108-1))-MONTH(($D108+N($J108)))-IF(DAY((AH108-1))&lt;MIN(DAY(($D108+N($J108))),DAY(EOMONTH((AH108-1),0))),1,0))))</f>
        <v/>
      </c>
      <c r="AA108" s="9" t="str">
        <f aca="false">IF(V108=0,"",IF($E108="Full-Time","FT",IF(AND($E108="Part-Time",N($F108)&gt;=PT_MinHours),"PT","None")))</f>
        <v/>
      </c>
      <c r="AB108" s="9" t="str">
        <f aca="false">IF(V108=0,"",IF($H108="Full-Time","FT",IF(AND($H108="Part-Time",N($I108)&gt;=PT_MinHours),"PT","None")))</f>
        <v/>
      </c>
      <c r="AC108" s="9" t="str">
        <f aca="false">IF(V108=0,"",IF(AH108&lt;&gt;"",AB108,AA108))</f>
        <v/>
      </c>
      <c r="AD108" s="9" t="str">
        <f aca="false">IF(V108=0,"",IF(AA108="FT",IF(Z108&lt;FT_First,0,IF(Z108&lt;FT_Y5,1+INT((Z108-FT_First)/FT_Int1),FT_PreY5+FT_PerYear*INT((Z108-FT_Y5)/12)+FT_AnnivDays+INT(MOD(Z108-FT_Y5,12)/FT_Int2))),IF(AA108="PT",IF(Z108&lt;PT_First,0,1+INT((Z108-PT_First)/PT_Int)),0)))</f>
        <v/>
      </c>
      <c r="AE108" s="9" t="str">
        <f aca="false">IF(V108=0,"",IF(AB108="FT",IF(Z108&lt;FT_First,0,IF(Z108&lt;FT_Y5,1+INT((Z108-FT_First)/FT_Int1),FT_PreY5+FT_PerYear*INT((Z108-FT_Y5)/12)+FT_AnnivDays+INT(MOD(Z108-FT_Y5,12)/FT_Int2))),IF(AB108="PT",IF(Z108&lt;PT_First,0,1+INT((Z108-PT_First)/PT_Int)),0)))</f>
        <v/>
      </c>
      <c r="AF108" s="9" t="str">
        <f aca="false">IF(V108=0,"",IF(AB108="FT",IF(Y108&lt;FT_First,0,IF(Y108&lt;FT_Y5,1+INT((Y108-FT_First)/FT_Int1),FT_PreY5+FT_PerYear*INT((Y108-FT_Y5)/12)+FT_AnnivDays+INT(MOD(Y108-FT_Y5,12)/FT_Int2))),IF(AB108="PT",IF(Y108&lt;PT_First,0,1+INT((Y108-PT_First)/PT_Int)),0)))</f>
        <v/>
      </c>
      <c r="AG108" s="9" t="str">
        <f aca="false">IF(V108=0,"",IF(AC108="FT",IF(Y108&lt;FT_First,FT_First,IF(Y108&lt;FT_Y5,MIN(FT_Y5,FT_First+FT_Int1*(INT((Y108-FT_First)/FT_Int1)+1)),FT_Y5+12*INT((Y108-FT_Y5)/12)+FT_Int2*(INT(MOD(Y108-FT_Y5,12)/FT_Int2)+1))),IF(AC108="PT",IF(Y108&lt;PT_First,PT_First,PT_First+PT_Int*(INT((Y108-PT_First)/PT_Int)+1)),"")))</f>
        <v/>
      </c>
      <c r="AH108" s="11" t="str">
        <f aca="false">IF(V108=0,"",IF($G108="","",IF($G108&gt;X108,"",$G108)))</f>
        <v/>
      </c>
    </row>
    <row r="109" customFormat="false" ht="15" hidden="false" customHeight="false" outlineLevel="0" collapsed="false">
      <c r="A109" s="12"/>
      <c r="B109" s="12"/>
      <c r="C109" s="12"/>
      <c r="D109" s="13"/>
      <c r="E109" s="12"/>
      <c r="F109" s="14"/>
      <c r="G109" s="13"/>
      <c r="H109" s="12"/>
      <c r="I109" s="14"/>
      <c r="J109" s="14"/>
      <c r="K109" s="13"/>
      <c r="L109" s="9" t="str">
        <f aca="false">IF(V109=0,"",IF($G109="","",$E109&amp;" to "&amp;$H109&amp;IF($H109="Part-Time"," "&amp;N($I109)&amp;" hrs","")&amp;" on "&amp;TEXT($G109,"dd/mm/yyyy")&amp;IF($G109&gt;AsOfDate," (future)",IF(AA109=AC109,"",IF(AC109="None"," - STOPPED accruing",IF(AA109="None"," - now qualifying"," - pathway changed"))))))</f>
        <v/>
      </c>
      <c r="M109" s="9" t="str">
        <f aca="false">IF(V109=0,"",IF(W109=1,"Terminated",IF(AC109="None",IF(O109&gt;0,"No longer accruing","Not eligible - "&amp;IF(AND(AC109="None",IF(AH109&lt;&gt;"",$H109,$E109)="Part-Time"),"under "&amp;PT_MinHours&amp;" hrs",IF(AH109&lt;&gt;"",$H109,$E109))),IF(O109&gt;0,"Yes - accruing","Not yet - from "&amp;TEXT(Q109,"dd/mm/yyyy")))))</f>
        <v/>
      </c>
      <c r="N109" s="9" t="str">
        <f aca="false">IF(V109=0,"",IF(Y109&lt;0,"-",INT(Y109/12)&amp;"y "&amp;MOD(Y109,12)&amp;"m"))</f>
        <v/>
      </c>
      <c r="O109" s="10" t="str">
        <f aca="false">IF(V109=0,"",AD109+IF(AH109="",0,AF109-AE109))</f>
        <v/>
      </c>
      <c r="P109" s="10" t="str">
        <f aca="false">IF(V109=0,"",O109*HoursPerDay)</f>
        <v/>
      </c>
      <c r="Q109" s="11" t="str">
        <f aca="false">IF(V109=0,"",IF(OR(W109=1,AC109="None"),"",EDATE(($D109+N($J109)),AG109)))</f>
        <v/>
      </c>
      <c r="R109" s="10" t="str">
        <f aca="false">IF(V109=0,"",IF(NOT(EH_Ready),"",SUMIFS(INDEX(EH_Data,0,EH_ColBal),INDEX(EH_Data,0,EH_ColFirst),$A109,INDEX(EH_Data,0,EH_ColSur),$B109,INDEX(EH_Data,0,EH_ColCat),BonusCat)/IF(EHUnit="Hours",HoursPerDay,1)))</f>
        <v/>
      </c>
      <c r="S109" s="10" t="str">
        <f aca="false">IF(OR(V109=0,R109="",W109=1),"",O109-R109)</f>
        <v/>
      </c>
      <c r="T109" s="10" t="str">
        <f aca="false">IF(S109="","",S109*HoursPerDay)</f>
        <v/>
      </c>
      <c r="U109" s="9" t="str">
        <f aca="false">IF(V109=0,"",IF(W109=1,IF(N(R109)&gt;0,"TERMINATED - forfeit "&amp;TEXT(R109,"0.##")&amp;" days in EH","Terminated"),IF(NOT(EH_Ready),"Paste EH export (see Settings)",IF(S109&gt;0,"ADD "&amp;TEXT(S109,"0.##")&amp;" day(s) = "&amp;TEXT(T109,"0.##")&amp;" hrs in EH",IF(S109&lt;0,"CHECK - EH has "&amp;TEXT(-S109,"0.##")&amp;" days more than policy",IF(O109&gt;0,"OK","-"))))))</f>
        <v/>
      </c>
      <c r="V109" s="9" t="n">
        <f aca="false">IF(OR(LEN($A109&amp;$B109)=0,$D109=""),0,1)</f>
        <v>0</v>
      </c>
      <c r="W109" s="9" t="n">
        <f aca="false">IF(V109=0,0,IF(AND($K109&lt;&gt;"",$K109&lt;=AsOfDate),1,0))</f>
        <v>0</v>
      </c>
      <c r="X109" s="11" t="str">
        <f aca="false">IF(V109=0,"",IF($K109="",AsOfDate,MIN(AsOfDate,$K109)))</f>
        <v/>
      </c>
      <c r="Y109" s="9" t="str">
        <f aca="false">IF(V109=0,"",IF(X109&lt;($D109+N($J109)),-1,12*(YEAR(X109)-YEAR(($D109+N($J109))))+MONTH(X109)-MONTH(($D109+N($J109)))-IF(DAY(X109)&lt;MIN(DAY(($D109+N($J109))),DAY(EOMONTH(X109,0))),1,0)))</f>
        <v/>
      </c>
      <c r="Z109" s="9" t="str">
        <f aca="false">IF(V109=0,"",IF(AH109="",Y109,IF((AH109-1)&lt;($D109+N($J109)),-1,12*(YEAR((AH109-1))-YEAR(($D109+N($J109))))+MONTH((AH109-1))-MONTH(($D109+N($J109)))-IF(DAY((AH109-1))&lt;MIN(DAY(($D109+N($J109))),DAY(EOMONTH((AH109-1),0))),1,0))))</f>
        <v/>
      </c>
      <c r="AA109" s="9" t="str">
        <f aca="false">IF(V109=0,"",IF($E109="Full-Time","FT",IF(AND($E109="Part-Time",N($F109)&gt;=PT_MinHours),"PT","None")))</f>
        <v/>
      </c>
      <c r="AB109" s="9" t="str">
        <f aca="false">IF(V109=0,"",IF($H109="Full-Time","FT",IF(AND($H109="Part-Time",N($I109)&gt;=PT_MinHours),"PT","None")))</f>
        <v/>
      </c>
      <c r="AC109" s="9" t="str">
        <f aca="false">IF(V109=0,"",IF(AH109&lt;&gt;"",AB109,AA109))</f>
        <v/>
      </c>
      <c r="AD109" s="9" t="str">
        <f aca="false">IF(V109=0,"",IF(AA109="FT",IF(Z109&lt;FT_First,0,IF(Z109&lt;FT_Y5,1+INT((Z109-FT_First)/FT_Int1),FT_PreY5+FT_PerYear*INT((Z109-FT_Y5)/12)+FT_AnnivDays+INT(MOD(Z109-FT_Y5,12)/FT_Int2))),IF(AA109="PT",IF(Z109&lt;PT_First,0,1+INT((Z109-PT_First)/PT_Int)),0)))</f>
        <v/>
      </c>
      <c r="AE109" s="9" t="str">
        <f aca="false">IF(V109=0,"",IF(AB109="FT",IF(Z109&lt;FT_First,0,IF(Z109&lt;FT_Y5,1+INT((Z109-FT_First)/FT_Int1),FT_PreY5+FT_PerYear*INT((Z109-FT_Y5)/12)+FT_AnnivDays+INT(MOD(Z109-FT_Y5,12)/FT_Int2))),IF(AB109="PT",IF(Z109&lt;PT_First,0,1+INT((Z109-PT_First)/PT_Int)),0)))</f>
        <v/>
      </c>
      <c r="AF109" s="9" t="str">
        <f aca="false">IF(V109=0,"",IF(AB109="FT",IF(Y109&lt;FT_First,0,IF(Y109&lt;FT_Y5,1+INT((Y109-FT_First)/FT_Int1),FT_PreY5+FT_PerYear*INT((Y109-FT_Y5)/12)+FT_AnnivDays+INT(MOD(Y109-FT_Y5,12)/FT_Int2))),IF(AB109="PT",IF(Y109&lt;PT_First,0,1+INT((Y109-PT_First)/PT_Int)),0)))</f>
        <v/>
      </c>
      <c r="AG109" s="9" t="str">
        <f aca="false">IF(V109=0,"",IF(AC109="FT",IF(Y109&lt;FT_First,FT_First,IF(Y109&lt;FT_Y5,MIN(FT_Y5,FT_First+FT_Int1*(INT((Y109-FT_First)/FT_Int1)+1)),FT_Y5+12*INT((Y109-FT_Y5)/12)+FT_Int2*(INT(MOD(Y109-FT_Y5,12)/FT_Int2)+1))),IF(AC109="PT",IF(Y109&lt;PT_First,PT_First,PT_First+PT_Int*(INT((Y109-PT_First)/PT_Int)+1)),"")))</f>
        <v/>
      </c>
      <c r="AH109" s="11" t="str">
        <f aca="false">IF(V109=0,"",IF($G109="","",IF($G109&gt;X109,"",$G109)))</f>
        <v/>
      </c>
    </row>
    <row r="110" customFormat="false" ht="15" hidden="false" customHeight="false" outlineLevel="0" collapsed="false">
      <c r="A110" s="12"/>
      <c r="B110" s="12"/>
      <c r="C110" s="12"/>
      <c r="D110" s="13"/>
      <c r="E110" s="12"/>
      <c r="F110" s="14"/>
      <c r="G110" s="13"/>
      <c r="H110" s="12"/>
      <c r="I110" s="14"/>
      <c r="J110" s="14"/>
      <c r="K110" s="13"/>
      <c r="L110" s="9" t="str">
        <f aca="false">IF(V110=0,"",IF($G110="","",$E110&amp;" to "&amp;$H110&amp;IF($H110="Part-Time"," "&amp;N($I110)&amp;" hrs","")&amp;" on "&amp;TEXT($G110,"dd/mm/yyyy")&amp;IF($G110&gt;AsOfDate," (future)",IF(AA110=AC110,"",IF(AC110="None"," - STOPPED accruing",IF(AA110="None"," - now qualifying"," - pathway changed"))))))</f>
        <v/>
      </c>
      <c r="M110" s="9" t="str">
        <f aca="false">IF(V110=0,"",IF(W110=1,"Terminated",IF(AC110="None",IF(O110&gt;0,"No longer accruing","Not eligible - "&amp;IF(AND(AC110="None",IF(AH110&lt;&gt;"",$H110,$E110)="Part-Time"),"under "&amp;PT_MinHours&amp;" hrs",IF(AH110&lt;&gt;"",$H110,$E110))),IF(O110&gt;0,"Yes - accruing","Not yet - from "&amp;TEXT(Q110,"dd/mm/yyyy")))))</f>
        <v/>
      </c>
      <c r="N110" s="9" t="str">
        <f aca="false">IF(V110=0,"",IF(Y110&lt;0,"-",INT(Y110/12)&amp;"y "&amp;MOD(Y110,12)&amp;"m"))</f>
        <v/>
      </c>
      <c r="O110" s="10" t="str">
        <f aca="false">IF(V110=0,"",AD110+IF(AH110="",0,AF110-AE110))</f>
        <v/>
      </c>
      <c r="P110" s="10" t="str">
        <f aca="false">IF(V110=0,"",O110*HoursPerDay)</f>
        <v/>
      </c>
      <c r="Q110" s="11" t="str">
        <f aca="false">IF(V110=0,"",IF(OR(W110=1,AC110="None"),"",EDATE(($D110+N($J110)),AG110)))</f>
        <v/>
      </c>
      <c r="R110" s="10" t="str">
        <f aca="false">IF(V110=0,"",IF(NOT(EH_Ready),"",SUMIFS(INDEX(EH_Data,0,EH_ColBal),INDEX(EH_Data,0,EH_ColFirst),$A110,INDEX(EH_Data,0,EH_ColSur),$B110,INDEX(EH_Data,0,EH_ColCat),BonusCat)/IF(EHUnit="Hours",HoursPerDay,1)))</f>
        <v/>
      </c>
      <c r="S110" s="10" t="str">
        <f aca="false">IF(OR(V110=0,R110="",W110=1),"",O110-R110)</f>
        <v/>
      </c>
      <c r="T110" s="10" t="str">
        <f aca="false">IF(S110="","",S110*HoursPerDay)</f>
        <v/>
      </c>
      <c r="U110" s="9" t="str">
        <f aca="false">IF(V110=0,"",IF(W110=1,IF(N(R110)&gt;0,"TERMINATED - forfeit "&amp;TEXT(R110,"0.##")&amp;" days in EH","Terminated"),IF(NOT(EH_Ready),"Paste EH export (see Settings)",IF(S110&gt;0,"ADD "&amp;TEXT(S110,"0.##")&amp;" day(s) = "&amp;TEXT(T110,"0.##")&amp;" hrs in EH",IF(S110&lt;0,"CHECK - EH has "&amp;TEXT(-S110,"0.##")&amp;" days more than policy",IF(O110&gt;0,"OK","-"))))))</f>
        <v/>
      </c>
      <c r="V110" s="9" t="n">
        <f aca="false">IF(OR(LEN($A110&amp;$B110)=0,$D110=""),0,1)</f>
        <v>0</v>
      </c>
      <c r="W110" s="9" t="n">
        <f aca="false">IF(V110=0,0,IF(AND($K110&lt;&gt;"",$K110&lt;=AsOfDate),1,0))</f>
        <v>0</v>
      </c>
      <c r="X110" s="11" t="str">
        <f aca="false">IF(V110=0,"",IF($K110="",AsOfDate,MIN(AsOfDate,$K110)))</f>
        <v/>
      </c>
      <c r="Y110" s="9" t="str">
        <f aca="false">IF(V110=0,"",IF(X110&lt;($D110+N($J110)),-1,12*(YEAR(X110)-YEAR(($D110+N($J110))))+MONTH(X110)-MONTH(($D110+N($J110)))-IF(DAY(X110)&lt;MIN(DAY(($D110+N($J110))),DAY(EOMONTH(X110,0))),1,0)))</f>
        <v/>
      </c>
      <c r="Z110" s="9" t="str">
        <f aca="false">IF(V110=0,"",IF(AH110="",Y110,IF((AH110-1)&lt;($D110+N($J110)),-1,12*(YEAR((AH110-1))-YEAR(($D110+N($J110))))+MONTH((AH110-1))-MONTH(($D110+N($J110)))-IF(DAY((AH110-1))&lt;MIN(DAY(($D110+N($J110))),DAY(EOMONTH((AH110-1),0))),1,0))))</f>
        <v/>
      </c>
      <c r="AA110" s="9" t="str">
        <f aca="false">IF(V110=0,"",IF($E110="Full-Time","FT",IF(AND($E110="Part-Time",N($F110)&gt;=PT_MinHours),"PT","None")))</f>
        <v/>
      </c>
      <c r="AB110" s="9" t="str">
        <f aca="false">IF(V110=0,"",IF($H110="Full-Time","FT",IF(AND($H110="Part-Time",N($I110)&gt;=PT_MinHours),"PT","None")))</f>
        <v/>
      </c>
      <c r="AC110" s="9" t="str">
        <f aca="false">IF(V110=0,"",IF(AH110&lt;&gt;"",AB110,AA110))</f>
        <v/>
      </c>
      <c r="AD110" s="9" t="str">
        <f aca="false">IF(V110=0,"",IF(AA110="FT",IF(Z110&lt;FT_First,0,IF(Z110&lt;FT_Y5,1+INT((Z110-FT_First)/FT_Int1),FT_PreY5+FT_PerYear*INT((Z110-FT_Y5)/12)+FT_AnnivDays+INT(MOD(Z110-FT_Y5,12)/FT_Int2))),IF(AA110="PT",IF(Z110&lt;PT_First,0,1+INT((Z110-PT_First)/PT_Int)),0)))</f>
        <v/>
      </c>
      <c r="AE110" s="9" t="str">
        <f aca="false">IF(V110=0,"",IF(AB110="FT",IF(Z110&lt;FT_First,0,IF(Z110&lt;FT_Y5,1+INT((Z110-FT_First)/FT_Int1),FT_PreY5+FT_PerYear*INT((Z110-FT_Y5)/12)+FT_AnnivDays+INT(MOD(Z110-FT_Y5,12)/FT_Int2))),IF(AB110="PT",IF(Z110&lt;PT_First,0,1+INT((Z110-PT_First)/PT_Int)),0)))</f>
        <v/>
      </c>
      <c r="AF110" s="9" t="str">
        <f aca="false">IF(V110=0,"",IF(AB110="FT",IF(Y110&lt;FT_First,0,IF(Y110&lt;FT_Y5,1+INT((Y110-FT_First)/FT_Int1),FT_PreY5+FT_PerYear*INT((Y110-FT_Y5)/12)+FT_AnnivDays+INT(MOD(Y110-FT_Y5,12)/FT_Int2))),IF(AB110="PT",IF(Y110&lt;PT_First,0,1+INT((Y110-PT_First)/PT_Int)),0)))</f>
        <v/>
      </c>
      <c r="AG110" s="9" t="str">
        <f aca="false">IF(V110=0,"",IF(AC110="FT",IF(Y110&lt;FT_First,FT_First,IF(Y110&lt;FT_Y5,MIN(FT_Y5,FT_First+FT_Int1*(INT((Y110-FT_First)/FT_Int1)+1)),FT_Y5+12*INT((Y110-FT_Y5)/12)+FT_Int2*(INT(MOD(Y110-FT_Y5,12)/FT_Int2)+1))),IF(AC110="PT",IF(Y110&lt;PT_First,PT_First,PT_First+PT_Int*(INT((Y110-PT_First)/PT_Int)+1)),"")))</f>
        <v/>
      </c>
      <c r="AH110" s="11" t="str">
        <f aca="false">IF(V110=0,"",IF($G110="","",IF($G110&gt;X110,"",$G110)))</f>
        <v/>
      </c>
    </row>
    <row r="111" customFormat="false" ht="15" hidden="false" customHeight="false" outlineLevel="0" collapsed="false">
      <c r="A111" s="12"/>
      <c r="B111" s="12"/>
      <c r="C111" s="12"/>
      <c r="D111" s="13"/>
      <c r="E111" s="12"/>
      <c r="F111" s="14"/>
      <c r="G111" s="13"/>
      <c r="H111" s="12"/>
      <c r="I111" s="14"/>
      <c r="J111" s="14"/>
      <c r="K111" s="13"/>
      <c r="L111" s="9" t="str">
        <f aca="false">IF(V111=0,"",IF($G111="","",$E111&amp;" to "&amp;$H111&amp;IF($H111="Part-Time"," "&amp;N($I111)&amp;" hrs","")&amp;" on "&amp;TEXT($G111,"dd/mm/yyyy")&amp;IF($G111&gt;AsOfDate," (future)",IF(AA111=AC111,"",IF(AC111="None"," - STOPPED accruing",IF(AA111="None"," - now qualifying"," - pathway changed"))))))</f>
        <v/>
      </c>
      <c r="M111" s="9" t="str">
        <f aca="false">IF(V111=0,"",IF(W111=1,"Terminated",IF(AC111="None",IF(O111&gt;0,"No longer accruing","Not eligible - "&amp;IF(AND(AC111="None",IF(AH111&lt;&gt;"",$H111,$E111)="Part-Time"),"under "&amp;PT_MinHours&amp;" hrs",IF(AH111&lt;&gt;"",$H111,$E111))),IF(O111&gt;0,"Yes - accruing","Not yet - from "&amp;TEXT(Q111,"dd/mm/yyyy")))))</f>
        <v/>
      </c>
      <c r="N111" s="9" t="str">
        <f aca="false">IF(V111=0,"",IF(Y111&lt;0,"-",INT(Y111/12)&amp;"y "&amp;MOD(Y111,12)&amp;"m"))</f>
        <v/>
      </c>
      <c r="O111" s="10" t="str">
        <f aca="false">IF(V111=0,"",AD111+IF(AH111="",0,AF111-AE111))</f>
        <v/>
      </c>
      <c r="P111" s="10" t="str">
        <f aca="false">IF(V111=0,"",O111*HoursPerDay)</f>
        <v/>
      </c>
      <c r="Q111" s="11" t="str">
        <f aca="false">IF(V111=0,"",IF(OR(W111=1,AC111="None"),"",EDATE(($D111+N($J111)),AG111)))</f>
        <v/>
      </c>
      <c r="R111" s="10" t="str">
        <f aca="false">IF(V111=0,"",IF(NOT(EH_Ready),"",SUMIFS(INDEX(EH_Data,0,EH_ColBal),INDEX(EH_Data,0,EH_ColFirst),$A111,INDEX(EH_Data,0,EH_ColSur),$B111,INDEX(EH_Data,0,EH_ColCat),BonusCat)/IF(EHUnit="Hours",HoursPerDay,1)))</f>
        <v/>
      </c>
      <c r="S111" s="10" t="str">
        <f aca="false">IF(OR(V111=0,R111="",W111=1),"",O111-R111)</f>
        <v/>
      </c>
      <c r="T111" s="10" t="str">
        <f aca="false">IF(S111="","",S111*HoursPerDay)</f>
        <v/>
      </c>
      <c r="U111" s="9" t="str">
        <f aca="false">IF(V111=0,"",IF(W111=1,IF(N(R111)&gt;0,"TERMINATED - forfeit "&amp;TEXT(R111,"0.##")&amp;" days in EH","Terminated"),IF(NOT(EH_Ready),"Paste EH export (see Settings)",IF(S111&gt;0,"ADD "&amp;TEXT(S111,"0.##")&amp;" day(s) = "&amp;TEXT(T111,"0.##")&amp;" hrs in EH",IF(S111&lt;0,"CHECK - EH has "&amp;TEXT(-S111,"0.##")&amp;" days more than policy",IF(O111&gt;0,"OK","-"))))))</f>
        <v/>
      </c>
      <c r="V111" s="9" t="n">
        <f aca="false">IF(OR(LEN($A111&amp;$B111)=0,$D111=""),0,1)</f>
        <v>0</v>
      </c>
      <c r="W111" s="9" t="n">
        <f aca="false">IF(V111=0,0,IF(AND($K111&lt;&gt;"",$K111&lt;=AsOfDate),1,0))</f>
        <v>0</v>
      </c>
      <c r="X111" s="11" t="str">
        <f aca="false">IF(V111=0,"",IF($K111="",AsOfDate,MIN(AsOfDate,$K111)))</f>
        <v/>
      </c>
      <c r="Y111" s="9" t="str">
        <f aca="false">IF(V111=0,"",IF(X111&lt;($D111+N($J111)),-1,12*(YEAR(X111)-YEAR(($D111+N($J111))))+MONTH(X111)-MONTH(($D111+N($J111)))-IF(DAY(X111)&lt;MIN(DAY(($D111+N($J111))),DAY(EOMONTH(X111,0))),1,0)))</f>
        <v/>
      </c>
      <c r="Z111" s="9" t="str">
        <f aca="false">IF(V111=0,"",IF(AH111="",Y111,IF((AH111-1)&lt;($D111+N($J111)),-1,12*(YEAR((AH111-1))-YEAR(($D111+N($J111))))+MONTH((AH111-1))-MONTH(($D111+N($J111)))-IF(DAY((AH111-1))&lt;MIN(DAY(($D111+N($J111))),DAY(EOMONTH((AH111-1),0))),1,0))))</f>
        <v/>
      </c>
      <c r="AA111" s="9" t="str">
        <f aca="false">IF(V111=0,"",IF($E111="Full-Time","FT",IF(AND($E111="Part-Time",N($F111)&gt;=PT_MinHours),"PT","None")))</f>
        <v/>
      </c>
      <c r="AB111" s="9" t="str">
        <f aca="false">IF(V111=0,"",IF($H111="Full-Time","FT",IF(AND($H111="Part-Time",N($I111)&gt;=PT_MinHours),"PT","None")))</f>
        <v/>
      </c>
      <c r="AC111" s="9" t="str">
        <f aca="false">IF(V111=0,"",IF(AH111&lt;&gt;"",AB111,AA111))</f>
        <v/>
      </c>
      <c r="AD111" s="9" t="str">
        <f aca="false">IF(V111=0,"",IF(AA111="FT",IF(Z111&lt;FT_First,0,IF(Z111&lt;FT_Y5,1+INT((Z111-FT_First)/FT_Int1),FT_PreY5+FT_PerYear*INT((Z111-FT_Y5)/12)+FT_AnnivDays+INT(MOD(Z111-FT_Y5,12)/FT_Int2))),IF(AA111="PT",IF(Z111&lt;PT_First,0,1+INT((Z111-PT_First)/PT_Int)),0)))</f>
        <v/>
      </c>
      <c r="AE111" s="9" t="str">
        <f aca="false">IF(V111=0,"",IF(AB111="FT",IF(Z111&lt;FT_First,0,IF(Z111&lt;FT_Y5,1+INT((Z111-FT_First)/FT_Int1),FT_PreY5+FT_PerYear*INT((Z111-FT_Y5)/12)+FT_AnnivDays+INT(MOD(Z111-FT_Y5,12)/FT_Int2))),IF(AB111="PT",IF(Z111&lt;PT_First,0,1+INT((Z111-PT_First)/PT_Int)),0)))</f>
        <v/>
      </c>
      <c r="AF111" s="9" t="str">
        <f aca="false">IF(V111=0,"",IF(AB111="FT",IF(Y111&lt;FT_First,0,IF(Y111&lt;FT_Y5,1+INT((Y111-FT_First)/FT_Int1),FT_PreY5+FT_PerYear*INT((Y111-FT_Y5)/12)+FT_AnnivDays+INT(MOD(Y111-FT_Y5,12)/FT_Int2))),IF(AB111="PT",IF(Y111&lt;PT_First,0,1+INT((Y111-PT_First)/PT_Int)),0)))</f>
        <v/>
      </c>
      <c r="AG111" s="9" t="str">
        <f aca="false">IF(V111=0,"",IF(AC111="FT",IF(Y111&lt;FT_First,FT_First,IF(Y111&lt;FT_Y5,MIN(FT_Y5,FT_First+FT_Int1*(INT((Y111-FT_First)/FT_Int1)+1)),FT_Y5+12*INT((Y111-FT_Y5)/12)+FT_Int2*(INT(MOD(Y111-FT_Y5,12)/FT_Int2)+1))),IF(AC111="PT",IF(Y111&lt;PT_First,PT_First,PT_First+PT_Int*(INT((Y111-PT_First)/PT_Int)+1)),"")))</f>
        <v/>
      </c>
      <c r="AH111" s="11" t="str">
        <f aca="false">IF(V111=0,"",IF($G111="","",IF($G111&gt;X111,"",$G111)))</f>
        <v/>
      </c>
    </row>
    <row r="112" customFormat="false" ht="15" hidden="false" customHeight="false" outlineLevel="0" collapsed="false">
      <c r="A112" s="12"/>
      <c r="B112" s="12"/>
      <c r="C112" s="12"/>
      <c r="D112" s="13"/>
      <c r="E112" s="12"/>
      <c r="F112" s="14"/>
      <c r="G112" s="13"/>
      <c r="H112" s="12"/>
      <c r="I112" s="14"/>
      <c r="J112" s="14"/>
      <c r="K112" s="13"/>
      <c r="L112" s="9" t="str">
        <f aca="false">IF(V112=0,"",IF($G112="","",$E112&amp;" to "&amp;$H112&amp;IF($H112="Part-Time"," "&amp;N($I112)&amp;" hrs","")&amp;" on "&amp;TEXT($G112,"dd/mm/yyyy")&amp;IF($G112&gt;AsOfDate," (future)",IF(AA112=AC112,"",IF(AC112="None"," - STOPPED accruing",IF(AA112="None"," - now qualifying"," - pathway changed"))))))</f>
        <v/>
      </c>
      <c r="M112" s="9" t="str">
        <f aca="false">IF(V112=0,"",IF(W112=1,"Terminated",IF(AC112="None",IF(O112&gt;0,"No longer accruing","Not eligible - "&amp;IF(AND(AC112="None",IF(AH112&lt;&gt;"",$H112,$E112)="Part-Time"),"under "&amp;PT_MinHours&amp;" hrs",IF(AH112&lt;&gt;"",$H112,$E112))),IF(O112&gt;0,"Yes - accruing","Not yet - from "&amp;TEXT(Q112,"dd/mm/yyyy")))))</f>
        <v/>
      </c>
      <c r="N112" s="9" t="str">
        <f aca="false">IF(V112=0,"",IF(Y112&lt;0,"-",INT(Y112/12)&amp;"y "&amp;MOD(Y112,12)&amp;"m"))</f>
        <v/>
      </c>
      <c r="O112" s="10" t="str">
        <f aca="false">IF(V112=0,"",AD112+IF(AH112="",0,AF112-AE112))</f>
        <v/>
      </c>
      <c r="P112" s="10" t="str">
        <f aca="false">IF(V112=0,"",O112*HoursPerDay)</f>
        <v/>
      </c>
      <c r="Q112" s="11" t="str">
        <f aca="false">IF(V112=0,"",IF(OR(W112=1,AC112="None"),"",EDATE(($D112+N($J112)),AG112)))</f>
        <v/>
      </c>
      <c r="R112" s="10" t="str">
        <f aca="false">IF(V112=0,"",IF(NOT(EH_Ready),"",SUMIFS(INDEX(EH_Data,0,EH_ColBal),INDEX(EH_Data,0,EH_ColFirst),$A112,INDEX(EH_Data,0,EH_ColSur),$B112,INDEX(EH_Data,0,EH_ColCat),BonusCat)/IF(EHUnit="Hours",HoursPerDay,1)))</f>
        <v/>
      </c>
      <c r="S112" s="10" t="str">
        <f aca="false">IF(OR(V112=0,R112="",W112=1),"",O112-R112)</f>
        <v/>
      </c>
      <c r="T112" s="10" t="str">
        <f aca="false">IF(S112="","",S112*HoursPerDay)</f>
        <v/>
      </c>
      <c r="U112" s="9" t="str">
        <f aca="false">IF(V112=0,"",IF(W112=1,IF(N(R112)&gt;0,"TERMINATED - forfeit "&amp;TEXT(R112,"0.##")&amp;" days in EH","Terminated"),IF(NOT(EH_Ready),"Paste EH export (see Settings)",IF(S112&gt;0,"ADD "&amp;TEXT(S112,"0.##")&amp;" day(s) = "&amp;TEXT(T112,"0.##")&amp;" hrs in EH",IF(S112&lt;0,"CHECK - EH has "&amp;TEXT(-S112,"0.##")&amp;" days more than policy",IF(O112&gt;0,"OK","-"))))))</f>
        <v/>
      </c>
      <c r="V112" s="9" t="n">
        <f aca="false">IF(OR(LEN($A112&amp;$B112)=0,$D112=""),0,1)</f>
        <v>0</v>
      </c>
      <c r="W112" s="9" t="n">
        <f aca="false">IF(V112=0,0,IF(AND($K112&lt;&gt;"",$K112&lt;=AsOfDate),1,0))</f>
        <v>0</v>
      </c>
      <c r="X112" s="11" t="str">
        <f aca="false">IF(V112=0,"",IF($K112="",AsOfDate,MIN(AsOfDate,$K112)))</f>
        <v/>
      </c>
      <c r="Y112" s="9" t="str">
        <f aca="false">IF(V112=0,"",IF(X112&lt;($D112+N($J112)),-1,12*(YEAR(X112)-YEAR(($D112+N($J112))))+MONTH(X112)-MONTH(($D112+N($J112)))-IF(DAY(X112)&lt;MIN(DAY(($D112+N($J112))),DAY(EOMONTH(X112,0))),1,0)))</f>
        <v/>
      </c>
      <c r="Z112" s="9" t="str">
        <f aca="false">IF(V112=0,"",IF(AH112="",Y112,IF((AH112-1)&lt;($D112+N($J112)),-1,12*(YEAR((AH112-1))-YEAR(($D112+N($J112))))+MONTH((AH112-1))-MONTH(($D112+N($J112)))-IF(DAY((AH112-1))&lt;MIN(DAY(($D112+N($J112))),DAY(EOMONTH((AH112-1),0))),1,0))))</f>
        <v/>
      </c>
      <c r="AA112" s="9" t="str">
        <f aca="false">IF(V112=0,"",IF($E112="Full-Time","FT",IF(AND($E112="Part-Time",N($F112)&gt;=PT_MinHours),"PT","None")))</f>
        <v/>
      </c>
      <c r="AB112" s="9" t="str">
        <f aca="false">IF(V112=0,"",IF($H112="Full-Time","FT",IF(AND($H112="Part-Time",N($I112)&gt;=PT_MinHours),"PT","None")))</f>
        <v/>
      </c>
      <c r="AC112" s="9" t="str">
        <f aca="false">IF(V112=0,"",IF(AH112&lt;&gt;"",AB112,AA112))</f>
        <v/>
      </c>
      <c r="AD112" s="9" t="str">
        <f aca="false">IF(V112=0,"",IF(AA112="FT",IF(Z112&lt;FT_First,0,IF(Z112&lt;FT_Y5,1+INT((Z112-FT_First)/FT_Int1),FT_PreY5+FT_PerYear*INT((Z112-FT_Y5)/12)+FT_AnnivDays+INT(MOD(Z112-FT_Y5,12)/FT_Int2))),IF(AA112="PT",IF(Z112&lt;PT_First,0,1+INT((Z112-PT_First)/PT_Int)),0)))</f>
        <v/>
      </c>
      <c r="AE112" s="9" t="str">
        <f aca="false">IF(V112=0,"",IF(AB112="FT",IF(Z112&lt;FT_First,0,IF(Z112&lt;FT_Y5,1+INT((Z112-FT_First)/FT_Int1),FT_PreY5+FT_PerYear*INT((Z112-FT_Y5)/12)+FT_AnnivDays+INT(MOD(Z112-FT_Y5,12)/FT_Int2))),IF(AB112="PT",IF(Z112&lt;PT_First,0,1+INT((Z112-PT_First)/PT_Int)),0)))</f>
        <v/>
      </c>
      <c r="AF112" s="9" t="str">
        <f aca="false">IF(V112=0,"",IF(AB112="FT",IF(Y112&lt;FT_First,0,IF(Y112&lt;FT_Y5,1+INT((Y112-FT_First)/FT_Int1),FT_PreY5+FT_PerYear*INT((Y112-FT_Y5)/12)+FT_AnnivDays+INT(MOD(Y112-FT_Y5,12)/FT_Int2))),IF(AB112="PT",IF(Y112&lt;PT_First,0,1+INT((Y112-PT_First)/PT_Int)),0)))</f>
        <v/>
      </c>
      <c r="AG112" s="9" t="str">
        <f aca="false">IF(V112=0,"",IF(AC112="FT",IF(Y112&lt;FT_First,FT_First,IF(Y112&lt;FT_Y5,MIN(FT_Y5,FT_First+FT_Int1*(INT((Y112-FT_First)/FT_Int1)+1)),FT_Y5+12*INT((Y112-FT_Y5)/12)+FT_Int2*(INT(MOD(Y112-FT_Y5,12)/FT_Int2)+1))),IF(AC112="PT",IF(Y112&lt;PT_First,PT_First,PT_First+PT_Int*(INT((Y112-PT_First)/PT_Int)+1)),"")))</f>
        <v/>
      </c>
      <c r="AH112" s="11" t="str">
        <f aca="false">IF(V112=0,"",IF($G112="","",IF($G112&gt;X112,"",$G112)))</f>
        <v/>
      </c>
    </row>
    <row r="113" customFormat="false" ht="15" hidden="false" customHeight="false" outlineLevel="0" collapsed="false">
      <c r="A113" s="12"/>
      <c r="B113" s="12"/>
      <c r="C113" s="12"/>
      <c r="D113" s="13"/>
      <c r="E113" s="12"/>
      <c r="F113" s="14"/>
      <c r="G113" s="13"/>
      <c r="H113" s="12"/>
      <c r="I113" s="14"/>
      <c r="J113" s="14"/>
      <c r="K113" s="13"/>
      <c r="L113" s="9" t="str">
        <f aca="false">IF(V113=0,"",IF($G113="","",$E113&amp;" to "&amp;$H113&amp;IF($H113="Part-Time"," "&amp;N($I113)&amp;" hrs","")&amp;" on "&amp;TEXT($G113,"dd/mm/yyyy")&amp;IF($G113&gt;AsOfDate," (future)",IF(AA113=AC113,"",IF(AC113="None"," - STOPPED accruing",IF(AA113="None"," - now qualifying"," - pathway changed"))))))</f>
        <v/>
      </c>
      <c r="M113" s="9" t="str">
        <f aca="false">IF(V113=0,"",IF(W113=1,"Terminated",IF(AC113="None",IF(O113&gt;0,"No longer accruing","Not eligible - "&amp;IF(AND(AC113="None",IF(AH113&lt;&gt;"",$H113,$E113)="Part-Time"),"under "&amp;PT_MinHours&amp;" hrs",IF(AH113&lt;&gt;"",$H113,$E113))),IF(O113&gt;0,"Yes - accruing","Not yet - from "&amp;TEXT(Q113,"dd/mm/yyyy")))))</f>
        <v/>
      </c>
      <c r="N113" s="9" t="str">
        <f aca="false">IF(V113=0,"",IF(Y113&lt;0,"-",INT(Y113/12)&amp;"y "&amp;MOD(Y113,12)&amp;"m"))</f>
        <v/>
      </c>
      <c r="O113" s="10" t="str">
        <f aca="false">IF(V113=0,"",AD113+IF(AH113="",0,AF113-AE113))</f>
        <v/>
      </c>
      <c r="P113" s="10" t="str">
        <f aca="false">IF(V113=0,"",O113*HoursPerDay)</f>
        <v/>
      </c>
      <c r="Q113" s="11" t="str">
        <f aca="false">IF(V113=0,"",IF(OR(W113=1,AC113="None"),"",EDATE(($D113+N($J113)),AG113)))</f>
        <v/>
      </c>
      <c r="R113" s="10" t="str">
        <f aca="false">IF(V113=0,"",IF(NOT(EH_Ready),"",SUMIFS(INDEX(EH_Data,0,EH_ColBal),INDEX(EH_Data,0,EH_ColFirst),$A113,INDEX(EH_Data,0,EH_ColSur),$B113,INDEX(EH_Data,0,EH_ColCat),BonusCat)/IF(EHUnit="Hours",HoursPerDay,1)))</f>
        <v/>
      </c>
      <c r="S113" s="10" t="str">
        <f aca="false">IF(OR(V113=0,R113="",W113=1),"",O113-R113)</f>
        <v/>
      </c>
      <c r="T113" s="10" t="str">
        <f aca="false">IF(S113="","",S113*HoursPerDay)</f>
        <v/>
      </c>
      <c r="U113" s="9" t="str">
        <f aca="false">IF(V113=0,"",IF(W113=1,IF(N(R113)&gt;0,"TERMINATED - forfeit "&amp;TEXT(R113,"0.##")&amp;" days in EH","Terminated"),IF(NOT(EH_Ready),"Paste EH export (see Settings)",IF(S113&gt;0,"ADD "&amp;TEXT(S113,"0.##")&amp;" day(s) = "&amp;TEXT(T113,"0.##")&amp;" hrs in EH",IF(S113&lt;0,"CHECK - EH has "&amp;TEXT(-S113,"0.##")&amp;" days more than policy",IF(O113&gt;0,"OK","-"))))))</f>
        <v/>
      </c>
      <c r="V113" s="9" t="n">
        <f aca="false">IF(OR(LEN($A113&amp;$B113)=0,$D113=""),0,1)</f>
        <v>0</v>
      </c>
      <c r="W113" s="9" t="n">
        <f aca="false">IF(V113=0,0,IF(AND($K113&lt;&gt;"",$K113&lt;=AsOfDate),1,0))</f>
        <v>0</v>
      </c>
      <c r="X113" s="11" t="str">
        <f aca="false">IF(V113=0,"",IF($K113="",AsOfDate,MIN(AsOfDate,$K113)))</f>
        <v/>
      </c>
      <c r="Y113" s="9" t="str">
        <f aca="false">IF(V113=0,"",IF(X113&lt;($D113+N($J113)),-1,12*(YEAR(X113)-YEAR(($D113+N($J113))))+MONTH(X113)-MONTH(($D113+N($J113)))-IF(DAY(X113)&lt;MIN(DAY(($D113+N($J113))),DAY(EOMONTH(X113,0))),1,0)))</f>
        <v/>
      </c>
      <c r="Z113" s="9" t="str">
        <f aca="false">IF(V113=0,"",IF(AH113="",Y113,IF((AH113-1)&lt;($D113+N($J113)),-1,12*(YEAR((AH113-1))-YEAR(($D113+N($J113))))+MONTH((AH113-1))-MONTH(($D113+N($J113)))-IF(DAY((AH113-1))&lt;MIN(DAY(($D113+N($J113))),DAY(EOMONTH((AH113-1),0))),1,0))))</f>
        <v/>
      </c>
      <c r="AA113" s="9" t="str">
        <f aca="false">IF(V113=0,"",IF($E113="Full-Time","FT",IF(AND($E113="Part-Time",N($F113)&gt;=PT_MinHours),"PT","None")))</f>
        <v/>
      </c>
      <c r="AB113" s="9" t="str">
        <f aca="false">IF(V113=0,"",IF($H113="Full-Time","FT",IF(AND($H113="Part-Time",N($I113)&gt;=PT_MinHours),"PT","None")))</f>
        <v/>
      </c>
      <c r="AC113" s="9" t="str">
        <f aca="false">IF(V113=0,"",IF(AH113&lt;&gt;"",AB113,AA113))</f>
        <v/>
      </c>
      <c r="AD113" s="9" t="str">
        <f aca="false">IF(V113=0,"",IF(AA113="FT",IF(Z113&lt;FT_First,0,IF(Z113&lt;FT_Y5,1+INT((Z113-FT_First)/FT_Int1),FT_PreY5+FT_PerYear*INT((Z113-FT_Y5)/12)+FT_AnnivDays+INT(MOD(Z113-FT_Y5,12)/FT_Int2))),IF(AA113="PT",IF(Z113&lt;PT_First,0,1+INT((Z113-PT_First)/PT_Int)),0)))</f>
        <v/>
      </c>
      <c r="AE113" s="9" t="str">
        <f aca="false">IF(V113=0,"",IF(AB113="FT",IF(Z113&lt;FT_First,0,IF(Z113&lt;FT_Y5,1+INT((Z113-FT_First)/FT_Int1),FT_PreY5+FT_PerYear*INT((Z113-FT_Y5)/12)+FT_AnnivDays+INT(MOD(Z113-FT_Y5,12)/FT_Int2))),IF(AB113="PT",IF(Z113&lt;PT_First,0,1+INT((Z113-PT_First)/PT_Int)),0)))</f>
        <v/>
      </c>
      <c r="AF113" s="9" t="str">
        <f aca="false">IF(V113=0,"",IF(AB113="FT",IF(Y113&lt;FT_First,0,IF(Y113&lt;FT_Y5,1+INT((Y113-FT_First)/FT_Int1),FT_PreY5+FT_PerYear*INT((Y113-FT_Y5)/12)+FT_AnnivDays+INT(MOD(Y113-FT_Y5,12)/FT_Int2))),IF(AB113="PT",IF(Y113&lt;PT_First,0,1+INT((Y113-PT_First)/PT_Int)),0)))</f>
        <v/>
      </c>
      <c r="AG113" s="9" t="str">
        <f aca="false">IF(V113=0,"",IF(AC113="FT",IF(Y113&lt;FT_First,FT_First,IF(Y113&lt;FT_Y5,MIN(FT_Y5,FT_First+FT_Int1*(INT((Y113-FT_First)/FT_Int1)+1)),FT_Y5+12*INT((Y113-FT_Y5)/12)+FT_Int2*(INT(MOD(Y113-FT_Y5,12)/FT_Int2)+1))),IF(AC113="PT",IF(Y113&lt;PT_First,PT_First,PT_First+PT_Int*(INT((Y113-PT_First)/PT_Int)+1)),"")))</f>
        <v/>
      </c>
      <c r="AH113" s="11" t="str">
        <f aca="false">IF(V113=0,"",IF($G113="","",IF($G113&gt;X113,"",$G113)))</f>
        <v/>
      </c>
    </row>
    <row r="114" customFormat="false" ht="15" hidden="false" customHeight="false" outlineLevel="0" collapsed="false">
      <c r="A114" s="12"/>
      <c r="B114" s="12"/>
      <c r="C114" s="12"/>
      <c r="D114" s="13"/>
      <c r="E114" s="12"/>
      <c r="F114" s="14"/>
      <c r="G114" s="13"/>
      <c r="H114" s="12"/>
      <c r="I114" s="14"/>
      <c r="J114" s="14"/>
      <c r="K114" s="13"/>
      <c r="L114" s="9" t="str">
        <f aca="false">IF(V114=0,"",IF($G114="","",$E114&amp;" to "&amp;$H114&amp;IF($H114="Part-Time"," "&amp;N($I114)&amp;" hrs","")&amp;" on "&amp;TEXT($G114,"dd/mm/yyyy")&amp;IF($G114&gt;AsOfDate," (future)",IF(AA114=AC114,"",IF(AC114="None"," - STOPPED accruing",IF(AA114="None"," - now qualifying"," - pathway changed"))))))</f>
        <v/>
      </c>
      <c r="M114" s="9" t="str">
        <f aca="false">IF(V114=0,"",IF(W114=1,"Terminated",IF(AC114="None",IF(O114&gt;0,"No longer accruing","Not eligible - "&amp;IF(AND(AC114="None",IF(AH114&lt;&gt;"",$H114,$E114)="Part-Time"),"under "&amp;PT_MinHours&amp;" hrs",IF(AH114&lt;&gt;"",$H114,$E114))),IF(O114&gt;0,"Yes - accruing","Not yet - from "&amp;TEXT(Q114,"dd/mm/yyyy")))))</f>
        <v/>
      </c>
      <c r="N114" s="9" t="str">
        <f aca="false">IF(V114=0,"",IF(Y114&lt;0,"-",INT(Y114/12)&amp;"y "&amp;MOD(Y114,12)&amp;"m"))</f>
        <v/>
      </c>
      <c r="O114" s="10" t="str">
        <f aca="false">IF(V114=0,"",AD114+IF(AH114="",0,AF114-AE114))</f>
        <v/>
      </c>
      <c r="P114" s="10" t="str">
        <f aca="false">IF(V114=0,"",O114*HoursPerDay)</f>
        <v/>
      </c>
      <c r="Q114" s="11" t="str">
        <f aca="false">IF(V114=0,"",IF(OR(W114=1,AC114="None"),"",EDATE(($D114+N($J114)),AG114)))</f>
        <v/>
      </c>
      <c r="R114" s="10" t="str">
        <f aca="false">IF(V114=0,"",IF(NOT(EH_Ready),"",SUMIFS(INDEX(EH_Data,0,EH_ColBal),INDEX(EH_Data,0,EH_ColFirst),$A114,INDEX(EH_Data,0,EH_ColSur),$B114,INDEX(EH_Data,0,EH_ColCat),BonusCat)/IF(EHUnit="Hours",HoursPerDay,1)))</f>
        <v/>
      </c>
      <c r="S114" s="10" t="str">
        <f aca="false">IF(OR(V114=0,R114="",W114=1),"",O114-R114)</f>
        <v/>
      </c>
      <c r="T114" s="10" t="str">
        <f aca="false">IF(S114="","",S114*HoursPerDay)</f>
        <v/>
      </c>
      <c r="U114" s="9" t="str">
        <f aca="false">IF(V114=0,"",IF(W114=1,IF(N(R114)&gt;0,"TERMINATED - forfeit "&amp;TEXT(R114,"0.##")&amp;" days in EH","Terminated"),IF(NOT(EH_Ready),"Paste EH export (see Settings)",IF(S114&gt;0,"ADD "&amp;TEXT(S114,"0.##")&amp;" day(s) = "&amp;TEXT(T114,"0.##")&amp;" hrs in EH",IF(S114&lt;0,"CHECK - EH has "&amp;TEXT(-S114,"0.##")&amp;" days more than policy",IF(O114&gt;0,"OK","-"))))))</f>
        <v/>
      </c>
      <c r="V114" s="9" t="n">
        <f aca="false">IF(OR(LEN($A114&amp;$B114)=0,$D114=""),0,1)</f>
        <v>0</v>
      </c>
      <c r="W114" s="9" t="n">
        <f aca="false">IF(V114=0,0,IF(AND($K114&lt;&gt;"",$K114&lt;=AsOfDate),1,0))</f>
        <v>0</v>
      </c>
      <c r="X114" s="11" t="str">
        <f aca="false">IF(V114=0,"",IF($K114="",AsOfDate,MIN(AsOfDate,$K114)))</f>
        <v/>
      </c>
      <c r="Y114" s="9" t="str">
        <f aca="false">IF(V114=0,"",IF(X114&lt;($D114+N($J114)),-1,12*(YEAR(X114)-YEAR(($D114+N($J114))))+MONTH(X114)-MONTH(($D114+N($J114)))-IF(DAY(X114)&lt;MIN(DAY(($D114+N($J114))),DAY(EOMONTH(X114,0))),1,0)))</f>
        <v/>
      </c>
      <c r="Z114" s="9" t="str">
        <f aca="false">IF(V114=0,"",IF(AH114="",Y114,IF((AH114-1)&lt;($D114+N($J114)),-1,12*(YEAR((AH114-1))-YEAR(($D114+N($J114))))+MONTH((AH114-1))-MONTH(($D114+N($J114)))-IF(DAY((AH114-1))&lt;MIN(DAY(($D114+N($J114))),DAY(EOMONTH((AH114-1),0))),1,0))))</f>
        <v/>
      </c>
      <c r="AA114" s="9" t="str">
        <f aca="false">IF(V114=0,"",IF($E114="Full-Time","FT",IF(AND($E114="Part-Time",N($F114)&gt;=PT_MinHours),"PT","None")))</f>
        <v/>
      </c>
      <c r="AB114" s="9" t="str">
        <f aca="false">IF(V114=0,"",IF($H114="Full-Time","FT",IF(AND($H114="Part-Time",N($I114)&gt;=PT_MinHours),"PT","None")))</f>
        <v/>
      </c>
      <c r="AC114" s="9" t="str">
        <f aca="false">IF(V114=0,"",IF(AH114&lt;&gt;"",AB114,AA114))</f>
        <v/>
      </c>
      <c r="AD114" s="9" t="str">
        <f aca="false">IF(V114=0,"",IF(AA114="FT",IF(Z114&lt;FT_First,0,IF(Z114&lt;FT_Y5,1+INT((Z114-FT_First)/FT_Int1),FT_PreY5+FT_PerYear*INT((Z114-FT_Y5)/12)+FT_AnnivDays+INT(MOD(Z114-FT_Y5,12)/FT_Int2))),IF(AA114="PT",IF(Z114&lt;PT_First,0,1+INT((Z114-PT_First)/PT_Int)),0)))</f>
        <v/>
      </c>
      <c r="AE114" s="9" t="str">
        <f aca="false">IF(V114=0,"",IF(AB114="FT",IF(Z114&lt;FT_First,0,IF(Z114&lt;FT_Y5,1+INT((Z114-FT_First)/FT_Int1),FT_PreY5+FT_PerYear*INT((Z114-FT_Y5)/12)+FT_AnnivDays+INT(MOD(Z114-FT_Y5,12)/FT_Int2))),IF(AB114="PT",IF(Z114&lt;PT_First,0,1+INT((Z114-PT_First)/PT_Int)),0)))</f>
        <v/>
      </c>
      <c r="AF114" s="9" t="str">
        <f aca="false">IF(V114=0,"",IF(AB114="FT",IF(Y114&lt;FT_First,0,IF(Y114&lt;FT_Y5,1+INT((Y114-FT_First)/FT_Int1),FT_PreY5+FT_PerYear*INT((Y114-FT_Y5)/12)+FT_AnnivDays+INT(MOD(Y114-FT_Y5,12)/FT_Int2))),IF(AB114="PT",IF(Y114&lt;PT_First,0,1+INT((Y114-PT_First)/PT_Int)),0)))</f>
        <v/>
      </c>
      <c r="AG114" s="9" t="str">
        <f aca="false">IF(V114=0,"",IF(AC114="FT",IF(Y114&lt;FT_First,FT_First,IF(Y114&lt;FT_Y5,MIN(FT_Y5,FT_First+FT_Int1*(INT((Y114-FT_First)/FT_Int1)+1)),FT_Y5+12*INT((Y114-FT_Y5)/12)+FT_Int2*(INT(MOD(Y114-FT_Y5,12)/FT_Int2)+1))),IF(AC114="PT",IF(Y114&lt;PT_First,PT_First,PT_First+PT_Int*(INT((Y114-PT_First)/PT_Int)+1)),"")))</f>
        <v/>
      </c>
      <c r="AH114" s="11" t="str">
        <f aca="false">IF(V114=0,"",IF($G114="","",IF($G114&gt;X114,"",$G114)))</f>
        <v/>
      </c>
    </row>
    <row r="115" customFormat="false" ht="15" hidden="false" customHeight="false" outlineLevel="0" collapsed="false">
      <c r="A115" s="12"/>
      <c r="B115" s="12"/>
      <c r="C115" s="12"/>
      <c r="D115" s="13"/>
      <c r="E115" s="12"/>
      <c r="F115" s="14"/>
      <c r="G115" s="13"/>
      <c r="H115" s="12"/>
      <c r="I115" s="14"/>
      <c r="J115" s="14"/>
      <c r="K115" s="13"/>
      <c r="L115" s="9" t="str">
        <f aca="false">IF(V115=0,"",IF($G115="","",$E115&amp;" to "&amp;$H115&amp;IF($H115="Part-Time"," "&amp;N($I115)&amp;" hrs","")&amp;" on "&amp;TEXT($G115,"dd/mm/yyyy")&amp;IF($G115&gt;AsOfDate," (future)",IF(AA115=AC115,"",IF(AC115="None"," - STOPPED accruing",IF(AA115="None"," - now qualifying"," - pathway changed"))))))</f>
        <v/>
      </c>
      <c r="M115" s="9" t="str">
        <f aca="false">IF(V115=0,"",IF(W115=1,"Terminated",IF(AC115="None",IF(O115&gt;0,"No longer accruing","Not eligible - "&amp;IF(AND(AC115="None",IF(AH115&lt;&gt;"",$H115,$E115)="Part-Time"),"under "&amp;PT_MinHours&amp;" hrs",IF(AH115&lt;&gt;"",$H115,$E115))),IF(O115&gt;0,"Yes - accruing","Not yet - from "&amp;TEXT(Q115,"dd/mm/yyyy")))))</f>
        <v/>
      </c>
      <c r="N115" s="9" t="str">
        <f aca="false">IF(V115=0,"",IF(Y115&lt;0,"-",INT(Y115/12)&amp;"y "&amp;MOD(Y115,12)&amp;"m"))</f>
        <v/>
      </c>
      <c r="O115" s="10" t="str">
        <f aca="false">IF(V115=0,"",AD115+IF(AH115="",0,AF115-AE115))</f>
        <v/>
      </c>
      <c r="P115" s="10" t="str">
        <f aca="false">IF(V115=0,"",O115*HoursPerDay)</f>
        <v/>
      </c>
      <c r="Q115" s="11" t="str">
        <f aca="false">IF(V115=0,"",IF(OR(W115=1,AC115="None"),"",EDATE(($D115+N($J115)),AG115)))</f>
        <v/>
      </c>
      <c r="R115" s="10" t="str">
        <f aca="false">IF(V115=0,"",IF(NOT(EH_Ready),"",SUMIFS(INDEX(EH_Data,0,EH_ColBal),INDEX(EH_Data,0,EH_ColFirst),$A115,INDEX(EH_Data,0,EH_ColSur),$B115,INDEX(EH_Data,0,EH_ColCat),BonusCat)/IF(EHUnit="Hours",HoursPerDay,1)))</f>
        <v/>
      </c>
      <c r="S115" s="10" t="str">
        <f aca="false">IF(OR(V115=0,R115="",W115=1),"",O115-R115)</f>
        <v/>
      </c>
      <c r="T115" s="10" t="str">
        <f aca="false">IF(S115="","",S115*HoursPerDay)</f>
        <v/>
      </c>
      <c r="U115" s="9" t="str">
        <f aca="false">IF(V115=0,"",IF(W115=1,IF(N(R115)&gt;0,"TERMINATED - forfeit "&amp;TEXT(R115,"0.##")&amp;" days in EH","Terminated"),IF(NOT(EH_Ready),"Paste EH export (see Settings)",IF(S115&gt;0,"ADD "&amp;TEXT(S115,"0.##")&amp;" day(s) = "&amp;TEXT(T115,"0.##")&amp;" hrs in EH",IF(S115&lt;0,"CHECK - EH has "&amp;TEXT(-S115,"0.##")&amp;" days more than policy",IF(O115&gt;0,"OK","-"))))))</f>
        <v/>
      </c>
      <c r="V115" s="9" t="n">
        <f aca="false">IF(OR(LEN($A115&amp;$B115)=0,$D115=""),0,1)</f>
        <v>0</v>
      </c>
      <c r="W115" s="9" t="n">
        <f aca="false">IF(V115=0,0,IF(AND($K115&lt;&gt;"",$K115&lt;=AsOfDate),1,0))</f>
        <v>0</v>
      </c>
      <c r="X115" s="11" t="str">
        <f aca="false">IF(V115=0,"",IF($K115="",AsOfDate,MIN(AsOfDate,$K115)))</f>
        <v/>
      </c>
      <c r="Y115" s="9" t="str">
        <f aca="false">IF(V115=0,"",IF(X115&lt;($D115+N($J115)),-1,12*(YEAR(X115)-YEAR(($D115+N($J115))))+MONTH(X115)-MONTH(($D115+N($J115)))-IF(DAY(X115)&lt;MIN(DAY(($D115+N($J115))),DAY(EOMONTH(X115,0))),1,0)))</f>
        <v/>
      </c>
      <c r="Z115" s="9" t="str">
        <f aca="false">IF(V115=0,"",IF(AH115="",Y115,IF((AH115-1)&lt;($D115+N($J115)),-1,12*(YEAR((AH115-1))-YEAR(($D115+N($J115))))+MONTH((AH115-1))-MONTH(($D115+N($J115)))-IF(DAY((AH115-1))&lt;MIN(DAY(($D115+N($J115))),DAY(EOMONTH((AH115-1),0))),1,0))))</f>
        <v/>
      </c>
      <c r="AA115" s="9" t="str">
        <f aca="false">IF(V115=0,"",IF($E115="Full-Time","FT",IF(AND($E115="Part-Time",N($F115)&gt;=PT_MinHours),"PT","None")))</f>
        <v/>
      </c>
      <c r="AB115" s="9" t="str">
        <f aca="false">IF(V115=0,"",IF($H115="Full-Time","FT",IF(AND($H115="Part-Time",N($I115)&gt;=PT_MinHours),"PT","None")))</f>
        <v/>
      </c>
      <c r="AC115" s="9" t="str">
        <f aca="false">IF(V115=0,"",IF(AH115&lt;&gt;"",AB115,AA115))</f>
        <v/>
      </c>
      <c r="AD115" s="9" t="str">
        <f aca="false">IF(V115=0,"",IF(AA115="FT",IF(Z115&lt;FT_First,0,IF(Z115&lt;FT_Y5,1+INT((Z115-FT_First)/FT_Int1),FT_PreY5+FT_PerYear*INT((Z115-FT_Y5)/12)+FT_AnnivDays+INT(MOD(Z115-FT_Y5,12)/FT_Int2))),IF(AA115="PT",IF(Z115&lt;PT_First,0,1+INT((Z115-PT_First)/PT_Int)),0)))</f>
        <v/>
      </c>
      <c r="AE115" s="9" t="str">
        <f aca="false">IF(V115=0,"",IF(AB115="FT",IF(Z115&lt;FT_First,0,IF(Z115&lt;FT_Y5,1+INT((Z115-FT_First)/FT_Int1),FT_PreY5+FT_PerYear*INT((Z115-FT_Y5)/12)+FT_AnnivDays+INT(MOD(Z115-FT_Y5,12)/FT_Int2))),IF(AB115="PT",IF(Z115&lt;PT_First,0,1+INT((Z115-PT_First)/PT_Int)),0)))</f>
        <v/>
      </c>
      <c r="AF115" s="9" t="str">
        <f aca="false">IF(V115=0,"",IF(AB115="FT",IF(Y115&lt;FT_First,0,IF(Y115&lt;FT_Y5,1+INT((Y115-FT_First)/FT_Int1),FT_PreY5+FT_PerYear*INT((Y115-FT_Y5)/12)+FT_AnnivDays+INT(MOD(Y115-FT_Y5,12)/FT_Int2))),IF(AB115="PT",IF(Y115&lt;PT_First,0,1+INT((Y115-PT_First)/PT_Int)),0)))</f>
        <v/>
      </c>
      <c r="AG115" s="9" t="str">
        <f aca="false">IF(V115=0,"",IF(AC115="FT",IF(Y115&lt;FT_First,FT_First,IF(Y115&lt;FT_Y5,MIN(FT_Y5,FT_First+FT_Int1*(INT((Y115-FT_First)/FT_Int1)+1)),FT_Y5+12*INT((Y115-FT_Y5)/12)+FT_Int2*(INT(MOD(Y115-FT_Y5,12)/FT_Int2)+1))),IF(AC115="PT",IF(Y115&lt;PT_First,PT_First,PT_First+PT_Int*(INT((Y115-PT_First)/PT_Int)+1)),"")))</f>
        <v/>
      </c>
      <c r="AH115" s="11" t="str">
        <f aca="false">IF(V115=0,"",IF($G115="","",IF($G115&gt;X115,"",$G115)))</f>
        <v/>
      </c>
    </row>
    <row r="116" customFormat="false" ht="15" hidden="false" customHeight="false" outlineLevel="0" collapsed="false">
      <c r="A116" s="12"/>
      <c r="B116" s="12"/>
      <c r="C116" s="12"/>
      <c r="D116" s="13"/>
      <c r="E116" s="12"/>
      <c r="F116" s="14"/>
      <c r="G116" s="13"/>
      <c r="H116" s="12"/>
      <c r="I116" s="14"/>
      <c r="J116" s="14"/>
      <c r="K116" s="13"/>
      <c r="L116" s="9" t="str">
        <f aca="false">IF(V116=0,"",IF($G116="","",$E116&amp;" to "&amp;$H116&amp;IF($H116="Part-Time"," "&amp;N($I116)&amp;" hrs","")&amp;" on "&amp;TEXT($G116,"dd/mm/yyyy")&amp;IF($G116&gt;AsOfDate," (future)",IF(AA116=AC116,"",IF(AC116="None"," - STOPPED accruing",IF(AA116="None"," - now qualifying"," - pathway changed"))))))</f>
        <v/>
      </c>
      <c r="M116" s="9" t="str">
        <f aca="false">IF(V116=0,"",IF(W116=1,"Terminated",IF(AC116="None",IF(O116&gt;0,"No longer accruing","Not eligible - "&amp;IF(AND(AC116="None",IF(AH116&lt;&gt;"",$H116,$E116)="Part-Time"),"under "&amp;PT_MinHours&amp;" hrs",IF(AH116&lt;&gt;"",$H116,$E116))),IF(O116&gt;0,"Yes - accruing","Not yet - from "&amp;TEXT(Q116,"dd/mm/yyyy")))))</f>
        <v/>
      </c>
      <c r="N116" s="9" t="str">
        <f aca="false">IF(V116=0,"",IF(Y116&lt;0,"-",INT(Y116/12)&amp;"y "&amp;MOD(Y116,12)&amp;"m"))</f>
        <v/>
      </c>
      <c r="O116" s="10" t="str">
        <f aca="false">IF(V116=0,"",AD116+IF(AH116="",0,AF116-AE116))</f>
        <v/>
      </c>
      <c r="P116" s="10" t="str">
        <f aca="false">IF(V116=0,"",O116*HoursPerDay)</f>
        <v/>
      </c>
      <c r="Q116" s="11" t="str">
        <f aca="false">IF(V116=0,"",IF(OR(W116=1,AC116="None"),"",EDATE(($D116+N($J116)),AG116)))</f>
        <v/>
      </c>
      <c r="R116" s="10" t="str">
        <f aca="false">IF(V116=0,"",IF(NOT(EH_Ready),"",SUMIFS(INDEX(EH_Data,0,EH_ColBal),INDEX(EH_Data,0,EH_ColFirst),$A116,INDEX(EH_Data,0,EH_ColSur),$B116,INDEX(EH_Data,0,EH_ColCat),BonusCat)/IF(EHUnit="Hours",HoursPerDay,1)))</f>
        <v/>
      </c>
      <c r="S116" s="10" t="str">
        <f aca="false">IF(OR(V116=0,R116="",W116=1),"",O116-R116)</f>
        <v/>
      </c>
      <c r="T116" s="10" t="str">
        <f aca="false">IF(S116="","",S116*HoursPerDay)</f>
        <v/>
      </c>
      <c r="U116" s="9" t="str">
        <f aca="false">IF(V116=0,"",IF(W116=1,IF(N(R116)&gt;0,"TERMINATED - forfeit "&amp;TEXT(R116,"0.##")&amp;" days in EH","Terminated"),IF(NOT(EH_Ready),"Paste EH export (see Settings)",IF(S116&gt;0,"ADD "&amp;TEXT(S116,"0.##")&amp;" day(s) = "&amp;TEXT(T116,"0.##")&amp;" hrs in EH",IF(S116&lt;0,"CHECK - EH has "&amp;TEXT(-S116,"0.##")&amp;" days more than policy",IF(O116&gt;0,"OK","-"))))))</f>
        <v/>
      </c>
      <c r="V116" s="9" t="n">
        <f aca="false">IF(OR(LEN($A116&amp;$B116)=0,$D116=""),0,1)</f>
        <v>0</v>
      </c>
      <c r="W116" s="9" t="n">
        <f aca="false">IF(V116=0,0,IF(AND($K116&lt;&gt;"",$K116&lt;=AsOfDate),1,0))</f>
        <v>0</v>
      </c>
      <c r="X116" s="11" t="str">
        <f aca="false">IF(V116=0,"",IF($K116="",AsOfDate,MIN(AsOfDate,$K116)))</f>
        <v/>
      </c>
      <c r="Y116" s="9" t="str">
        <f aca="false">IF(V116=0,"",IF(X116&lt;($D116+N($J116)),-1,12*(YEAR(X116)-YEAR(($D116+N($J116))))+MONTH(X116)-MONTH(($D116+N($J116)))-IF(DAY(X116)&lt;MIN(DAY(($D116+N($J116))),DAY(EOMONTH(X116,0))),1,0)))</f>
        <v/>
      </c>
      <c r="Z116" s="9" t="str">
        <f aca="false">IF(V116=0,"",IF(AH116="",Y116,IF((AH116-1)&lt;($D116+N($J116)),-1,12*(YEAR((AH116-1))-YEAR(($D116+N($J116))))+MONTH((AH116-1))-MONTH(($D116+N($J116)))-IF(DAY((AH116-1))&lt;MIN(DAY(($D116+N($J116))),DAY(EOMONTH((AH116-1),0))),1,0))))</f>
        <v/>
      </c>
      <c r="AA116" s="9" t="str">
        <f aca="false">IF(V116=0,"",IF($E116="Full-Time","FT",IF(AND($E116="Part-Time",N($F116)&gt;=PT_MinHours),"PT","None")))</f>
        <v/>
      </c>
      <c r="AB116" s="9" t="str">
        <f aca="false">IF(V116=0,"",IF($H116="Full-Time","FT",IF(AND($H116="Part-Time",N($I116)&gt;=PT_MinHours),"PT","None")))</f>
        <v/>
      </c>
      <c r="AC116" s="9" t="str">
        <f aca="false">IF(V116=0,"",IF(AH116&lt;&gt;"",AB116,AA116))</f>
        <v/>
      </c>
      <c r="AD116" s="9" t="str">
        <f aca="false">IF(V116=0,"",IF(AA116="FT",IF(Z116&lt;FT_First,0,IF(Z116&lt;FT_Y5,1+INT((Z116-FT_First)/FT_Int1),FT_PreY5+FT_PerYear*INT((Z116-FT_Y5)/12)+FT_AnnivDays+INT(MOD(Z116-FT_Y5,12)/FT_Int2))),IF(AA116="PT",IF(Z116&lt;PT_First,0,1+INT((Z116-PT_First)/PT_Int)),0)))</f>
        <v/>
      </c>
      <c r="AE116" s="9" t="str">
        <f aca="false">IF(V116=0,"",IF(AB116="FT",IF(Z116&lt;FT_First,0,IF(Z116&lt;FT_Y5,1+INT((Z116-FT_First)/FT_Int1),FT_PreY5+FT_PerYear*INT((Z116-FT_Y5)/12)+FT_AnnivDays+INT(MOD(Z116-FT_Y5,12)/FT_Int2))),IF(AB116="PT",IF(Z116&lt;PT_First,0,1+INT((Z116-PT_First)/PT_Int)),0)))</f>
        <v/>
      </c>
      <c r="AF116" s="9" t="str">
        <f aca="false">IF(V116=0,"",IF(AB116="FT",IF(Y116&lt;FT_First,0,IF(Y116&lt;FT_Y5,1+INT((Y116-FT_First)/FT_Int1),FT_PreY5+FT_PerYear*INT((Y116-FT_Y5)/12)+FT_AnnivDays+INT(MOD(Y116-FT_Y5,12)/FT_Int2))),IF(AB116="PT",IF(Y116&lt;PT_First,0,1+INT((Y116-PT_First)/PT_Int)),0)))</f>
        <v/>
      </c>
      <c r="AG116" s="9" t="str">
        <f aca="false">IF(V116=0,"",IF(AC116="FT",IF(Y116&lt;FT_First,FT_First,IF(Y116&lt;FT_Y5,MIN(FT_Y5,FT_First+FT_Int1*(INT((Y116-FT_First)/FT_Int1)+1)),FT_Y5+12*INT((Y116-FT_Y5)/12)+FT_Int2*(INT(MOD(Y116-FT_Y5,12)/FT_Int2)+1))),IF(AC116="PT",IF(Y116&lt;PT_First,PT_First,PT_First+PT_Int*(INT((Y116-PT_First)/PT_Int)+1)),"")))</f>
        <v/>
      </c>
      <c r="AH116" s="11" t="str">
        <f aca="false">IF(V116=0,"",IF($G116="","",IF($G116&gt;X116,"",$G116)))</f>
        <v/>
      </c>
    </row>
    <row r="117" customFormat="false" ht="15" hidden="false" customHeight="false" outlineLevel="0" collapsed="false">
      <c r="A117" s="12"/>
      <c r="B117" s="12"/>
      <c r="C117" s="12"/>
      <c r="D117" s="13"/>
      <c r="E117" s="12"/>
      <c r="F117" s="14"/>
      <c r="G117" s="13"/>
      <c r="H117" s="12"/>
      <c r="I117" s="14"/>
      <c r="J117" s="14"/>
      <c r="K117" s="13"/>
      <c r="L117" s="9" t="str">
        <f aca="false">IF(V117=0,"",IF($G117="","",$E117&amp;" to "&amp;$H117&amp;IF($H117="Part-Time"," "&amp;N($I117)&amp;" hrs","")&amp;" on "&amp;TEXT($G117,"dd/mm/yyyy")&amp;IF($G117&gt;AsOfDate," (future)",IF(AA117=AC117,"",IF(AC117="None"," - STOPPED accruing",IF(AA117="None"," - now qualifying"," - pathway changed"))))))</f>
        <v/>
      </c>
      <c r="M117" s="9" t="str">
        <f aca="false">IF(V117=0,"",IF(W117=1,"Terminated",IF(AC117="None",IF(O117&gt;0,"No longer accruing","Not eligible - "&amp;IF(AND(AC117="None",IF(AH117&lt;&gt;"",$H117,$E117)="Part-Time"),"under "&amp;PT_MinHours&amp;" hrs",IF(AH117&lt;&gt;"",$H117,$E117))),IF(O117&gt;0,"Yes - accruing","Not yet - from "&amp;TEXT(Q117,"dd/mm/yyyy")))))</f>
        <v/>
      </c>
      <c r="N117" s="9" t="str">
        <f aca="false">IF(V117=0,"",IF(Y117&lt;0,"-",INT(Y117/12)&amp;"y "&amp;MOD(Y117,12)&amp;"m"))</f>
        <v/>
      </c>
      <c r="O117" s="10" t="str">
        <f aca="false">IF(V117=0,"",AD117+IF(AH117="",0,AF117-AE117))</f>
        <v/>
      </c>
      <c r="P117" s="10" t="str">
        <f aca="false">IF(V117=0,"",O117*HoursPerDay)</f>
        <v/>
      </c>
      <c r="Q117" s="11" t="str">
        <f aca="false">IF(V117=0,"",IF(OR(W117=1,AC117="None"),"",EDATE(($D117+N($J117)),AG117)))</f>
        <v/>
      </c>
      <c r="R117" s="10" t="str">
        <f aca="false">IF(V117=0,"",IF(NOT(EH_Ready),"",SUMIFS(INDEX(EH_Data,0,EH_ColBal),INDEX(EH_Data,0,EH_ColFirst),$A117,INDEX(EH_Data,0,EH_ColSur),$B117,INDEX(EH_Data,0,EH_ColCat),BonusCat)/IF(EHUnit="Hours",HoursPerDay,1)))</f>
        <v/>
      </c>
      <c r="S117" s="10" t="str">
        <f aca="false">IF(OR(V117=0,R117="",W117=1),"",O117-R117)</f>
        <v/>
      </c>
      <c r="T117" s="10" t="str">
        <f aca="false">IF(S117="","",S117*HoursPerDay)</f>
        <v/>
      </c>
      <c r="U117" s="9" t="str">
        <f aca="false">IF(V117=0,"",IF(W117=1,IF(N(R117)&gt;0,"TERMINATED - forfeit "&amp;TEXT(R117,"0.##")&amp;" days in EH","Terminated"),IF(NOT(EH_Ready),"Paste EH export (see Settings)",IF(S117&gt;0,"ADD "&amp;TEXT(S117,"0.##")&amp;" day(s) = "&amp;TEXT(T117,"0.##")&amp;" hrs in EH",IF(S117&lt;0,"CHECK - EH has "&amp;TEXT(-S117,"0.##")&amp;" days more than policy",IF(O117&gt;0,"OK","-"))))))</f>
        <v/>
      </c>
      <c r="V117" s="9" t="n">
        <f aca="false">IF(OR(LEN($A117&amp;$B117)=0,$D117=""),0,1)</f>
        <v>0</v>
      </c>
      <c r="W117" s="9" t="n">
        <f aca="false">IF(V117=0,0,IF(AND($K117&lt;&gt;"",$K117&lt;=AsOfDate),1,0))</f>
        <v>0</v>
      </c>
      <c r="X117" s="11" t="str">
        <f aca="false">IF(V117=0,"",IF($K117="",AsOfDate,MIN(AsOfDate,$K117)))</f>
        <v/>
      </c>
      <c r="Y117" s="9" t="str">
        <f aca="false">IF(V117=0,"",IF(X117&lt;($D117+N($J117)),-1,12*(YEAR(X117)-YEAR(($D117+N($J117))))+MONTH(X117)-MONTH(($D117+N($J117)))-IF(DAY(X117)&lt;MIN(DAY(($D117+N($J117))),DAY(EOMONTH(X117,0))),1,0)))</f>
        <v/>
      </c>
      <c r="Z117" s="9" t="str">
        <f aca="false">IF(V117=0,"",IF(AH117="",Y117,IF((AH117-1)&lt;($D117+N($J117)),-1,12*(YEAR((AH117-1))-YEAR(($D117+N($J117))))+MONTH((AH117-1))-MONTH(($D117+N($J117)))-IF(DAY((AH117-1))&lt;MIN(DAY(($D117+N($J117))),DAY(EOMONTH((AH117-1),0))),1,0))))</f>
        <v/>
      </c>
      <c r="AA117" s="9" t="str">
        <f aca="false">IF(V117=0,"",IF($E117="Full-Time","FT",IF(AND($E117="Part-Time",N($F117)&gt;=PT_MinHours),"PT","None")))</f>
        <v/>
      </c>
      <c r="AB117" s="9" t="str">
        <f aca="false">IF(V117=0,"",IF($H117="Full-Time","FT",IF(AND($H117="Part-Time",N($I117)&gt;=PT_MinHours),"PT","None")))</f>
        <v/>
      </c>
      <c r="AC117" s="9" t="str">
        <f aca="false">IF(V117=0,"",IF(AH117&lt;&gt;"",AB117,AA117))</f>
        <v/>
      </c>
      <c r="AD117" s="9" t="str">
        <f aca="false">IF(V117=0,"",IF(AA117="FT",IF(Z117&lt;FT_First,0,IF(Z117&lt;FT_Y5,1+INT((Z117-FT_First)/FT_Int1),FT_PreY5+FT_PerYear*INT((Z117-FT_Y5)/12)+FT_AnnivDays+INT(MOD(Z117-FT_Y5,12)/FT_Int2))),IF(AA117="PT",IF(Z117&lt;PT_First,0,1+INT((Z117-PT_First)/PT_Int)),0)))</f>
        <v/>
      </c>
      <c r="AE117" s="9" t="str">
        <f aca="false">IF(V117=0,"",IF(AB117="FT",IF(Z117&lt;FT_First,0,IF(Z117&lt;FT_Y5,1+INT((Z117-FT_First)/FT_Int1),FT_PreY5+FT_PerYear*INT((Z117-FT_Y5)/12)+FT_AnnivDays+INT(MOD(Z117-FT_Y5,12)/FT_Int2))),IF(AB117="PT",IF(Z117&lt;PT_First,0,1+INT((Z117-PT_First)/PT_Int)),0)))</f>
        <v/>
      </c>
      <c r="AF117" s="9" t="str">
        <f aca="false">IF(V117=0,"",IF(AB117="FT",IF(Y117&lt;FT_First,0,IF(Y117&lt;FT_Y5,1+INT((Y117-FT_First)/FT_Int1),FT_PreY5+FT_PerYear*INT((Y117-FT_Y5)/12)+FT_AnnivDays+INT(MOD(Y117-FT_Y5,12)/FT_Int2))),IF(AB117="PT",IF(Y117&lt;PT_First,0,1+INT((Y117-PT_First)/PT_Int)),0)))</f>
        <v/>
      </c>
      <c r="AG117" s="9" t="str">
        <f aca="false">IF(V117=0,"",IF(AC117="FT",IF(Y117&lt;FT_First,FT_First,IF(Y117&lt;FT_Y5,MIN(FT_Y5,FT_First+FT_Int1*(INT((Y117-FT_First)/FT_Int1)+1)),FT_Y5+12*INT((Y117-FT_Y5)/12)+FT_Int2*(INT(MOD(Y117-FT_Y5,12)/FT_Int2)+1))),IF(AC117="PT",IF(Y117&lt;PT_First,PT_First,PT_First+PT_Int*(INT((Y117-PT_First)/PT_Int)+1)),"")))</f>
        <v/>
      </c>
      <c r="AH117" s="11" t="str">
        <f aca="false">IF(V117=0,"",IF($G117="","",IF($G117&gt;X117,"",$G117)))</f>
        <v/>
      </c>
    </row>
    <row r="118" customFormat="false" ht="15" hidden="false" customHeight="false" outlineLevel="0" collapsed="false">
      <c r="A118" s="12"/>
      <c r="B118" s="12"/>
      <c r="C118" s="12"/>
      <c r="D118" s="13"/>
      <c r="E118" s="12"/>
      <c r="F118" s="14"/>
      <c r="G118" s="13"/>
      <c r="H118" s="12"/>
      <c r="I118" s="14"/>
      <c r="J118" s="14"/>
      <c r="K118" s="13"/>
      <c r="L118" s="9" t="str">
        <f aca="false">IF(V118=0,"",IF($G118="","",$E118&amp;" to "&amp;$H118&amp;IF($H118="Part-Time"," "&amp;N($I118)&amp;" hrs","")&amp;" on "&amp;TEXT($G118,"dd/mm/yyyy")&amp;IF($G118&gt;AsOfDate," (future)",IF(AA118=AC118,"",IF(AC118="None"," - STOPPED accruing",IF(AA118="None"," - now qualifying"," - pathway changed"))))))</f>
        <v/>
      </c>
      <c r="M118" s="9" t="str">
        <f aca="false">IF(V118=0,"",IF(W118=1,"Terminated",IF(AC118="None",IF(O118&gt;0,"No longer accruing","Not eligible - "&amp;IF(AND(AC118="None",IF(AH118&lt;&gt;"",$H118,$E118)="Part-Time"),"under "&amp;PT_MinHours&amp;" hrs",IF(AH118&lt;&gt;"",$H118,$E118))),IF(O118&gt;0,"Yes - accruing","Not yet - from "&amp;TEXT(Q118,"dd/mm/yyyy")))))</f>
        <v/>
      </c>
      <c r="N118" s="9" t="str">
        <f aca="false">IF(V118=0,"",IF(Y118&lt;0,"-",INT(Y118/12)&amp;"y "&amp;MOD(Y118,12)&amp;"m"))</f>
        <v/>
      </c>
      <c r="O118" s="10" t="str">
        <f aca="false">IF(V118=0,"",AD118+IF(AH118="",0,AF118-AE118))</f>
        <v/>
      </c>
      <c r="P118" s="10" t="str">
        <f aca="false">IF(V118=0,"",O118*HoursPerDay)</f>
        <v/>
      </c>
      <c r="Q118" s="11" t="str">
        <f aca="false">IF(V118=0,"",IF(OR(W118=1,AC118="None"),"",EDATE(($D118+N($J118)),AG118)))</f>
        <v/>
      </c>
      <c r="R118" s="10" t="str">
        <f aca="false">IF(V118=0,"",IF(NOT(EH_Ready),"",SUMIFS(INDEX(EH_Data,0,EH_ColBal),INDEX(EH_Data,0,EH_ColFirst),$A118,INDEX(EH_Data,0,EH_ColSur),$B118,INDEX(EH_Data,0,EH_ColCat),BonusCat)/IF(EHUnit="Hours",HoursPerDay,1)))</f>
        <v/>
      </c>
      <c r="S118" s="10" t="str">
        <f aca="false">IF(OR(V118=0,R118="",W118=1),"",O118-R118)</f>
        <v/>
      </c>
      <c r="T118" s="10" t="str">
        <f aca="false">IF(S118="","",S118*HoursPerDay)</f>
        <v/>
      </c>
      <c r="U118" s="9" t="str">
        <f aca="false">IF(V118=0,"",IF(W118=1,IF(N(R118)&gt;0,"TERMINATED - forfeit "&amp;TEXT(R118,"0.##")&amp;" days in EH","Terminated"),IF(NOT(EH_Ready),"Paste EH export (see Settings)",IF(S118&gt;0,"ADD "&amp;TEXT(S118,"0.##")&amp;" day(s) = "&amp;TEXT(T118,"0.##")&amp;" hrs in EH",IF(S118&lt;0,"CHECK - EH has "&amp;TEXT(-S118,"0.##")&amp;" days more than policy",IF(O118&gt;0,"OK","-"))))))</f>
        <v/>
      </c>
      <c r="V118" s="9" t="n">
        <f aca="false">IF(OR(LEN($A118&amp;$B118)=0,$D118=""),0,1)</f>
        <v>0</v>
      </c>
      <c r="W118" s="9" t="n">
        <f aca="false">IF(V118=0,0,IF(AND($K118&lt;&gt;"",$K118&lt;=AsOfDate),1,0))</f>
        <v>0</v>
      </c>
      <c r="X118" s="11" t="str">
        <f aca="false">IF(V118=0,"",IF($K118="",AsOfDate,MIN(AsOfDate,$K118)))</f>
        <v/>
      </c>
      <c r="Y118" s="9" t="str">
        <f aca="false">IF(V118=0,"",IF(X118&lt;($D118+N($J118)),-1,12*(YEAR(X118)-YEAR(($D118+N($J118))))+MONTH(X118)-MONTH(($D118+N($J118)))-IF(DAY(X118)&lt;MIN(DAY(($D118+N($J118))),DAY(EOMONTH(X118,0))),1,0)))</f>
        <v/>
      </c>
      <c r="Z118" s="9" t="str">
        <f aca="false">IF(V118=0,"",IF(AH118="",Y118,IF((AH118-1)&lt;($D118+N($J118)),-1,12*(YEAR((AH118-1))-YEAR(($D118+N($J118))))+MONTH((AH118-1))-MONTH(($D118+N($J118)))-IF(DAY((AH118-1))&lt;MIN(DAY(($D118+N($J118))),DAY(EOMONTH((AH118-1),0))),1,0))))</f>
        <v/>
      </c>
      <c r="AA118" s="9" t="str">
        <f aca="false">IF(V118=0,"",IF($E118="Full-Time","FT",IF(AND($E118="Part-Time",N($F118)&gt;=PT_MinHours),"PT","None")))</f>
        <v/>
      </c>
      <c r="AB118" s="9" t="str">
        <f aca="false">IF(V118=0,"",IF($H118="Full-Time","FT",IF(AND($H118="Part-Time",N($I118)&gt;=PT_MinHours),"PT","None")))</f>
        <v/>
      </c>
      <c r="AC118" s="9" t="str">
        <f aca="false">IF(V118=0,"",IF(AH118&lt;&gt;"",AB118,AA118))</f>
        <v/>
      </c>
      <c r="AD118" s="9" t="str">
        <f aca="false">IF(V118=0,"",IF(AA118="FT",IF(Z118&lt;FT_First,0,IF(Z118&lt;FT_Y5,1+INT((Z118-FT_First)/FT_Int1),FT_PreY5+FT_PerYear*INT((Z118-FT_Y5)/12)+FT_AnnivDays+INT(MOD(Z118-FT_Y5,12)/FT_Int2))),IF(AA118="PT",IF(Z118&lt;PT_First,0,1+INT((Z118-PT_First)/PT_Int)),0)))</f>
        <v/>
      </c>
      <c r="AE118" s="9" t="str">
        <f aca="false">IF(V118=0,"",IF(AB118="FT",IF(Z118&lt;FT_First,0,IF(Z118&lt;FT_Y5,1+INT((Z118-FT_First)/FT_Int1),FT_PreY5+FT_PerYear*INT((Z118-FT_Y5)/12)+FT_AnnivDays+INT(MOD(Z118-FT_Y5,12)/FT_Int2))),IF(AB118="PT",IF(Z118&lt;PT_First,0,1+INT((Z118-PT_First)/PT_Int)),0)))</f>
        <v/>
      </c>
      <c r="AF118" s="9" t="str">
        <f aca="false">IF(V118=0,"",IF(AB118="FT",IF(Y118&lt;FT_First,0,IF(Y118&lt;FT_Y5,1+INT((Y118-FT_First)/FT_Int1),FT_PreY5+FT_PerYear*INT((Y118-FT_Y5)/12)+FT_AnnivDays+INT(MOD(Y118-FT_Y5,12)/FT_Int2))),IF(AB118="PT",IF(Y118&lt;PT_First,0,1+INT((Y118-PT_First)/PT_Int)),0)))</f>
        <v/>
      </c>
      <c r="AG118" s="9" t="str">
        <f aca="false">IF(V118=0,"",IF(AC118="FT",IF(Y118&lt;FT_First,FT_First,IF(Y118&lt;FT_Y5,MIN(FT_Y5,FT_First+FT_Int1*(INT((Y118-FT_First)/FT_Int1)+1)),FT_Y5+12*INT((Y118-FT_Y5)/12)+FT_Int2*(INT(MOD(Y118-FT_Y5,12)/FT_Int2)+1))),IF(AC118="PT",IF(Y118&lt;PT_First,PT_First,PT_First+PT_Int*(INT((Y118-PT_First)/PT_Int)+1)),"")))</f>
        <v/>
      </c>
      <c r="AH118" s="11" t="str">
        <f aca="false">IF(V118=0,"",IF($G118="","",IF($G118&gt;X118,"",$G118)))</f>
        <v/>
      </c>
    </row>
    <row r="119" customFormat="false" ht="15" hidden="false" customHeight="false" outlineLevel="0" collapsed="false">
      <c r="A119" s="12"/>
      <c r="B119" s="12"/>
      <c r="C119" s="12"/>
      <c r="D119" s="13"/>
      <c r="E119" s="12"/>
      <c r="F119" s="14"/>
      <c r="G119" s="13"/>
      <c r="H119" s="12"/>
      <c r="I119" s="14"/>
      <c r="J119" s="14"/>
      <c r="K119" s="13"/>
      <c r="L119" s="9" t="str">
        <f aca="false">IF(V119=0,"",IF($G119="","",$E119&amp;" to "&amp;$H119&amp;IF($H119="Part-Time"," "&amp;N($I119)&amp;" hrs","")&amp;" on "&amp;TEXT($G119,"dd/mm/yyyy")&amp;IF($G119&gt;AsOfDate," (future)",IF(AA119=AC119,"",IF(AC119="None"," - STOPPED accruing",IF(AA119="None"," - now qualifying"," - pathway changed"))))))</f>
        <v/>
      </c>
      <c r="M119" s="9" t="str">
        <f aca="false">IF(V119=0,"",IF(W119=1,"Terminated",IF(AC119="None",IF(O119&gt;0,"No longer accruing","Not eligible - "&amp;IF(AND(AC119="None",IF(AH119&lt;&gt;"",$H119,$E119)="Part-Time"),"under "&amp;PT_MinHours&amp;" hrs",IF(AH119&lt;&gt;"",$H119,$E119))),IF(O119&gt;0,"Yes - accruing","Not yet - from "&amp;TEXT(Q119,"dd/mm/yyyy")))))</f>
        <v/>
      </c>
      <c r="N119" s="9" t="str">
        <f aca="false">IF(V119=0,"",IF(Y119&lt;0,"-",INT(Y119/12)&amp;"y "&amp;MOD(Y119,12)&amp;"m"))</f>
        <v/>
      </c>
      <c r="O119" s="10" t="str">
        <f aca="false">IF(V119=0,"",AD119+IF(AH119="",0,AF119-AE119))</f>
        <v/>
      </c>
      <c r="P119" s="10" t="str">
        <f aca="false">IF(V119=0,"",O119*HoursPerDay)</f>
        <v/>
      </c>
      <c r="Q119" s="11" t="str">
        <f aca="false">IF(V119=0,"",IF(OR(W119=1,AC119="None"),"",EDATE(($D119+N($J119)),AG119)))</f>
        <v/>
      </c>
      <c r="R119" s="10" t="str">
        <f aca="false">IF(V119=0,"",IF(NOT(EH_Ready),"",SUMIFS(INDEX(EH_Data,0,EH_ColBal),INDEX(EH_Data,0,EH_ColFirst),$A119,INDEX(EH_Data,0,EH_ColSur),$B119,INDEX(EH_Data,0,EH_ColCat),BonusCat)/IF(EHUnit="Hours",HoursPerDay,1)))</f>
        <v/>
      </c>
      <c r="S119" s="10" t="str">
        <f aca="false">IF(OR(V119=0,R119="",W119=1),"",O119-R119)</f>
        <v/>
      </c>
      <c r="T119" s="10" t="str">
        <f aca="false">IF(S119="","",S119*HoursPerDay)</f>
        <v/>
      </c>
      <c r="U119" s="9" t="str">
        <f aca="false">IF(V119=0,"",IF(W119=1,IF(N(R119)&gt;0,"TERMINATED - forfeit "&amp;TEXT(R119,"0.##")&amp;" days in EH","Terminated"),IF(NOT(EH_Ready),"Paste EH export (see Settings)",IF(S119&gt;0,"ADD "&amp;TEXT(S119,"0.##")&amp;" day(s) = "&amp;TEXT(T119,"0.##")&amp;" hrs in EH",IF(S119&lt;0,"CHECK - EH has "&amp;TEXT(-S119,"0.##")&amp;" days more than policy",IF(O119&gt;0,"OK","-"))))))</f>
        <v/>
      </c>
      <c r="V119" s="9" t="n">
        <f aca="false">IF(OR(LEN($A119&amp;$B119)=0,$D119=""),0,1)</f>
        <v>0</v>
      </c>
      <c r="W119" s="9" t="n">
        <f aca="false">IF(V119=0,0,IF(AND($K119&lt;&gt;"",$K119&lt;=AsOfDate),1,0))</f>
        <v>0</v>
      </c>
      <c r="X119" s="11" t="str">
        <f aca="false">IF(V119=0,"",IF($K119="",AsOfDate,MIN(AsOfDate,$K119)))</f>
        <v/>
      </c>
      <c r="Y119" s="9" t="str">
        <f aca="false">IF(V119=0,"",IF(X119&lt;($D119+N($J119)),-1,12*(YEAR(X119)-YEAR(($D119+N($J119))))+MONTH(X119)-MONTH(($D119+N($J119)))-IF(DAY(X119)&lt;MIN(DAY(($D119+N($J119))),DAY(EOMONTH(X119,0))),1,0)))</f>
        <v/>
      </c>
      <c r="Z119" s="9" t="str">
        <f aca="false">IF(V119=0,"",IF(AH119="",Y119,IF((AH119-1)&lt;($D119+N($J119)),-1,12*(YEAR((AH119-1))-YEAR(($D119+N($J119))))+MONTH((AH119-1))-MONTH(($D119+N($J119)))-IF(DAY((AH119-1))&lt;MIN(DAY(($D119+N($J119))),DAY(EOMONTH((AH119-1),0))),1,0))))</f>
        <v/>
      </c>
      <c r="AA119" s="9" t="str">
        <f aca="false">IF(V119=0,"",IF($E119="Full-Time","FT",IF(AND($E119="Part-Time",N($F119)&gt;=PT_MinHours),"PT","None")))</f>
        <v/>
      </c>
      <c r="AB119" s="9" t="str">
        <f aca="false">IF(V119=0,"",IF($H119="Full-Time","FT",IF(AND($H119="Part-Time",N($I119)&gt;=PT_MinHours),"PT","None")))</f>
        <v/>
      </c>
      <c r="AC119" s="9" t="str">
        <f aca="false">IF(V119=0,"",IF(AH119&lt;&gt;"",AB119,AA119))</f>
        <v/>
      </c>
      <c r="AD119" s="9" t="str">
        <f aca="false">IF(V119=0,"",IF(AA119="FT",IF(Z119&lt;FT_First,0,IF(Z119&lt;FT_Y5,1+INT((Z119-FT_First)/FT_Int1),FT_PreY5+FT_PerYear*INT((Z119-FT_Y5)/12)+FT_AnnivDays+INT(MOD(Z119-FT_Y5,12)/FT_Int2))),IF(AA119="PT",IF(Z119&lt;PT_First,0,1+INT((Z119-PT_First)/PT_Int)),0)))</f>
        <v/>
      </c>
      <c r="AE119" s="9" t="str">
        <f aca="false">IF(V119=0,"",IF(AB119="FT",IF(Z119&lt;FT_First,0,IF(Z119&lt;FT_Y5,1+INT((Z119-FT_First)/FT_Int1),FT_PreY5+FT_PerYear*INT((Z119-FT_Y5)/12)+FT_AnnivDays+INT(MOD(Z119-FT_Y5,12)/FT_Int2))),IF(AB119="PT",IF(Z119&lt;PT_First,0,1+INT((Z119-PT_First)/PT_Int)),0)))</f>
        <v/>
      </c>
      <c r="AF119" s="9" t="str">
        <f aca="false">IF(V119=0,"",IF(AB119="FT",IF(Y119&lt;FT_First,0,IF(Y119&lt;FT_Y5,1+INT((Y119-FT_First)/FT_Int1),FT_PreY5+FT_PerYear*INT((Y119-FT_Y5)/12)+FT_AnnivDays+INT(MOD(Y119-FT_Y5,12)/FT_Int2))),IF(AB119="PT",IF(Y119&lt;PT_First,0,1+INT((Y119-PT_First)/PT_Int)),0)))</f>
        <v/>
      </c>
      <c r="AG119" s="9" t="str">
        <f aca="false">IF(V119=0,"",IF(AC119="FT",IF(Y119&lt;FT_First,FT_First,IF(Y119&lt;FT_Y5,MIN(FT_Y5,FT_First+FT_Int1*(INT((Y119-FT_First)/FT_Int1)+1)),FT_Y5+12*INT((Y119-FT_Y5)/12)+FT_Int2*(INT(MOD(Y119-FT_Y5,12)/FT_Int2)+1))),IF(AC119="PT",IF(Y119&lt;PT_First,PT_First,PT_First+PT_Int*(INT((Y119-PT_First)/PT_Int)+1)),"")))</f>
        <v/>
      </c>
      <c r="AH119" s="11" t="str">
        <f aca="false">IF(V119=0,"",IF($G119="","",IF($G119&gt;X119,"",$G119)))</f>
        <v/>
      </c>
    </row>
    <row r="120" customFormat="false" ht="15" hidden="false" customHeight="false" outlineLevel="0" collapsed="false">
      <c r="A120" s="12"/>
      <c r="B120" s="12"/>
      <c r="C120" s="12"/>
      <c r="D120" s="13"/>
      <c r="E120" s="12"/>
      <c r="F120" s="14"/>
      <c r="G120" s="13"/>
      <c r="H120" s="12"/>
      <c r="I120" s="14"/>
      <c r="J120" s="14"/>
      <c r="K120" s="13"/>
      <c r="L120" s="9" t="str">
        <f aca="false">IF(V120=0,"",IF($G120="","",$E120&amp;" to "&amp;$H120&amp;IF($H120="Part-Time"," "&amp;N($I120)&amp;" hrs","")&amp;" on "&amp;TEXT($G120,"dd/mm/yyyy")&amp;IF($G120&gt;AsOfDate," (future)",IF(AA120=AC120,"",IF(AC120="None"," - STOPPED accruing",IF(AA120="None"," - now qualifying"," - pathway changed"))))))</f>
        <v/>
      </c>
      <c r="M120" s="9" t="str">
        <f aca="false">IF(V120=0,"",IF(W120=1,"Terminated",IF(AC120="None",IF(O120&gt;0,"No longer accruing","Not eligible - "&amp;IF(AND(AC120="None",IF(AH120&lt;&gt;"",$H120,$E120)="Part-Time"),"under "&amp;PT_MinHours&amp;" hrs",IF(AH120&lt;&gt;"",$H120,$E120))),IF(O120&gt;0,"Yes - accruing","Not yet - from "&amp;TEXT(Q120,"dd/mm/yyyy")))))</f>
        <v/>
      </c>
      <c r="N120" s="9" t="str">
        <f aca="false">IF(V120=0,"",IF(Y120&lt;0,"-",INT(Y120/12)&amp;"y "&amp;MOD(Y120,12)&amp;"m"))</f>
        <v/>
      </c>
      <c r="O120" s="10" t="str">
        <f aca="false">IF(V120=0,"",AD120+IF(AH120="",0,AF120-AE120))</f>
        <v/>
      </c>
      <c r="P120" s="10" t="str">
        <f aca="false">IF(V120=0,"",O120*HoursPerDay)</f>
        <v/>
      </c>
      <c r="Q120" s="11" t="str">
        <f aca="false">IF(V120=0,"",IF(OR(W120=1,AC120="None"),"",EDATE(($D120+N($J120)),AG120)))</f>
        <v/>
      </c>
      <c r="R120" s="10" t="str">
        <f aca="false">IF(V120=0,"",IF(NOT(EH_Ready),"",SUMIFS(INDEX(EH_Data,0,EH_ColBal),INDEX(EH_Data,0,EH_ColFirst),$A120,INDEX(EH_Data,0,EH_ColSur),$B120,INDEX(EH_Data,0,EH_ColCat),BonusCat)/IF(EHUnit="Hours",HoursPerDay,1)))</f>
        <v/>
      </c>
      <c r="S120" s="10" t="str">
        <f aca="false">IF(OR(V120=0,R120="",W120=1),"",O120-R120)</f>
        <v/>
      </c>
      <c r="T120" s="10" t="str">
        <f aca="false">IF(S120="","",S120*HoursPerDay)</f>
        <v/>
      </c>
      <c r="U120" s="9" t="str">
        <f aca="false">IF(V120=0,"",IF(W120=1,IF(N(R120)&gt;0,"TERMINATED - forfeit "&amp;TEXT(R120,"0.##")&amp;" days in EH","Terminated"),IF(NOT(EH_Ready),"Paste EH export (see Settings)",IF(S120&gt;0,"ADD "&amp;TEXT(S120,"0.##")&amp;" day(s) = "&amp;TEXT(T120,"0.##")&amp;" hrs in EH",IF(S120&lt;0,"CHECK - EH has "&amp;TEXT(-S120,"0.##")&amp;" days more than policy",IF(O120&gt;0,"OK","-"))))))</f>
        <v/>
      </c>
      <c r="V120" s="9" t="n">
        <f aca="false">IF(OR(LEN($A120&amp;$B120)=0,$D120=""),0,1)</f>
        <v>0</v>
      </c>
      <c r="W120" s="9" t="n">
        <f aca="false">IF(V120=0,0,IF(AND($K120&lt;&gt;"",$K120&lt;=AsOfDate),1,0))</f>
        <v>0</v>
      </c>
      <c r="X120" s="11" t="str">
        <f aca="false">IF(V120=0,"",IF($K120="",AsOfDate,MIN(AsOfDate,$K120)))</f>
        <v/>
      </c>
      <c r="Y120" s="9" t="str">
        <f aca="false">IF(V120=0,"",IF(X120&lt;($D120+N($J120)),-1,12*(YEAR(X120)-YEAR(($D120+N($J120))))+MONTH(X120)-MONTH(($D120+N($J120)))-IF(DAY(X120)&lt;MIN(DAY(($D120+N($J120))),DAY(EOMONTH(X120,0))),1,0)))</f>
        <v/>
      </c>
      <c r="Z120" s="9" t="str">
        <f aca="false">IF(V120=0,"",IF(AH120="",Y120,IF((AH120-1)&lt;($D120+N($J120)),-1,12*(YEAR((AH120-1))-YEAR(($D120+N($J120))))+MONTH((AH120-1))-MONTH(($D120+N($J120)))-IF(DAY((AH120-1))&lt;MIN(DAY(($D120+N($J120))),DAY(EOMONTH((AH120-1),0))),1,0))))</f>
        <v/>
      </c>
      <c r="AA120" s="9" t="str">
        <f aca="false">IF(V120=0,"",IF($E120="Full-Time","FT",IF(AND($E120="Part-Time",N($F120)&gt;=PT_MinHours),"PT","None")))</f>
        <v/>
      </c>
      <c r="AB120" s="9" t="str">
        <f aca="false">IF(V120=0,"",IF($H120="Full-Time","FT",IF(AND($H120="Part-Time",N($I120)&gt;=PT_MinHours),"PT","None")))</f>
        <v/>
      </c>
      <c r="AC120" s="9" t="str">
        <f aca="false">IF(V120=0,"",IF(AH120&lt;&gt;"",AB120,AA120))</f>
        <v/>
      </c>
      <c r="AD120" s="9" t="str">
        <f aca="false">IF(V120=0,"",IF(AA120="FT",IF(Z120&lt;FT_First,0,IF(Z120&lt;FT_Y5,1+INT((Z120-FT_First)/FT_Int1),FT_PreY5+FT_PerYear*INT((Z120-FT_Y5)/12)+FT_AnnivDays+INT(MOD(Z120-FT_Y5,12)/FT_Int2))),IF(AA120="PT",IF(Z120&lt;PT_First,0,1+INT((Z120-PT_First)/PT_Int)),0)))</f>
        <v/>
      </c>
      <c r="AE120" s="9" t="str">
        <f aca="false">IF(V120=0,"",IF(AB120="FT",IF(Z120&lt;FT_First,0,IF(Z120&lt;FT_Y5,1+INT((Z120-FT_First)/FT_Int1),FT_PreY5+FT_PerYear*INT((Z120-FT_Y5)/12)+FT_AnnivDays+INT(MOD(Z120-FT_Y5,12)/FT_Int2))),IF(AB120="PT",IF(Z120&lt;PT_First,0,1+INT((Z120-PT_First)/PT_Int)),0)))</f>
        <v/>
      </c>
      <c r="AF120" s="9" t="str">
        <f aca="false">IF(V120=0,"",IF(AB120="FT",IF(Y120&lt;FT_First,0,IF(Y120&lt;FT_Y5,1+INT((Y120-FT_First)/FT_Int1),FT_PreY5+FT_PerYear*INT((Y120-FT_Y5)/12)+FT_AnnivDays+INT(MOD(Y120-FT_Y5,12)/FT_Int2))),IF(AB120="PT",IF(Y120&lt;PT_First,0,1+INT((Y120-PT_First)/PT_Int)),0)))</f>
        <v/>
      </c>
      <c r="AG120" s="9" t="str">
        <f aca="false">IF(V120=0,"",IF(AC120="FT",IF(Y120&lt;FT_First,FT_First,IF(Y120&lt;FT_Y5,MIN(FT_Y5,FT_First+FT_Int1*(INT((Y120-FT_First)/FT_Int1)+1)),FT_Y5+12*INT((Y120-FT_Y5)/12)+FT_Int2*(INT(MOD(Y120-FT_Y5,12)/FT_Int2)+1))),IF(AC120="PT",IF(Y120&lt;PT_First,PT_First,PT_First+PT_Int*(INT((Y120-PT_First)/PT_Int)+1)),"")))</f>
        <v/>
      </c>
      <c r="AH120" s="11" t="str">
        <f aca="false">IF(V120=0,"",IF($G120="","",IF($G120&gt;X120,"",$G120)))</f>
        <v/>
      </c>
    </row>
    <row r="121" customFormat="false" ht="15" hidden="false" customHeight="false" outlineLevel="0" collapsed="false">
      <c r="A121" s="12"/>
      <c r="B121" s="12"/>
      <c r="C121" s="12"/>
      <c r="D121" s="13"/>
      <c r="E121" s="12"/>
      <c r="F121" s="14"/>
      <c r="G121" s="13"/>
      <c r="H121" s="12"/>
      <c r="I121" s="14"/>
      <c r="J121" s="14"/>
      <c r="K121" s="13"/>
      <c r="L121" s="9" t="str">
        <f aca="false">IF(V121=0,"",IF($G121="","",$E121&amp;" to "&amp;$H121&amp;IF($H121="Part-Time"," "&amp;N($I121)&amp;" hrs","")&amp;" on "&amp;TEXT($G121,"dd/mm/yyyy")&amp;IF($G121&gt;AsOfDate," (future)",IF(AA121=AC121,"",IF(AC121="None"," - STOPPED accruing",IF(AA121="None"," - now qualifying"," - pathway changed"))))))</f>
        <v/>
      </c>
      <c r="M121" s="9" t="str">
        <f aca="false">IF(V121=0,"",IF(W121=1,"Terminated",IF(AC121="None",IF(O121&gt;0,"No longer accruing","Not eligible - "&amp;IF(AND(AC121="None",IF(AH121&lt;&gt;"",$H121,$E121)="Part-Time"),"under "&amp;PT_MinHours&amp;" hrs",IF(AH121&lt;&gt;"",$H121,$E121))),IF(O121&gt;0,"Yes - accruing","Not yet - from "&amp;TEXT(Q121,"dd/mm/yyyy")))))</f>
        <v/>
      </c>
      <c r="N121" s="9" t="str">
        <f aca="false">IF(V121=0,"",IF(Y121&lt;0,"-",INT(Y121/12)&amp;"y "&amp;MOD(Y121,12)&amp;"m"))</f>
        <v/>
      </c>
      <c r="O121" s="10" t="str">
        <f aca="false">IF(V121=0,"",AD121+IF(AH121="",0,AF121-AE121))</f>
        <v/>
      </c>
      <c r="P121" s="10" t="str">
        <f aca="false">IF(V121=0,"",O121*HoursPerDay)</f>
        <v/>
      </c>
      <c r="Q121" s="11" t="str">
        <f aca="false">IF(V121=0,"",IF(OR(W121=1,AC121="None"),"",EDATE(($D121+N($J121)),AG121)))</f>
        <v/>
      </c>
      <c r="R121" s="10" t="str">
        <f aca="false">IF(V121=0,"",IF(NOT(EH_Ready),"",SUMIFS(INDEX(EH_Data,0,EH_ColBal),INDEX(EH_Data,0,EH_ColFirst),$A121,INDEX(EH_Data,0,EH_ColSur),$B121,INDEX(EH_Data,0,EH_ColCat),BonusCat)/IF(EHUnit="Hours",HoursPerDay,1)))</f>
        <v/>
      </c>
      <c r="S121" s="10" t="str">
        <f aca="false">IF(OR(V121=0,R121="",W121=1),"",O121-R121)</f>
        <v/>
      </c>
      <c r="T121" s="10" t="str">
        <f aca="false">IF(S121="","",S121*HoursPerDay)</f>
        <v/>
      </c>
      <c r="U121" s="9" t="str">
        <f aca="false">IF(V121=0,"",IF(W121=1,IF(N(R121)&gt;0,"TERMINATED - forfeit "&amp;TEXT(R121,"0.##")&amp;" days in EH","Terminated"),IF(NOT(EH_Ready),"Paste EH export (see Settings)",IF(S121&gt;0,"ADD "&amp;TEXT(S121,"0.##")&amp;" day(s) = "&amp;TEXT(T121,"0.##")&amp;" hrs in EH",IF(S121&lt;0,"CHECK - EH has "&amp;TEXT(-S121,"0.##")&amp;" days more than policy",IF(O121&gt;0,"OK","-"))))))</f>
        <v/>
      </c>
      <c r="V121" s="9" t="n">
        <f aca="false">IF(OR(LEN($A121&amp;$B121)=0,$D121=""),0,1)</f>
        <v>0</v>
      </c>
      <c r="W121" s="9" t="n">
        <f aca="false">IF(V121=0,0,IF(AND($K121&lt;&gt;"",$K121&lt;=AsOfDate),1,0))</f>
        <v>0</v>
      </c>
      <c r="X121" s="11" t="str">
        <f aca="false">IF(V121=0,"",IF($K121="",AsOfDate,MIN(AsOfDate,$K121)))</f>
        <v/>
      </c>
      <c r="Y121" s="9" t="str">
        <f aca="false">IF(V121=0,"",IF(X121&lt;($D121+N($J121)),-1,12*(YEAR(X121)-YEAR(($D121+N($J121))))+MONTH(X121)-MONTH(($D121+N($J121)))-IF(DAY(X121)&lt;MIN(DAY(($D121+N($J121))),DAY(EOMONTH(X121,0))),1,0)))</f>
        <v/>
      </c>
      <c r="Z121" s="9" t="str">
        <f aca="false">IF(V121=0,"",IF(AH121="",Y121,IF((AH121-1)&lt;($D121+N($J121)),-1,12*(YEAR((AH121-1))-YEAR(($D121+N($J121))))+MONTH((AH121-1))-MONTH(($D121+N($J121)))-IF(DAY((AH121-1))&lt;MIN(DAY(($D121+N($J121))),DAY(EOMONTH((AH121-1),0))),1,0))))</f>
        <v/>
      </c>
      <c r="AA121" s="9" t="str">
        <f aca="false">IF(V121=0,"",IF($E121="Full-Time","FT",IF(AND($E121="Part-Time",N($F121)&gt;=PT_MinHours),"PT","None")))</f>
        <v/>
      </c>
      <c r="AB121" s="9" t="str">
        <f aca="false">IF(V121=0,"",IF($H121="Full-Time","FT",IF(AND($H121="Part-Time",N($I121)&gt;=PT_MinHours),"PT","None")))</f>
        <v/>
      </c>
      <c r="AC121" s="9" t="str">
        <f aca="false">IF(V121=0,"",IF(AH121&lt;&gt;"",AB121,AA121))</f>
        <v/>
      </c>
      <c r="AD121" s="9" t="str">
        <f aca="false">IF(V121=0,"",IF(AA121="FT",IF(Z121&lt;FT_First,0,IF(Z121&lt;FT_Y5,1+INT((Z121-FT_First)/FT_Int1),FT_PreY5+FT_PerYear*INT((Z121-FT_Y5)/12)+FT_AnnivDays+INT(MOD(Z121-FT_Y5,12)/FT_Int2))),IF(AA121="PT",IF(Z121&lt;PT_First,0,1+INT((Z121-PT_First)/PT_Int)),0)))</f>
        <v/>
      </c>
      <c r="AE121" s="9" t="str">
        <f aca="false">IF(V121=0,"",IF(AB121="FT",IF(Z121&lt;FT_First,0,IF(Z121&lt;FT_Y5,1+INT((Z121-FT_First)/FT_Int1),FT_PreY5+FT_PerYear*INT((Z121-FT_Y5)/12)+FT_AnnivDays+INT(MOD(Z121-FT_Y5,12)/FT_Int2))),IF(AB121="PT",IF(Z121&lt;PT_First,0,1+INT((Z121-PT_First)/PT_Int)),0)))</f>
        <v/>
      </c>
      <c r="AF121" s="9" t="str">
        <f aca="false">IF(V121=0,"",IF(AB121="FT",IF(Y121&lt;FT_First,0,IF(Y121&lt;FT_Y5,1+INT((Y121-FT_First)/FT_Int1),FT_PreY5+FT_PerYear*INT((Y121-FT_Y5)/12)+FT_AnnivDays+INT(MOD(Y121-FT_Y5,12)/FT_Int2))),IF(AB121="PT",IF(Y121&lt;PT_First,0,1+INT((Y121-PT_First)/PT_Int)),0)))</f>
        <v/>
      </c>
      <c r="AG121" s="9" t="str">
        <f aca="false">IF(V121=0,"",IF(AC121="FT",IF(Y121&lt;FT_First,FT_First,IF(Y121&lt;FT_Y5,MIN(FT_Y5,FT_First+FT_Int1*(INT((Y121-FT_First)/FT_Int1)+1)),FT_Y5+12*INT((Y121-FT_Y5)/12)+FT_Int2*(INT(MOD(Y121-FT_Y5,12)/FT_Int2)+1))),IF(AC121="PT",IF(Y121&lt;PT_First,PT_First,PT_First+PT_Int*(INT((Y121-PT_First)/PT_Int)+1)),"")))</f>
        <v/>
      </c>
      <c r="AH121" s="11" t="str">
        <f aca="false">IF(V121=0,"",IF($G121="","",IF($G121&gt;X121,"",$G121)))</f>
        <v/>
      </c>
    </row>
    <row r="122" customFormat="false" ht="15" hidden="false" customHeight="false" outlineLevel="0" collapsed="false">
      <c r="A122" s="12"/>
      <c r="B122" s="12"/>
      <c r="C122" s="12"/>
      <c r="D122" s="13"/>
      <c r="E122" s="12"/>
      <c r="F122" s="14"/>
      <c r="G122" s="13"/>
      <c r="H122" s="12"/>
      <c r="I122" s="14"/>
      <c r="J122" s="14"/>
      <c r="K122" s="13"/>
      <c r="L122" s="9" t="str">
        <f aca="false">IF(V122=0,"",IF($G122="","",$E122&amp;" to "&amp;$H122&amp;IF($H122="Part-Time"," "&amp;N($I122)&amp;" hrs","")&amp;" on "&amp;TEXT($G122,"dd/mm/yyyy")&amp;IF($G122&gt;AsOfDate," (future)",IF(AA122=AC122,"",IF(AC122="None"," - STOPPED accruing",IF(AA122="None"," - now qualifying"," - pathway changed"))))))</f>
        <v/>
      </c>
      <c r="M122" s="9" t="str">
        <f aca="false">IF(V122=0,"",IF(W122=1,"Terminated",IF(AC122="None",IF(O122&gt;0,"No longer accruing","Not eligible - "&amp;IF(AND(AC122="None",IF(AH122&lt;&gt;"",$H122,$E122)="Part-Time"),"under "&amp;PT_MinHours&amp;" hrs",IF(AH122&lt;&gt;"",$H122,$E122))),IF(O122&gt;0,"Yes - accruing","Not yet - from "&amp;TEXT(Q122,"dd/mm/yyyy")))))</f>
        <v/>
      </c>
      <c r="N122" s="9" t="str">
        <f aca="false">IF(V122=0,"",IF(Y122&lt;0,"-",INT(Y122/12)&amp;"y "&amp;MOD(Y122,12)&amp;"m"))</f>
        <v/>
      </c>
      <c r="O122" s="10" t="str">
        <f aca="false">IF(V122=0,"",AD122+IF(AH122="",0,AF122-AE122))</f>
        <v/>
      </c>
      <c r="P122" s="10" t="str">
        <f aca="false">IF(V122=0,"",O122*HoursPerDay)</f>
        <v/>
      </c>
      <c r="Q122" s="11" t="str">
        <f aca="false">IF(V122=0,"",IF(OR(W122=1,AC122="None"),"",EDATE(($D122+N($J122)),AG122)))</f>
        <v/>
      </c>
      <c r="R122" s="10" t="str">
        <f aca="false">IF(V122=0,"",IF(NOT(EH_Ready),"",SUMIFS(INDEX(EH_Data,0,EH_ColBal),INDEX(EH_Data,0,EH_ColFirst),$A122,INDEX(EH_Data,0,EH_ColSur),$B122,INDEX(EH_Data,0,EH_ColCat),BonusCat)/IF(EHUnit="Hours",HoursPerDay,1)))</f>
        <v/>
      </c>
      <c r="S122" s="10" t="str">
        <f aca="false">IF(OR(V122=0,R122="",W122=1),"",O122-R122)</f>
        <v/>
      </c>
      <c r="T122" s="10" t="str">
        <f aca="false">IF(S122="","",S122*HoursPerDay)</f>
        <v/>
      </c>
      <c r="U122" s="9" t="str">
        <f aca="false">IF(V122=0,"",IF(W122=1,IF(N(R122)&gt;0,"TERMINATED - forfeit "&amp;TEXT(R122,"0.##")&amp;" days in EH","Terminated"),IF(NOT(EH_Ready),"Paste EH export (see Settings)",IF(S122&gt;0,"ADD "&amp;TEXT(S122,"0.##")&amp;" day(s) = "&amp;TEXT(T122,"0.##")&amp;" hrs in EH",IF(S122&lt;0,"CHECK - EH has "&amp;TEXT(-S122,"0.##")&amp;" days more than policy",IF(O122&gt;0,"OK","-"))))))</f>
        <v/>
      </c>
      <c r="V122" s="9" t="n">
        <f aca="false">IF(OR(LEN($A122&amp;$B122)=0,$D122=""),0,1)</f>
        <v>0</v>
      </c>
      <c r="W122" s="9" t="n">
        <f aca="false">IF(V122=0,0,IF(AND($K122&lt;&gt;"",$K122&lt;=AsOfDate),1,0))</f>
        <v>0</v>
      </c>
      <c r="X122" s="11" t="str">
        <f aca="false">IF(V122=0,"",IF($K122="",AsOfDate,MIN(AsOfDate,$K122)))</f>
        <v/>
      </c>
      <c r="Y122" s="9" t="str">
        <f aca="false">IF(V122=0,"",IF(X122&lt;($D122+N($J122)),-1,12*(YEAR(X122)-YEAR(($D122+N($J122))))+MONTH(X122)-MONTH(($D122+N($J122)))-IF(DAY(X122)&lt;MIN(DAY(($D122+N($J122))),DAY(EOMONTH(X122,0))),1,0)))</f>
        <v/>
      </c>
      <c r="Z122" s="9" t="str">
        <f aca="false">IF(V122=0,"",IF(AH122="",Y122,IF((AH122-1)&lt;($D122+N($J122)),-1,12*(YEAR((AH122-1))-YEAR(($D122+N($J122))))+MONTH((AH122-1))-MONTH(($D122+N($J122)))-IF(DAY((AH122-1))&lt;MIN(DAY(($D122+N($J122))),DAY(EOMONTH((AH122-1),0))),1,0))))</f>
        <v/>
      </c>
      <c r="AA122" s="9" t="str">
        <f aca="false">IF(V122=0,"",IF($E122="Full-Time","FT",IF(AND($E122="Part-Time",N($F122)&gt;=PT_MinHours),"PT","None")))</f>
        <v/>
      </c>
      <c r="AB122" s="9" t="str">
        <f aca="false">IF(V122=0,"",IF($H122="Full-Time","FT",IF(AND($H122="Part-Time",N($I122)&gt;=PT_MinHours),"PT","None")))</f>
        <v/>
      </c>
      <c r="AC122" s="9" t="str">
        <f aca="false">IF(V122=0,"",IF(AH122&lt;&gt;"",AB122,AA122))</f>
        <v/>
      </c>
      <c r="AD122" s="9" t="str">
        <f aca="false">IF(V122=0,"",IF(AA122="FT",IF(Z122&lt;FT_First,0,IF(Z122&lt;FT_Y5,1+INT((Z122-FT_First)/FT_Int1),FT_PreY5+FT_PerYear*INT((Z122-FT_Y5)/12)+FT_AnnivDays+INT(MOD(Z122-FT_Y5,12)/FT_Int2))),IF(AA122="PT",IF(Z122&lt;PT_First,0,1+INT((Z122-PT_First)/PT_Int)),0)))</f>
        <v/>
      </c>
      <c r="AE122" s="9" t="str">
        <f aca="false">IF(V122=0,"",IF(AB122="FT",IF(Z122&lt;FT_First,0,IF(Z122&lt;FT_Y5,1+INT((Z122-FT_First)/FT_Int1),FT_PreY5+FT_PerYear*INT((Z122-FT_Y5)/12)+FT_AnnivDays+INT(MOD(Z122-FT_Y5,12)/FT_Int2))),IF(AB122="PT",IF(Z122&lt;PT_First,0,1+INT((Z122-PT_First)/PT_Int)),0)))</f>
        <v/>
      </c>
      <c r="AF122" s="9" t="str">
        <f aca="false">IF(V122=0,"",IF(AB122="FT",IF(Y122&lt;FT_First,0,IF(Y122&lt;FT_Y5,1+INT((Y122-FT_First)/FT_Int1),FT_PreY5+FT_PerYear*INT((Y122-FT_Y5)/12)+FT_AnnivDays+INT(MOD(Y122-FT_Y5,12)/FT_Int2))),IF(AB122="PT",IF(Y122&lt;PT_First,0,1+INT((Y122-PT_First)/PT_Int)),0)))</f>
        <v/>
      </c>
      <c r="AG122" s="9" t="str">
        <f aca="false">IF(V122=0,"",IF(AC122="FT",IF(Y122&lt;FT_First,FT_First,IF(Y122&lt;FT_Y5,MIN(FT_Y5,FT_First+FT_Int1*(INT((Y122-FT_First)/FT_Int1)+1)),FT_Y5+12*INT((Y122-FT_Y5)/12)+FT_Int2*(INT(MOD(Y122-FT_Y5,12)/FT_Int2)+1))),IF(AC122="PT",IF(Y122&lt;PT_First,PT_First,PT_First+PT_Int*(INT((Y122-PT_First)/PT_Int)+1)),"")))</f>
        <v/>
      </c>
      <c r="AH122" s="11" t="str">
        <f aca="false">IF(V122=0,"",IF($G122="","",IF($G122&gt;X122,"",$G122)))</f>
        <v/>
      </c>
    </row>
    <row r="123" customFormat="false" ht="15" hidden="false" customHeight="false" outlineLevel="0" collapsed="false">
      <c r="A123" s="12"/>
      <c r="B123" s="12"/>
      <c r="C123" s="12"/>
      <c r="D123" s="13"/>
      <c r="E123" s="12"/>
      <c r="F123" s="14"/>
      <c r="G123" s="13"/>
      <c r="H123" s="12"/>
      <c r="I123" s="14"/>
      <c r="J123" s="14"/>
      <c r="K123" s="13"/>
      <c r="L123" s="9" t="str">
        <f aca="false">IF(V123=0,"",IF($G123="","",$E123&amp;" to "&amp;$H123&amp;IF($H123="Part-Time"," "&amp;N($I123)&amp;" hrs","")&amp;" on "&amp;TEXT($G123,"dd/mm/yyyy")&amp;IF($G123&gt;AsOfDate," (future)",IF(AA123=AC123,"",IF(AC123="None"," - STOPPED accruing",IF(AA123="None"," - now qualifying"," - pathway changed"))))))</f>
        <v/>
      </c>
      <c r="M123" s="9" t="str">
        <f aca="false">IF(V123=0,"",IF(W123=1,"Terminated",IF(AC123="None",IF(O123&gt;0,"No longer accruing","Not eligible - "&amp;IF(AND(AC123="None",IF(AH123&lt;&gt;"",$H123,$E123)="Part-Time"),"under "&amp;PT_MinHours&amp;" hrs",IF(AH123&lt;&gt;"",$H123,$E123))),IF(O123&gt;0,"Yes - accruing","Not yet - from "&amp;TEXT(Q123,"dd/mm/yyyy")))))</f>
        <v/>
      </c>
      <c r="N123" s="9" t="str">
        <f aca="false">IF(V123=0,"",IF(Y123&lt;0,"-",INT(Y123/12)&amp;"y "&amp;MOD(Y123,12)&amp;"m"))</f>
        <v/>
      </c>
      <c r="O123" s="10" t="str">
        <f aca="false">IF(V123=0,"",AD123+IF(AH123="",0,AF123-AE123))</f>
        <v/>
      </c>
      <c r="P123" s="10" t="str">
        <f aca="false">IF(V123=0,"",O123*HoursPerDay)</f>
        <v/>
      </c>
      <c r="Q123" s="11" t="str">
        <f aca="false">IF(V123=0,"",IF(OR(W123=1,AC123="None"),"",EDATE(($D123+N($J123)),AG123)))</f>
        <v/>
      </c>
      <c r="R123" s="10" t="str">
        <f aca="false">IF(V123=0,"",IF(NOT(EH_Ready),"",SUMIFS(INDEX(EH_Data,0,EH_ColBal),INDEX(EH_Data,0,EH_ColFirst),$A123,INDEX(EH_Data,0,EH_ColSur),$B123,INDEX(EH_Data,0,EH_ColCat),BonusCat)/IF(EHUnit="Hours",HoursPerDay,1)))</f>
        <v/>
      </c>
      <c r="S123" s="10" t="str">
        <f aca="false">IF(OR(V123=0,R123="",W123=1),"",O123-R123)</f>
        <v/>
      </c>
      <c r="T123" s="10" t="str">
        <f aca="false">IF(S123="","",S123*HoursPerDay)</f>
        <v/>
      </c>
      <c r="U123" s="9" t="str">
        <f aca="false">IF(V123=0,"",IF(W123=1,IF(N(R123)&gt;0,"TERMINATED - forfeit "&amp;TEXT(R123,"0.##")&amp;" days in EH","Terminated"),IF(NOT(EH_Ready),"Paste EH export (see Settings)",IF(S123&gt;0,"ADD "&amp;TEXT(S123,"0.##")&amp;" day(s) = "&amp;TEXT(T123,"0.##")&amp;" hrs in EH",IF(S123&lt;0,"CHECK - EH has "&amp;TEXT(-S123,"0.##")&amp;" days more than policy",IF(O123&gt;0,"OK","-"))))))</f>
        <v/>
      </c>
      <c r="V123" s="9" t="n">
        <f aca="false">IF(OR(LEN($A123&amp;$B123)=0,$D123=""),0,1)</f>
        <v>0</v>
      </c>
      <c r="W123" s="9" t="n">
        <f aca="false">IF(V123=0,0,IF(AND($K123&lt;&gt;"",$K123&lt;=AsOfDate),1,0))</f>
        <v>0</v>
      </c>
      <c r="X123" s="11" t="str">
        <f aca="false">IF(V123=0,"",IF($K123="",AsOfDate,MIN(AsOfDate,$K123)))</f>
        <v/>
      </c>
      <c r="Y123" s="9" t="str">
        <f aca="false">IF(V123=0,"",IF(X123&lt;($D123+N($J123)),-1,12*(YEAR(X123)-YEAR(($D123+N($J123))))+MONTH(X123)-MONTH(($D123+N($J123)))-IF(DAY(X123)&lt;MIN(DAY(($D123+N($J123))),DAY(EOMONTH(X123,0))),1,0)))</f>
        <v/>
      </c>
      <c r="Z123" s="9" t="str">
        <f aca="false">IF(V123=0,"",IF(AH123="",Y123,IF((AH123-1)&lt;($D123+N($J123)),-1,12*(YEAR((AH123-1))-YEAR(($D123+N($J123))))+MONTH((AH123-1))-MONTH(($D123+N($J123)))-IF(DAY((AH123-1))&lt;MIN(DAY(($D123+N($J123))),DAY(EOMONTH((AH123-1),0))),1,0))))</f>
        <v/>
      </c>
      <c r="AA123" s="9" t="str">
        <f aca="false">IF(V123=0,"",IF($E123="Full-Time","FT",IF(AND($E123="Part-Time",N($F123)&gt;=PT_MinHours),"PT","None")))</f>
        <v/>
      </c>
      <c r="AB123" s="9" t="str">
        <f aca="false">IF(V123=0,"",IF($H123="Full-Time","FT",IF(AND($H123="Part-Time",N($I123)&gt;=PT_MinHours),"PT","None")))</f>
        <v/>
      </c>
      <c r="AC123" s="9" t="str">
        <f aca="false">IF(V123=0,"",IF(AH123&lt;&gt;"",AB123,AA123))</f>
        <v/>
      </c>
      <c r="AD123" s="9" t="str">
        <f aca="false">IF(V123=0,"",IF(AA123="FT",IF(Z123&lt;FT_First,0,IF(Z123&lt;FT_Y5,1+INT((Z123-FT_First)/FT_Int1),FT_PreY5+FT_PerYear*INT((Z123-FT_Y5)/12)+FT_AnnivDays+INT(MOD(Z123-FT_Y5,12)/FT_Int2))),IF(AA123="PT",IF(Z123&lt;PT_First,0,1+INT((Z123-PT_First)/PT_Int)),0)))</f>
        <v/>
      </c>
      <c r="AE123" s="9" t="str">
        <f aca="false">IF(V123=0,"",IF(AB123="FT",IF(Z123&lt;FT_First,0,IF(Z123&lt;FT_Y5,1+INT((Z123-FT_First)/FT_Int1),FT_PreY5+FT_PerYear*INT((Z123-FT_Y5)/12)+FT_AnnivDays+INT(MOD(Z123-FT_Y5,12)/FT_Int2))),IF(AB123="PT",IF(Z123&lt;PT_First,0,1+INT((Z123-PT_First)/PT_Int)),0)))</f>
        <v/>
      </c>
      <c r="AF123" s="9" t="str">
        <f aca="false">IF(V123=0,"",IF(AB123="FT",IF(Y123&lt;FT_First,0,IF(Y123&lt;FT_Y5,1+INT((Y123-FT_First)/FT_Int1),FT_PreY5+FT_PerYear*INT((Y123-FT_Y5)/12)+FT_AnnivDays+INT(MOD(Y123-FT_Y5,12)/FT_Int2))),IF(AB123="PT",IF(Y123&lt;PT_First,0,1+INT((Y123-PT_First)/PT_Int)),0)))</f>
        <v/>
      </c>
      <c r="AG123" s="9" t="str">
        <f aca="false">IF(V123=0,"",IF(AC123="FT",IF(Y123&lt;FT_First,FT_First,IF(Y123&lt;FT_Y5,MIN(FT_Y5,FT_First+FT_Int1*(INT((Y123-FT_First)/FT_Int1)+1)),FT_Y5+12*INT((Y123-FT_Y5)/12)+FT_Int2*(INT(MOD(Y123-FT_Y5,12)/FT_Int2)+1))),IF(AC123="PT",IF(Y123&lt;PT_First,PT_First,PT_First+PT_Int*(INT((Y123-PT_First)/PT_Int)+1)),"")))</f>
        <v/>
      </c>
      <c r="AH123" s="11" t="str">
        <f aca="false">IF(V123=0,"",IF($G123="","",IF($G123&gt;X123,"",$G123)))</f>
        <v/>
      </c>
    </row>
    <row r="124" customFormat="false" ht="15" hidden="false" customHeight="false" outlineLevel="0" collapsed="false">
      <c r="A124" s="12"/>
      <c r="B124" s="12"/>
      <c r="C124" s="12"/>
      <c r="D124" s="13"/>
      <c r="E124" s="12"/>
      <c r="F124" s="14"/>
      <c r="G124" s="13"/>
      <c r="H124" s="12"/>
      <c r="I124" s="14"/>
      <c r="J124" s="14"/>
      <c r="K124" s="13"/>
      <c r="L124" s="9" t="str">
        <f aca="false">IF(V124=0,"",IF($G124="","",$E124&amp;" to "&amp;$H124&amp;IF($H124="Part-Time"," "&amp;N($I124)&amp;" hrs","")&amp;" on "&amp;TEXT($G124,"dd/mm/yyyy")&amp;IF($G124&gt;AsOfDate," (future)",IF(AA124=AC124,"",IF(AC124="None"," - STOPPED accruing",IF(AA124="None"," - now qualifying"," - pathway changed"))))))</f>
        <v/>
      </c>
      <c r="M124" s="9" t="str">
        <f aca="false">IF(V124=0,"",IF(W124=1,"Terminated",IF(AC124="None",IF(O124&gt;0,"No longer accruing","Not eligible - "&amp;IF(AND(AC124="None",IF(AH124&lt;&gt;"",$H124,$E124)="Part-Time"),"under "&amp;PT_MinHours&amp;" hrs",IF(AH124&lt;&gt;"",$H124,$E124))),IF(O124&gt;0,"Yes - accruing","Not yet - from "&amp;TEXT(Q124,"dd/mm/yyyy")))))</f>
        <v/>
      </c>
      <c r="N124" s="9" t="str">
        <f aca="false">IF(V124=0,"",IF(Y124&lt;0,"-",INT(Y124/12)&amp;"y "&amp;MOD(Y124,12)&amp;"m"))</f>
        <v/>
      </c>
      <c r="O124" s="10" t="str">
        <f aca="false">IF(V124=0,"",AD124+IF(AH124="",0,AF124-AE124))</f>
        <v/>
      </c>
      <c r="P124" s="10" t="str">
        <f aca="false">IF(V124=0,"",O124*HoursPerDay)</f>
        <v/>
      </c>
      <c r="Q124" s="11" t="str">
        <f aca="false">IF(V124=0,"",IF(OR(W124=1,AC124="None"),"",EDATE(($D124+N($J124)),AG124)))</f>
        <v/>
      </c>
      <c r="R124" s="10" t="str">
        <f aca="false">IF(V124=0,"",IF(NOT(EH_Ready),"",SUMIFS(INDEX(EH_Data,0,EH_ColBal),INDEX(EH_Data,0,EH_ColFirst),$A124,INDEX(EH_Data,0,EH_ColSur),$B124,INDEX(EH_Data,0,EH_ColCat),BonusCat)/IF(EHUnit="Hours",HoursPerDay,1)))</f>
        <v/>
      </c>
      <c r="S124" s="10" t="str">
        <f aca="false">IF(OR(V124=0,R124="",W124=1),"",O124-R124)</f>
        <v/>
      </c>
      <c r="T124" s="10" t="str">
        <f aca="false">IF(S124="","",S124*HoursPerDay)</f>
        <v/>
      </c>
      <c r="U124" s="9" t="str">
        <f aca="false">IF(V124=0,"",IF(W124=1,IF(N(R124)&gt;0,"TERMINATED - forfeit "&amp;TEXT(R124,"0.##")&amp;" days in EH","Terminated"),IF(NOT(EH_Ready),"Paste EH export (see Settings)",IF(S124&gt;0,"ADD "&amp;TEXT(S124,"0.##")&amp;" day(s) = "&amp;TEXT(T124,"0.##")&amp;" hrs in EH",IF(S124&lt;0,"CHECK - EH has "&amp;TEXT(-S124,"0.##")&amp;" days more than policy",IF(O124&gt;0,"OK","-"))))))</f>
        <v/>
      </c>
      <c r="V124" s="9" t="n">
        <f aca="false">IF(OR(LEN($A124&amp;$B124)=0,$D124=""),0,1)</f>
        <v>0</v>
      </c>
      <c r="W124" s="9" t="n">
        <f aca="false">IF(V124=0,0,IF(AND($K124&lt;&gt;"",$K124&lt;=AsOfDate),1,0))</f>
        <v>0</v>
      </c>
      <c r="X124" s="11" t="str">
        <f aca="false">IF(V124=0,"",IF($K124="",AsOfDate,MIN(AsOfDate,$K124)))</f>
        <v/>
      </c>
      <c r="Y124" s="9" t="str">
        <f aca="false">IF(V124=0,"",IF(X124&lt;($D124+N($J124)),-1,12*(YEAR(X124)-YEAR(($D124+N($J124))))+MONTH(X124)-MONTH(($D124+N($J124)))-IF(DAY(X124)&lt;MIN(DAY(($D124+N($J124))),DAY(EOMONTH(X124,0))),1,0)))</f>
        <v/>
      </c>
      <c r="Z124" s="9" t="str">
        <f aca="false">IF(V124=0,"",IF(AH124="",Y124,IF((AH124-1)&lt;($D124+N($J124)),-1,12*(YEAR((AH124-1))-YEAR(($D124+N($J124))))+MONTH((AH124-1))-MONTH(($D124+N($J124)))-IF(DAY((AH124-1))&lt;MIN(DAY(($D124+N($J124))),DAY(EOMONTH((AH124-1),0))),1,0))))</f>
        <v/>
      </c>
      <c r="AA124" s="9" t="str">
        <f aca="false">IF(V124=0,"",IF($E124="Full-Time","FT",IF(AND($E124="Part-Time",N($F124)&gt;=PT_MinHours),"PT","None")))</f>
        <v/>
      </c>
      <c r="AB124" s="9" t="str">
        <f aca="false">IF(V124=0,"",IF($H124="Full-Time","FT",IF(AND($H124="Part-Time",N($I124)&gt;=PT_MinHours),"PT","None")))</f>
        <v/>
      </c>
      <c r="AC124" s="9" t="str">
        <f aca="false">IF(V124=0,"",IF(AH124&lt;&gt;"",AB124,AA124))</f>
        <v/>
      </c>
      <c r="AD124" s="9" t="str">
        <f aca="false">IF(V124=0,"",IF(AA124="FT",IF(Z124&lt;FT_First,0,IF(Z124&lt;FT_Y5,1+INT((Z124-FT_First)/FT_Int1),FT_PreY5+FT_PerYear*INT((Z124-FT_Y5)/12)+FT_AnnivDays+INT(MOD(Z124-FT_Y5,12)/FT_Int2))),IF(AA124="PT",IF(Z124&lt;PT_First,0,1+INT((Z124-PT_First)/PT_Int)),0)))</f>
        <v/>
      </c>
      <c r="AE124" s="9" t="str">
        <f aca="false">IF(V124=0,"",IF(AB124="FT",IF(Z124&lt;FT_First,0,IF(Z124&lt;FT_Y5,1+INT((Z124-FT_First)/FT_Int1),FT_PreY5+FT_PerYear*INT((Z124-FT_Y5)/12)+FT_AnnivDays+INT(MOD(Z124-FT_Y5,12)/FT_Int2))),IF(AB124="PT",IF(Z124&lt;PT_First,0,1+INT((Z124-PT_First)/PT_Int)),0)))</f>
        <v/>
      </c>
      <c r="AF124" s="9" t="str">
        <f aca="false">IF(V124=0,"",IF(AB124="FT",IF(Y124&lt;FT_First,0,IF(Y124&lt;FT_Y5,1+INT((Y124-FT_First)/FT_Int1),FT_PreY5+FT_PerYear*INT((Y124-FT_Y5)/12)+FT_AnnivDays+INT(MOD(Y124-FT_Y5,12)/FT_Int2))),IF(AB124="PT",IF(Y124&lt;PT_First,0,1+INT((Y124-PT_First)/PT_Int)),0)))</f>
        <v/>
      </c>
      <c r="AG124" s="9" t="str">
        <f aca="false">IF(V124=0,"",IF(AC124="FT",IF(Y124&lt;FT_First,FT_First,IF(Y124&lt;FT_Y5,MIN(FT_Y5,FT_First+FT_Int1*(INT((Y124-FT_First)/FT_Int1)+1)),FT_Y5+12*INT((Y124-FT_Y5)/12)+FT_Int2*(INT(MOD(Y124-FT_Y5,12)/FT_Int2)+1))),IF(AC124="PT",IF(Y124&lt;PT_First,PT_First,PT_First+PT_Int*(INT((Y124-PT_First)/PT_Int)+1)),"")))</f>
        <v/>
      </c>
      <c r="AH124" s="11" t="str">
        <f aca="false">IF(V124=0,"",IF($G124="","",IF($G124&gt;X124,"",$G124)))</f>
        <v/>
      </c>
    </row>
    <row r="125" customFormat="false" ht="15" hidden="false" customHeight="false" outlineLevel="0" collapsed="false">
      <c r="A125" s="12"/>
      <c r="B125" s="12"/>
      <c r="C125" s="12"/>
      <c r="D125" s="13"/>
      <c r="E125" s="12"/>
      <c r="F125" s="14"/>
      <c r="G125" s="13"/>
      <c r="H125" s="12"/>
      <c r="I125" s="14"/>
      <c r="J125" s="14"/>
      <c r="K125" s="13"/>
      <c r="L125" s="9" t="str">
        <f aca="false">IF(V125=0,"",IF($G125="","",$E125&amp;" to "&amp;$H125&amp;IF($H125="Part-Time"," "&amp;N($I125)&amp;" hrs","")&amp;" on "&amp;TEXT($G125,"dd/mm/yyyy")&amp;IF($G125&gt;AsOfDate," (future)",IF(AA125=AC125,"",IF(AC125="None"," - STOPPED accruing",IF(AA125="None"," - now qualifying"," - pathway changed"))))))</f>
        <v/>
      </c>
      <c r="M125" s="9" t="str">
        <f aca="false">IF(V125=0,"",IF(W125=1,"Terminated",IF(AC125="None",IF(O125&gt;0,"No longer accruing","Not eligible - "&amp;IF(AND(AC125="None",IF(AH125&lt;&gt;"",$H125,$E125)="Part-Time"),"under "&amp;PT_MinHours&amp;" hrs",IF(AH125&lt;&gt;"",$H125,$E125))),IF(O125&gt;0,"Yes - accruing","Not yet - from "&amp;TEXT(Q125,"dd/mm/yyyy")))))</f>
        <v/>
      </c>
      <c r="N125" s="9" t="str">
        <f aca="false">IF(V125=0,"",IF(Y125&lt;0,"-",INT(Y125/12)&amp;"y "&amp;MOD(Y125,12)&amp;"m"))</f>
        <v/>
      </c>
      <c r="O125" s="10" t="str">
        <f aca="false">IF(V125=0,"",AD125+IF(AH125="",0,AF125-AE125))</f>
        <v/>
      </c>
      <c r="P125" s="10" t="str">
        <f aca="false">IF(V125=0,"",O125*HoursPerDay)</f>
        <v/>
      </c>
      <c r="Q125" s="11" t="str">
        <f aca="false">IF(V125=0,"",IF(OR(W125=1,AC125="None"),"",EDATE(($D125+N($J125)),AG125)))</f>
        <v/>
      </c>
      <c r="R125" s="10" t="str">
        <f aca="false">IF(V125=0,"",IF(NOT(EH_Ready),"",SUMIFS(INDEX(EH_Data,0,EH_ColBal),INDEX(EH_Data,0,EH_ColFirst),$A125,INDEX(EH_Data,0,EH_ColSur),$B125,INDEX(EH_Data,0,EH_ColCat),BonusCat)/IF(EHUnit="Hours",HoursPerDay,1)))</f>
        <v/>
      </c>
      <c r="S125" s="10" t="str">
        <f aca="false">IF(OR(V125=0,R125="",W125=1),"",O125-R125)</f>
        <v/>
      </c>
      <c r="T125" s="10" t="str">
        <f aca="false">IF(S125="","",S125*HoursPerDay)</f>
        <v/>
      </c>
      <c r="U125" s="9" t="str">
        <f aca="false">IF(V125=0,"",IF(W125=1,IF(N(R125)&gt;0,"TERMINATED - forfeit "&amp;TEXT(R125,"0.##")&amp;" days in EH","Terminated"),IF(NOT(EH_Ready),"Paste EH export (see Settings)",IF(S125&gt;0,"ADD "&amp;TEXT(S125,"0.##")&amp;" day(s) = "&amp;TEXT(T125,"0.##")&amp;" hrs in EH",IF(S125&lt;0,"CHECK - EH has "&amp;TEXT(-S125,"0.##")&amp;" days more than policy",IF(O125&gt;0,"OK","-"))))))</f>
        <v/>
      </c>
      <c r="V125" s="9" t="n">
        <f aca="false">IF(OR(LEN($A125&amp;$B125)=0,$D125=""),0,1)</f>
        <v>0</v>
      </c>
      <c r="W125" s="9" t="n">
        <f aca="false">IF(V125=0,0,IF(AND($K125&lt;&gt;"",$K125&lt;=AsOfDate),1,0))</f>
        <v>0</v>
      </c>
      <c r="X125" s="11" t="str">
        <f aca="false">IF(V125=0,"",IF($K125="",AsOfDate,MIN(AsOfDate,$K125)))</f>
        <v/>
      </c>
      <c r="Y125" s="9" t="str">
        <f aca="false">IF(V125=0,"",IF(X125&lt;($D125+N($J125)),-1,12*(YEAR(X125)-YEAR(($D125+N($J125))))+MONTH(X125)-MONTH(($D125+N($J125)))-IF(DAY(X125)&lt;MIN(DAY(($D125+N($J125))),DAY(EOMONTH(X125,0))),1,0)))</f>
        <v/>
      </c>
      <c r="Z125" s="9" t="str">
        <f aca="false">IF(V125=0,"",IF(AH125="",Y125,IF((AH125-1)&lt;($D125+N($J125)),-1,12*(YEAR((AH125-1))-YEAR(($D125+N($J125))))+MONTH((AH125-1))-MONTH(($D125+N($J125)))-IF(DAY((AH125-1))&lt;MIN(DAY(($D125+N($J125))),DAY(EOMONTH((AH125-1),0))),1,0))))</f>
        <v/>
      </c>
      <c r="AA125" s="9" t="str">
        <f aca="false">IF(V125=0,"",IF($E125="Full-Time","FT",IF(AND($E125="Part-Time",N($F125)&gt;=PT_MinHours),"PT","None")))</f>
        <v/>
      </c>
      <c r="AB125" s="9" t="str">
        <f aca="false">IF(V125=0,"",IF($H125="Full-Time","FT",IF(AND($H125="Part-Time",N($I125)&gt;=PT_MinHours),"PT","None")))</f>
        <v/>
      </c>
      <c r="AC125" s="9" t="str">
        <f aca="false">IF(V125=0,"",IF(AH125&lt;&gt;"",AB125,AA125))</f>
        <v/>
      </c>
      <c r="AD125" s="9" t="str">
        <f aca="false">IF(V125=0,"",IF(AA125="FT",IF(Z125&lt;FT_First,0,IF(Z125&lt;FT_Y5,1+INT((Z125-FT_First)/FT_Int1),FT_PreY5+FT_PerYear*INT((Z125-FT_Y5)/12)+FT_AnnivDays+INT(MOD(Z125-FT_Y5,12)/FT_Int2))),IF(AA125="PT",IF(Z125&lt;PT_First,0,1+INT((Z125-PT_First)/PT_Int)),0)))</f>
        <v/>
      </c>
      <c r="AE125" s="9" t="str">
        <f aca="false">IF(V125=0,"",IF(AB125="FT",IF(Z125&lt;FT_First,0,IF(Z125&lt;FT_Y5,1+INT((Z125-FT_First)/FT_Int1),FT_PreY5+FT_PerYear*INT((Z125-FT_Y5)/12)+FT_AnnivDays+INT(MOD(Z125-FT_Y5,12)/FT_Int2))),IF(AB125="PT",IF(Z125&lt;PT_First,0,1+INT((Z125-PT_First)/PT_Int)),0)))</f>
        <v/>
      </c>
      <c r="AF125" s="9" t="str">
        <f aca="false">IF(V125=0,"",IF(AB125="FT",IF(Y125&lt;FT_First,0,IF(Y125&lt;FT_Y5,1+INT((Y125-FT_First)/FT_Int1),FT_PreY5+FT_PerYear*INT((Y125-FT_Y5)/12)+FT_AnnivDays+INT(MOD(Y125-FT_Y5,12)/FT_Int2))),IF(AB125="PT",IF(Y125&lt;PT_First,0,1+INT((Y125-PT_First)/PT_Int)),0)))</f>
        <v/>
      </c>
      <c r="AG125" s="9" t="str">
        <f aca="false">IF(V125=0,"",IF(AC125="FT",IF(Y125&lt;FT_First,FT_First,IF(Y125&lt;FT_Y5,MIN(FT_Y5,FT_First+FT_Int1*(INT((Y125-FT_First)/FT_Int1)+1)),FT_Y5+12*INT((Y125-FT_Y5)/12)+FT_Int2*(INT(MOD(Y125-FT_Y5,12)/FT_Int2)+1))),IF(AC125="PT",IF(Y125&lt;PT_First,PT_First,PT_First+PT_Int*(INT((Y125-PT_First)/PT_Int)+1)),"")))</f>
        <v/>
      </c>
      <c r="AH125" s="11" t="str">
        <f aca="false">IF(V125=0,"",IF($G125="","",IF($G125&gt;X125,"",$G125)))</f>
        <v/>
      </c>
    </row>
    <row r="126" customFormat="false" ht="15" hidden="false" customHeight="false" outlineLevel="0" collapsed="false">
      <c r="A126" s="12"/>
      <c r="B126" s="12"/>
      <c r="C126" s="12"/>
      <c r="D126" s="13"/>
      <c r="E126" s="12"/>
      <c r="F126" s="14"/>
      <c r="G126" s="13"/>
      <c r="H126" s="12"/>
      <c r="I126" s="14"/>
      <c r="J126" s="14"/>
      <c r="K126" s="13"/>
      <c r="L126" s="9" t="str">
        <f aca="false">IF(V126=0,"",IF($G126="","",$E126&amp;" to "&amp;$H126&amp;IF($H126="Part-Time"," "&amp;N($I126)&amp;" hrs","")&amp;" on "&amp;TEXT($G126,"dd/mm/yyyy")&amp;IF($G126&gt;AsOfDate," (future)",IF(AA126=AC126,"",IF(AC126="None"," - STOPPED accruing",IF(AA126="None"," - now qualifying"," - pathway changed"))))))</f>
        <v/>
      </c>
      <c r="M126" s="9" t="str">
        <f aca="false">IF(V126=0,"",IF(W126=1,"Terminated",IF(AC126="None",IF(O126&gt;0,"No longer accruing","Not eligible - "&amp;IF(AND(AC126="None",IF(AH126&lt;&gt;"",$H126,$E126)="Part-Time"),"under "&amp;PT_MinHours&amp;" hrs",IF(AH126&lt;&gt;"",$H126,$E126))),IF(O126&gt;0,"Yes - accruing","Not yet - from "&amp;TEXT(Q126,"dd/mm/yyyy")))))</f>
        <v/>
      </c>
      <c r="N126" s="9" t="str">
        <f aca="false">IF(V126=0,"",IF(Y126&lt;0,"-",INT(Y126/12)&amp;"y "&amp;MOD(Y126,12)&amp;"m"))</f>
        <v/>
      </c>
      <c r="O126" s="10" t="str">
        <f aca="false">IF(V126=0,"",AD126+IF(AH126="",0,AF126-AE126))</f>
        <v/>
      </c>
      <c r="P126" s="10" t="str">
        <f aca="false">IF(V126=0,"",O126*HoursPerDay)</f>
        <v/>
      </c>
      <c r="Q126" s="11" t="str">
        <f aca="false">IF(V126=0,"",IF(OR(W126=1,AC126="None"),"",EDATE(($D126+N($J126)),AG126)))</f>
        <v/>
      </c>
      <c r="R126" s="10" t="str">
        <f aca="false">IF(V126=0,"",IF(NOT(EH_Ready),"",SUMIFS(INDEX(EH_Data,0,EH_ColBal),INDEX(EH_Data,0,EH_ColFirst),$A126,INDEX(EH_Data,0,EH_ColSur),$B126,INDEX(EH_Data,0,EH_ColCat),BonusCat)/IF(EHUnit="Hours",HoursPerDay,1)))</f>
        <v/>
      </c>
      <c r="S126" s="10" t="str">
        <f aca="false">IF(OR(V126=0,R126="",W126=1),"",O126-R126)</f>
        <v/>
      </c>
      <c r="T126" s="10" t="str">
        <f aca="false">IF(S126="","",S126*HoursPerDay)</f>
        <v/>
      </c>
      <c r="U126" s="9" t="str">
        <f aca="false">IF(V126=0,"",IF(W126=1,IF(N(R126)&gt;0,"TERMINATED - forfeit "&amp;TEXT(R126,"0.##")&amp;" days in EH","Terminated"),IF(NOT(EH_Ready),"Paste EH export (see Settings)",IF(S126&gt;0,"ADD "&amp;TEXT(S126,"0.##")&amp;" day(s) = "&amp;TEXT(T126,"0.##")&amp;" hrs in EH",IF(S126&lt;0,"CHECK - EH has "&amp;TEXT(-S126,"0.##")&amp;" days more than policy",IF(O126&gt;0,"OK","-"))))))</f>
        <v/>
      </c>
      <c r="V126" s="9" t="n">
        <f aca="false">IF(OR(LEN($A126&amp;$B126)=0,$D126=""),0,1)</f>
        <v>0</v>
      </c>
      <c r="W126" s="9" t="n">
        <f aca="false">IF(V126=0,0,IF(AND($K126&lt;&gt;"",$K126&lt;=AsOfDate),1,0))</f>
        <v>0</v>
      </c>
      <c r="X126" s="11" t="str">
        <f aca="false">IF(V126=0,"",IF($K126="",AsOfDate,MIN(AsOfDate,$K126)))</f>
        <v/>
      </c>
      <c r="Y126" s="9" t="str">
        <f aca="false">IF(V126=0,"",IF(X126&lt;($D126+N($J126)),-1,12*(YEAR(X126)-YEAR(($D126+N($J126))))+MONTH(X126)-MONTH(($D126+N($J126)))-IF(DAY(X126)&lt;MIN(DAY(($D126+N($J126))),DAY(EOMONTH(X126,0))),1,0)))</f>
        <v/>
      </c>
      <c r="Z126" s="9" t="str">
        <f aca="false">IF(V126=0,"",IF(AH126="",Y126,IF((AH126-1)&lt;($D126+N($J126)),-1,12*(YEAR((AH126-1))-YEAR(($D126+N($J126))))+MONTH((AH126-1))-MONTH(($D126+N($J126)))-IF(DAY((AH126-1))&lt;MIN(DAY(($D126+N($J126))),DAY(EOMONTH((AH126-1),0))),1,0))))</f>
        <v/>
      </c>
      <c r="AA126" s="9" t="str">
        <f aca="false">IF(V126=0,"",IF($E126="Full-Time","FT",IF(AND($E126="Part-Time",N($F126)&gt;=PT_MinHours),"PT","None")))</f>
        <v/>
      </c>
      <c r="AB126" s="9" t="str">
        <f aca="false">IF(V126=0,"",IF($H126="Full-Time","FT",IF(AND($H126="Part-Time",N($I126)&gt;=PT_MinHours),"PT","None")))</f>
        <v/>
      </c>
      <c r="AC126" s="9" t="str">
        <f aca="false">IF(V126=0,"",IF(AH126&lt;&gt;"",AB126,AA126))</f>
        <v/>
      </c>
      <c r="AD126" s="9" t="str">
        <f aca="false">IF(V126=0,"",IF(AA126="FT",IF(Z126&lt;FT_First,0,IF(Z126&lt;FT_Y5,1+INT((Z126-FT_First)/FT_Int1),FT_PreY5+FT_PerYear*INT((Z126-FT_Y5)/12)+FT_AnnivDays+INT(MOD(Z126-FT_Y5,12)/FT_Int2))),IF(AA126="PT",IF(Z126&lt;PT_First,0,1+INT((Z126-PT_First)/PT_Int)),0)))</f>
        <v/>
      </c>
      <c r="AE126" s="9" t="str">
        <f aca="false">IF(V126=0,"",IF(AB126="FT",IF(Z126&lt;FT_First,0,IF(Z126&lt;FT_Y5,1+INT((Z126-FT_First)/FT_Int1),FT_PreY5+FT_PerYear*INT((Z126-FT_Y5)/12)+FT_AnnivDays+INT(MOD(Z126-FT_Y5,12)/FT_Int2))),IF(AB126="PT",IF(Z126&lt;PT_First,0,1+INT((Z126-PT_First)/PT_Int)),0)))</f>
        <v/>
      </c>
      <c r="AF126" s="9" t="str">
        <f aca="false">IF(V126=0,"",IF(AB126="FT",IF(Y126&lt;FT_First,0,IF(Y126&lt;FT_Y5,1+INT((Y126-FT_First)/FT_Int1),FT_PreY5+FT_PerYear*INT((Y126-FT_Y5)/12)+FT_AnnivDays+INT(MOD(Y126-FT_Y5,12)/FT_Int2))),IF(AB126="PT",IF(Y126&lt;PT_First,0,1+INT((Y126-PT_First)/PT_Int)),0)))</f>
        <v/>
      </c>
      <c r="AG126" s="9" t="str">
        <f aca="false">IF(V126=0,"",IF(AC126="FT",IF(Y126&lt;FT_First,FT_First,IF(Y126&lt;FT_Y5,MIN(FT_Y5,FT_First+FT_Int1*(INT((Y126-FT_First)/FT_Int1)+1)),FT_Y5+12*INT((Y126-FT_Y5)/12)+FT_Int2*(INT(MOD(Y126-FT_Y5,12)/FT_Int2)+1))),IF(AC126="PT",IF(Y126&lt;PT_First,PT_First,PT_First+PT_Int*(INT((Y126-PT_First)/PT_Int)+1)),"")))</f>
        <v/>
      </c>
      <c r="AH126" s="11" t="str">
        <f aca="false">IF(V126=0,"",IF($G126="","",IF($G126&gt;X126,"",$G126)))</f>
        <v/>
      </c>
    </row>
    <row r="127" customFormat="false" ht="15" hidden="false" customHeight="false" outlineLevel="0" collapsed="false">
      <c r="A127" s="12"/>
      <c r="B127" s="12"/>
      <c r="C127" s="12"/>
      <c r="D127" s="13"/>
      <c r="E127" s="12"/>
      <c r="F127" s="14"/>
      <c r="G127" s="13"/>
      <c r="H127" s="12"/>
      <c r="I127" s="14"/>
      <c r="J127" s="14"/>
      <c r="K127" s="13"/>
      <c r="L127" s="9" t="str">
        <f aca="false">IF(V127=0,"",IF($G127="","",$E127&amp;" to "&amp;$H127&amp;IF($H127="Part-Time"," "&amp;N($I127)&amp;" hrs","")&amp;" on "&amp;TEXT($G127,"dd/mm/yyyy")&amp;IF($G127&gt;AsOfDate," (future)",IF(AA127=AC127,"",IF(AC127="None"," - STOPPED accruing",IF(AA127="None"," - now qualifying"," - pathway changed"))))))</f>
        <v/>
      </c>
      <c r="M127" s="9" t="str">
        <f aca="false">IF(V127=0,"",IF(W127=1,"Terminated",IF(AC127="None",IF(O127&gt;0,"No longer accruing","Not eligible - "&amp;IF(AND(AC127="None",IF(AH127&lt;&gt;"",$H127,$E127)="Part-Time"),"under "&amp;PT_MinHours&amp;" hrs",IF(AH127&lt;&gt;"",$H127,$E127))),IF(O127&gt;0,"Yes - accruing","Not yet - from "&amp;TEXT(Q127,"dd/mm/yyyy")))))</f>
        <v/>
      </c>
      <c r="N127" s="9" t="str">
        <f aca="false">IF(V127=0,"",IF(Y127&lt;0,"-",INT(Y127/12)&amp;"y "&amp;MOD(Y127,12)&amp;"m"))</f>
        <v/>
      </c>
      <c r="O127" s="10" t="str">
        <f aca="false">IF(V127=0,"",AD127+IF(AH127="",0,AF127-AE127))</f>
        <v/>
      </c>
      <c r="P127" s="10" t="str">
        <f aca="false">IF(V127=0,"",O127*HoursPerDay)</f>
        <v/>
      </c>
      <c r="Q127" s="11" t="str">
        <f aca="false">IF(V127=0,"",IF(OR(W127=1,AC127="None"),"",EDATE(($D127+N($J127)),AG127)))</f>
        <v/>
      </c>
      <c r="R127" s="10" t="str">
        <f aca="false">IF(V127=0,"",IF(NOT(EH_Ready),"",SUMIFS(INDEX(EH_Data,0,EH_ColBal),INDEX(EH_Data,0,EH_ColFirst),$A127,INDEX(EH_Data,0,EH_ColSur),$B127,INDEX(EH_Data,0,EH_ColCat),BonusCat)/IF(EHUnit="Hours",HoursPerDay,1)))</f>
        <v/>
      </c>
      <c r="S127" s="10" t="str">
        <f aca="false">IF(OR(V127=0,R127="",W127=1),"",O127-R127)</f>
        <v/>
      </c>
      <c r="T127" s="10" t="str">
        <f aca="false">IF(S127="","",S127*HoursPerDay)</f>
        <v/>
      </c>
      <c r="U127" s="9" t="str">
        <f aca="false">IF(V127=0,"",IF(W127=1,IF(N(R127)&gt;0,"TERMINATED - forfeit "&amp;TEXT(R127,"0.##")&amp;" days in EH","Terminated"),IF(NOT(EH_Ready),"Paste EH export (see Settings)",IF(S127&gt;0,"ADD "&amp;TEXT(S127,"0.##")&amp;" day(s) = "&amp;TEXT(T127,"0.##")&amp;" hrs in EH",IF(S127&lt;0,"CHECK - EH has "&amp;TEXT(-S127,"0.##")&amp;" days more than policy",IF(O127&gt;0,"OK","-"))))))</f>
        <v/>
      </c>
      <c r="V127" s="9" t="n">
        <f aca="false">IF(OR(LEN($A127&amp;$B127)=0,$D127=""),0,1)</f>
        <v>0</v>
      </c>
      <c r="W127" s="9" t="n">
        <f aca="false">IF(V127=0,0,IF(AND($K127&lt;&gt;"",$K127&lt;=AsOfDate),1,0))</f>
        <v>0</v>
      </c>
      <c r="X127" s="11" t="str">
        <f aca="false">IF(V127=0,"",IF($K127="",AsOfDate,MIN(AsOfDate,$K127)))</f>
        <v/>
      </c>
      <c r="Y127" s="9" t="str">
        <f aca="false">IF(V127=0,"",IF(X127&lt;($D127+N($J127)),-1,12*(YEAR(X127)-YEAR(($D127+N($J127))))+MONTH(X127)-MONTH(($D127+N($J127)))-IF(DAY(X127)&lt;MIN(DAY(($D127+N($J127))),DAY(EOMONTH(X127,0))),1,0)))</f>
        <v/>
      </c>
      <c r="Z127" s="9" t="str">
        <f aca="false">IF(V127=0,"",IF(AH127="",Y127,IF((AH127-1)&lt;($D127+N($J127)),-1,12*(YEAR((AH127-1))-YEAR(($D127+N($J127))))+MONTH((AH127-1))-MONTH(($D127+N($J127)))-IF(DAY((AH127-1))&lt;MIN(DAY(($D127+N($J127))),DAY(EOMONTH((AH127-1),0))),1,0))))</f>
        <v/>
      </c>
      <c r="AA127" s="9" t="str">
        <f aca="false">IF(V127=0,"",IF($E127="Full-Time","FT",IF(AND($E127="Part-Time",N($F127)&gt;=PT_MinHours),"PT","None")))</f>
        <v/>
      </c>
      <c r="AB127" s="9" t="str">
        <f aca="false">IF(V127=0,"",IF($H127="Full-Time","FT",IF(AND($H127="Part-Time",N($I127)&gt;=PT_MinHours),"PT","None")))</f>
        <v/>
      </c>
      <c r="AC127" s="9" t="str">
        <f aca="false">IF(V127=0,"",IF(AH127&lt;&gt;"",AB127,AA127))</f>
        <v/>
      </c>
      <c r="AD127" s="9" t="str">
        <f aca="false">IF(V127=0,"",IF(AA127="FT",IF(Z127&lt;FT_First,0,IF(Z127&lt;FT_Y5,1+INT((Z127-FT_First)/FT_Int1),FT_PreY5+FT_PerYear*INT((Z127-FT_Y5)/12)+FT_AnnivDays+INT(MOD(Z127-FT_Y5,12)/FT_Int2))),IF(AA127="PT",IF(Z127&lt;PT_First,0,1+INT((Z127-PT_First)/PT_Int)),0)))</f>
        <v/>
      </c>
      <c r="AE127" s="9" t="str">
        <f aca="false">IF(V127=0,"",IF(AB127="FT",IF(Z127&lt;FT_First,0,IF(Z127&lt;FT_Y5,1+INT((Z127-FT_First)/FT_Int1),FT_PreY5+FT_PerYear*INT((Z127-FT_Y5)/12)+FT_AnnivDays+INT(MOD(Z127-FT_Y5,12)/FT_Int2))),IF(AB127="PT",IF(Z127&lt;PT_First,0,1+INT((Z127-PT_First)/PT_Int)),0)))</f>
        <v/>
      </c>
      <c r="AF127" s="9" t="str">
        <f aca="false">IF(V127=0,"",IF(AB127="FT",IF(Y127&lt;FT_First,0,IF(Y127&lt;FT_Y5,1+INT((Y127-FT_First)/FT_Int1),FT_PreY5+FT_PerYear*INT((Y127-FT_Y5)/12)+FT_AnnivDays+INT(MOD(Y127-FT_Y5,12)/FT_Int2))),IF(AB127="PT",IF(Y127&lt;PT_First,0,1+INT((Y127-PT_First)/PT_Int)),0)))</f>
        <v/>
      </c>
      <c r="AG127" s="9" t="str">
        <f aca="false">IF(V127=0,"",IF(AC127="FT",IF(Y127&lt;FT_First,FT_First,IF(Y127&lt;FT_Y5,MIN(FT_Y5,FT_First+FT_Int1*(INT((Y127-FT_First)/FT_Int1)+1)),FT_Y5+12*INT((Y127-FT_Y5)/12)+FT_Int2*(INT(MOD(Y127-FT_Y5,12)/FT_Int2)+1))),IF(AC127="PT",IF(Y127&lt;PT_First,PT_First,PT_First+PT_Int*(INT((Y127-PT_First)/PT_Int)+1)),"")))</f>
        <v/>
      </c>
      <c r="AH127" s="11" t="str">
        <f aca="false">IF(V127=0,"",IF($G127="","",IF($G127&gt;X127,"",$G127)))</f>
        <v/>
      </c>
    </row>
    <row r="128" customFormat="false" ht="15" hidden="false" customHeight="false" outlineLevel="0" collapsed="false">
      <c r="A128" s="12"/>
      <c r="B128" s="12"/>
      <c r="C128" s="12"/>
      <c r="D128" s="13"/>
      <c r="E128" s="12"/>
      <c r="F128" s="14"/>
      <c r="G128" s="13"/>
      <c r="H128" s="12"/>
      <c r="I128" s="14"/>
      <c r="J128" s="14"/>
      <c r="K128" s="13"/>
      <c r="L128" s="9" t="str">
        <f aca="false">IF(V128=0,"",IF($G128="","",$E128&amp;" to "&amp;$H128&amp;IF($H128="Part-Time"," "&amp;N($I128)&amp;" hrs","")&amp;" on "&amp;TEXT($G128,"dd/mm/yyyy")&amp;IF($G128&gt;AsOfDate," (future)",IF(AA128=AC128,"",IF(AC128="None"," - STOPPED accruing",IF(AA128="None"," - now qualifying"," - pathway changed"))))))</f>
        <v/>
      </c>
      <c r="M128" s="9" t="str">
        <f aca="false">IF(V128=0,"",IF(W128=1,"Terminated",IF(AC128="None",IF(O128&gt;0,"No longer accruing","Not eligible - "&amp;IF(AND(AC128="None",IF(AH128&lt;&gt;"",$H128,$E128)="Part-Time"),"under "&amp;PT_MinHours&amp;" hrs",IF(AH128&lt;&gt;"",$H128,$E128))),IF(O128&gt;0,"Yes - accruing","Not yet - from "&amp;TEXT(Q128,"dd/mm/yyyy")))))</f>
        <v/>
      </c>
      <c r="N128" s="9" t="str">
        <f aca="false">IF(V128=0,"",IF(Y128&lt;0,"-",INT(Y128/12)&amp;"y "&amp;MOD(Y128,12)&amp;"m"))</f>
        <v/>
      </c>
      <c r="O128" s="10" t="str">
        <f aca="false">IF(V128=0,"",AD128+IF(AH128="",0,AF128-AE128))</f>
        <v/>
      </c>
      <c r="P128" s="10" t="str">
        <f aca="false">IF(V128=0,"",O128*HoursPerDay)</f>
        <v/>
      </c>
      <c r="Q128" s="11" t="str">
        <f aca="false">IF(V128=0,"",IF(OR(W128=1,AC128="None"),"",EDATE(($D128+N($J128)),AG128)))</f>
        <v/>
      </c>
      <c r="R128" s="10" t="str">
        <f aca="false">IF(V128=0,"",IF(NOT(EH_Ready),"",SUMIFS(INDEX(EH_Data,0,EH_ColBal),INDEX(EH_Data,0,EH_ColFirst),$A128,INDEX(EH_Data,0,EH_ColSur),$B128,INDEX(EH_Data,0,EH_ColCat),BonusCat)/IF(EHUnit="Hours",HoursPerDay,1)))</f>
        <v/>
      </c>
      <c r="S128" s="10" t="str">
        <f aca="false">IF(OR(V128=0,R128="",W128=1),"",O128-R128)</f>
        <v/>
      </c>
      <c r="T128" s="10" t="str">
        <f aca="false">IF(S128="","",S128*HoursPerDay)</f>
        <v/>
      </c>
      <c r="U128" s="9" t="str">
        <f aca="false">IF(V128=0,"",IF(W128=1,IF(N(R128)&gt;0,"TERMINATED - forfeit "&amp;TEXT(R128,"0.##")&amp;" days in EH","Terminated"),IF(NOT(EH_Ready),"Paste EH export (see Settings)",IF(S128&gt;0,"ADD "&amp;TEXT(S128,"0.##")&amp;" day(s) = "&amp;TEXT(T128,"0.##")&amp;" hrs in EH",IF(S128&lt;0,"CHECK - EH has "&amp;TEXT(-S128,"0.##")&amp;" days more than policy",IF(O128&gt;0,"OK","-"))))))</f>
        <v/>
      </c>
      <c r="V128" s="9" t="n">
        <f aca="false">IF(OR(LEN($A128&amp;$B128)=0,$D128=""),0,1)</f>
        <v>0</v>
      </c>
      <c r="W128" s="9" t="n">
        <f aca="false">IF(V128=0,0,IF(AND($K128&lt;&gt;"",$K128&lt;=AsOfDate),1,0))</f>
        <v>0</v>
      </c>
      <c r="X128" s="11" t="str">
        <f aca="false">IF(V128=0,"",IF($K128="",AsOfDate,MIN(AsOfDate,$K128)))</f>
        <v/>
      </c>
      <c r="Y128" s="9" t="str">
        <f aca="false">IF(V128=0,"",IF(X128&lt;($D128+N($J128)),-1,12*(YEAR(X128)-YEAR(($D128+N($J128))))+MONTH(X128)-MONTH(($D128+N($J128)))-IF(DAY(X128)&lt;MIN(DAY(($D128+N($J128))),DAY(EOMONTH(X128,0))),1,0)))</f>
        <v/>
      </c>
      <c r="Z128" s="9" t="str">
        <f aca="false">IF(V128=0,"",IF(AH128="",Y128,IF((AH128-1)&lt;($D128+N($J128)),-1,12*(YEAR((AH128-1))-YEAR(($D128+N($J128))))+MONTH((AH128-1))-MONTH(($D128+N($J128)))-IF(DAY((AH128-1))&lt;MIN(DAY(($D128+N($J128))),DAY(EOMONTH((AH128-1),0))),1,0))))</f>
        <v/>
      </c>
      <c r="AA128" s="9" t="str">
        <f aca="false">IF(V128=0,"",IF($E128="Full-Time","FT",IF(AND($E128="Part-Time",N($F128)&gt;=PT_MinHours),"PT","None")))</f>
        <v/>
      </c>
      <c r="AB128" s="9" t="str">
        <f aca="false">IF(V128=0,"",IF($H128="Full-Time","FT",IF(AND($H128="Part-Time",N($I128)&gt;=PT_MinHours),"PT","None")))</f>
        <v/>
      </c>
      <c r="AC128" s="9" t="str">
        <f aca="false">IF(V128=0,"",IF(AH128&lt;&gt;"",AB128,AA128))</f>
        <v/>
      </c>
      <c r="AD128" s="9" t="str">
        <f aca="false">IF(V128=0,"",IF(AA128="FT",IF(Z128&lt;FT_First,0,IF(Z128&lt;FT_Y5,1+INT((Z128-FT_First)/FT_Int1),FT_PreY5+FT_PerYear*INT((Z128-FT_Y5)/12)+FT_AnnivDays+INT(MOD(Z128-FT_Y5,12)/FT_Int2))),IF(AA128="PT",IF(Z128&lt;PT_First,0,1+INT((Z128-PT_First)/PT_Int)),0)))</f>
        <v/>
      </c>
      <c r="AE128" s="9" t="str">
        <f aca="false">IF(V128=0,"",IF(AB128="FT",IF(Z128&lt;FT_First,0,IF(Z128&lt;FT_Y5,1+INT((Z128-FT_First)/FT_Int1),FT_PreY5+FT_PerYear*INT((Z128-FT_Y5)/12)+FT_AnnivDays+INT(MOD(Z128-FT_Y5,12)/FT_Int2))),IF(AB128="PT",IF(Z128&lt;PT_First,0,1+INT((Z128-PT_First)/PT_Int)),0)))</f>
        <v/>
      </c>
      <c r="AF128" s="9" t="str">
        <f aca="false">IF(V128=0,"",IF(AB128="FT",IF(Y128&lt;FT_First,0,IF(Y128&lt;FT_Y5,1+INT((Y128-FT_First)/FT_Int1),FT_PreY5+FT_PerYear*INT((Y128-FT_Y5)/12)+FT_AnnivDays+INT(MOD(Y128-FT_Y5,12)/FT_Int2))),IF(AB128="PT",IF(Y128&lt;PT_First,0,1+INT((Y128-PT_First)/PT_Int)),0)))</f>
        <v/>
      </c>
      <c r="AG128" s="9" t="str">
        <f aca="false">IF(V128=0,"",IF(AC128="FT",IF(Y128&lt;FT_First,FT_First,IF(Y128&lt;FT_Y5,MIN(FT_Y5,FT_First+FT_Int1*(INT((Y128-FT_First)/FT_Int1)+1)),FT_Y5+12*INT((Y128-FT_Y5)/12)+FT_Int2*(INT(MOD(Y128-FT_Y5,12)/FT_Int2)+1))),IF(AC128="PT",IF(Y128&lt;PT_First,PT_First,PT_First+PT_Int*(INT((Y128-PT_First)/PT_Int)+1)),"")))</f>
        <v/>
      </c>
      <c r="AH128" s="11" t="str">
        <f aca="false">IF(V128=0,"",IF($G128="","",IF($G128&gt;X128,"",$G128)))</f>
        <v/>
      </c>
    </row>
    <row r="129" customFormat="false" ht="15" hidden="false" customHeight="false" outlineLevel="0" collapsed="false">
      <c r="A129" s="12"/>
      <c r="B129" s="12"/>
      <c r="C129" s="12"/>
      <c r="D129" s="13"/>
      <c r="E129" s="12"/>
      <c r="F129" s="14"/>
      <c r="G129" s="13"/>
      <c r="H129" s="12"/>
      <c r="I129" s="14"/>
      <c r="J129" s="14"/>
      <c r="K129" s="13"/>
      <c r="L129" s="9" t="str">
        <f aca="false">IF(V129=0,"",IF($G129="","",$E129&amp;" to "&amp;$H129&amp;IF($H129="Part-Time"," "&amp;N($I129)&amp;" hrs","")&amp;" on "&amp;TEXT($G129,"dd/mm/yyyy")&amp;IF($G129&gt;AsOfDate," (future)",IF(AA129=AC129,"",IF(AC129="None"," - STOPPED accruing",IF(AA129="None"," - now qualifying"," - pathway changed"))))))</f>
        <v/>
      </c>
      <c r="M129" s="9" t="str">
        <f aca="false">IF(V129=0,"",IF(W129=1,"Terminated",IF(AC129="None",IF(O129&gt;0,"No longer accruing","Not eligible - "&amp;IF(AND(AC129="None",IF(AH129&lt;&gt;"",$H129,$E129)="Part-Time"),"under "&amp;PT_MinHours&amp;" hrs",IF(AH129&lt;&gt;"",$H129,$E129))),IF(O129&gt;0,"Yes - accruing","Not yet - from "&amp;TEXT(Q129,"dd/mm/yyyy")))))</f>
        <v/>
      </c>
      <c r="N129" s="9" t="str">
        <f aca="false">IF(V129=0,"",IF(Y129&lt;0,"-",INT(Y129/12)&amp;"y "&amp;MOD(Y129,12)&amp;"m"))</f>
        <v/>
      </c>
      <c r="O129" s="10" t="str">
        <f aca="false">IF(V129=0,"",AD129+IF(AH129="",0,AF129-AE129))</f>
        <v/>
      </c>
      <c r="P129" s="10" t="str">
        <f aca="false">IF(V129=0,"",O129*HoursPerDay)</f>
        <v/>
      </c>
      <c r="Q129" s="11" t="str">
        <f aca="false">IF(V129=0,"",IF(OR(W129=1,AC129="None"),"",EDATE(($D129+N($J129)),AG129)))</f>
        <v/>
      </c>
      <c r="R129" s="10" t="str">
        <f aca="false">IF(V129=0,"",IF(NOT(EH_Ready),"",SUMIFS(INDEX(EH_Data,0,EH_ColBal),INDEX(EH_Data,0,EH_ColFirst),$A129,INDEX(EH_Data,0,EH_ColSur),$B129,INDEX(EH_Data,0,EH_ColCat),BonusCat)/IF(EHUnit="Hours",HoursPerDay,1)))</f>
        <v/>
      </c>
      <c r="S129" s="10" t="str">
        <f aca="false">IF(OR(V129=0,R129="",W129=1),"",O129-R129)</f>
        <v/>
      </c>
      <c r="T129" s="10" t="str">
        <f aca="false">IF(S129="","",S129*HoursPerDay)</f>
        <v/>
      </c>
      <c r="U129" s="9" t="str">
        <f aca="false">IF(V129=0,"",IF(W129=1,IF(N(R129)&gt;0,"TERMINATED - forfeit "&amp;TEXT(R129,"0.##")&amp;" days in EH","Terminated"),IF(NOT(EH_Ready),"Paste EH export (see Settings)",IF(S129&gt;0,"ADD "&amp;TEXT(S129,"0.##")&amp;" day(s) = "&amp;TEXT(T129,"0.##")&amp;" hrs in EH",IF(S129&lt;0,"CHECK - EH has "&amp;TEXT(-S129,"0.##")&amp;" days more than policy",IF(O129&gt;0,"OK","-"))))))</f>
        <v/>
      </c>
      <c r="V129" s="9" t="n">
        <f aca="false">IF(OR(LEN($A129&amp;$B129)=0,$D129=""),0,1)</f>
        <v>0</v>
      </c>
      <c r="W129" s="9" t="n">
        <f aca="false">IF(V129=0,0,IF(AND($K129&lt;&gt;"",$K129&lt;=AsOfDate),1,0))</f>
        <v>0</v>
      </c>
      <c r="X129" s="11" t="str">
        <f aca="false">IF(V129=0,"",IF($K129="",AsOfDate,MIN(AsOfDate,$K129)))</f>
        <v/>
      </c>
      <c r="Y129" s="9" t="str">
        <f aca="false">IF(V129=0,"",IF(X129&lt;($D129+N($J129)),-1,12*(YEAR(X129)-YEAR(($D129+N($J129))))+MONTH(X129)-MONTH(($D129+N($J129)))-IF(DAY(X129)&lt;MIN(DAY(($D129+N($J129))),DAY(EOMONTH(X129,0))),1,0)))</f>
        <v/>
      </c>
      <c r="Z129" s="9" t="str">
        <f aca="false">IF(V129=0,"",IF(AH129="",Y129,IF((AH129-1)&lt;($D129+N($J129)),-1,12*(YEAR((AH129-1))-YEAR(($D129+N($J129))))+MONTH((AH129-1))-MONTH(($D129+N($J129)))-IF(DAY((AH129-1))&lt;MIN(DAY(($D129+N($J129))),DAY(EOMONTH((AH129-1),0))),1,0))))</f>
        <v/>
      </c>
      <c r="AA129" s="9" t="str">
        <f aca="false">IF(V129=0,"",IF($E129="Full-Time","FT",IF(AND($E129="Part-Time",N($F129)&gt;=PT_MinHours),"PT","None")))</f>
        <v/>
      </c>
      <c r="AB129" s="9" t="str">
        <f aca="false">IF(V129=0,"",IF($H129="Full-Time","FT",IF(AND($H129="Part-Time",N($I129)&gt;=PT_MinHours),"PT","None")))</f>
        <v/>
      </c>
      <c r="AC129" s="9" t="str">
        <f aca="false">IF(V129=0,"",IF(AH129&lt;&gt;"",AB129,AA129))</f>
        <v/>
      </c>
      <c r="AD129" s="9" t="str">
        <f aca="false">IF(V129=0,"",IF(AA129="FT",IF(Z129&lt;FT_First,0,IF(Z129&lt;FT_Y5,1+INT((Z129-FT_First)/FT_Int1),FT_PreY5+FT_PerYear*INT((Z129-FT_Y5)/12)+FT_AnnivDays+INT(MOD(Z129-FT_Y5,12)/FT_Int2))),IF(AA129="PT",IF(Z129&lt;PT_First,0,1+INT((Z129-PT_First)/PT_Int)),0)))</f>
        <v/>
      </c>
      <c r="AE129" s="9" t="str">
        <f aca="false">IF(V129=0,"",IF(AB129="FT",IF(Z129&lt;FT_First,0,IF(Z129&lt;FT_Y5,1+INT((Z129-FT_First)/FT_Int1),FT_PreY5+FT_PerYear*INT((Z129-FT_Y5)/12)+FT_AnnivDays+INT(MOD(Z129-FT_Y5,12)/FT_Int2))),IF(AB129="PT",IF(Z129&lt;PT_First,0,1+INT((Z129-PT_First)/PT_Int)),0)))</f>
        <v/>
      </c>
      <c r="AF129" s="9" t="str">
        <f aca="false">IF(V129=0,"",IF(AB129="FT",IF(Y129&lt;FT_First,0,IF(Y129&lt;FT_Y5,1+INT((Y129-FT_First)/FT_Int1),FT_PreY5+FT_PerYear*INT((Y129-FT_Y5)/12)+FT_AnnivDays+INT(MOD(Y129-FT_Y5,12)/FT_Int2))),IF(AB129="PT",IF(Y129&lt;PT_First,0,1+INT((Y129-PT_First)/PT_Int)),0)))</f>
        <v/>
      </c>
      <c r="AG129" s="9" t="str">
        <f aca="false">IF(V129=0,"",IF(AC129="FT",IF(Y129&lt;FT_First,FT_First,IF(Y129&lt;FT_Y5,MIN(FT_Y5,FT_First+FT_Int1*(INT((Y129-FT_First)/FT_Int1)+1)),FT_Y5+12*INT((Y129-FT_Y5)/12)+FT_Int2*(INT(MOD(Y129-FT_Y5,12)/FT_Int2)+1))),IF(AC129="PT",IF(Y129&lt;PT_First,PT_First,PT_First+PT_Int*(INT((Y129-PT_First)/PT_Int)+1)),"")))</f>
        <v/>
      </c>
      <c r="AH129" s="11" t="str">
        <f aca="false">IF(V129=0,"",IF($G129="","",IF($G129&gt;X129,"",$G129)))</f>
        <v/>
      </c>
    </row>
    <row r="130" customFormat="false" ht="15" hidden="false" customHeight="false" outlineLevel="0" collapsed="false">
      <c r="A130" s="12"/>
      <c r="B130" s="12"/>
      <c r="C130" s="12"/>
      <c r="D130" s="13"/>
      <c r="E130" s="12"/>
      <c r="F130" s="14"/>
      <c r="G130" s="13"/>
      <c r="H130" s="12"/>
      <c r="I130" s="14"/>
      <c r="J130" s="14"/>
      <c r="K130" s="13"/>
      <c r="L130" s="9" t="str">
        <f aca="false">IF(V130=0,"",IF($G130="","",$E130&amp;" to "&amp;$H130&amp;IF($H130="Part-Time"," "&amp;N($I130)&amp;" hrs","")&amp;" on "&amp;TEXT($G130,"dd/mm/yyyy")&amp;IF($G130&gt;AsOfDate," (future)",IF(AA130=AC130,"",IF(AC130="None"," - STOPPED accruing",IF(AA130="None"," - now qualifying"," - pathway changed"))))))</f>
        <v/>
      </c>
      <c r="M130" s="9" t="str">
        <f aca="false">IF(V130=0,"",IF(W130=1,"Terminated",IF(AC130="None",IF(O130&gt;0,"No longer accruing","Not eligible - "&amp;IF(AND(AC130="None",IF(AH130&lt;&gt;"",$H130,$E130)="Part-Time"),"under "&amp;PT_MinHours&amp;" hrs",IF(AH130&lt;&gt;"",$H130,$E130))),IF(O130&gt;0,"Yes - accruing","Not yet - from "&amp;TEXT(Q130,"dd/mm/yyyy")))))</f>
        <v/>
      </c>
      <c r="N130" s="9" t="str">
        <f aca="false">IF(V130=0,"",IF(Y130&lt;0,"-",INT(Y130/12)&amp;"y "&amp;MOD(Y130,12)&amp;"m"))</f>
        <v/>
      </c>
      <c r="O130" s="10" t="str">
        <f aca="false">IF(V130=0,"",AD130+IF(AH130="",0,AF130-AE130))</f>
        <v/>
      </c>
      <c r="P130" s="10" t="str">
        <f aca="false">IF(V130=0,"",O130*HoursPerDay)</f>
        <v/>
      </c>
      <c r="Q130" s="11" t="str">
        <f aca="false">IF(V130=0,"",IF(OR(W130=1,AC130="None"),"",EDATE(($D130+N($J130)),AG130)))</f>
        <v/>
      </c>
      <c r="R130" s="10" t="str">
        <f aca="false">IF(V130=0,"",IF(NOT(EH_Ready),"",SUMIFS(INDEX(EH_Data,0,EH_ColBal),INDEX(EH_Data,0,EH_ColFirst),$A130,INDEX(EH_Data,0,EH_ColSur),$B130,INDEX(EH_Data,0,EH_ColCat),BonusCat)/IF(EHUnit="Hours",HoursPerDay,1)))</f>
        <v/>
      </c>
      <c r="S130" s="10" t="str">
        <f aca="false">IF(OR(V130=0,R130="",W130=1),"",O130-R130)</f>
        <v/>
      </c>
      <c r="T130" s="10" t="str">
        <f aca="false">IF(S130="","",S130*HoursPerDay)</f>
        <v/>
      </c>
      <c r="U130" s="9" t="str">
        <f aca="false">IF(V130=0,"",IF(W130=1,IF(N(R130)&gt;0,"TERMINATED - forfeit "&amp;TEXT(R130,"0.##")&amp;" days in EH","Terminated"),IF(NOT(EH_Ready),"Paste EH export (see Settings)",IF(S130&gt;0,"ADD "&amp;TEXT(S130,"0.##")&amp;" day(s) = "&amp;TEXT(T130,"0.##")&amp;" hrs in EH",IF(S130&lt;0,"CHECK - EH has "&amp;TEXT(-S130,"0.##")&amp;" days more than policy",IF(O130&gt;0,"OK","-"))))))</f>
        <v/>
      </c>
      <c r="V130" s="9" t="n">
        <f aca="false">IF(OR(LEN($A130&amp;$B130)=0,$D130=""),0,1)</f>
        <v>0</v>
      </c>
      <c r="W130" s="9" t="n">
        <f aca="false">IF(V130=0,0,IF(AND($K130&lt;&gt;"",$K130&lt;=AsOfDate),1,0))</f>
        <v>0</v>
      </c>
      <c r="X130" s="11" t="str">
        <f aca="false">IF(V130=0,"",IF($K130="",AsOfDate,MIN(AsOfDate,$K130)))</f>
        <v/>
      </c>
      <c r="Y130" s="9" t="str">
        <f aca="false">IF(V130=0,"",IF(X130&lt;($D130+N($J130)),-1,12*(YEAR(X130)-YEAR(($D130+N($J130))))+MONTH(X130)-MONTH(($D130+N($J130)))-IF(DAY(X130)&lt;MIN(DAY(($D130+N($J130))),DAY(EOMONTH(X130,0))),1,0)))</f>
        <v/>
      </c>
      <c r="Z130" s="9" t="str">
        <f aca="false">IF(V130=0,"",IF(AH130="",Y130,IF((AH130-1)&lt;($D130+N($J130)),-1,12*(YEAR((AH130-1))-YEAR(($D130+N($J130))))+MONTH((AH130-1))-MONTH(($D130+N($J130)))-IF(DAY((AH130-1))&lt;MIN(DAY(($D130+N($J130))),DAY(EOMONTH((AH130-1),0))),1,0))))</f>
        <v/>
      </c>
      <c r="AA130" s="9" t="str">
        <f aca="false">IF(V130=0,"",IF($E130="Full-Time","FT",IF(AND($E130="Part-Time",N($F130)&gt;=PT_MinHours),"PT","None")))</f>
        <v/>
      </c>
      <c r="AB130" s="9" t="str">
        <f aca="false">IF(V130=0,"",IF($H130="Full-Time","FT",IF(AND($H130="Part-Time",N($I130)&gt;=PT_MinHours),"PT","None")))</f>
        <v/>
      </c>
      <c r="AC130" s="9" t="str">
        <f aca="false">IF(V130=0,"",IF(AH130&lt;&gt;"",AB130,AA130))</f>
        <v/>
      </c>
      <c r="AD130" s="9" t="str">
        <f aca="false">IF(V130=0,"",IF(AA130="FT",IF(Z130&lt;FT_First,0,IF(Z130&lt;FT_Y5,1+INT((Z130-FT_First)/FT_Int1),FT_PreY5+FT_PerYear*INT((Z130-FT_Y5)/12)+FT_AnnivDays+INT(MOD(Z130-FT_Y5,12)/FT_Int2))),IF(AA130="PT",IF(Z130&lt;PT_First,0,1+INT((Z130-PT_First)/PT_Int)),0)))</f>
        <v/>
      </c>
      <c r="AE130" s="9" t="str">
        <f aca="false">IF(V130=0,"",IF(AB130="FT",IF(Z130&lt;FT_First,0,IF(Z130&lt;FT_Y5,1+INT((Z130-FT_First)/FT_Int1),FT_PreY5+FT_PerYear*INT((Z130-FT_Y5)/12)+FT_AnnivDays+INT(MOD(Z130-FT_Y5,12)/FT_Int2))),IF(AB130="PT",IF(Z130&lt;PT_First,0,1+INT((Z130-PT_First)/PT_Int)),0)))</f>
        <v/>
      </c>
      <c r="AF130" s="9" t="str">
        <f aca="false">IF(V130=0,"",IF(AB130="FT",IF(Y130&lt;FT_First,0,IF(Y130&lt;FT_Y5,1+INT((Y130-FT_First)/FT_Int1),FT_PreY5+FT_PerYear*INT((Y130-FT_Y5)/12)+FT_AnnivDays+INT(MOD(Y130-FT_Y5,12)/FT_Int2))),IF(AB130="PT",IF(Y130&lt;PT_First,0,1+INT((Y130-PT_First)/PT_Int)),0)))</f>
        <v/>
      </c>
      <c r="AG130" s="9" t="str">
        <f aca="false">IF(V130=0,"",IF(AC130="FT",IF(Y130&lt;FT_First,FT_First,IF(Y130&lt;FT_Y5,MIN(FT_Y5,FT_First+FT_Int1*(INT((Y130-FT_First)/FT_Int1)+1)),FT_Y5+12*INT((Y130-FT_Y5)/12)+FT_Int2*(INT(MOD(Y130-FT_Y5,12)/FT_Int2)+1))),IF(AC130="PT",IF(Y130&lt;PT_First,PT_First,PT_First+PT_Int*(INT((Y130-PT_First)/PT_Int)+1)),"")))</f>
        <v/>
      </c>
      <c r="AH130" s="11" t="str">
        <f aca="false">IF(V130=0,"",IF($G130="","",IF($G130&gt;X130,"",$G130)))</f>
        <v/>
      </c>
    </row>
    <row r="131" customFormat="false" ht="15" hidden="false" customHeight="false" outlineLevel="0" collapsed="false">
      <c r="A131" s="12"/>
      <c r="B131" s="12"/>
      <c r="C131" s="12"/>
      <c r="D131" s="13"/>
      <c r="E131" s="12"/>
      <c r="F131" s="14"/>
      <c r="G131" s="13"/>
      <c r="H131" s="12"/>
      <c r="I131" s="14"/>
      <c r="J131" s="14"/>
      <c r="K131" s="13"/>
      <c r="L131" s="9" t="str">
        <f aca="false">IF(V131=0,"",IF($G131="","",$E131&amp;" to "&amp;$H131&amp;IF($H131="Part-Time"," "&amp;N($I131)&amp;" hrs","")&amp;" on "&amp;TEXT($G131,"dd/mm/yyyy")&amp;IF($G131&gt;AsOfDate," (future)",IF(AA131=AC131,"",IF(AC131="None"," - STOPPED accruing",IF(AA131="None"," - now qualifying"," - pathway changed"))))))</f>
        <v/>
      </c>
      <c r="M131" s="9" t="str">
        <f aca="false">IF(V131=0,"",IF(W131=1,"Terminated",IF(AC131="None",IF(O131&gt;0,"No longer accruing","Not eligible - "&amp;IF(AND(AC131="None",IF(AH131&lt;&gt;"",$H131,$E131)="Part-Time"),"under "&amp;PT_MinHours&amp;" hrs",IF(AH131&lt;&gt;"",$H131,$E131))),IF(O131&gt;0,"Yes - accruing","Not yet - from "&amp;TEXT(Q131,"dd/mm/yyyy")))))</f>
        <v/>
      </c>
      <c r="N131" s="9" t="str">
        <f aca="false">IF(V131=0,"",IF(Y131&lt;0,"-",INT(Y131/12)&amp;"y "&amp;MOD(Y131,12)&amp;"m"))</f>
        <v/>
      </c>
      <c r="O131" s="10" t="str">
        <f aca="false">IF(V131=0,"",AD131+IF(AH131="",0,AF131-AE131))</f>
        <v/>
      </c>
      <c r="P131" s="10" t="str">
        <f aca="false">IF(V131=0,"",O131*HoursPerDay)</f>
        <v/>
      </c>
      <c r="Q131" s="11" t="str">
        <f aca="false">IF(V131=0,"",IF(OR(W131=1,AC131="None"),"",EDATE(($D131+N($J131)),AG131)))</f>
        <v/>
      </c>
      <c r="R131" s="10" t="str">
        <f aca="false">IF(V131=0,"",IF(NOT(EH_Ready),"",SUMIFS(INDEX(EH_Data,0,EH_ColBal),INDEX(EH_Data,0,EH_ColFirst),$A131,INDEX(EH_Data,0,EH_ColSur),$B131,INDEX(EH_Data,0,EH_ColCat),BonusCat)/IF(EHUnit="Hours",HoursPerDay,1)))</f>
        <v/>
      </c>
      <c r="S131" s="10" t="str">
        <f aca="false">IF(OR(V131=0,R131="",W131=1),"",O131-R131)</f>
        <v/>
      </c>
      <c r="T131" s="10" t="str">
        <f aca="false">IF(S131="","",S131*HoursPerDay)</f>
        <v/>
      </c>
      <c r="U131" s="9" t="str">
        <f aca="false">IF(V131=0,"",IF(W131=1,IF(N(R131)&gt;0,"TERMINATED - forfeit "&amp;TEXT(R131,"0.##")&amp;" days in EH","Terminated"),IF(NOT(EH_Ready),"Paste EH export (see Settings)",IF(S131&gt;0,"ADD "&amp;TEXT(S131,"0.##")&amp;" day(s) = "&amp;TEXT(T131,"0.##")&amp;" hrs in EH",IF(S131&lt;0,"CHECK - EH has "&amp;TEXT(-S131,"0.##")&amp;" days more than policy",IF(O131&gt;0,"OK","-"))))))</f>
        <v/>
      </c>
      <c r="V131" s="9" t="n">
        <f aca="false">IF(OR(LEN($A131&amp;$B131)=0,$D131=""),0,1)</f>
        <v>0</v>
      </c>
      <c r="W131" s="9" t="n">
        <f aca="false">IF(V131=0,0,IF(AND($K131&lt;&gt;"",$K131&lt;=AsOfDate),1,0))</f>
        <v>0</v>
      </c>
      <c r="X131" s="11" t="str">
        <f aca="false">IF(V131=0,"",IF($K131="",AsOfDate,MIN(AsOfDate,$K131)))</f>
        <v/>
      </c>
      <c r="Y131" s="9" t="str">
        <f aca="false">IF(V131=0,"",IF(X131&lt;($D131+N($J131)),-1,12*(YEAR(X131)-YEAR(($D131+N($J131))))+MONTH(X131)-MONTH(($D131+N($J131)))-IF(DAY(X131)&lt;MIN(DAY(($D131+N($J131))),DAY(EOMONTH(X131,0))),1,0)))</f>
        <v/>
      </c>
      <c r="Z131" s="9" t="str">
        <f aca="false">IF(V131=0,"",IF(AH131="",Y131,IF((AH131-1)&lt;($D131+N($J131)),-1,12*(YEAR((AH131-1))-YEAR(($D131+N($J131))))+MONTH((AH131-1))-MONTH(($D131+N($J131)))-IF(DAY((AH131-1))&lt;MIN(DAY(($D131+N($J131))),DAY(EOMONTH((AH131-1),0))),1,0))))</f>
        <v/>
      </c>
      <c r="AA131" s="9" t="str">
        <f aca="false">IF(V131=0,"",IF($E131="Full-Time","FT",IF(AND($E131="Part-Time",N($F131)&gt;=PT_MinHours),"PT","None")))</f>
        <v/>
      </c>
      <c r="AB131" s="9" t="str">
        <f aca="false">IF(V131=0,"",IF($H131="Full-Time","FT",IF(AND($H131="Part-Time",N($I131)&gt;=PT_MinHours),"PT","None")))</f>
        <v/>
      </c>
      <c r="AC131" s="9" t="str">
        <f aca="false">IF(V131=0,"",IF(AH131&lt;&gt;"",AB131,AA131))</f>
        <v/>
      </c>
      <c r="AD131" s="9" t="str">
        <f aca="false">IF(V131=0,"",IF(AA131="FT",IF(Z131&lt;FT_First,0,IF(Z131&lt;FT_Y5,1+INT((Z131-FT_First)/FT_Int1),FT_PreY5+FT_PerYear*INT((Z131-FT_Y5)/12)+FT_AnnivDays+INT(MOD(Z131-FT_Y5,12)/FT_Int2))),IF(AA131="PT",IF(Z131&lt;PT_First,0,1+INT((Z131-PT_First)/PT_Int)),0)))</f>
        <v/>
      </c>
      <c r="AE131" s="9" t="str">
        <f aca="false">IF(V131=0,"",IF(AB131="FT",IF(Z131&lt;FT_First,0,IF(Z131&lt;FT_Y5,1+INT((Z131-FT_First)/FT_Int1),FT_PreY5+FT_PerYear*INT((Z131-FT_Y5)/12)+FT_AnnivDays+INT(MOD(Z131-FT_Y5,12)/FT_Int2))),IF(AB131="PT",IF(Z131&lt;PT_First,0,1+INT((Z131-PT_First)/PT_Int)),0)))</f>
        <v/>
      </c>
      <c r="AF131" s="9" t="str">
        <f aca="false">IF(V131=0,"",IF(AB131="FT",IF(Y131&lt;FT_First,0,IF(Y131&lt;FT_Y5,1+INT((Y131-FT_First)/FT_Int1),FT_PreY5+FT_PerYear*INT((Y131-FT_Y5)/12)+FT_AnnivDays+INT(MOD(Y131-FT_Y5,12)/FT_Int2))),IF(AB131="PT",IF(Y131&lt;PT_First,0,1+INT((Y131-PT_First)/PT_Int)),0)))</f>
        <v/>
      </c>
      <c r="AG131" s="9" t="str">
        <f aca="false">IF(V131=0,"",IF(AC131="FT",IF(Y131&lt;FT_First,FT_First,IF(Y131&lt;FT_Y5,MIN(FT_Y5,FT_First+FT_Int1*(INT((Y131-FT_First)/FT_Int1)+1)),FT_Y5+12*INT((Y131-FT_Y5)/12)+FT_Int2*(INT(MOD(Y131-FT_Y5,12)/FT_Int2)+1))),IF(AC131="PT",IF(Y131&lt;PT_First,PT_First,PT_First+PT_Int*(INT((Y131-PT_First)/PT_Int)+1)),"")))</f>
        <v/>
      </c>
      <c r="AH131" s="11" t="str">
        <f aca="false">IF(V131=0,"",IF($G131="","",IF($G131&gt;X131,"",$G131)))</f>
        <v/>
      </c>
    </row>
    <row r="132" customFormat="false" ht="15" hidden="false" customHeight="false" outlineLevel="0" collapsed="false">
      <c r="A132" s="12"/>
      <c r="B132" s="12"/>
      <c r="C132" s="12"/>
      <c r="D132" s="13"/>
      <c r="E132" s="12"/>
      <c r="F132" s="14"/>
      <c r="G132" s="13"/>
      <c r="H132" s="12"/>
      <c r="I132" s="14"/>
      <c r="J132" s="14"/>
      <c r="K132" s="13"/>
      <c r="L132" s="9" t="str">
        <f aca="false">IF(V132=0,"",IF($G132="","",$E132&amp;" to "&amp;$H132&amp;IF($H132="Part-Time"," "&amp;N($I132)&amp;" hrs","")&amp;" on "&amp;TEXT($G132,"dd/mm/yyyy")&amp;IF($G132&gt;AsOfDate," (future)",IF(AA132=AC132,"",IF(AC132="None"," - STOPPED accruing",IF(AA132="None"," - now qualifying"," - pathway changed"))))))</f>
        <v/>
      </c>
      <c r="M132" s="9" t="str">
        <f aca="false">IF(V132=0,"",IF(W132=1,"Terminated",IF(AC132="None",IF(O132&gt;0,"No longer accruing","Not eligible - "&amp;IF(AND(AC132="None",IF(AH132&lt;&gt;"",$H132,$E132)="Part-Time"),"under "&amp;PT_MinHours&amp;" hrs",IF(AH132&lt;&gt;"",$H132,$E132))),IF(O132&gt;0,"Yes - accruing","Not yet - from "&amp;TEXT(Q132,"dd/mm/yyyy")))))</f>
        <v/>
      </c>
      <c r="N132" s="9" t="str">
        <f aca="false">IF(V132=0,"",IF(Y132&lt;0,"-",INT(Y132/12)&amp;"y "&amp;MOD(Y132,12)&amp;"m"))</f>
        <v/>
      </c>
      <c r="O132" s="10" t="str">
        <f aca="false">IF(V132=0,"",AD132+IF(AH132="",0,AF132-AE132))</f>
        <v/>
      </c>
      <c r="P132" s="10" t="str">
        <f aca="false">IF(V132=0,"",O132*HoursPerDay)</f>
        <v/>
      </c>
      <c r="Q132" s="11" t="str">
        <f aca="false">IF(V132=0,"",IF(OR(W132=1,AC132="None"),"",EDATE(($D132+N($J132)),AG132)))</f>
        <v/>
      </c>
      <c r="R132" s="10" t="str">
        <f aca="false">IF(V132=0,"",IF(NOT(EH_Ready),"",SUMIFS(INDEX(EH_Data,0,EH_ColBal),INDEX(EH_Data,0,EH_ColFirst),$A132,INDEX(EH_Data,0,EH_ColSur),$B132,INDEX(EH_Data,0,EH_ColCat),BonusCat)/IF(EHUnit="Hours",HoursPerDay,1)))</f>
        <v/>
      </c>
      <c r="S132" s="10" t="str">
        <f aca="false">IF(OR(V132=0,R132="",W132=1),"",O132-R132)</f>
        <v/>
      </c>
      <c r="T132" s="10" t="str">
        <f aca="false">IF(S132="","",S132*HoursPerDay)</f>
        <v/>
      </c>
      <c r="U132" s="9" t="str">
        <f aca="false">IF(V132=0,"",IF(W132=1,IF(N(R132)&gt;0,"TERMINATED - forfeit "&amp;TEXT(R132,"0.##")&amp;" days in EH","Terminated"),IF(NOT(EH_Ready),"Paste EH export (see Settings)",IF(S132&gt;0,"ADD "&amp;TEXT(S132,"0.##")&amp;" day(s) = "&amp;TEXT(T132,"0.##")&amp;" hrs in EH",IF(S132&lt;0,"CHECK - EH has "&amp;TEXT(-S132,"0.##")&amp;" days more than policy",IF(O132&gt;0,"OK","-"))))))</f>
        <v/>
      </c>
      <c r="V132" s="9" t="n">
        <f aca="false">IF(OR(LEN($A132&amp;$B132)=0,$D132=""),0,1)</f>
        <v>0</v>
      </c>
      <c r="W132" s="9" t="n">
        <f aca="false">IF(V132=0,0,IF(AND($K132&lt;&gt;"",$K132&lt;=AsOfDate),1,0))</f>
        <v>0</v>
      </c>
      <c r="X132" s="11" t="str">
        <f aca="false">IF(V132=0,"",IF($K132="",AsOfDate,MIN(AsOfDate,$K132)))</f>
        <v/>
      </c>
      <c r="Y132" s="9" t="str">
        <f aca="false">IF(V132=0,"",IF(X132&lt;($D132+N($J132)),-1,12*(YEAR(X132)-YEAR(($D132+N($J132))))+MONTH(X132)-MONTH(($D132+N($J132)))-IF(DAY(X132)&lt;MIN(DAY(($D132+N($J132))),DAY(EOMONTH(X132,0))),1,0)))</f>
        <v/>
      </c>
      <c r="Z132" s="9" t="str">
        <f aca="false">IF(V132=0,"",IF(AH132="",Y132,IF((AH132-1)&lt;($D132+N($J132)),-1,12*(YEAR((AH132-1))-YEAR(($D132+N($J132))))+MONTH((AH132-1))-MONTH(($D132+N($J132)))-IF(DAY((AH132-1))&lt;MIN(DAY(($D132+N($J132))),DAY(EOMONTH((AH132-1),0))),1,0))))</f>
        <v/>
      </c>
      <c r="AA132" s="9" t="str">
        <f aca="false">IF(V132=0,"",IF($E132="Full-Time","FT",IF(AND($E132="Part-Time",N($F132)&gt;=PT_MinHours),"PT","None")))</f>
        <v/>
      </c>
      <c r="AB132" s="9" t="str">
        <f aca="false">IF(V132=0,"",IF($H132="Full-Time","FT",IF(AND($H132="Part-Time",N($I132)&gt;=PT_MinHours),"PT","None")))</f>
        <v/>
      </c>
      <c r="AC132" s="9" t="str">
        <f aca="false">IF(V132=0,"",IF(AH132&lt;&gt;"",AB132,AA132))</f>
        <v/>
      </c>
      <c r="AD132" s="9" t="str">
        <f aca="false">IF(V132=0,"",IF(AA132="FT",IF(Z132&lt;FT_First,0,IF(Z132&lt;FT_Y5,1+INT((Z132-FT_First)/FT_Int1),FT_PreY5+FT_PerYear*INT((Z132-FT_Y5)/12)+FT_AnnivDays+INT(MOD(Z132-FT_Y5,12)/FT_Int2))),IF(AA132="PT",IF(Z132&lt;PT_First,0,1+INT((Z132-PT_First)/PT_Int)),0)))</f>
        <v/>
      </c>
      <c r="AE132" s="9" t="str">
        <f aca="false">IF(V132=0,"",IF(AB132="FT",IF(Z132&lt;FT_First,0,IF(Z132&lt;FT_Y5,1+INT((Z132-FT_First)/FT_Int1),FT_PreY5+FT_PerYear*INT((Z132-FT_Y5)/12)+FT_AnnivDays+INT(MOD(Z132-FT_Y5,12)/FT_Int2))),IF(AB132="PT",IF(Z132&lt;PT_First,0,1+INT((Z132-PT_First)/PT_Int)),0)))</f>
        <v/>
      </c>
      <c r="AF132" s="9" t="str">
        <f aca="false">IF(V132=0,"",IF(AB132="FT",IF(Y132&lt;FT_First,0,IF(Y132&lt;FT_Y5,1+INT((Y132-FT_First)/FT_Int1),FT_PreY5+FT_PerYear*INT((Y132-FT_Y5)/12)+FT_AnnivDays+INT(MOD(Y132-FT_Y5,12)/FT_Int2))),IF(AB132="PT",IF(Y132&lt;PT_First,0,1+INT((Y132-PT_First)/PT_Int)),0)))</f>
        <v/>
      </c>
      <c r="AG132" s="9" t="str">
        <f aca="false">IF(V132=0,"",IF(AC132="FT",IF(Y132&lt;FT_First,FT_First,IF(Y132&lt;FT_Y5,MIN(FT_Y5,FT_First+FT_Int1*(INT((Y132-FT_First)/FT_Int1)+1)),FT_Y5+12*INT((Y132-FT_Y5)/12)+FT_Int2*(INT(MOD(Y132-FT_Y5,12)/FT_Int2)+1))),IF(AC132="PT",IF(Y132&lt;PT_First,PT_First,PT_First+PT_Int*(INT((Y132-PT_First)/PT_Int)+1)),"")))</f>
        <v/>
      </c>
      <c r="AH132" s="11" t="str">
        <f aca="false">IF(V132=0,"",IF($G132="","",IF($G132&gt;X132,"",$G132)))</f>
        <v/>
      </c>
    </row>
    <row r="133" customFormat="false" ht="15" hidden="false" customHeight="false" outlineLevel="0" collapsed="false">
      <c r="A133" s="12"/>
      <c r="B133" s="12"/>
      <c r="C133" s="12"/>
      <c r="D133" s="13"/>
      <c r="E133" s="12"/>
      <c r="F133" s="14"/>
      <c r="G133" s="13"/>
      <c r="H133" s="12"/>
      <c r="I133" s="14"/>
      <c r="J133" s="14"/>
      <c r="K133" s="13"/>
      <c r="L133" s="9" t="str">
        <f aca="false">IF(V133=0,"",IF($G133="","",$E133&amp;" to "&amp;$H133&amp;IF($H133="Part-Time"," "&amp;N($I133)&amp;" hrs","")&amp;" on "&amp;TEXT($G133,"dd/mm/yyyy")&amp;IF($G133&gt;AsOfDate," (future)",IF(AA133=AC133,"",IF(AC133="None"," - STOPPED accruing",IF(AA133="None"," - now qualifying"," - pathway changed"))))))</f>
        <v/>
      </c>
      <c r="M133" s="9" t="str">
        <f aca="false">IF(V133=0,"",IF(W133=1,"Terminated",IF(AC133="None",IF(O133&gt;0,"No longer accruing","Not eligible - "&amp;IF(AND(AC133="None",IF(AH133&lt;&gt;"",$H133,$E133)="Part-Time"),"under "&amp;PT_MinHours&amp;" hrs",IF(AH133&lt;&gt;"",$H133,$E133))),IF(O133&gt;0,"Yes - accruing","Not yet - from "&amp;TEXT(Q133,"dd/mm/yyyy")))))</f>
        <v/>
      </c>
      <c r="N133" s="9" t="str">
        <f aca="false">IF(V133=0,"",IF(Y133&lt;0,"-",INT(Y133/12)&amp;"y "&amp;MOD(Y133,12)&amp;"m"))</f>
        <v/>
      </c>
      <c r="O133" s="10" t="str">
        <f aca="false">IF(V133=0,"",AD133+IF(AH133="",0,AF133-AE133))</f>
        <v/>
      </c>
      <c r="P133" s="10" t="str">
        <f aca="false">IF(V133=0,"",O133*HoursPerDay)</f>
        <v/>
      </c>
      <c r="Q133" s="11" t="str">
        <f aca="false">IF(V133=0,"",IF(OR(W133=1,AC133="None"),"",EDATE(($D133+N($J133)),AG133)))</f>
        <v/>
      </c>
      <c r="R133" s="10" t="str">
        <f aca="false">IF(V133=0,"",IF(NOT(EH_Ready),"",SUMIFS(INDEX(EH_Data,0,EH_ColBal),INDEX(EH_Data,0,EH_ColFirst),$A133,INDEX(EH_Data,0,EH_ColSur),$B133,INDEX(EH_Data,0,EH_ColCat),BonusCat)/IF(EHUnit="Hours",HoursPerDay,1)))</f>
        <v/>
      </c>
      <c r="S133" s="10" t="str">
        <f aca="false">IF(OR(V133=0,R133="",W133=1),"",O133-R133)</f>
        <v/>
      </c>
      <c r="T133" s="10" t="str">
        <f aca="false">IF(S133="","",S133*HoursPerDay)</f>
        <v/>
      </c>
      <c r="U133" s="9" t="str">
        <f aca="false">IF(V133=0,"",IF(W133=1,IF(N(R133)&gt;0,"TERMINATED - forfeit "&amp;TEXT(R133,"0.##")&amp;" days in EH","Terminated"),IF(NOT(EH_Ready),"Paste EH export (see Settings)",IF(S133&gt;0,"ADD "&amp;TEXT(S133,"0.##")&amp;" day(s) = "&amp;TEXT(T133,"0.##")&amp;" hrs in EH",IF(S133&lt;0,"CHECK - EH has "&amp;TEXT(-S133,"0.##")&amp;" days more than policy",IF(O133&gt;0,"OK","-"))))))</f>
        <v/>
      </c>
      <c r="V133" s="9" t="n">
        <f aca="false">IF(OR(LEN($A133&amp;$B133)=0,$D133=""),0,1)</f>
        <v>0</v>
      </c>
      <c r="W133" s="9" t="n">
        <f aca="false">IF(V133=0,0,IF(AND($K133&lt;&gt;"",$K133&lt;=AsOfDate),1,0))</f>
        <v>0</v>
      </c>
      <c r="X133" s="11" t="str">
        <f aca="false">IF(V133=0,"",IF($K133="",AsOfDate,MIN(AsOfDate,$K133)))</f>
        <v/>
      </c>
      <c r="Y133" s="9" t="str">
        <f aca="false">IF(V133=0,"",IF(X133&lt;($D133+N($J133)),-1,12*(YEAR(X133)-YEAR(($D133+N($J133))))+MONTH(X133)-MONTH(($D133+N($J133)))-IF(DAY(X133)&lt;MIN(DAY(($D133+N($J133))),DAY(EOMONTH(X133,0))),1,0)))</f>
        <v/>
      </c>
      <c r="Z133" s="9" t="str">
        <f aca="false">IF(V133=0,"",IF(AH133="",Y133,IF((AH133-1)&lt;($D133+N($J133)),-1,12*(YEAR((AH133-1))-YEAR(($D133+N($J133))))+MONTH((AH133-1))-MONTH(($D133+N($J133)))-IF(DAY((AH133-1))&lt;MIN(DAY(($D133+N($J133))),DAY(EOMONTH((AH133-1),0))),1,0))))</f>
        <v/>
      </c>
      <c r="AA133" s="9" t="str">
        <f aca="false">IF(V133=0,"",IF($E133="Full-Time","FT",IF(AND($E133="Part-Time",N($F133)&gt;=PT_MinHours),"PT","None")))</f>
        <v/>
      </c>
      <c r="AB133" s="9" t="str">
        <f aca="false">IF(V133=0,"",IF($H133="Full-Time","FT",IF(AND($H133="Part-Time",N($I133)&gt;=PT_MinHours),"PT","None")))</f>
        <v/>
      </c>
      <c r="AC133" s="9" t="str">
        <f aca="false">IF(V133=0,"",IF(AH133&lt;&gt;"",AB133,AA133))</f>
        <v/>
      </c>
      <c r="AD133" s="9" t="str">
        <f aca="false">IF(V133=0,"",IF(AA133="FT",IF(Z133&lt;FT_First,0,IF(Z133&lt;FT_Y5,1+INT((Z133-FT_First)/FT_Int1),FT_PreY5+FT_PerYear*INT((Z133-FT_Y5)/12)+FT_AnnivDays+INT(MOD(Z133-FT_Y5,12)/FT_Int2))),IF(AA133="PT",IF(Z133&lt;PT_First,0,1+INT((Z133-PT_First)/PT_Int)),0)))</f>
        <v/>
      </c>
      <c r="AE133" s="9" t="str">
        <f aca="false">IF(V133=0,"",IF(AB133="FT",IF(Z133&lt;FT_First,0,IF(Z133&lt;FT_Y5,1+INT((Z133-FT_First)/FT_Int1),FT_PreY5+FT_PerYear*INT((Z133-FT_Y5)/12)+FT_AnnivDays+INT(MOD(Z133-FT_Y5,12)/FT_Int2))),IF(AB133="PT",IF(Z133&lt;PT_First,0,1+INT((Z133-PT_First)/PT_Int)),0)))</f>
        <v/>
      </c>
      <c r="AF133" s="9" t="str">
        <f aca="false">IF(V133=0,"",IF(AB133="FT",IF(Y133&lt;FT_First,0,IF(Y133&lt;FT_Y5,1+INT((Y133-FT_First)/FT_Int1),FT_PreY5+FT_PerYear*INT((Y133-FT_Y5)/12)+FT_AnnivDays+INT(MOD(Y133-FT_Y5,12)/FT_Int2))),IF(AB133="PT",IF(Y133&lt;PT_First,0,1+INT((Y133-PT_First)/PT_Int)),0)))</f>
        <v/>
      </c>
      <c r="AG133" s="9" t="str">
        <f aca="false">IF(V133=0,"",IF(AC133="FT",IF(Y133&lt;FT_First,FT_First,IF(Y133&lt;FT_Y5,MIN(FT_Y5,FT_First+FT_Int1*(INT((Y133-FT_First)/FT_Int1)+1)),FT_Y5+12*INT((Y133-FT_Y5)/12)+FT_Int2*(INT(MOD(Y133-FT_Y5,12)/FT_Int2)+1))),IF(AC133="PT",IF(Y133&lt;PT_First,PT_First,PT_First+PT_Int*(INT((Y133-PT_First)/PT_Int)+1)),"")))</f>
        <v/>
      </c>
      <c r="AH133" s="11" t="str">
        <f aca="false">IF(V133=0,"",IF($G133="","",IF($G133&gt;X133,"",$G133)))</f>
        <v/>
      </c>
    </row>
    <row r="134" customFormat="false" ht="15" hidden="false" customHeight="false" outlineLevel="0" collapsed="false">
      <c r="A134" s="12"/>
      <c r="B134" s="12"/>
      <c r="C134" s="12"/>
      <c r="D134" s="13"/>
      <c r="E134" s="12"/>
      <c r="F134" s="14"/>
      <c r="G134" s="13"/>
      <c r="H134" s="12"/>
      <c r="I134" s="14"/>
      <c r="J134" s="14"/>
      <c r="K134" s="13"/>
      <c r="L134" s="9" t="str">
        <f aca="false">IF(V134=0,"",IF($G134="","",$E134&amp;" to "&amp;$H134&amp;IF($H134="Part-Time"," "&amp;N($I134)&amp;" hrs","")&amp;" on "&amp;TEXT($G134,"dd/mm/yyyy")&amp;IF($G134&gt;AsOfDate," (future)",IF(AA134=AC134,"",IF(AC134="None"," - STOPPED accruing",IF(AA134="None"," - now qualifying"," - pathway changed"))))))</f>
        <v/>
      </c>
      <c r="M134" s="9" t="str">
        <f aca="false">IF(V134=0,"",IF(W134=1,"Terminated",IF(AC134="None",IF(O134&gt;0,"No longer accruing","Not eligible - "&amp;IF(AND(AC134="None",IF(AH134&lt;&gt;"",$H134,$E134)="Part-Time"),"under "&amp;PT_MinHours&amp;" hrs",IF(AH134&lt;&gt;"",$H134,$E134))),IF(O134&gt;0,"Yes - accruing","Not yet - from "&amp;TEXT(Q134,"dd/mm/yyyy")))))</f>
        <v/>
      </c>
      <c r="N134" s="9" t="str">
        <f aca="false">IF(V134=0,"",IF(Y134&lt;0,"-",INT(Y134/12)&amp;"y "&amp;MOD(Y134,12)&amp;"m"))</f>
        <v/>
      </c>
      <c r="O134" s="10" t="str">
        <f aca="false">IF(V134=0,"",AD134+IF(AH134="",0,AF134-AE134))</f>
        <v/>
      </c>
      <c r="P134" s="10" t="str">
        <f aca="false">IF(V134=0,"",O134*HoursPerDay)</f>
        <v/>
      </c>
      <c r="Q134" s="11" t="str">
        <f aca="false">IF(V134=0,"",IF(OR(W134=1,AC134="None"),"",EDATE(($D134+N($J134)),AG134)))</f>
        <v/>
      </c>
      <c r="R134" s="10" t="str">
        <f aca="false">IF(V134=0,"",IF(NOT(EH_Ready),"",SUMIFS(INDEX(EH_Data,0,EH_ColBal),INDEX(EH_Data,0,EH_ColFirst),$A134,INDEX(EH_Data,0,EH_ColSur),$B134,INDEX(EH_Data,0,EH_ColCat),BonusCat)/IF(EHUnit="Hours",HoursPerDay,1)))</f>
        <v/>
      </c>
      <c r="S134" s="10" t="str">
        <f aca="false">IF(OR(V134=0,R134="",W134=1),"",O134-R134)</f>
        <v/>
      </c>
      <c r="T134" s="10" t="str">
        <f aca="false">IF(S134="","",S134*HoursPerDay)</f>
        <v/>
      </c>
      <c r="U134" s="9" t="str">
        <f aca="false">IF(V134=0,"",IF(W134=1,IF(N(R134)&gt;0,"TERMINATED - forfeit "&amp;TEXT(R134,"0.##")&amp;" days in EH","Terminated"),IF(NOT(EH_Ready),"Paste EH export (see Settings)",IF(S134&gt;0,"ADD "&amp;TEXT(S134,"0.##")&amp;" day(s) = "&amp;TEXT(T134,"0.##")&amp;" hrs in EH",IF(S134&lt;0,"CHECK - EH has "&amp;TEXT(-S134,"0.##")&amp;" days more than policy",IF(O134&gt;0,"OK","-"))))))</f>
        <v/>
      </c>
      <c r="V134" s="9" t="n">
        <f aca="false">IF(OR(LEN($A134&amp;$B134)=0,$D134=""),0,1)</f>
        <v>0</v>
      </c>
      <c r="W134" s="9" t="n">
        <f aca="false">IF(V134=0,0,IF(AND($K134&lt;&gt;"",$K134&lt;=AsOfDate),1,0))</f>
        <v>0</v>
      </c>
      <c r="X134" s="11" t="str">
        <f aca="false">IF(V134=0,"",IF($K134="",AsOfDate,MIN(AsOfDate,$K134)))</f>
        <v/>
      </c>
      <c r="Y134" s="9" t="str">
        <f aca="false">IF(V134=0,"",IF(X134&lt;($D134+N($J134)),-1,12*(YEAR(X134)-YEAR(($D134+N($J134))))+MONTH(X134)-MONTH(($D134+N($J134)))-IF(DAY(X134)&lt;MIN(DAY(($D134+N($J134))),DAY(EOMONTH(X134,0))),1,0)))</f>
        <v/>
      </c>
      <c r="Z134" s="9" t="str">
        <f aca="false">IF(V134=0,"",IF(AH134="",Y134,IF((AH134-1)&lt;($D134+N($J134)),-1,12*(YEAR((AH134-1))-YEAR(($D134+N($J134))))+MONTH((AH134-1))-MONTH(($D134+N($J134)))-IF(DAY((AH134-1))&lt;MIN(DAY(($D134+N($J134))),DAY(EOMONTH((AH134-1),0))),1,0))))</f>
        <v/>
      </c>
      <c r="AA134" s="9" t="str">
        <f aca="false">IF(V134=0,"",IF($E134="Full-Time","FT",IF(AND($E134="Part-Time",N($F134)&gt;=PT_MinHours),"PT","None")))</f>
        <v/>
      </c>
      <c r="AB134" s="9" t="str">
        <f aca="false">IF(V134=0,"",IF($H134="Full-Time","FT",IF(AND($H134="Part-Time",N($I134)&gt;=PT_MinHours),"PT","None")))</f>
        <v/>
      </c>
      <c r="AC134" s="9" t="str">
        <f aca="false">IF(V134=0,"",IF(AH134&lt;&gt;"",AB134,AA134))</f>
        <v/>
      </c>
      <c r="AD134" s="9" t="str">
        <f aca="false">IF(V134=0,"",IF(AA134="FT",IF(Z134&lt;FT_First,0,IF(Z134&lt;FT_Y5,1+INT((Z134-FT_First)/FT_Int1),FT_PreY5+FT_PerYear*INT((Z134-FT_Y5)/12)+FT_AnnivDays+INT(MOD(Z134-FT_Y5,12)/FT_Int2))),IF(AA134="PT",IF(Z134&lt;PT_First,0,1+INT((Z134-PT_First)/PT_Int)),0)))</f>
        <v/>
      </c>
      <c r="AE134" s="9" t="str">
        <f aca="false">IF(V134=0,"",IF(AB134="FT",IF(Z134&lt;FT_First,0,IF(Z134&lt;FT_Y5,1+INT((Z134-FT_First)/FT_Int1),FT_PreY5+FT_PerYear*INT((Z134-FT_Y5)/12)+FT_AnnivDays+INT(MOD(Z134-FT_Y5,12)/FT_Int2))),IF(AB134="PT",IF(Z134&lt;PT_First,0,1+INT((Z134-PT_First)/PT_Int)),0)))</f>
        <v/>
      </c>
      <c r="AF134" s="9" t="str">
        <f aca="false">IF(V134=0,"",IF(AB134="FT",IF(Y134&lt;FT_First,0,IF(Y134&lt;FT_Y5,1+INT((Y134-FT_First)/FT_Int1),FT_PreY5+FT_PerYear*INT((Y134-FT_Y5)/12)+FT_AnnivDays+INT(MOD(Y134-FT_Y5,12)/FT_Int2))),IF(AB134="PT",IF(Y134&lt;PT_First,0,1+INT((Y134-PT_First)/PT_Int)),0)))</f>
        <v/>
      </c>
      <c r="AG134" s="9" t="str">
        <f aca="false">IF(V134=0,"",IF(AC134="FT",IF(Y134&lt;FT_First,FT_First,IF(Y134&lt;FT_Y5,MIN(FT_Y5,FT_First+FT_Int1*(INT((Y134-FT_First)/FT_Int1)+1)),FT_Y5+12*INT((Y134-FT_Y5)/12)+FT_Int2*(INT(MOD(Y134-FT_Y5,12)/FT_Int2)+1))),IF(AC134="PT",IF(Y134&lt;PT_First,PT_First,PT_First+PT_Int*(INT((Y134-PT_First)/PT_Int)+1)),"")))</f>
        <v/>
      </c>
      <c r="AH134" s="11" t="str">
        <f aca="false">IF(V134=0,"",IF($G134="","",IF($G134&gt;X134,"",$G134)))</f>
        <v/>
      </c>
    </row>
    <row r="135" customFormat="false" ht="15" hidden="false" customHeight="false" outlineLevel="0" collapsed="false">
      <c r="A135" s="12"/>
      <c r="B135" s="12"/>
      <c r="C135" s="12"/>
      <c r="D135" s="13"/>
      <c r="E135" s="12"/>
      <c r="F135" s="14"/>
      <c r="G135" s="13"/>
      <c r="H135" s="12"/>
      <c r="I135" s="14"/>
      <c r="J135" s="14"/>
      <c r="K135" s="13"/>
      <c r="L135" s="9" t="str">
        <f aca="false">IF(V135=0,"",IF($G135="","",$E135&amp;" to "&amp;$H135&amp;IF($H135="Part-Time"," "&amp;N($I135)&amp;" hrs","")&amp;" on "&amp;TEXT($G135,"dd/mm/yyyy")&amp;IF($G135&gt;AsOfDate," (future)",IF(AA135=AC135,"",IF(AC135="None"," - STOPPED accruing",IF(AA135="None"," - now qualifying"," - pathway changed"))))))</f>
        <v/>
      </c>
      <c r="M135" s="9" t="str">
        <f aca="false">IF(V135=0,"",IF(W135=1,"Terminated",IF(AC135="None",IF(O135&gt;0,"No longer accruing","Not eligible - "&amp;IF(AND(AC135="None",IF(AH135&lt;&gt;"",$H135,$E135)="Part-Time"),"under "&amp;PT_MinHours&amp;" hrs",IF(AH135&lt;&gt;"",$H135,$E135))),IF(O135&gt;0,"Yes - accruing","Not yet - from "&amp;TEXT(Q135,"dd/mm/yyyy")))))</f>
        <v/>
      </c>
      <c r="N135" s="9" t="str">
        <f aca="false">IF(V135=0,"",IF(Y135&lt;0,"-",INT(Y135/12)&amp;"y "&amp;MOD(Y135,12)&amp;"m"))</f>
        <v/>
      </c>
      <c r="O135" s="10" t="str">
        <f aca="false">IF(V135=0,"",AD135+IF(AH135="",0,AF135-AE135))</f>
        <v/>
      </c>
      <c r="P135" s="10" t="str">
        <f aca="false">IF(V135=0,"",O135*HoursPerDay)</f>
        <v/>
      </c>
      <c r="Q135" s="11" t="str">
        <f aca="false">IF(V135=0,"",IF(OR(W135=1,AC135="None"),"",EDATE(($D135+N($J135)),AG135)))</f>
        <v/>
      </c>
      <c r="R135" s="10" t="str">
        <f aca="false">IF(V135=0,"",IF(NOT(EH_Ready),"",SUMIFS(INDEX(EH_Data,0,EH_ColBal),INDEX(EH_Data,0,EH_ColFirst),$A135,INDEX(EH_Data,0,EH_ColSur),$B135,INDEX(EH_Data,0,EH_ColCat),BonusCat)/IF(EHUnit="Hours",HoursPerDay,1)))</f>
        <v/>
      </c>
      <c r="S135" s="10" t="str">
        <f aca="false">IF(OR(V135=0,R135="",W135=1),"",O135-R135)</f>
        <v/>
      </c>
      <c r="T135" s="10" t="str">
        <f aca="false">IF(S135="","",S135*HoursPerDay)</f>
        <v/>
      </c>
      <c r="U135" s="9" t="str">
        <f aca="false">IF(V135=0,"",IF(W135=1,IF(N(R135)&gt;0,"TERMINATED - forfeit "&amp;TEXT(R135,"0.##")&amp;" days in EH","Terminated"),IF(NOT(EH_Ready),"Paste EH export (see Settings)",IF(S135&gt;0,"ADD "&amp;TEXT(S135,"0.##")&amp;" day(s) = "&amp;TEXT(T135,"0.##")&amp;" hrs in EH",IF(S135&lt;0,"CHECK - EH has "&amp;TEXT(-S135,"0.##")&amp;" days more than policy",IF(O135&gt;0,"OK","-"))))))</f>
        <v/>
      </c>
      <c r="V135" s="9" t="n">
        <f aca="false">IF(OR(LEN($A135&amp;$B135)=0,$D135=""),0,1)</f>
        <v>0</v>
      </c>
      <c r="W135" s="9" t="n">
        <f aca="false">IF(V135=0,0,IF(AND($K135&lt;&gt;"",$K135&lt;=AsOfDate),1,0))</f>
        <v>0</v>
      </c>
      <c r="X135" s="11" t="str">
        <f aca="false">IF(V135=0,"",IF($K135="",AsOfDate,MIN(AsOfDate,$K135)))</f>
        <v/>
      </c>
      <c r="Y135" s="9" t="str">
        <f aca="false">IF(V135=0,"",IF(X135&lt;($D135+N($J135)),-1,12*(YEAR(X135)-YEAR(($D135+N($J135))))+MONTH(X135)-MONTH(($D135+N($J135)))-IF(DAY(X135)&lt;MIN(DAY(($D135+N($J135))),DAY(EOMONTH(X135,0))),1,0)))</f>
        <v/>
      </c>
      <c r="Z135" s="9" t="str">
        <f aca="false">IF(V135=0,"",IF(AH135="",Y135,IF((AH135-1)&lt;($D135+N($J135)),-1,12*(YEAR((AH135-1))-YEAR(($D135+N($J135))))+MONTH((AH135-1))-MONTH(($D135+N($J135)))-IF(DAY((AH135-1))&lt;MIN(DAY(($D135+N($J135))),DAY(EOMONTH((AH135-1),0))),1,0))))</f>
        <v/>
      </c>
      <c r="AA135" s="9" t="str">
        <f aca="false">IF(V135=0,"",IF($E135="Full-Time","FT",IF(AND($E135="Part-Time",N($F135)&gt;=PT_MinHours),"PT","None")))</f>
        <v/>
      </c>
      <c r="AB135" s="9" t="str">
        <f aca="false">IF(V135=0,"",IF($H135="Full-Time","FT",IF(AND($H135="Part-Time",N($I135)&gt;=PT_MinHours),"PT","None")))</f>
        <v/>
      </c>
      <c r="AC135" s="9" t="str">
        <f aca="false">IF(V135=0,"",IF(AH135&lt;&gt;"",AB135,AA135))</f>
        <v/>
      </c>
      <c r="AD135" s="9" t="str">
        <f aca="false">IF(V135=0,"",IF(AA135="FT",IF(Z135&lt;FT_First,0,IF(Z135&lt;FT_Y5,1+INT((Z135-FT_First)/FT_Int1),FT_PreY5+FT_PerYear*INT((Z135-FT_Y5)/12)+FT_AnnivDays+INT(MOD(Z135-FT_Y5,12)/FT_Int2))),IF(AA135="PT",IF(Z135&lt;PT_First,0,1+INT((Z135-PT_First)/PT_Int)),0)))</f>
        <v/>
      </c>
      <c r="AE135" s="9" t="str">
        <f aca="false">IF(V135=0,"",IF(AB135="FT",IF(Z135&lt;FT_First,0,IF(Z135&lt;FT_Y5,1+INT((Z135-FT_First)/FT_Int1),FT_PreY5+FT_PerYear*INT((Z135-FT_Y5)/12)+FT_AnnivDays+INT(MOD(Z135-FT_Y5,12)/FT_Int2))),IF(AB135="PT",IF(Z135&lt;PT_First,0,1+INT((Z135-PT_First)/PT_Int)),0)))</f>
        <v/>
      </c>
      <c r="AF135" s="9" t="str">
        <f aca="false">IF(V135=0,"",IF(AB135="FT",IF(Y135&lt;FT_First,0,IF(Y135&lt;FT_Y5,1+INT((Y135-FT_First)/FT_Int1),FT_PreY5+FT_PerYear*INT((Y135-FT_Y5)/12)+FT_AnnivDays+INT(MOD(Y135-FT_Y5,12)/FT_Int2))),IF(AB135="PT",IF(Y135&lt;PT_First,0,1+INT((Y135-PT_First)/PT_Int)),0)))</f>
        <v/>
      </c>
      <c r="AG135" s="9" t="str">
        <f aca="false">IF(V135=0,"",IF(AC135="FT",IF(Y135&lt;FT_First,FT_First,IF(Y135&lt;FT_Y5,MIN(FT_Y5,FT_First+FT_Int1*(INT((Y135-FT_First)/FT_Int1)+1)),FT_Y5+12*INT((Y135-FT_Y5)/12)+FT_Int2*(INT(MOD(Y135-FT_Y5,12)/FT_Int2)+1))),IF(AC135="PT",IF(Y135&lt;PT_First,PT_First,PT_First+PT_Int*(INT((Y135-PT_First)/PT_Int)+1)),"")))</f>
        <v/>
      </c>
      <c r="AH135" s="11" t="str">
        <f aca="false">IF(V135=0,"",IF($G135="","",IF($G135&gt;X135,"",$G135)))</f>
        <v/>
      </c>
    </row>
    <row r="136" customFormat="false" ht="15" hidden="false" customHeight="false" outlineLevel="0" collapsed="false">
      <c r="A136" s="12"/>
      <c r="B136" s="12"/>
      <c r="C136" s="12"/>
      <c r="D136" s="13"/>
      <c r="E136" s="12"/>
      <c r="F136" s="14"/>
      <c r="G136" s="13"/>
      <c r="H136" s="12"/>
      <c r="I136" s="14"/>
      <c r="J136" s="14"/>
      <c r="K136" s="13"/>
      <c r="L136" s="9" t="str">
        <f aca="false">IF(V136=0,"",IF($G136="","",$E136&amp;" to "&amp;$H136&amp;IF($H136="Part-Time"," "&amp;N($I136)&amp;" hrs","")&amp;" on "&amp;TEXT($G136,"dd/mm/yyyy")&amp;IF($G136&gt;AsOfDate," (future)",IF(AA136=AC136,"",IF(AC136="None"," - STOPPED accruing",IF(AA136="None"," - now qualifying"," - pathway changed"))))))</f>
        <v/>
      </c>
      <c r="M136" s="9" t="str">
        <f aca="false">IF(V136=0,"",IF(W136=1,"Terminated",IF(AC136="None",IF(O136&gt;0,"No longer accruing","Not eligible - "&amp;IF(AND(AC136="None",IF(AH136&lt;&gt;"",$H136,$E136)="Part-Time"),"under "&amp;PT_MinHours&amp;" hrs",IF(AH136&lt;&gt;"",$H136,$E136))),IF(O136&gt;0,"Yes - accruing","Not yet - from "&amp;TEXT(Q136,"dd/mm/yyyy")))))</f>
        <v/>
      </c>
      <c r="N136" s="9" t="str">
        <f aca="false">IF(V136=0,"",IF(Y136&lt;0,"-",INT(Y136/12)&amp;"y "&amp;MOD(Y136,12)&amp;"m"))</f>
        <v/>
      </c>
      <c r="O136" s="10" t="str">
        <f aca="false">IF(V136=0,"",AD136+IF(AH136="",0,AF136-AE136))</f>
        <v/>
      </c>
      <c r="P136" s="10" t="str">
        <f aca="false">IF(V136=0,"",O136*HoursPerDay)</f>
        <v/>
      </c>
      <c r="Q136" s="11" t="str">
        <f aca="false">IF(V136=0,"",IF(OR(W136=1,AC136="None"),"",EDATE(($D136+N($J136)),AG136)))</f>
        <v/>
      </c>
      <c r="R136" s="10" t="str">
        <f aca="false">IF(V136=0,"",IF(NOT(EH_Ready),"",SUMIFS(INDEX(EH_Data,0,EH_ColBal),INDEX(EH_Data,0,EH_ColFirst),$A136,INDEX(EH_Data,0,EH_ColSur),$B136,INDEX(EH_Data,0,EH_ColCat),BonusCat)/IF(EHUnit="Hours",HoursPerDay,1)))</f>
        <v/>
      </c>
      <c r="S136" s="10" t="str">
        <f aca="false">IF(OR(V136=0,R136="",W136=1),"",O136-R136)</f>
        <v/>
      </c>
      <c r="T136" s="10" t="str">
        <f aca="false">IF(S136="","",S136*HoursPerDay)</f>
        <v/>
      </c>
      <c r="U136" s="9" t="str">
        <f aca="false">IF(V136=0,"",IF(W136=1,IF(N(R136)&gt;0,"TERMINATED - forfeit "&amp;TEXT(R136,"0.##")&amp;" days in EH","Terminated"),IF(NOT(EH_Ready),"Paste EH export (see Settings)",IF(S136&gt;0,"ADD "&amp;TEXT(S136,"0.##")&amp;" day(s) = "&amp;TEXT(T136,"0.##")&amp;" hrs in EH",IF(S136&lt;0,"CHECK - EH has "&amp;TEXT(-S136,"0.##")&amp;" days more than policy",IF(O136&gt;0,"OK","-"))))))</f>
        <v/>
      </c>
      <c r="V136" s="9" t="n">
        <f aca="false">IF(OR(LEN($A136&amp;$B136)=0,$D136=""),0,1)</f>
        <v>0</v>
      </c>
      <c r="W136" s="9" t="n">
        <f aca="false">IF(V136=0,0,IF(AND($K136&lt;&gt;"",$K136&lt;=AsOfDate),1,0))</f>
        <v>0</v>
      </c>
      <c r="X136" s="11" t="str">
        <f aca="false">IF(V136=0,"",IF($K136="",AsOfDate,MIN(AsOfDate,$K136)))</f>
        <v/>
      </c>
      <c r="Y136" s="9" t="str">
        <f aca="false">IF(V136=0,"",IF(X136&lt;($D136+N($J136)),-1,12*(YEAR(X136)-YEAR(($D136+N($J136))))+MONTH(X136)-MONTH(($D136+N($J136)))-IF(DAY(X136)&lt;MIN(DAY(($D136+N($J136))),DAY(EOMONTH(X136,0))),1,0)))</f>
        <v/>
      </c>
      <c r="Z136" s="9" t="str">
        <f aca="false">IF(V136=0,"",IF(AH136="",Y136,IF((AH136-1)&lt;($D136+N($J136)),-1,12*(YEAR((AH136-1))-YEAR(($D136+N($J136))))+MONTH((AH136-1))-MONTH(($D136+N($J136)))-IF(DAY((AH136-1))&lt;MIN(DAY(($D136+N($J136))),DAY(EOMONTH((AH136-1),0))),1,0))))</f>
        <v/>
      </c>
      <c r="AA136" s="9" t="str">
        <f aca="false">IF(V136=0,"",IF($E136="Full-Time","FT",IF(AND($E136="Part-Time",N($F136)&gt;=PT_MinHours),"PT","None")))</f>
        <v/>
      </c>
      <c r="AB136" s="9" t="str">
        <f aca="false">IF(V136=0,"",IF($H136="Full-Time","FT",IF(AND($H136="Part-Time",N($I136)&gt;=PT_MinHours),"PT","None")))</f>
        <v/>
      </c>
      <c r="AC136" s="9" t="str">
        <f aca="false">IF(V136=0,"",IF(AH136&lt;&gt;"",AB136,AA136))</f>
        <v/>
      </c>
      <c r="AD136" s="9" t="str">
        <f aca="false">IF(V136=0,"",IF(AA136="FT",IF(Z136&lt;FT_First,0,IF(Z136&lt;FT_Y5,1+INT((Z136-FT_First)/FT_Int1),FT_PreY5+FT_PerYear*INT((Z136-FT_Y5)/12)+FT_AnnivDays+INT(MOD(Z136-FT_Y5,12)/FT_Int2))),IF(AA136="PT",IF(Z136&lt;PT_First,0,1+INT((Z136-PT_First)/PT_Int)),0)))</f>
        <v/>
      </c>
      <c r="AE136" s="9" t="str">
        <f aca="false">IF(V136=0,"",IF(AB136="FT",IF(Z136&lt;FT_First,0,IF(Z136&lt;FT_Y5,1+INT((Z136-FT_First)/FT_Int1),FT_PreY5+FT_PerYear*INT((Z136-FT_Y5)/12)+FT_AnnivDays+INT(MOD(Z136-FT_Y5,12)/FT_Int2))),IF(AB136="PT",IF(Z136&lt;PT_First,0,1+INT((Z136-PT_First)/PT_Int)),0)))</f>
        <v/>
      </c>
      <c r="AF136" s="9" t="str">
        <f aca="false">IF(V136=0,"",IF(AB136="FT",IF(Y136&lt;FT_First,0,IF(Y136&lt;FT_Y5,1+INT((Y136-FT_First)/FT_Int1),FT_PreY5+FT_PerYear*INT((Y136-FT_Y5)/12)+FT_AnnivDays+INT(MOD(Y136-FT_Y5,12)/FT_Int2))),IF(AB136="PT",IF(Y136&lt;PT_First,0,1+INT((Y136-PT_First)/PT_Int)),0)))</f>
        <v/>
      </c>
      <c r="AG136" s="9" t="str">
        <f aca="false">IF(V136=0,"",IF(AC136="FT",IF(Y136&lt;FT_First,FT_First,IF(Y136&lt;FT_Y5,MIN(FT_Y5,FT_First+FT_Int1*(INT((Y136-FT_First)/FT_Int1)+1)),FT_Y5+12*INT((Y136-FT_Y5)/12)+FT_Int2*(INT(MOD(Y136-FT_Y5,12)/FT_Int2)+1))),IF(AC136="PT",IF(Y136&lt;PT_First,PT_First,PT_First+PT_Int*(INT((Y136-PT_First)/PT_Int)+1)),"")))</f>
        <v/>
      </c>
      <c r="AH136" s="11" t="str">
        <f aca="false">IF(V136=0,"",IF($G136="","",IF($G136&gt;X136,"",$G136)))</f>
        <v/>
      </c>
    </row>
    <row r="137" customFormat="false" ht="15" hidden="false" customHeight="false" outlineLevel="0" collapsed="false">
      <c r="A137" s="12"/>
      <c r="B137" s="12"/>
      <c r="C137" s="12"/>
      <c r="D137" s="13"/>
      <c r="E137" s="12"/>
      <c r="F137" s="14"/>
      <c r="G137" s="13"/>
      <c r="H137" s="12"/>
      <c r="I137" s="14"/>
      <c r="J137" s="14"/>
      <c r="K137" s="13"/>
      <c r="L137" s="9" t="str">
        <f aca="false">IF(V137=0,"",IF($G137="","",$E137&amp;" to "&amp;$H137&amp;IF($H137="Part-Time"," "&amp;N($I137)&amp;" hrs","")&amp;" on "&amp;TEXT($G137,"dd/mm/yyyy")&amp;IF($G137&gt;AsOfDate," (future)",IF(AA137=AC137,"",IF(AC137="None"," - STOPPED accruing",IF(AA137="None"," - now qualifying"," - pathway changed"))))))</f>
        <v/>
      </c>
      <c r="M137" s="9" t="str">
        <f aca="false">IF(V137=0,"",IF(W137=1,"Terminated",IF(AC137="None",IF(O137&gt;0,"No longer accruing","Not eligible - "&amp;IF(AND(AC137="None",IF(AH137&lt;&gt;"",$H137,$E137)="Part-Time"),"under "&amp;PT_MinHours&amp;" hrs",IF(AH137&lt;&gt;"",$H137,$E137))),IF(O137&gt;0,"Yes - accruing","Not yet - from "&amp;TEXT(Q137,"dd/mm/yyyy")))))</f>
        <v/>
      </c>
      <c r="N137" s="9" t="str">
        <f aca="false">IF(V137=0,"",IF(Y137&lt;0,"-",INT(Y137/12)&amp;"y "&amp;MOD(Y137,12)&amp;"m"))</f>
        <v/>
      </c>
      <c r="O137" s="10" t="str">
        <f aca="false">IF(V137=0,"",AD137+IF(AH137="",0,AF137-AE137))</f>
        <v/>
      </c>
      <c r="P137" s="10" t="str">
        <f aca="false">IF(V137=0,"",O137*HoursPerDay)</f>
        <v/>
      </c>
      <c r="Q137" s="11" t="str">
        <f aca="false">IF(V137=0,"",IF(OR(W137=1,AC137="None"),"",EDATE(($D137+N($J137)),AG137)))</f>
        <v/>
      </c>
      <c r="R137" s="10" t="str">
        <f aca="false">IF(V137=0,"",IF(NOT(EH_Ready),"",SUMIFS(INDEX(EH_Data,0,EH_ColBal),INDEX(EH_Data,0,EH_ColFirst),$A137,INDEX(EH_Data,0,EH_ColSur),$B137,INDEX(EH_Data,0,EH_ColCat),BonusCat)/IF(EHUnit="Hours",HoursPerDay,1)))</f>
        <v/>
      </c>
      <c r="S137" s="10" t="str">
        <f aca="false">IF(OR(V137=0,R137="",W137=1),"",O137-R137)</f>
        <v/>
      </c>
      <c r="T137" s="10" t="str">
        <f aca="false">IF(S137="","",S137*HoursPerDay)</f>
        <v/>
      </c>
      <c r="U137" s="9" t="str">
        <f aca="false">IF(V137=0,"",IF(W137=1,IF(N(R137)&gt;0,"TERMINATED - forfeit "&amp;TEXT(R137,"0.##")&amp;" days in EH","Terminated"),IF(NOT(EH_Ready),"Paste EH export (see Settings)",IF(S137&gt;0,"ADD "&amp;TEXT(S137,"0.##")&amp;" day(s) = "&amp;TEXT(T137,"0.##")&amp;" hrs in EH",IF(S137&lt;0,"CHECK - EH has "&amp;TEXT(-S137,"0.##")&amp;" days more than policy",IF(O137&gt;0,"OK","-"))))))</f>
        <v/>
      </c>
      <c r="V137" s="9" t="n">
        <f aca="false">IF(OR(LEN($A137&amp;$B137)=0,$D137=""),0,1)</f>
        <v>0</v>
      </c>
      <c r="W137" s="9" t="n">
        <f aca="false">IF(V137=0,0,IF(AND($K137&lt;&gt;"",$K137&lt;=AsOfDate),1,0))</f>
        <v>0</v>
      </c>
      <c r="X137" s="11" t="str">
        <f aca="false">IF(V137=0,"",IF($K137="",AsOfDate,MIN(AsOfDate,$K137)))</f>
        <v/>
      </c>
      <c r="Y137" s="9" t="str">
        <f aca="false">IF(V137=0,"",IF(X137&lt;($D137+N($J137)),-1,12*(YEAR(X137)-YEAR(($D137+N($J137))))+MONTH(X137)-MONTH(($D137+N($J137)))-IF(DAY(X137)&lt;MIN(DAY(($D137+N($J137))),DAY(EOMONTH(X137,0))),1,0)))</f>
        <v/>
      </c>
      <c r="Z137" s="9" t="str">
        <f aca="false">IF(V137=0,"",IF(AH137="",Y137,IF((AH137-1)&lt;($D137+N($J137)),-1,12*(YEAR((AH137-1))-YEAR(($D137+N($J137))))+MONTH((AH137-1))-MONTH(($D137+N($J137)))-IF(DAY((AH137-1))&lt;MIN(DAY(($D137+N($J137))),DAY(EOMONTH((AH137-1),0))),1,0))))</f>
        <v/>
      </c>
      <c r="AA137" s="9" t="str">
        <f aca="false">IF(V137=0,"",IF($E137="Full-Time","FT",IF(AND($E137="Part-Time",N($F137)&gt;=PT_MinHours),"PT","None")))</f>
        <v/>
      </c>
      <c r="AB137" s="9" t="str">
        <f aca="false">IF(V137=0,"",IF($H137="Full-Time","FT",IF(AND($H137="Part-Time",N($I137)&gt;=PT_MinHours),"PT","None")))</f>
        <v/>
      </c>
      <c r="AC137" s="9" t="str">
        <f aca="false">IF(V137=0,"",IF(AH137&lt;&gt;"",AB137,AA137))</f>
        <v/>
      </c>
      <c r="AD137" s="9" t="str">
        <f aca="false">IF(V137=0,"",IF(AA137="FT",IF(Z137&lt;FT_First,0,IF(Z137&lt;FT_Y5,1+INT((Z137-FT_First)/FT_Int1),FT_PreY5+FT_PerYear*INT((Z137-FT_Y5)/12)+FT_AnnivDays+INT(MOD(Z137-FT_Y5,12)/FT_Int2))),IF(AA137="PT",IF(Z137&lt;PT_First,0,1+INT((Z137-PT_First)/PT_Int)),0)))</f>
        <v/>
      </c>
      <c r="AE137" s="9" t="str">
        <f aca="false">IF(V137=0,"",IF(AB137="FT",IF(Z137&lt;FT_First,0,IF(Z137&lt;FT_Y5,1+INT((Z137-FT_First)/FT_Int1),FT_PreY5+FT_PerYear*INT((Z137-FT_Y5)/12)+FT_AnnivDays+INT(MOD(Z137-FT_Y5,12)/FT_Int2))),IF(AB137="PT",IF(Z137&lt;PT_First,0,1+INT((Z137-PT_First)/PT_Int)),0)))</f>
        <v/>
      </c>
      <c r="AF137" s="9" t="str">
        <f aca="false">IF(V137=0,"",IF(AB137="FT",IF(Y137&lt;FT_First,0,IF(Y137&lt;FT_Y5,1+INT((Y137-FT_First)/FT_Int1),FT_PreY5+FT_PerYear*INT((Y137-FT_Y5)/12)+FT_AnnivDays+INT(MOD(Y137-FT_Y5,12)/FT_Int2))),IF(AB137="PT",IF(Y137&lt;PT_First,0,1+INT((Y137-PT_First)/PT_Int)),0)))</f>
        <v/>
      </c>
      <c r="AG137" s="9" t="str">
        <f aca="false">IF(V137=0,"",IF(AC137="FT",IF(Y137&lt;FT_First,FT_First,IF(Y137&lt;FT_Y5,MIN(FT_Y5,FT_First+FT_Int1*(INT((Y137-FT_First)/FT_Int1)+1)),FT_Y5+12*INT((Y137-FT_Y5)/12)+FT_Int2*(INT(MOD(Y137-FT_Y5,12)/FT_Int2)+1))),IF(AC137="PT",IF(Y137&lt;PT_First,PT_First,PT_First+PT_Int*(INT((Y137-PT_First)/PT_Int)+1)),"")))</f>
        <v/>
      </c>
      <c r="AH137" s="11" t="str">
        <f aca="false">IF(V137=0,"",IF($G137="","",IF($G137&gt;X137,"",$G137)))</f>
        <v/>
      </c>
    </row>
    <row r="138" customFormat="false" ht="15" hidden="false" customHeight="false" outlineLevel="0" collapsed="false">
      <c r="A138" s="12"/>
      <c r="B138" s="12"/>
      <c r="C138" s="12"/>
      <c r="D138" s="13"/>
      <c r="E138" s="12"/>
      <c r="F138" s="14"/>
      <c r="G138" s="13"/>
      <c r="H138" s="12"/>
      <c r="I138" s="14"/>
      <c r="J138" s="14"/>
      <c r="K138" s="13"/>
      <c r="L138" s="9" t="str">
        <f aca="false">IF(V138=0,"",IF($G138="","",$E138&amp;" to "&amp;$H138&amp;IF($H138="Part-Time"," "&amp;N($I138)&amp;" hrs","")&amp;" on "&amp;TEXT($G138,"dd/mm/yyyy")&amp;IF($G138&gt;AsOfDate," (future)",IF(AA138=AC138,"",IF(AC138="None"," - STOPPED accruing",IF(AA138="None"," - now qualifying"," - pathway changed"))))))</f>
        <v/>
      </c>
      <c r="M138" s="9" t="str">
        <f aca="false">IF(V138=0,"",IF(W138=1,"Terminated",IF(AC138="None",IF(O138&gt;0,"No longer accruing","Not eligible - "&amp;IF(AND(AC138="None",IF(AH138&lt;&gt;"",$H138,$E138)="Part-Time"),"under "&amp;PT_MinHours&amp;" hrs",IF(AH138&lt;&gt;"",$H138,$E138))),IF(O138&gt;0,"Yes - accruing","Not yet - from "&amp;TEXT(Q138,"dd/mm/yyyy")))))</f>
        <v/>
      </c>
      <c r="N138" s="9" t="str">
        <f aca="false">IF(V138=0,"",IF(Y138&lt;0,"-",INT(Y138/12)&amp;"y "&amp;MOD(Y138,12)&amp;"m"))</f>
        <v/>
      </c>
      <c r="O138" s="10" t="str">
        <f aca="false">IF(V138=0,"",AD138+IF(AH138="",0,AF138-AE138))</f>
        <v/>
      </c>
      <c r="P138" s="10" t="str">
        <f aca="false">IF(V138=0,"",O138*HoursPerDay)</f>
        <v/>
      </c>
      <c r="Q138" s="11" t="str">
        <f aca="false">IF(V138=0,"",IF(OR(W138=1,AC138="None"),"",EDATE(($D138+N($J138)),AG138)))</f>
        <v/>
      </c>
      <c r="R138" s="10" t="str">
        <f aca="false">IF(V138=0,"",IF(NOT(EH_Ready),"",SUMIFS(INDEX(EH_Data,0,EH_ColBal),INDEX(EH_Data,0,EH_ColFirst),$A138,INDEX(EH_Data,0,EH_ColSur),$B138,INDEX(EH_Data,0,EH_ColCat),BonusCat)/IF(EHUnit="Hours",HoursPerDay,1)))</f>
        <v/>
      </c>
      <c r="S138" s="10" t="str">
        <f aca="false">IF(OR(V138=0,R138="",W138=1),"",O138-R138)</f>
        <v/>
      </c>
      <c r="T138" s="10" t="str">
        <f aca="false">IF(S138="","",S138*HoursPerDay)</f>
        <v/>
      </c>
      <c r="U138" s="9" t="str">
        <f aca="false">IF(V138=0,"",IF(W138=1,IF(N(R138)&gt;0,"TERMINATED - forfeit "&amp;TEXT(R138,"0.##")&amp;" days in EH","Terminated"),IF(NOT(EH_Ready),"Paste EH export (see Settings)",IF(S138&gt;0,"ADD "&amp;TEXT(S138,"0.##")&amp;" day(s) = "&amp;TEXT(T138,"0.##")&amp;" hrs in EH",IF(S138&lt;0,"CHECK - EH has "&amp;TEXT(-S138,"0.##")&amp;" days more than policy",IF(O138&gt;0,"OK","-"))))))</f>
        <v/>
      </c>
      <c r="V138" s="9" t="n">
        <f aca="false">IF(OR(LEN($A138&amp;$B138)=0,$D138=""),0,1)</f>
        <v>0</v>
      </c>
      <c r="W138" s="9" t="n">
        <f aca="false">IF(V138=0,0,IF(AND($K138&lt;&gt;"",$K138&lt;=AsOfDate),1,0))</f>
        <v>0</v>
      </c>
      <c r="X138" s="11" t="str">
        <f aca="false">IF(V138=0,"",IF($K138="",AsOfDate,MIN(AsOfDate,$K138)))</f>
        <v/>
      </c>
      <c r="Y138" s="9" t="str">
        <f aca="false">IF(V138=0,"",IF(X138&lt;($D138+N($J138)),-1,12*(YEAR(X138)-YEAR(($D138+N($J138))))+MONTH(X138)-MONTH(($D138+N($J138)))-IF(DAY(X138)&lt;MIN(DAY(($D138+N($J138))),DAY(EOMONTH(X138,0))),1,0)))</f>
        <v/>
      </c>
      <c r="Z138" s="9" t="str">
        <f aca="false">IF(V138=0,"",IF(AH138="",Y138,IF((AH138-1)&lt;($D138+N($J138)),-1,12*(YEAR((AH138-1))-YEAR(($D138+N($J138))))+MONTH((AH138-1))-MONTH(($D138+N($J138)))-IF(DAY((AH138-1))&lt;MIN(DAY(($D138+N($J138))),DAY(EOMONTH((AH138-1),0))),1,0))))</f>
        <v/>
      </c>
      <c r="AA138" s="9" t="str">
        <f aca="false">IF(V138=0,"",IF($E138="Full-Time","FT",IF(AND($E138="Part-Time",N($F138)&gt;=PT_MinHours),"PT","None")))</f>
        <v/>
      </c>
      <c r="AB138" s="9" t="str">
        <f aca="false">IF(V138=0,"",IF($H138="Full-Time","FT",IF(AND($H138="Part-Time",N($I138)&gt;=PT_MinHours),"PT","None")))</f>
        <v/>
      </c>
      <c r="AC138" s="9" t="str">
        <f aca="false">IF(V138=0,"",IF(AH138&lt;&gt;"",AB138,AA138))</f>
        <v/>
      </c>
      <c r="AD138" s="9" t="str">
        <f aca="false">IF(V138=0,"",IF(AA138="FT",IF(Z138&lt;FT_First,0,IF(Z138&lt;FT_Y5,1+INT((Z138-FT_First)/FT_Int1),FT_PreY5+FT_PerYear*INT((Z138-FT_Y5)/12)+FT_AnnivDays+INT(MOD(Z138-FT_Y5,12)/FT_Int2))),IF(AA138="PT",IF(Z138&lt;PT_First,0,1+INT((Z138-PT_First)/PT_Int)),0)))</f>
        <v/>
      </c>
      <c r="AE138" s="9" t="str">
        <f aca="false">IF(V138=0,"",IF(AB138="FT",IF(Z138&lt;FT_First,0,IF(Z138&lt;FT_Y5,1+INT((Z138-FT_First)/FT_Int1),FT_PreY5+FT_PerYear*INT((Z138-FT_Y5)/12)+FT_AnnivDays+INT(MOD(Z138-FT_Y5,12)/FT_Int2))),IF(AB138="PT",IF(Z138&lt;PT_First,0,1+INT((Z138-PT_First)/PT_Int)),0)))</f>
        <v/>
      </c>
      <c r="AF138" s="9" t="str">
        <f aca="false">IF(V138=0,"",IF(AB138="FT",IF(Y138&lt;FT_First,0,IF(Y138&lt;FT_Y5,1+INT((Y138-FT_First)/FT_Int1),FT_PreY5+FT_PerYear*INT((Y138-FT_Y5)/12)+FT_AnnivDays+INT(MOD(Y138-FT_Y5,12)/FT_Int2))),IF(AB138="PT",IF(Y138&lt;PT_First,0,1+INT((Y138-PT_First)/PT_Int)),0)))</f>
        <v/>
      </c>
      <c r="AG138" s="9" t="str">
        <f aca="false">IF(V138=0,"",IF(AC138="FT",IF(Y138&lt;FT_First,FT_First,IF(Y138&lt;FT_Y5,MIN(FT_Y5,FT_First+FT_Int1*(INT((Y138-FT_First)/FT_Int1)+1)),FT_Y5+12*INT((Y138-FT_Y5)/12)+FT_Int2*(INT(MOD(Y138-FT_Y5,12)/FT_Int2)+1))),IF(AC138="PT",IF(Y138&lt;PT_First,PT_First,PT_First+PT_Int*(INT((Y138-PT_First)/PT_Int)+1)),"")))</f>
        <v/>
      </c>
      <c r="AH138" s="11" t="str">
        <f aca="false">IF(V138=0,"",IF($G138="","",IF($G138&gt;X138,"",$G138)))</f>
        <v/>
      </c>
    </row>
    <row r="139" customFormat="false" ht="15" hidden="false" customHeight="false" outlineLevel="0" collapsed="false">
      <c r="A139" s="12"/>
      <c r="B139" s="12"/>
      <c r="C139" s="12"/>
      <c r="D139" s="13"/>
      <c r="E139" s="12"/>
      <c r="F139" s="14"/>
      <c r="G139" s="13"/>
      <c r="H139" s="12"/>
      <c r="I139" s="14"/>
      <c r="J139" s="14"/>
      <c r="K139" s="13"/>
      <c r="L139" s="9" t="str">
        <f aca="false">IF(V139=0,"",IF($G139="","",$E139&amp;" to "&amp;$H139&amp;IF($H139="Part-Time"," "&amp;N($I139)&amp;" hrs","")&amp;" on "&amp;TEXT($G139,"dd/mm/yyyy")&amp;IF($G139&gt;AsOfDate," (future)",IF(AA139=AC139,"",IF(AC139="None"," - STOPPED accruing",IF(AA139="None"," - now qualifying"," - pathway changed"))))))</f>
        <v/>
      </c>
      <c r="M139" s="9" t="str">
        <f aca="false">IF(V139=0,"",IF(W139=1,"Terminated",IF(AC139="None",IF(O139&gt;0,"No longer accruing","Not eligible - "&amp;IF(AND(AC139="None",IF(AH139&lt;&gt;"",$H139,$E139)="Part-Time"),"under "&amp;PT_MinHours&amp;" hrs",IF(AH139&lt;&gt;"",$H139,$E139))),IF(O139&gt;0,"Yes - accruing","Not yet - from "&amp;TEXT(Q139,"dd/mm/yyyy")))))</f>
        <v/>
      </c>
      <c r="N139" s="9" t="str">
        <f aca="false">IF(V139=0,"",IF(Y139&lt;0,"-",INT(Y139/12)&amp;"y "&amp;MOD(Y139,12)&amp;"m"))</f>
        <v/>
      </c>
      <c r="O139" s="10" t="str">
        <f aca="false">IF(V139=0,"",AD139+IF(AH139="",0,AF139-AE139))</f>
        <v/>
      </c>
      <c r="P139" s="10" t="str">
        <f aca="false">IF(V139=0,"",O139*HoursPerDay)</f>
        <v/>
      </c>
      <c r="Q139" s="11" t="str">
        <f aca="false">IF(V139=0,"",IF(OR(W139=1,AC139="None"),"",EDATE(($D139+N($J139)),AG139)))</f>
        <v/>
      </c>
      <c r="R139" s="10" t="str">
        <f aca="false">IF(V139=0,"",IF(NOT(EH_Ready),"",SUMIFS(INDEX(EH_Data,0,EH_ColBal),INDEX(EH_Data,0,EH_ColFirst),$A139,INDEX(EH_Data,0,EH_ColSur),$B139,INDEX(EH_Data,0,EH_ColCat),BonusCat)/IF(EHUnit="Hours",HoursPerDay,1)))</f>
        <v/>
      </c>
      <c r="S139" s="10" t="str">
        <f aca="false">IF(OR(V139=0,R139="",W139=1),"",O139-R139)</f>
        <v/>
      </c>
      <c r="T139" s="10" t="str">
        <f aca="false">IF(S139="","",S139*HoursPerDay)</f>
        <v/>
      </c>
      <c r="U139" s="9" t="str">
        <f aca="false">IF(V139=0,"",IF(W139=1,IF(N(R139)&gt;0,"TERMINATED - forfeit "&amp;TEXT(R139,"0.##")&amp;" days in EH","Terminated"),IF(NOT(EH_Ready),"Paste EH export (see Settings)",IF(S139&gt;0,"ADD "&amp;TEXT(S139,"0.##")&amp;" day(s) = "&amp;TEXT(T139,"0.##")&amp;" hrs in EH",IF(S139&lt;0,"CHECK - EH has "&amp;TEXT(-S139,"0.##")&amp;" days more than policy",IF(O139&gt;0,"OK","-"))))))</f>
        <v/>
      </c>
      <c r="V139" s="9" t="n">
        <f aca="false">IF(OR(LEN($A139&amp;$B139)=0,$D139=""),0,1)</f>
        <v>0</v>
      </c>
      <c r="W139" s="9" t="n">
        <f aca="false">IF(V139=0,0,IF(AND($K139&lt;&gt;"",$K139&lt;=AsOfDate),1,0))</f>
        <v>0</v>
      </c>
      <c r="X139" s="11" t="str">
        <f aca="false">IF(V139=0,"",IF($K139="",AsOfDate,MIN(AsOfDate,$K139)))</f>
        <v/>
      </c>
      <c r="Y139" s="9" t="str">
        <f aca="false">IF(V139=0,"",IF(X139&lt;($D139+N($J139)),-1,12*(YEAR(X139)-YEAR(($D139+N($J139))))+MONTH(X139)-MONTH(($D139+N($J139)))-IF(DAY(X139)&lt;MIN(DAY(($D139+N($J139))),DAY(EOMONTH(X139,0))),1,0)))</f>
        <v/>
      </c>
      <c r="Z139" s="9" t="str">
        <f aca="false">IF(V139=0,"",IF(AH139="",Y139,IF((AH139-1)&lt;($D139+N($J139)),-1,12*(YEAR((AH139-1))-YEAR(($D139+N($J139))))+MONTH((AH139-1))-MONTH(($D139+N($J139)))-IF(DAY((AH139-1))&lt;MIN(DAY(($D139+N($J139))),DAY(EOMONTH((AH139-1),0))),1,0))))</f>
        <v/>
      </c>
      <c r="AA139" s="9" t="str">
        <f aca="false">IF(V139=0,"",IF($E139="Full-Time","FT",IF(AND($E139="Part-Time",N($F139)&gt;=PT_MinHours),"PT","None")))</f>
        <v/>
      </c>
      <c r="AB139" s="9" t="str">
        <f aca="false">IF(V139=0,"",IF($H139="Full-Time","FT",IF(AND($H139="Part-Time",N($I139)&gt;=PT_MinHours),"PT","None")))</f>
        <v/>
      </c>
      <c r="AC139" s="9" t="str">
        <f aca="false">IF(V139=0,"",IF(AH139&lt;&gt;"",AB139,AA139))</f>
        <v/>
      </c>
      <c r="AD139" s="9" t="str">
        <f aca="false">IF(V139=0,"",IF(AA139="FT",IF(Z139&lt;FT_First,0,IF(Z139&lt;FT_Y5,1+INT((Z139-FT_First)/FT_Int1),FT_PreY5+FT_PerYear*INT((Z139-FT_Y5)/12)+FT_AnnivDays+INT(MOD(Z139-FT_Y5,12)/FT_Int2))),IF(AA139="PT",IF(Z139&lt;PT_First,0,1+INT((Z139-PT_First)/PT_Int)),0)))</f>
        <v/>
      </c>
      <c r="AE139" s="9" t="str">
        <f aca="false">IF(V139=0,"",IF(AB139="FT",IF(Z139&lt;FT_First,0,IF(Z139&lt;FT_Y5,1+INT((Z139-FT_First)/FT_Int1),FT_PreY5+FT_PerYear*INT((Z139-FT_Y5)/12)+FT_AnnivDays+INT(MOD(Z139-FT_Y5,12)/FT_Int2))),IF(AB139="PT",IF(Z139&lt;PT_First,0,1+INT((Z139-PT_First)/PT_Int)),0)))</f>
        <v/>
      </c>
      <c r="AF139" s="9" t="str">
        <f aca="false">IF(V139=0,"",IF(AB139="FT",IF(Y139&lt;FT_First,0,IF(Y139&lt;FT_Y5,1+INT((Y139-FT_First)/FT_Int1),FT_PreY5+FT_PerYear*INT((Y139-FT_Y5)/12)+FT_AnnivDays+INT(MOD(Y139-FT_Y5,12)/FT_Int2))),IF(AB139="PT",IF(Y139&lt;PT_First,0,1+INT((Y139-PT_First)/PT_Int)),0)))</f>
        <v/>
      </c>
      <c r="AG139" s="9" t="str">
        <f aca="false">IF(V139=0,"",IF(AC139="FT",IF(Y139&lt;FT_First,FT_First,IF(Y139&lt;FT_Y5,MIN(FT_Y5,FT_First+FT_Int1*(INT((Y139-FT_First)/FT_Int1)+1)),FT_Y5+12*INT((Y139-FT_Y5)/12)+FT_Int2*(INT(MOD(Y139-FT_Y5,12)/FT_Int2)+1))),IF(AC139="PT",IF(Y139&lt;PT_First,PT_First,PT_First+PT_Int*(INT((Y139-PT_First)/PT_Int)+1)),"")))</f>
        <v/>
      </c>
      <c r="AH139" s="11" t="str">
        <f aca="false">IF(V139=0,"",IF($G139="","",IF($G139&gt;X139,"",$G139)))</f>
        <v/>
      </c>
    </row>
    <row r="140" customFormat="false" ht="15" hidden="false" customHeight="false" outlineLevel="0" collapsed="false">
      <c r="A140" s="12"/>
      <c r="B140" s="12"/>
      <c r="C140" s="12"/>
      <c r="D140" s="13"/>
      <c r="E140" s="12"/>
      <c r="F140" s="14"/>
      <c r="G140" s="13"/>
      <c r="H140" s="12"/>
      <c r="I140" s="14"/>
      <c r="J140" s="14"/>
      <c r="K140" s="13"/>
      <c r="L140" s="9" t="str">
        <f aca="false">IF(V140=0,"",IF($G140="","",$E140&amp;" to "&amp;$H140&amp;IF($H140="Part-Time"," "&amp;N($I140)&amp;" hrs","")&amp;" on "&amp;TEXT($G140,"dd/mm/yyyy")&amp;IF($G140&gt;AsOfDate," (future)",IF(AA140=AC140,"",IF(AC140="None"," - STOPPED accruing",IF(AA140="None"," - now qualifying"," - pathway changed"))))))</f>
        <v/>
      </c>
      <c r="M140" s="9" t="str">
        <f aca="false">IF(V140=0,"",IF(W140=1,"Terminated",IF(AC140="None",IF(O140&gt;0,"No longer accruing","Not eligible - "&amp;IF(AND(AC140="None",IF(AH140&lt;&gt;"",$H140,$E140)="Part-Time"),"under "&amp;PT_MinHours&amp;" hrs",IF(AH140&lt;&gt;"",$H140,$E140))),IF(O140&gt;0,"Yes - accruing","Not yet - from "&amp;TEXT(Q140,"dd/mm/yyyy")))))</f>
        <v/>
      </c>
      <c r="N140" s="9" t="str">
        <f aca="false">IF(V140=0,"",IF(Y140&lt;0,"-",INT(Y140/12)&amp;"y "&amp;MOD(Y140,12)&amp;"m"))</f>
        <v/>
      </c>
      <c r="O140" s="10" t="str">
        <f aca="false">IF(V140=0,"",AD140+IF(AH140="",0,AF140-AE140))</f>
        <v/>
      </c>
      <c r="P140" s="10" t="str">
        <f aca="false">IF(V140=0,"",O140*HoursPerDay)</f>
        <v/>
      </c>
      <c r="Q140" s="11" t="str">
        <f aca="false">IF(V140=0,"",IF(OR(W140=1,AC140="None"),"",EDATE(($D140+N($J140)),AG140)))</f>
        <v/>
      </c>
      <c r="R140" s="10" t="str">
        <f aca="false">IF(V140=0,"",IF(NOT(EH_Ready),"",SUMIFS(INDEX(EH_Data,0,EH_ColBal),INDEX(EH_Data,0,EH_ColFirst),$A140,INDEX(EH_Data,0,EH_ColSur),$B140,INDEX(EH_Data,0,EH_ColCat),BonusCat)/IF(EHUnit="Hours",HoursPerDay,1)))</f>
        <v/>
      </c>
      <c r="S140" s="10" t="str">
        <f aca="false">IF(OR(V140=0,R140="",W140=1),"",O140-R140)</f>
        <v/>
      </c>
      <c r="T140" s="10" t="str">
        <f aca="false">IF(S140="","",S140*HoursPerDay)</f>
        <v/>
      </c>
      <c r="U140" s="9" t="str">
        <f aca="false">IF(V140=0,"",IF(W140=1,IF(N(R140)&gt;0,"TERMINATED - forfeit "&amp;TEXT(R140,"0.##")&amp;" days in EH","Terminated"),IF(NOT(EH_Ready),"Paste EH export (see Settings)",IF(S140&gt;0,"ADD "&amp;TEXT(S140,"0.##")&amp;" day(s) = "&amp;TEXT(T140,"0.##")&amp;" hrs in EH",IF(S140&lt;0,"CHECK - EH has "&amp;TEXT(-S140,"0.##")&amp;" days more than policy",IF(O140&gt;0,"OK","-"))))))</f>
        <v/>
      </c>
      <c r="V140" s="9" t="n">
        <f aca="false">IF(OR(LEN($A140&amp;$B140)=0,$D140=""),0,1)</f>
        <v>0</v>
      </c>
      <c r="W140" s="9" t="n">
        <f aca="false">IF(V140=0,0,IF(AND($K140&lt;&gt;"",$K140&lt;=AsOfDate),1,0))</f>
        <v>0</v>
      </c>
      <c r="X140" s="11" t="str">
        <f aca="false">IF(V140=0,"",IF($K140="",AsOfDate,MIN(AsOfDate,$K140)))</f>
        <v/>
      </c>
      <c r="Y140" s="9" t="str">
        <f aca="false">IF(V140=0,"",IF(X140&lt;($D140+N($J140)),-1,12*(YEAR(X140)-YEAR(($D140+N($J140))))+MONTH(X140)-MONTH(($D140+N($J140)))-IF(DAY(X140)&lt;MIN(DAY(($D140+N($J140))),DAY(EOMONTH(X140,0))),1,0)))</f>
        <v/>
      </c>
      <c r="Z140" s="9" t="str">
        <f aca="false">IF(V140=0,"",IF(AH140="",Y140,IF((AH140-1)&lt;($D140+N($J140)),-1,12*(YEAR((AH140-1))-YEAR(($D140+N($J140))))+MONTH((AH140-1))-MONTH(($D140+N($J140)))-IF(DAY((AH140-1))&lt;MIN(DAY(($D140+N($J140))),DAY(EOMONTH((AH140-1),0))),1,0))))</f>
        <v/>
      </c>
      <c r="AA140" s="9" t="str">
        <f aca="false">IF(V140=0,"",IF($E140="Full-Time","FT",IF(AND($E140="Part-Time",N($F140)&gt;=PT_MinHours),"PT","None")))</f>
        <v/>
      </c>
      <c r="AB140" s="9" t="str">
        <f aca="false">IF(V140=0,"",IF($H140="Full-Time","FT",IF(AND($H140="Part-Time",N($I140)&gt;=PT_MinHours),"PT","None")))</f>
        <v/>
      </c>
      <c r="AC140" s="9" t="str">
        <f aca="false">IF(V140=0,"",IF(AH140&lt;&gt;"",AB140,AA140))</f>
        <v/>
      </c>
      <c r="AD140" s="9" t="str">
        <f aca="false">IF(V140=0,"",IF(AA140="FT",IF(Z140&lt;FT_First,0,IF(Z140&lt;FT_Y5,1+INT((Z140-FT_First)/FT_Int1),FT_PreY5+FT_PerYear*INT((Z140-FT_Y5)/12)+FT_AnnivDays+INT(MOD(Z140-FT_Y5,12)/FT_Int2))),IF(AA140="PT",IF(Z140&lt;PT_First,0,1+INT((Z140-PT_First)/PT_Int)),0)))</f>
        <v/>
      </c>
      <c r="AE140" s="9" t="str">
        <f aca="false">IF(V140=0,"",IF(AB140="FT",IF(Z140&lt;FT_First,0,IF(Z140&lt;FT_Y5,1+INT((Z140-FT_First)/FT_Int1),FT_PreY5+FT_PerYear*INT((Z140-FT_Y5)/12)+FT_AnnivDays+INT(MOD(Z140-FT_Y5,12)/FT_Int2))),IF(AB140="PT",IF(Z140&lt;PT_First,0,1+INT((Z140-PT_First)/PT_Int)),0)))</f>
        <v/>
      </c>
      <c r="AF140" s="9" t="str">
        <f aca="false">IF(V140=0,"",IF(AB140="FT",IF(Y140&lt;FT_First,0,IF(Y140&lt;FT_Y5,1+INT((Y140-FT_First)/FT_Int1),FT_PreY5+FT_PerYear*INT((Y140-FT_Y5)/12)+FT_AnnivDays+INT(MOD(Y140-FT_Y5,12)/FT_Int2))),IF(AB140="PT",IF(Y140&lt;PT_First,0,1+INT((Y140-PT_First)/PT_Int)),0)))</f>
        <v/>
      </c>
      <c r="AG140" s="9" t="str">
        <f aca="false">IF(V140=0,"",IF(AC140="FT",IF(Y140&lt;FT_First,FT_First,IF(Y140&lt;FT_Y5,MIN(FT_Y5,FT_First+FT_Int1*(INT((Y140-FT_First)/FT_Int1)+1)),FT_Y5+12*INT((Y140-FT_Y5)/12)+FT_Int2*(INT(MOD(Y140-FT_Y5,12)/FT_Int2)+1))),IF(AC140="PT",IF(Y140&lt;PT_First,PT_First,PT_First+PT_Int*(INT((Y140-PT_First)/PT_Int)+1)),"")))</f>
        <v/>
      </c>
      <c r="AH140" s="11" t="str">
        <f aca="false">IF(V140=0,"",IF($G140="","",IF($G140&gt;X140,"",$G140)))</f>
        <v/>
      </c>
    </row>
    <row r="141" customFormat="false" ht="15" hidden="false" customHeight="false" outlineLevel="0" collapsed="false">
      <c r="A141" s="12"/>
      <c r="B141" s="12"/>
      <c r="C141" s="12"/>
      <c r="D141" s="13"/>
      <c r="E141" s="12"/>
      <c r="F141" s="14"/>
      <c r="G141" s="13"/>
      <c r="H141" s="12"/>
      <c r="I141" s="14"/>
      <c r="J141" s="14"/>
      <c r="K141" s="13"/>
      <c r="L141" s="9" t="str">
        <f aca="false">IF(V141=0,"",IF($G141="","",$E141&amp;" to "&amp;$H141&amp;IF($H141="Part-Time"," "&amp;N($I141)&amp;" hrs","")&amp;" on "&amp;TEXT($G141,"dd/mm/yyyy")&amp;IF($G141&gt;AsOfDate," (future)",IF(AA141=AC141,"",IF(AC141="None"," - STOPPED accruing",IF(AA141="None"," - now qualifying"," - pathway changed"))))))</f>
        <v/>
      </c>
      <c r="M141" s="9" t="str">
        <f aca="false">IF(V141=0,"",IF(W141=1,"Terminated",IF(AC141="None",IF(O141&gt;0,"No longer accruing","Not eligible - "&amp;IF(AND(AC141="None",IF(AH141&lt;&gt;"",$H141,$E141)="Part-Time"),"under "&amp;PT_MinHours&amp;" hrs",IF(AH141&lt;&gt;"",$H141,$E141))),IF(O141&gt;0,"Yes - accruing","Not yet - from "&amp;TEXT(Q141,"dd/mm/yyyy")))))</f>
        <v/>
      </c>
      <c r="N141" s="9" t="str">
        <f aca="false">IF(V141=0,"",IF(Y141&lt;0,"-",INT(Y141/12)&amp;"y "&amp;MOD(Y141,12)&amp;"m"))</f>
        <v/>
      </c>
      <c r="O141" s="10" t="str">
        <f aca="false">IF(V141=0,"",AD141+IF(AH141="",0,AF141-AE141))</f>
        <v/>
      </c>
      <c r="P141" s="10" t="str">
        <f aca="false">IF(V141=0,"",O141*HoursPerDay)</f>
        <v/>
      </c>
      <c r="Q141" s="11" t="str">
        <f aca="false">IF(V141=0,"",IF(OR(W141=1,AC141="None"),"",EDATE(($D141+N($J141)),AG141)))</f>
        <v/>
      </c>
      <c r="R141" s="10" t="str">
        <f aca="false">IF(V141=0,"",IF(NOT(EH_Ready),"",SUMIFS(INDEX(EH_Data,0,EH_ColBal),INDEX(EH_Data,0,EH_ColFirst),$A141,INDEX(EH_Data,0,EH_ColSur),$B141,INDEX(EH_Data,0,EH_ColCat),BonusCat)/IF(EHUnit="Hours",HoursPerDay,1)))</f>
        <v/>
      </c>
      <c r="S141" s="10" t="str">
        <f aca="false">IF(OR(V141=0,R141="",W141=1),"",O141-R141)</f>
        <v/>
      </c>
      <c r="T141" s="10" t="str">
        <f aca="false">IF(S141="","",S141*HoursPerDay)</f>
        <v/>
      </c>
      <c r="U141" s="9" t="str">
        <f aca="false">IF(V141=0,"",IF(W141=1,IF(N(R141)&gt;0,"TERMINATED - forfeit "&amp;TEXT(R141,"0.##")&amp;" days in EH","Terminated"),IF(NOT(EH_Ready),"Paste EH export (see Settings)",IF(S141&gt;0,"ADD "&amp;TEXT(S141,"0.##")&amp;" day(s) = "&amp;TEXT(T141,"0.##")&amp;" hrs in EH",IF(S141&lt;0,"CHECK - EH has "&amp;TEXT(-S141,"0.##")&amp;" days more than policy",IF(O141&gt;0,"OK","-"))))))</f>
        <v/>
      </c>
      <c r="V141" s="9" t="n">
        <f aca="false">IF(OR(LEN($A141&amp;$B141)=0,$D141=""),0,1)</f>
        <v>0</v>
      </c>
      <c r="W141" s="9" t="n">
        <f aca="false">IF(V141=0,0,IF(AND($K141&lt;&gt;"",$K141&lt;=AsOfDate),1,0))</f>
        <v>0</v>
      </c>
      <c r="X141" s="11" t="str">
        <f aca="false">IF(V141=0,"",IF($K141="",AsOfDate,MIN(AsOfDate,$K141)))</f>
        <v/>
      </c>
      <c r="Y141" s="9" t="str">
        <f aca="false">IF(V141=0,"",IF(X141&lt;($D141+N($J141)),-1,12*(YEAR(X141)-YEAR(($D141+N($J141))))+MONTH(X141)-MONTH(($D141+N($J141)))-IF(DAY(X141)&lt;MIN(DAY(($D141+N($J141))),DAY(EOMONTH(X141,0))),1,0)))</f>
        <v/>
      </c>
      <c r="Z141" s="9" t="str">
        <f aca="false">IF(V141=0,"",IF(AH141="",Y141,IF((AH141-1)&lt;($D141+N($J141)),-1,12*(YEAR((AH141-1))-YEAR(($D141+N($J141))))+MONTH((AH141-1))-MONTH(($D141+N($J141)))-IF(DAY((AH141-1))&lt;MIN(DAY(($D141+N($J141))),DAY(EOMONTH((AH141-1),0))),1,0))))</f>
        <v/>
      </c>
      <c r="AA141" s="9" t="str">
        <f aca="false">IF(V141=0,"",IF($E141="Full-Time","FT",IF(AND($E141="Part-Time",N($F141)&gt;=PT_MinHours),"PT","None")))</f>
        <v/>
      </c>
      <c r="AB141" s="9" t="str">
        <f aca="false">IF(V141=0,"",IF($H141="Full-Time","FT",IF(AND($H141="Part-Time",N($I141)&gt;=PT_MinHours),"PT","None")))</f>
        <v/>
      </c>
      <c r="AC141" s="9" t="str">
        <f aca="false">IF(V141=0,"",IF(AH141&lt;&gt;"",AB141,AA141))</f>
        <v/>
      </c>
      <c r="AD141" s="9" t="str">
        <f aca="false">IF(V141=0,"",IF(AA141="FT",IF(Z141&lt;FT_First,0,IF(Z141&lt;FT_Y5,1+INT((Z141-FT_First)/FT_Int1),FT_PreY5+FT_PerYear*INT((Z141-FT_Y5)/12)+FT_AnnivDays+INT(MOD(Z141-FT_Y5,12)/FT_Int2))),IF(AA141="PT",IF(Z141&lt;PT_First,0,1+INT((Z141-PT_First)/PT_Int)),0)))</f>
        <v/>
      </c>
      <c r="AE141" s="9" t="str">
        <f aca="false">IF(V141=0,"",IF(AB141="FT",IF(Z141&lt;FT_First,0,IF(Z141&lt;FT_Y5,1+INT((Z141-FT_First)/FT_Int1),FT_PreY5+FT_PerYear*INT((Z141-FT_Y5)/12)+FT_AnnivDays+INT(MOD(Z141-FT_Y5,12)/FT_Int2))),IF(AB141="PT",IF(Z141&lt;PT_First,0,1+INT((Z141-PT_First)/PT_Int)),0)))</f>
        <v/>
      </c>
      <c r="AF141" s="9" t="str">
        <f aca="false">IF(V141=0,"",IF(AB141="FT",IF(Y141&lt;FT_First,0,IF(Y141&lt;FT_Y5,1+INT((Y141-FT_First)/FT_Int1),FT_PreY5+FT_PerYear*INT((Y141-FT_Y5)/12)+FT_AnnivDays+INT(MOD(Y141-FT_Y5,12)/FT_Int2))),IF(AB141="PT",IF(Y141&lt;PT_First,0,1+INT((Y141-PT_First)/PT_Int)),0)))</f>
        <v/>
      </c>
      <c r="AG141" s="9" t="str">
        <f aca="false">IF(V141=0,"",IF(AC141="FT",IF(Y141&lt;FT_First,FT_First,IF(Y141&lt;FT_Y5,MIN(FT_Y5,FT_First+FT_Int1*(INT((Y141-FT_First)/FT_Int1)+1)),FT_Y5+12*INT((Y141-FT_Y5)/12)+FT_Int2*(INT(MOD(Y141-FT_Y5,12)/FT_Int2)+1))),IF(AC141="PT",IF(Y141&lt;PT_First,PT_First,PT_First+PT_Int*(INT((Y141-PT_First)/PT_Int)+1)),"")))</f>
        <v/>
      </c>
      <c r="AH141" s="11" t="str">
        <f aca="false">IF(V141=0,"",IF($G141="","",IF($G141&gt;X141,"",$G141)))</f>
        <v/>
      </c>
    </row>
    <row r="142" customFormat="false" ht="15" hidden="false" customHeight="false" outlineLevel="0" collapsed="false">
      <c r="A142" s="12"/>
      <c r="B142" s="12"/>
      <c r="C142" s="12"/>
      <c r="D142" s="13"/>
      <c r="E142" s="12"/>
      <c r="F142" s="14"/>
      <c r="G142" s="13"/>
      <c r="H142" s="12"/>
      <c r="I142" s="14"/>
      <c r="J142" s="14"/>
      <c r="K142" s="13"/>
      <c r="L142" s="9" t="str">
        <f aca="false">IF(V142=0,"",IF($G142="","",$E142&amp;" to "&amp;$H142&amp;IF($H142="Part-Time"," "&amp;N($I142)&amp;" hrs","")&amp;" on "&amp;TEXT($G142,"dd/mm/yyyy")&amp;IF($G142&gt;AsOfDate," (future)",IF(AA142=AC142,"",IF(AC142="None"," - STOPPED accruing",IF(AA142="None"," - now qualifying"," - pathway changed"))))))</f>
        <v/>
      </c>
      <c r="M142" s="9" t="str">
        <f aca="false">IF(V142=0,"",IF(W142=1,"Terminated",IF(AC142="None",IF(O142&gt;0,"No longer accruing","Not eligible - "&amp;IF(AND(AC142="None",IF(AH142&lt;&gt;"",$H142,$E142)="Part-Time"),"under "&amp;PT_MinHours&amp;" hrs",IF(AH142&lt;&gt;"",$H142,$E142))),IF(O142&gt;0,"Yes - accruing","Not yet - from "&amp;TEXT(Q142,"dd/mm/yyyy")))))</f>
        <v/>
      </c>
      <c r="N142" s="9" t="str">
        <f aca="false">IF(V142=0,"",IF(Y142&lt;0,"-",INT(Y142/12)&amp;"y "&amp;MOD(Y142,12)&amp;"m"))</f>
        <v/>
      </c>
      <c r="O142" s="10" t="str">
        <f aca="false">IF(V142=0,"",AD142+IF(AH142="",0,AF142-AE142))</f>
        <v/>
      </c>
      <c r="P142" s="10" t="str">
        <f aca="false">IF(V142=0,"",O142*HoursPerDay)</f>
        <v/>
      </c>
      <c r="Q142" s="11" t="str">
        <f aca="false">IF(V142=0,"",IF(OR(W142=1,AC142="None"),"",EDATE(($D142+N($J142)),AG142)))</f>
        <v/>
      </c>
      <c r="R142" s="10" t="str">
        <f aca="false">IF(V142=0,"",IF(NOT(EH_Ready),"",SUMIFS(INDEX(EH_Data,0,EH_ColBal),INDEX(EH_Data,0,EH_ColFirst),$A142,INDEX(EH_Data,0,EH_ColSur),$B142,INDEX(EH_Data,0,EH_ColCat),BonusCat)/IF(EHUnit="Hours",HoursPerDay,1)))</f>
        <v/>
      </c>
      <c r="S142" s="10" t="str">
        <f aca="false">IF(OR(V142=0,R142="",W142=1),"",O142-R142)</f>
        <v/>
      </c>
      <c r="T142" s="10" t="str">
        <f aca="false">IF(S142="","",S142*HoursPerDay)</f>
        <v/>
      </c>
      <c r="U142" s="9" t="str">
        <f aca="false">IF(V142=0,"",IF(W142=1,IF(N(R142)&gt;0,"TERMINATED - forfeit "&amp;TEXT(R142,"0.##")&amp;" days in EH","Terminated"),IF(NOT(EH_Ready),"Paste EH export (see Settings)",IF(S142&gt;0,"ADD "&amp;TEXT(S142,"0.##")&amp;" day(s) = "&amp;TEXT(T142,"0.##")&amp;" hrs in EH",IF(S142&lt;0,"CHECK - EH has "&amp;TEXT(-S142,"0.##")&amp;" days more than policy",IF(O142&gt;0,"OK","-"))))))</f>
        <v/>
      </c>
      <c r="V142" s="9" t="n">
        <f aca="false">IF(OR(LEN($A142&amp;$B142)=0,$D142=""),0,1)</f>
        <v>0</v>
      </c>
      <c r="W142" s="9" t="n">
        <f aca="false">IF(V142=0,0,IF(AND($K142&lt;&gt;"",$K142&lt;=AsOfDate),1,0))</f>
        <v>0</v>
      </c>
      <c r="X142" s="11" t="str">
        <f aca="false">IF(V142=0,"",IF($K142="",AsOfDate,MIN(AsOfDate,$K142)))</f>
        <v/>
      </c>
      <c r="Y142" s="9" t="str">
        <f aca="false">IF(V142=0,"",IF(X142&lt;($D142+N($J142)),-1,12*(YEAR(X142)-YEAR(($D142+N($J142))))+MONTH(X142)-MONTH(($D142+N($J142)))-IF(DAY(X142)&lt;MIN(DAY(($D142+N($J142))),DAY(EOMONTH(X142,0))),1,0)))</f>
        <v/>
      </c>
      <c r="Z142" s="9" t="str">
        <f aca="false">IF(V142=0,"",IF(AH142="",Y142,IF((AH142-1)&lt;($D142+N($J142)),-1,12*(YEAR((AH142-1))-YEAR(($D142+N($J142))))+MONTH((AH142-1))-MONTH(($D142+N($J142)))-IF(DAY((AH142-1))&lt;MIN(DAY(($D142+N($J142))),DAY(EOMONTH((AH142-1),0))),1,0))))</f>
        <v/>
      </c>
      <c r="AA142" s="9" t="str">
        <f aca="false">IF(V142=0,"",IF($E142="Full-Time","FT",IF(AND($E142="Part-Time",N($F142)&gt;=PT_MinHours),"PT","None")))</f>
        <v/>
      </c>
      <c r="AB142" s="9" t="str">
        <f aca="false">IF(V142=0,"",IF($H142="Full-Time","FT",IF(AND($H142="Part-Time",N($I142)&gt;=PT_MinHours),"PT","None")))</f>
        <v/>
      </c>
      <c r="AC142" s="9" t="str">
        <f aca="false">IF(V142=0,"",IF(AH142&lt;&gt;"",AB142,AA142))</f>
        <v/>
      </c>
      <c r="AD142" s="9" t="str">
        <f aca="false">IF(V142=0,"",IF(AA142="FT",IF(Z142&lt;FT_First,0,IF(Z142&lt;FT_Y5,1+INT((Z142-FT_First)/FT_Int1),FT_PreY5+FT_PerYear*INT((Z142-FT_Y5)/12)+FT_AnnivDays+INT(MOD(Z142-FT_Y5,12)/FT_Int2))),IF(AA142="PT",IF(Z142&lt;PT_First,0,1+INT((Z142-PT_First)/PT_Int)),0)))</f>
        <v/>
      </c>
      <c r="AE142" s="9" t="str">
        <f aca="false">IF(V142=0,"",IF(AB142="FT",IF(Z142&lt;FT_First,0,IF(Z142&lt;FT_Y5,1+INT((Z142-FT_First)/FT_Int1),FT_PreY5+FT_PerYear*INT((Z142-FT_Y5)/12)+FT_AnnivDays+INT(MOD(Z142-FT_Y5,12)/FT_Int2))),IF(AB142="PT",IF(Z142&lt;PT_First,0,1+INT((Z142-PT_First)/PT_Int)),0)))</f>
        <v/>
      </c>
      <c r="AF142" s="9" t="str">
        <f aca="false">IF(V142=0,"",IF(AB142="FT",IF(Y142&lt;FT_First,0,IF(Y142&lt;FT_Y5,1+INT((Y142-FT_First)/FT_Int1),FT_PreY5+FT_PerYear*INT((Y142-FT_Y5)/12)+FT_AnnivDays+INT(MOD(Y142-FT_Y5,12)/FT_Int2))),IF(AB142="PT",IF(Y142&lt;PT_First,0,1+INT((Y142-PT_First)/PT_Int)),0)))</f>
        <v/>
      </c>
      <c r="AG142" s="9" t="str">
        <f aca="false">IF(V142=0,"",IF(AC142="FT",IF(Y142&lt;FT_First,FT_First,IF(Y142&lt;FT_Y5,MIN(FT_Y5,FT_First+FT_Int1*(INT((Y142-FT_First)/FT_Int1)+1)),FT_Y5+12*INT((Y142-FT_Y5)/12)+FT_Int2*(INT(MOD(Y142-FT_Y5,12)/FT_Int2)+1))),IF(AC142="PT",IF(Y142&lt;PT_First,PT_First,PT_First+PT_Int*(INT((Y142-PT_First)/PT_Int)+1)),"")))</f>
        <v/>
      </c>
      <c r="AH142" s="11" t="str">
        <f aca="false">IF(V142=0,"",IF($G142="","",IF($G142&gt;X142,"",$G142)))</f>
        <v/>
      </c>
    </row>
    <row r="143" customFormat="false" ht="15" hidden="false" customHeight="false" outlineLevel="0" collapsed="false">
      <c r="A143" s="12"/>
      <c r="B143" s="12"/>
      <c r="C143" s="12"/>
      <c r="D143" s="13"/>
      <c r="E143" s="12"/>
      <c r="F143" s="14"/>
      <c r="G143" s="13"/>
      <c r="H143" s="12"/>
      <c r="I143" s="14"/>
      <c r="J143" s="14"/>
      <c r="K143" s="13"/>
      <c r="L143" s="9" t="str">
        <f aca="false">IF(V143=0,"",IF($G143="","",$E143&amp;" to "&amp;$H143&amp;IF($H143="Part-Time"," "&amp;N($I143)&amp;" hrs","")&amp;" on "&amp;TEXT($G143,"dd/mm/yyyy")&amp;IF($G143&gt;AsOfDate," (future)",IF(AA143=AC143,"",IF(AC143="None"," - STOPPED accruing",IF(AA143="None"," - now qualifying"," - pathway changed"))))))</f>
        <v/>
      </c>
      <c r="M143" s="9" t="str">
        <f aca="false">IF(V143=0,"",IF(W143=1,"Terminated",IF(AC143="None",IF(O143&gt;0,"No longer accruing","Not eligible - "&amp;IF(AND(AC143="None",IF(AH143&lt;&gt;"",$H143,$E143)="Part-Time"),"under "&amp;PT_MinHours&amp;" hrs",IF(AH143&lt;&gt;"",$H143,$E143))),IF(O143&gt;0,"Yes - accruing","Not yet - from "&amp;TEXT(Q143,"dd/mm/yyyy")))))</f>
        <v/>
      </c>
      <c r="N143" s="9" t="str">
        <f aca="false">IF(V143=0,"",IF(Y143&lt;0,"-",INT(Y143/12)&amp;"y "&amp;MOD(Y143,12)&amp;"m"))</f>
        <v/>
      </c>
      <c r="O143" s="10" t="str">
        <f aca="false">IF(V143=0,"",AD143+IF(AH143="",0,AF143-AE143))</f>
        <v/>
      </c>
      <c r="P143" s="10" t="str">
        <f aca="false">IF(V143=0,"",O143*HoursPerDay)</f>
        <v/>
      </c>
      <c r="Q143" s="11" t="str">
        <f aca="false">IF(V143=0,"",IF(OR(W143=1,AC143="None"),"",EDATE(($D143+N($J143)),AG143)))</f>
        <v/>
      </c>
      <c r="R143" s="10" t="str">
        <f aca="false">IF(V143=0,"",IF(NOT(EH_Ready),"",SUMIFS(INDEX(EH_Data,0,EH_ColBal),INDEX(EH_Data,0,EH_ColFirst),$A143,INDEX(EH_Data,0,EH_ColSur),$B143,INDEX(EH_Data,0,EH_ColCat),BonusCat)/IF(EHUnit="Hours",HoursPerDay,1)))</f>
        <v/>
      </c>
      <c r="S143" s="10" t="str">
        <f aca="false">IF(OR(V143=0,R143="",W143=1),"",O143-R143)</f>
        <v/>
      </c>
      <c r="T143" s="10" t="str">
        <f aca="false">IF(S143="","",S143*HoursPerDay)</f>
        <v/>
      </c>
      <c r="U143" s="9" t="str">
        <f aca="false">IF(V143=0,"",IF(W143=1,IF(N(R143)&gt;0,"TERMINATED - forfeit "&amp;TEXT(R143,"0.##")&amp;" days in EH","Terminated"),IF(NOT(EH_Ready),"Paste EH export (see Settings)",IF(S143&gt;0,"ADD "&amp;TEXT(S143,"0.##")&amp;" day(s) = "&amp;TEXT(T143,"0.##")&amp;" hrs in EH",IF(S143&lt;0,"CHECK - EH has "&amp;TEXT(-S143,"0.##")&amp;" days more than policy",IF(O143&gt;0,"OK","-"))))))</f>
        <v/>
      </c>
      <c r="V143" s="9" t="n">
        <f aca="false">IF(OR(LEN($A143&amp;$B143)=0,$D143=""),0,1)</f>
        <v>0</v>
      </c>
      <c r="W143" s="9" t="n">
        <f aca="false">IF(V143=0,0,IF(AND($K143&lt;&gt;"",$K143&lt;=AsOfDate),1,0))</f>
        <v>0</v>
      </c>
      <c r="X143" s="11" t="str">
        <f aca="false">IF(V143=0,"",IF($K143="",AsOfDate,MIN(AsOfDate,$K143)))</f>
        <v/>
      </c>
      <c r="Y143" s="9" t="str">
        <f aca="false">IF(V143=0,"",IF(X143&lt;($D143+N($J143)),-1,12*(YEAR(X143)-YEAR(($D143+N($J143))))+MONTH(X143)-MONTH(($D143+N($J143)))-IF(DAY(X143)&lt;MIN(DAY(($D143+N($J143))),DAY(EOMONTH(X143,0))),1,0)))</f>
        <v/>
      </c>
      <c r="Z143" s="9" t="str">
        <f aca="false">IF(V143=0,"",IF(AH143="",Y143,IF((AH143-1)&lt;($D143+N($J143)),-1,12*(YEAR((AH143-1))-YEAR(($D143+N($J143))))+MONTH((AH143-1))-MONTH(($D143+N($J143)))-IF(DAY((AH143-1))&lt;MIN(DAY(($D143+N($J143))),DAY(EOMONTH((AH143-1),0))),1,0))))</f>
        <v/>
      </c>
      <c r="AA143" s="9" t="str">
        <f aca="false">IF(V143=0,"",IF($E143="Full-Time","FT",IF(AND($E143="Part-Time",N($F143)&gt;=PT_MinHours),"PT","None")))</f>
        <v/>
      </c>
      <c r="AB143" s="9" t="str">
        <f aca="false">IF(V143=0,"",IF($H143="Full-Time","FT",IF(AND($H143="Part-Time",N($I143)&gt;=PT_MinHours),"PT","None")))</f>
        <v/>
      </c>
      <c r="AC143" s="9" t="str">
        <f aca="false">IF(V143=0,"",IF(AH143&lt;&gt;"",AB143,AA143))</f>
        <v/>
      </c>
      <c r="AD143" s="9" t="str">
        <f aca="false">IF(V143=0,"",IF(AA143="FT",IF(Z143&lt;FT_First,0,IF(Z143&lt;FT_Y5,1+INT((Z143-FT_First)/FT_Int1),FT_PreY5+FT_PerYear*INT((Z143-FT_Y5)/12)+FT_AnnivDays+INT(MOD(Z143-FT_Y5,12)/FT_Int2))),IF(AA143="PT",IF(Z143&lt;PT_First,0,1+INT((Z143-PT_First)/PT_Int)),0)))</f>
        <v/>
      </c>
      <c r="AE143" s="9" t="str">
        <f aca="false">IF(V143=0,"",IF(AB143="FT",IF(Z143&lt;FT_First,0,IF(Z143&lt;FT_Y5,1+INT((Z143-FT_First)/FT_Int1),FT_PreY5+FT_PerYear*INT((Z143-FT_Y5)/12)+FT_AnnivDays+INT(MOD(Z143-FT_Y5,12)/FT_Int2))),IF(AB143="PT",IF(Z143&lt;PT_First,0,1+INT((Z143-PT_First)/PT_Int)),0)))</f>
        <v/>
      </c>
      <c r="AF143" s="9" t="str">
        <f aca="false">IF(V143=0,"",IF(AB143="FT",IF(Y143&lt;FT_First,0,IF(Y143&lt;FT_Y5,1+INT((Y143-FT_First)/FT_Int1),FT_PreY5+FT_PerYear*INT((Y143-FT_Y5)/12)+FT_AnnivDays+INT(MOD(Y143-FT_Y5,12)/FT_Int2))),IF(AB143="PT",IF(Y143&lt;PT_First,0,1+INT((Y143-PT_First)/PT_Int)),0)))</f>
        <v/>
      </c>
      <c r="AG143" s="9" t="str">
        <f aca="false">IF(V143=0,"",IF(AC143="FT",IF(Y143&lt;FT_First,FT_First,IF(Y143&lt;FT_Y5,MIN(FT_Y5,FT_First+FT_Int1*(INT((Y143-FT_First)/FT_Int1)+1)),FT_Y5+12*INT((Y143-FT_Y5)/12)+FT_Int2*(INT(MOD(Y143-FT_Y5,12)/FT_Int2)+1))),IF(AC143="PT",IF(Y143&lt;PT_First,PT_First,PT_First+PT_Int*(INT((Y143-PT_First)/PT_Int)+1)),"")))</f>
        <v/>
      </c>
      <c r="AH143" s="11" t="str">
        <f aca="false">IF(V143=0,"",IF($G143="","",IF($G143&gt;X143,"",$G143)))</f>
        <v/>
      </c>
    </row>
    <row r="144" customFormat="false" ht="15" hidden="false" customHeight="false" outlineLevel="0" collapsed="false">
      <c r="A144" s="12"/>
      <c r="B144" s="12"/>
      <c r="C144" s="12"/>
      <c r="D144" s="13"/>
      <c r="E144" s="12"/>
      <c r="F144" s="14"/>
      <c r="G144" s="13"/>
      <c r="H144" s="12"/>
      <c r="I144" s="14"/>
      <c r="J144" s="14"/>
      <c r="K144" s="13"/>
      <c r="L144" s="9" t="str">
        <f aca="false">IF(V144=0,"",IF($G144="","",$E144&amp;" to "&amp;$H144&amp;IF($H144="Part-Time"," "&amp;N($I144)&amp;" hrs","")&amp;" on "&amp;TEXT($G144,"dd/mm/yyyy")&amp;IF($G144&gt;AsOfDate," (future)",IF(AA144=AC144,"",IF(AC144="None"," - STOPPED accruing",IF(AA144="None"," - now qualifying"," - pathway changed"))))))</f>
        <v/>
      </c>
      <c r="M144" s="9" t="str">
        <f aca="false">IF(V144=0,"",IF(W144=1,"Terminated",IF(AC144="None",IF(O144&gt;0,"No longer accruing","Not eligible - "&amp;IF(AND(AC144="None",IF(AH144&lt;&gt;"",$H144,$E144)="Part-Time"),"under "&amp;PT_MinHours&amp;" hrs",IF(AH144&lt;&gt;"",$H144,$E144))),IF(O144&gt;0,"Yes - accruing","Not yet - from "&amp;TEXT(Q144,"dd/mm/yyyy")))))</f>
        <v/>
      </c>
      <c r="N144" s="9" t="str">
        <f aca="false">IF(V144=0,"",IF(Y144&lt;0,"-",INT(Y144/12)&amp;"y "&amp;MOD(Y144,12)&amp;"m"))</f>
        <v/>
      </c>
      <c r="O144" s="10" t="str">
        <f aca="false">IF(V144=0,"",AD144+IF(AH144="",0,AF144-AE144))</f>
        <v/>
      </c>
      <c r="P144" s="10" t="str">
        <f aca="false">IF(V144=0,"",O144*HoursPerDay)</f>
        <v/>
      </c>
      <c r="Q144" s="11" t="str">
        <f aca="false">IF(V144=0,"",IF(OR(W144=1,AC144="None"),"",EDATE(($D144+N($J144)),AG144)))</f>
        <v/>
      </c>
      <c r="R144" s="10" t="str">
        <f aca="false">IF(V144=0,"",IF(NOT(EH_Ready),"",SUMIFS(INDEX(EH_Data,0,EH_ColBal),INDEX(EH_Data,0,EH_ColFirst),$A144,INDEX(EH_Data,0,EH_ColSur),$B144,INDEX(EH_Data,0,EH_ColCat),BonusCat)/IF(EHUnit="Hours",HoursPerDay,1)))</f>
        <v/>
      </c>
      <c r="S144" s="10" t="str">
        <f aca="false">IF(OR(V144=0,R144="",W144=1),"",O144-R144)</f>
        <v/>
      </c>
      <c r="T144" s="10" t="str">
        <f aca="false">IF(S144="","",S144*HoursPerDay)</f>
        <v/>
      </c>
      <c r="U144" s="9" t="str">
        <f aca="false">IF(V144=0,"",IF(W144=1,IF(N(R144)&gt;0,"TERMINATED - forfeit "&amp;TEXT(R144,"0.##")&amp;" days in EH","Terminated"),IF(NOT(EH_Ready),"Paste EH export (see Settings)",IF(S144&gt;0,"ADD "&amp;TEXT(S144,"0.##")&amp;" day(s) = "&amp;TEXT(T144,"0.##")&amp;" hrs in EH",IF(S144&lt;0,"CHECK - EH has "&amp;TEXT(-S144,"0.##")&amp;" days more than policy",IF(O144&gt;0,"OK","-"))))))</f>
        <v/>
      </c>
      <c r="V144" s="9" t="n">
        <f aca="false">IF(OR(LEN($A144&amp;$B144)=0,$D144=""),0,1)</f>
        <v>0</v>
      </c>
      <c r="W144" s="9" t="n">
        <f aca="false">IF(V144=0,0,IF(AND($K144&lt;&gt;"",$K144&lt;=AsOfDate),1,0))</f>
        <v>0</v>
      </c>
      <c r="X144" s="11" t="str">
        <f aca="false">IF(V144=0,"",IF($K144="",AsOfDate,MIN(AsOfDate,$K144)))</f>
        <v/>
      </c>
      <c r="Y144" s="9" t="str">
        <f aca="false">IF(V144=0,"",IF(X144&lt;($D144+N($J144)),-1,12*(YEAR(X144)-YEAR(($D144+N($J144))))+MONTH(X144)-MONTH(($D144+N($J144)))-IF(DAY(X144)&lt;MIN(DAY(($D144+N($J144))),DAY(EOMONTH(X144,0))),1,0)))</f>
        <v/>
      </c>
      <c r="Z144" s="9" t="str">
        <f aca="false">IF(V144=0,"",IF(AH144="",Y144,IF((AH144-1)&lt;($D144+N($J144)),-1,12*(YEAR((AH144-1))-YEAR(($D144+N($J144))))+MONTH((AH144-1))-MONTH(($D144+N($J144)))-IF(DAY((AH144-1))&lt;MIN(DAY(($D144+N($J144))),DAY(EOMONTH((AH144-1),0))),1,0))))</f>
        <v/>
      </c>
      <c r="AA144" s="9" t="str">
        <f aca="false">IF(V144=0,"",IF($E144="Full-Time","FT",IF(AND($E144="Part-Time",N($F144)&gt;=PT_MinHours),"PT","None")))</f>
        <v/>
      </c>
      <c r="AB144" s="9" t="str">
        <f aca="false">IF(V144=0,"",IF($H144="Full-Time","FT",IF(AND($H144="Part-Time",N($I144)&gt;=PT_MinHours),"PT","None")))</f>
        <v/>
      </c>
      <c r="AC144" s="9" t="str">
        <f aca="false">IF(V144=0,"",IF(AH144&lt;&gt;"",AB144,AA144))</f>
        <v/>
      </c>
      <c r="AD144" s="9" t="str">
        <f aca="false">IF(V144=0,"",IF(AA144="FT",IF(Z144&lt;FT_First,0,IF(Z144&lt;FT_Y5,1+INT((Z144-FT_First)/FT_Int1),FT_PreY5+FT_PerYear*INT((Z144-FT_Y5)/12)+FT_AnnivDays+INT(MOD(Z144-FT_Y5,12)/FT_Int2))),IF(AA144="PT",IF(Z144&lt;PT_First,0,1+INT((Z144-PT_First)/PT_Int)),0)))</f>
        <v/>
      </c>
      <c r="AE144" s="9" t="str">
        <f aca="false">IF(V144=0,"",IF(AB144="FT",IF(Z144&lt;FT_First,0,IF(Z144&lt;FT_Y5,1+INT((Z144-FT_First)/FT_Int1),FT_PreY5+FT_PerYear*INT((Z144-FT_Y5)/12)+FT_AnnivDays+INT(MOD(Z144-FT_Y5,12)/FT_Int2))),IF(AB144="PT",IF(Z144&lt;PT_First,0,1+INT((Z144-PT_First)/PT_Int)),0)))</f>
        <v/>
      </c>
      <c r="AF144" s="9" t="str">
        <f aca="false">IF(V144=0,"",IF(AB144="FT",IF(Y144&lt;FT_First,0,IF(Y144&lt;FT_Y5,1+INT((Y144-FT_First)/FT_Int1),FT_PreY5+FT_PerYear*INT((Y144-FT_Y5)/12)+FT_AnnivDays+INT(MOD(Y144-FT_Y5,12)/FT_Int2))),IF(AB144="PT",IF(Y144&lt;PT_First,0,1+INT((Y144-PT_First)/PT_Int)),0)))</f>
        <v/>
      </c>
      <c r="AG144" s="9" t="str">
        <f aca="false">IF(V144=0,"",IF(AC144="FT",IF(Y144&lt;FT_First,FT_First,IF(Y144&lt;FT_Y5,MIN(FT_Y5,FT_First+FT_Int1*(INT((Y144-FT_First)/FT_Int1)+1)),FT_Y5+12*INT((Y144-FT_Y5)/12)+FT_Int2*(INT(MOD(Y144-FT_Y5,12)/FT_Int2)+1))),IF(AC144="PT",IF(Y144&lt;PT_First,PT_First,PT_First+PT_Int*(INT((Y144-PT_First)/PT_Int)+1)),"")))</f>
        <v/>
      </c>
      <c r="AH144" s="11" t="str">
        <f aca="false">IF(V144=0,"",IF($G144="","",IF($G144&gt;X144,"",$G144)))</f>
        <v/>
      </c>
    </row>
    <row r="145" customFormat="false" ht="15" hidden="false" customHeight="false" outlineLevel="0" collapsed="false">
      <c r="A145" s="12"/>
      <c r="B145" s="12"/>
      <c r="C145" s="12"/>
      <c r="D145" s="13"/>
      <c r="E145" s="12"/>
      <c r="F145" s="14"/>
      <c r="G145" s="13"/>
      <c r="H145" s="12"/>
      <c r="I145" s="14"/>
      <c r="J145" s="14"/>
      <c r="K145" s="13"/>
      <c r="L145" s="9" t="str">
        <f aca="false">IF(V145=0,"",IF($G145="","",$E145&amp;" to "&amp;$H145&amp;IF($H145="Part-Time"," "&amp;N($I145)&amp;" hrs","")&amp;" on "&amp;TEXT($G145,"dd/mm/yyyy")&amp;IF($G145&gt;AsOfDate," (future)",IF(AA145=AC145,"",IF(AC145="None"," - STOPPED accruing",IF(AA145="None"," - now qualifying"," - pathway changed"))))))</f>
        <v/>
      </c>
      <c r="M145" s="9" t="str">
        <f aca="false">IF(V145=0,"",IF(W145=1,"Terminated",IF(AC145="None",IF(O145&gt;0,"No longer accruing","Not eligible - "&amp;IF(AND(AC145="None",IF(AH145&lt;&gt;"",$H145,$E145)="Part-Time"),"under "&amp;PT_MinHours&amp;" hrs",IF(AH145&lt;&gt;"",$H145,$E145))),IF(O145&gt;0,"Yes - accruing","Not yet - from "&amp;TEXT(Q145,"dd/mm/yyyy")))))</f>
        <v/>
      </c>
      <c r="N145" s="9" t="str">
        <f aca="false">IF(V145=0,"",IF(Y145&lt;0,"-",INT(Y145/12)&amp;"y "&amp;MOD(Y145,12)&amp;"m"))</f>
        <v/>
      </c>
      <c r="O145" s="10" t="str">
        <f aca="false">IF(V145=0,"",AD145+IF(AH145="",0,AF145-AE145))</f>
        <v/>
      </c>
      <c r="P145" s="10" t="str">
        <f aca="false">IF(V145=0,"",O145*HoursPerDay)</f>
        <v/>
      </c>
      <c r="Q145" s="11" t="str">
        <f aca="false">IF(V145=0,"",IF(OR(W145=1,AC145="None"),"",EDATE(($D145+N($J145)),AG145)))</f>
        <v/>
      </c>
      <c r="R145" s="10" t="str">
        <f aca="false">IF(V145=0,"",IF(NOT(EH_Ready),"",SUMIFS(INDEX(EH_Data,0,EH_ColBal),INDEX(EH_Data,0,EH_ColFirst),$A145,INDEX(EH_Data,0,EH_ColSur),$B145,INDEX(EH_Data,0,EH_ColCat),BonusCat)/IF(EHUnit="Hours",HoursPerDay,1)))</f>
        <v/>
      </c>
      <c r="S145" s="10" t="str">
        <f aca="false">IF(OR(V145=0,R145="",W145=1),"",O145-R145)</f>
        <v/>
      </c>
      <c r="T145" s="10" t="str">
        <f aca="false">IF(S145="","",S145*HoursPerDay)</f>
        <v/>
      </c>
      <c r="U145" s="9" t="str">
        <f aca="false">IF(V145=0,"",IF(W145=1,IF(N(R145)&gt;0,"TERMINATED - forfeit "&amp;TEXT(R145,"0.##")&amp;" days in EH","Terminated"),IF(NOT(EH_Ready),"Paste EH export (see Settings)",IF(S145&gt;0,"ADD "&amp;TEXT(S145,"0.##")&amp;" day(s) = "&amp;TEXT(T145,"0.##")&amp;" hrs in EH",IF(S145&lt;0,"CHECK - EH has "&amp;TEXT(-S145,"0.##")&amp;" days more than policy",IF(O145&gt;0,"OK","-"))))))</f>
        <v/>
      </c>
      <c r="V145" s="9" t="n">
        <f aca="false">IF(OR(LEN($A145&amp;$B145)=0,$D145=""),0,1)</f>
        <v>0</v>
      </c>
      <c r="W145" s="9" t="n">
        <f aca="false">IF(V145=0,0,IF(AND($K145&lt;&gt;"",$K145&lt;=AsOfDate),1,0))</f>
        <v>0</v>
      </c>
      <c r="X145" s="11" t="str">
        <f aca="false">IF(V145=0,"",IF($K145="",AsOfDate,MIN(AsOfDate,$K145)))</f>
        <v/>
      </c>
      <c r="Y145" s="9" t="str">
        <f aca="false">IF(V145=0,"",IF(X145&lt;($D145+N($J145)),-1,12*(YEAR(X145)-YEAR(($D145+N($J145))))+MONTH(X145)-MONTH(($D145+N($J145)))-IF(DAY(X145)&lt;MIN(DAY(($D145+N($J145))),DAY(EOMONTH(X145,0))),1,0)))</f>
        <v/>
      </c>
      <c r="Z145" s="9" t="str">
        <f aca="false">IF(V145=0,"",IF(AH145="",Y145,IF((AH145-1)&lt;($D145+N($J145)),-1,12*(YEAR((AH145-1))-YEAR(($D145+N($J145))))+MONTH((AH145-1))-MONTH(($D145+N($J145)))-IF(DAY((AH145-1))&lt;MIN(DAY(($D145+N($J145))),DAY(EOMONTH((AH145-1),0))),1,0))))</f>
        <v/>
      </c>
      <c r="AA145" s="9" t="str">
        <f aca="false">IF(V145=0,"",IF($E145="Full-Time","FT",IF(AND($E145="Part-Time",N($F145)&gt;=PT_MinHours),"PT","None")))</f>
        <v/>
      </c>
      <c r="AB145" s="9" t="str">
        <f aca="false">IF(V145=0,"",IF($H145="Full-Time","FT",IF(AND($H145="Part-Time",N($I145)&gt;=PT_MinHours),"PT","None")))</f>
        <v/>
      </c>
      <c r="AC145" s="9" t="str">
        <f aca="false">IF(V145=0,"",IF(AH145&lt;&gt;"",AB145,AA145))</f>
        <v/>
      </c>
      <c r="AD145" s="9" t="str">
        <f aca="false">IF(V145=0,"",IF(AA145="FT",IF(Z145&lt;FT_First,0,IF(Z145&lt;FT_Y5,1+INT((Z145-FT_First)/FT_Int1),FT_PreY5+FT_PerYear*INT((Z145-FT_Y5)/12)+FT_AnnivDays+INT(MOD(Z145-FT_Y5,12)/FT_Int2))),IF(AA145="PT",IF(Z145&lt;PT_First,0,1+INT((Z145-PT_First)/PT_Int)),0)))</f>
        <v/>
      </c>
      <c r="AE145" s="9" t="str">
        <f aca="false">IF(V145=0,"",IF(AB145="FT",IF(Z145&lt;FT_First,0,IF(Z145&lt;FT_Y5,1+INT((Z145-FT_First)/FT_Int1),FT_PreY5+FT_PerYear*INT((Z145-FT_Y5)/12)+FT_AnnivDays+INT(MOD(Z145-FT_Y5,12)/FT_Int2))),IF(AB145="PT",IF(Z145&lt;PT_First,0,1+INT((Z145-PT_First)/PT_Int)),0)))</f>
        <v/>
      </c>
      <c r="AF145" s="9" t="str">
        <f aca="false">IF(V145=0,"",IF(AB145="FT",IF(Y145&lt;FT_First,0,IF(Y145&lt;FT_Y5,1+INT((Y145-FT_First)/FT_Int1),FT_PreY5+FT_PerYear*INT((Y145-FT_Y5)/12)+FT_AnnivDays+INT(MOD(Y145-FT_Y5,12)/FT_Int2))),IF(AB145="PT",IF(Y145&lt;PT_First,0,1+INT((Y145-PT_First)/PT_Int)),0)))</f>
        <v/>
      </c>
      <c r="AG145" s="9" t="str">
        <f aca="false">IF(V145=0,"",IF(AC145="FT",IF(Y145&lt;FT_First,FT_First,IF(Y145&lt;FT_Y5,MIN(FT_Y5,FT_First+FT_Int1*(INT((Y145-FT_First)/FT_Int1)+1)),FT_Y5+12*INT((Y145-FT_Y5)/12)+FT_Int2*(INT(MOD(Y145-FT_Y5,12)/FT_Int2)+1))),IF(AC145="PT",IF(Y145&lt;PT_First,PT_First,PT_First+PT_Int*(INT((Y145-PT_First)/PT_Int)+1)),"")))</f>
        <v/>
      </c>
      <c r="AH145" s="11" t="str">
        <f aca="false">IF(V145=0,"",IF($G145="","",IF($G145&gt;X145,"",$G145)))</f>
        <v/>
      </c>
    </row>
    <row r="146" customFormat="false" ht="15" hidden="false" customHeight="false" outlineLevel="0" collapsed="false">
      <c r="A146" s="12"/>
      <c r="B146" s="12"/>
      <c r="C146" s="12"/>
      <c r="D146" s="13"/>
      <c r="E146" s="12"/>
      <c r="F146" s="14"/>
      <c r="G146" s="13"/>
      <c r="H146" s="12"/>
      <c r="I146" s="14"/>
      <c r="J146" s="14"/>
      <c r="K146" s="13"/>
      <c r="L146" s="9" t="str">
        <f aca="false">IF(V146=0,"",IF($G146="","",$E146&amp;" to "&amp;$H146&amp;IF($H146="Part-Time"," "&amp;N($I146)&amp;" hrs","")&amp;" on "&amp;TEXT($G146,"dd/mm/yyyy")&amp;IF($G146&gt;AsOfDate," (future)",IF(AA146=AC146,"",IF(AC146="None"," - STOPPED accruing",IF(AA146="None"," - now qualifying"," - pathway changed"))))))</f>
        <v/>
      </c>
      <c r="M146" s="9" t="str">
        <f aca="false">IF(V146=0,"",IF(W146=1,"Terminated",IF(AC146="None",IF(O146&gt;0,"No longer accruing","Not eligible - "&amp;IF(AND(AC146="None",IF(AH146&lt;&gt;"",$H146,$E146)="Part-Time"),"under "&amp;PT_MinHours&amp;" hrs",IF(AH146&lt;&gt;"",$H146,$E146))),IF(O146&gt;0,"Yes - accruing","Not yet - from "&amp;TEXT(Q146,"dd/mm/yyyy")))))</f>
        <v/>
      </c>
      <c r="N146" s="9" t="str">
        <f aca="false">IF(V146=0,"",IF(Y146&lt;0,"-",INT(Y146/12)&amp;"y "&amp;MOD(Y146,12)&amp;"m"))</f>
        <v/>
      </c>
      <c r="O146" s="10" t="str">
        <f aca="false">IF(V146=0,"",AD146+IF(AH146="",0,AF146-AE146))</f>
        <v/>
      </c>
      <c r="P146" s="10" t="str">
        <f aca="false">IF(V146=0,"",O146*HoursPerDay)</f>
        <v/>
      </c>
      <c r="Q146" s="11" t="str">
        <f aca="false">IF(V146=0,"",IF(OR(W146=1,AC146="None"),"",EDATE(($D146+N($J146)),AG146)))</f>
        <v/>
      </c>
      <c r="R146" s="10" t="str">
        <f aca="false">IF(V146=0,"",IF(NOT(EH_Ready),"",SUMIFS(INDEX(EH_Data,0,EH_ColBal),INDEX(EH_Data,0,EH_ColFirst),$A146,INDEX(EH_Data,0,EH_ColSur),$B146,INDEX(EH_Data,0,EH_ColCat),BonusCat)/IF(EHUnit="Hours",HoursPerDay,1)))</f>
        <v/>
      </c>
      <c r="S146" s="10" t="str">
        <f aca="false">IF(OR(V146=0,R146="",W146=1),"",O146-R146)</f>
        <v/>
      </c>
      <c r="T146" s="10" t="str">
        <f aca="false">IF(S146="","",S146*HoursPerDay)</f>
        <v/>
      </c>
      <c r="U146" s="9" t="str">
        <f aca="false">IF(V146=0,"",IF(W146=1,IF(N(R146)&gt;0,"TERMINATED - forfeit "&amp;TEXT(R146,"0.##")&amp;" days in EH","Terminated"),IF(NOT(EH_Ready),"Paste EH export (see Settings)",IF(S146&gt;0,"ADD "&amp;TEXT(S146,"0.##")&amp;" day(s) = "&amp;TEXT(T146,"0.##")&amp;" hrs in EH",IF(S146&lt;0,"CHECK - EH has "&amp;TEXT(-S146,"0.##")&amp;" days more than policy",IF(O146&gt;0,"OK","-"))))))</f>
        <v/>
      </c>
      <c r="V146" s="9" t="n">
        <f aca="false">IF(OR(LEN($A146&amp;$B146)=0,$D146=""),0,1)</f>
        <v>0</v>
      </c>
      <c r="W146" s="9" t="n">
        <f aca="false">IF(V146=0,0,IF(AND($K146&lt;&gt;"",$K146&lt;=AsOfDate),1,0))</f>
        <v>0</v>
      </c>
      <c r="X146" s="11" t="str">
        <f aca="false">IF(V146=0,"",IF($K146="",AsOfDate,MIN(AsOfDate,$K146)))</f>
        <v/>
      </c>
      <c r="Y146" s="9" t="str">
        <f aca="false">IF(V146=0,"",IF(X146&lt;($D146+N($J146)),-1,12*(YEAR(X146)-YEAR(($D146+N($J146))))+MONTH(X146)-MONTH(($D146+N($J146)))-IF(DAY(X146)&lt;MIN(DAY(($D146+N($J146))),DAY(EOMONTH(X146,0))),1,0)))</f>
        <v/>
      </c>
      <c r="Z146" s="9" t="str">
        <f aca="false">IF(V146=0,"",IF(AH146="",Y146,IF((AH146-1)&lt;($D146+N($J146)),-1,12*(YEAR((AH146-1))-YEAR(($D146+N($J146))))+MONTH((AH146-1))-MONTH(($D146+N($J146)))-IF(DAY((AH146-1))&lt;MIN(DAY(($D146+N($J146))),DAY(EOMONTH((AH146-1),0))),1,0))))</f>
        <v/>
      </c>
      <c r="AA146" s="9" t="str">
        <f aca="false">IF(V146=0,"",IF($E146="Full-Time","FT",IF(AND($E146="Part-Time",N($F146)&gt;=PT_MinHours),"PT","None")))</f>
        <v/>
      </c>
      <c r="AB146" s="9" t="str">
        <f aca="false">IF(V146=0,"",IF($H146="Full-Time","FT",IF(AND($H146="Part-Time",N($I146)&gt;=PT_MinHours),"PT","None")))</f>
        <v/>
      </c>
      <c r="AC146" s="9" t="str">
        <f aca="false">IF(V146=0,"",IF(AH146&lt;&gt;"",AB146,AA146))</f>
        <v/>
      </c>
      <c r="AD146" s="9" t="str">
        <f aca="false">IF(V146=0,"",IF(AA146="FT",IF(Z146&lt;FT_First,0,IF(Z146&lt;FT_Y5,1+INT((Z146-FT_First)/FT_Int1),FT_PreY5+FT_PerYear*INT((Z146-FT_Y5)/12)+FT_AnnivDays+INT(MOD(Z146-FT_Y5,12)/FT_Int2))),IF(AA146="PT",IF(Z146&lt;PT_First,0,1+INT((Z146-PT_First)/PT_Int)),0)))</f>
        <v/>
      </c>
      <c r="AE146" s="9" t="str">
        <f aca="false">IF(V146=0,"",IF(AB146="FT",IF(Z146&lt;FT_First,0,IF(Z146&lt;FT_Y5,1+INT((Z146-FT_First)/FT_Int1),FT_PreY5+FT_PerYear*INT((Z146-FT_Y5)/12)+FT_AnnivDays+INT(MOD(Z146-FT_Y5,12)/FT_Int2))),IF(AB146="PT",IF(Z146&lt;PT_First,0,1+INT((Z146-PT_First)/PT_Int)),0)))</f>
        <v/>
      </c>
      <c r="AF146" s="9" t="str">
        <f aca="false">IF(V146=0,"",IF(AB146="FT",IF(Y146&lt;FT_First,0,IF(Y146&lt;FT_Y5,1+INT((Y146-FT_First)/FT_Int1),FT_PreY5+FT_PerYear*INT((Y146-FT_Y5)/12)+FT_AnnivDays+INT(MOD(Y146-FT_Y5,12)/FT_Int2))),IF(AB146="PT",IF(Y146&lt;PT_First,0,1+INT((Y146-PT_First)/PT_Int)),0)))</f>
        <v/>
      </c>
      <c r="AG146" s="9" t="str">
        <f aca="false">IF(V146=0,"",IF(AC146="FT",IF(Y146&lt;FT_First,FT_First,IF(Y146&lt;FT_Y5,MIN(FT_Y5,FT_First+FT_Int1*(INT((Y146-FT_First)/FT_Int1)+1)),FT_Y5+12*INT((Y146-FT_Y5)/12)+FT_Int2*(INT(MOD(Y146-FT_Y5,12)/FT_Int2)+1))),IF(AC146="PT",IF(Y146&lt;PT_First,PT_First,PT_First+PT_Int*(INT((Y146-PT_First)/PT_Int)+1)),"")))</f>
        <v/>
      </c>
      <c r="AH146" s="11" t="str">
        <f aca="false">IF(V146=0,"",IF($G146="","",IF($G146&gt;X146,"",$G146)))</f>
        <v/>
      </c>
    </row>
    <row r="147" customFormat="false" ht="15" hidden="false" customHeight="false" outlineLevel="0" collapsed="false">
      <c r="A147" s="12"/>
      <c r="B147" s="12"/>
      <c r="C147" s="12"/>
      <c r="D147" s="13"/>
      <c r="E147" s="12"/>
      <c r="F147" s="14"/>
      <c r="G147" s="13"/>
      <c r="H147" s="12"/>
      <c r="I147" s="14"/>
      <c r="J147" s="14"/>
      <c r="K147" s="13"/>
      <c r="L147" s="9" t="str">
        <f aca="false">IF(V147=0,"",IF($G147="","",$E147&amp;" to "&amp;$H147&amp;IF($H147="Part-Time"," "&amp;N($I147)&amp;" hrs","")&amp;" on "&amp;TEXT($G147,"dd/mm/yyyy")&amp;IF($G147&gt;AsOfDate," (future)",IF(AA147=AC147,"",IF(AC147="None"," - STOPPED accruing",IF(AA147="None"," - now qualifying"," - pathway changed"))))))</f>
        <v/>
      </c>
      <c r="M147" s="9" t="str">
        <f aca="false">IF(V147=0,"",IF(W147=1,"Terminated",IF(AC147="None",IF(O147&gt;0,"No longer accruing","Not eligible - "&amp;IF(AND(AC147="None",IF(AH147&lt;&gt;"",$H147,$E147)="Part-Time"),"under "&amp;PT_MinHours&amp;" hrs",IF(AH147&lt;&gt;"",$H147,$E147))),IF(O147&gt;0,"Yes - accruing","Not yet - from "&amp;TEXT(Q147,"dd/mm/yyyy")))))</f>
        <v/>
      </c>
      <c r="N147" s="9" t="str">
        <f aca="false">IF(V147=0,"",IF(Y147&lt;0,"-",INT(Y147/12)&amp;"y "&amp;MOD(Y147,12)&amp;"m"))</f>
        <v/>
      </c>
      <c r="O147" s="10" t="str">
        <f aca="false">IF(V147=0,"",AD147+IF(AH147="",0,AF147-AE147))</f>
        <v/>
      </c>
      <c r="P147" s="10" t="str">
        <f aca="false">IF(V147=0,"",O147*HoursPerDay)</f>
        <v/>
      </c>
      <c r="Q147" s="11" t="str">
        <f aca="false">IF(V147=0,"",IF(OR(W147=1,AC147="None"),"",EDATE(($D147+N($J147)),AG147)))</f>
        <v/>
      </c>
      <c r="R147" s="10" t="str">
        <f aca="false">IF(V147=0,"",IF(NOT(EH_Ready),"",SUMIFS(INDEX(EH_Data,0,EH_ColBal),INDEX(EH_Data,0,EH_ColFirst),$A147,INDEX(EH_Data,0,EH_ColSur),$B147,INDEX(EH_Data,0,EH_ColCat),BonusCat)/IF(EHUnit="Hours",HoursPerDay,1)))</f>
        <v/>
      </c>
      <c r="S147" s="10" t="str">
        <f aca="false">IF(OR(V147=0,R147="",W147=1),"",O147-R147)</f>
        <v/>
      </c>
      <c r="T147" s="10" t="str">
        <f aca="false">IF(S147="","",S147*HoursPerDay)</f>
        <v/>
      </c>
      <c r="U147" s="9" t="str">
        <f aca="false">IF(V147=0,"",IF(W147=1,IF(N(R147)&gt;0,"TERMINATED - forfeit "&amp;TEXT(R147,"0.##")&amp;" days in EH","Terminated"),IF(NOT(EH_Ready),"Paste EH export (see Settings)",IF(S147&gt;0,"ADD "&amp;TEXT(S147,"0.##")&amp;" day(s) = "&amp;TEXT(T147,"0.##")&amp;" hrs in EH",IF(S147&lt;0,"CHECK - EH has "&amp;TEXT(-S147,"0.##")&amp;" days more than policy",IF(O147&gt;0,"OK","-"))))))</f>
        <v/>
      </c>
      <c r="V147" s="9" t="n">
        <f aca="false">IF(OR(LEN($A147&amp;$B147)=0,$D147=""),0,1)</f>
        <v>0</v>
      </c>
      <c r="W147" s="9" t="n">
        <f aca="false">IF(V147=0,0,IF(AND($K147&lt;&gt;"",$K147&lt;=AsOfDate),1,0))</f>
        <v>0</v>
      </c>
      <c r="X147" s="11" t="str">
        <f aca="false">IF(V147=0,"",IF($K147="",AsOfDate,MIN(AsOfDate,$K147)))</f>
        <v/>
      </c>
      <c r="Y147" s="9" t="str">
        <f aca="false">IF(V147=0,"",IF(X147&lt;($D147+N($J147)),-1,12*(YEAR(X147)-YEAR(($D147+N($J147))))+MONTH(X147)-MONTH(($D147+N($J147)))-IF(DAY(X147)&lt;MIN(DAY(($D147+N($J147))),DAY(EOMONTH(X147,0))),1,0)))</f>
        <v/>
      </c>
      <c r="Z147" s="9" t="str">
        <f aca="false">IF(V147=0,"",IF(AH147="",Y147,IF((AH147-1)&lt;($D147+N($J147)),-1,12*(YEAR((AH147-1))-YEAR(($D147+N($J147))))+MONTH((AH147-1))-MONTH(($D147+N($J147)))-IF(DAY((AH147-1))&lt;MIN(DAY(($D147+N($J147))),DAY(EOMONTH((AH147-1),0))),1,0))))</f>
        <v/>
      </c>
      <c r="AA147" s="9" t="str">
        <f aca="false">IF(V147=0,"",IF($E147="Full-Time","FT",IF(AND($E147="Part-Time",N($F147)&gt;=PT_MinHours),"PT","None")))</f>
        <v/>
      </c>
      <c r="AB147" s="9" t="str">
        <f aca="false">IF(V147=0,"",IF($H147="Full-Time","FT",IF(AND($H147="Part-Time",N($I147)&gt;=PT_MinHours),"PT","None")))</f>
        <v/>
      </c>
      <c r="AC147" s="9" t="str">
        <f aca="false">IF(V147=0,"",IF(AH147&lt;&gt;"",AB147,AA147))</f>
        <v/>
      </c>
      <c r="AD147" s="9" t="str">
        <f aca="false">IF(V147=0,"",IF(AA147="FT",IF(Z147&lt;FT_First,0,IF(Z147&lt;FT_Y5,1+INT((Z147-FT_First)/FT_Int1),FT_PreY5+FT_PerYear*INT((Z147-FT_Y5)/12)+FT_AnnivDays+INT(MOD(Z147-FT_Y5,12)/FT_Int2))),IF(AA147="PT",IF(Z147&lt;PT_First,0,1+INT((Z147-PT_First)/PT_Int)),0)))</f>
        <v/>
      </c>
      <c r="AE147" s="9" t="str">
        <f aca="false">IF(V147=0,"",IF(AB147="FT",IF(Z147&lt;FT_First,0,IF(Z147&lt;FT_Y5,1+INT((Z147-FT_First)/FT_Int1),FT_PreY5+FT_PerYear*INT((Z147-FT_Y5)/12)+FT_AnnivDays+INT(MOD(Z147-FT_Y5,12)/FT_Int2))),IF(AB147="PT",IF(Z147&lt;PT_First,0,1+INT((Z147-PT_First)/PT_Int)),0)))</f>
        <v/>
      </c>
      <c r="AF147" s="9" t="str">
        <f aca="false">IF(V147=0,"",IF(AB147="FT",IF(Y147&lt;FT_First,0,IF(Y147&lt;FT_Y5,1+INT((Y147-FT_First)/FT_Int1),FT_PreY5+FT_PerYear*INT((Y147-FT_Y5)/12)+FT_AnnivDays+INT(MOD(Y147-FT_Y5,12)/FT_Int2))),IF(AB147="PT",IF(Y147&lt;PT_First,0,1+INT((Y147-PT_First)/PT_Int)),0)))</f>
        <v/>
      </c>
      <c r="AG147" s="9" t="str">
        <f aca="false">IF(V147=0,"",IF(AC147="FT",IF(Y147&lt;FT_First,FT_First,IF(Y147&lt;FT_Y5,MIN(FT_Y5,FT_First+FT_Int1*(INT((Y147-FT_First)/FT_Int1)+1)),FT_Y5+12*INT((Y147-FT_Y5)/12)+FT_Int2*(INT(MOD(Y147-FT_Y5,12)/FT_Int2)+1))),IF(AC147="PT",IF(Y147&lt;PT_First,PT_First,PT_First+PT_Int*(INT((Y147-PT_First)/PT_Int)+1)),"")))</f>
        <v/>
      </c>
      <c r="AH147" s="11" t="str">
        <f aca="false">IF(V147=0,"",IF($G147="","",IF($G147&gt;X147,"",$G147)))</f>
        <v/>
      </c>
    </row>
    <row r="148" customFormat="false" ht="15" hidden="false" customHeight="false" outlineLevel="0" collapsed="false">
      <c r="A148" s="12"/>
      <c r="B148" s="12"/>
      <c r="C148" s="12"/>
      <c r="D148" s="13"/>
      <c r="E148" s="12"/>
      <c r="F148" s="14"/>
      <c r="G148" s="13"/>
      <c r="H148" s="12"/>
      <c r="I148" s="14"/>
      <c r="J148" s="14"/>
      <c r="K148" s="13"/>
      <c r="L148" s="9" t="str">
        <f aca="false">IF(V148=0,"",IF($G148="","",$E148&amp;" to "&amp;$H148&amp;IF($H148="Part-Time"," "&amp;N($I148)&amp;" hrs","")&amp;" on "&amp;TEXT($G148,"dd/mm/yyyy")&amp;IF($G148&gt;AsOfDate," (future)",IF(AA148=AC148,"",IF(AC148="None"," - STOPPED accruing",IF(AA148="None"," - now qualifying"," - pathway changed"))))))</f>
        <v/>
      </c>
      <c r="M148" s="9" t="str">
        <f aca="false">IF(V148=0,"",IF(W148=1,"Terminated",IF(AC148="None",IF(O148&gt;0,"No longer accruing","Not eligible - "&amp;IF(AND(AC148="None",IF(AH148&lt;&gt;"",$H148,$E148)="Part-Time"),"under "&amp;PT_MinHours&amp;" hrs",IF(AH148&lt;&gt;"",$H148,$E148))),IF(O148&gt;0,"Yes - accruing","Not yet - from "&amp;TEXT(Q148,"dd/mm/yyyy")))))</f>
        <v/>
      </c>
      <c r="N148" s="9" t="str">
        <f aca="false">IF(V148=0,"",IF(Y148&lt;0,"-",INT(Y148/12)&amp;"y "&amp;MOD(Y148,12)&amp;"m"))</f>
        <v/>
      </c>
      <c r="O148" s="10" t="str">
        <f aca="false">IF(V148=0,"",AD148+IF(AH148="",0,AF148-AE148))</f>
        <v/>
      </c>
      <c r="P148" s="10" t="str">
        <f aca="false">IF(V148=0,"",O148*HoursPerDay)</f>
        <v/>
      </c>
      <c r="Q148" s="11" t="str">
        <f aca="false">IF(V148=0,"",IF(OR(W148=1,AC148="None"),"",EDATE(($D148+N($J148)),AG148)))</f>
        <v/>
      </c>
      <c r="R148" s="10" t="str">
        <f aca="false">IF(V148=0,"",IF(NOT(EH_Ready),"",SUMIFS(INDEX(EH_Data,0,EH_ColBal),INDEX(EH_Data,0,EH_ColFirst),$A148,INDEX(EH_Data,0,EH_ColSur),$B148,INDEX(EH_Data,0,EH_ColCat),BonusCat)/IF(EHUnit="Hours",HoursPerDay,1)))</f>
        <v/>
      </c>
      <c r="S148" s="10" t="str">
        <f aca="false">IF(OR(V148=0,R148="",W148=1),"",O148-R148)</f>
        <v/>
      </c>
      <c r="T148" s="10" t="str">
        <f aca="false">IF(S148="","",S148*HoursPerDay)</f>
        <v/>
      </c>
      <c r="U148" s="9" t="str">
        <f aca="false">IF(V148=0,"",IF(W148=1,IF(N(R148)&gt;0,"TERMINATED - forfeit "&amp;TEXT(R148,"0.##")&amp;" days in EH","Terminated"),IF(NOT(EH_Ready),"Paste EH export (see Settings)",IF(S148&gt;0,"ADD "&amp;TEXT(S148,"0.##")&amp;" day(s) = "&amp;TEXT(T148,"0.##")&amp;" hrs in EH",IF(S148&lt;0,"CHECK - EH has "&amp;TEXT(-S148,"0.##")&amp;" days more than policy",IF(O148&gt;0,"OK","-"))))))</f>
        <v/>
      </c>
      <c r="V148" s="9" t="n">
        <f aca="false">IF(OR(LEN($A148&amp;$B148)=0,$D148=""),0,1)</f>
        <v>0</v>
      </c>
      <c r="W148" s="9" t="n">
        <f aca="false">IF(V148=0,0,IF(AND($K148&lt;&gt;"",$K148&lt;=AsOfDate),1,0))</f>
        <v>0</v>
      </c>
      <c r="X148" s="11" t="str">
        <f aca="false">IF(V148=0,"",IF($K148="",AsOfDate,MIN(AsOfDate,$K148)))</f>
        <v/>
      </c>
      <c r="Y148" s="9" t="str">
        <f aca="false">IF(V148=0,"",IF(X148&lt;($D148+N($J148)),-1,12*(YEAR(X148)-YEAR(($D148+N($J148))))+MONTH(X148)-MONTH(($D148+N($J148)))-IF(DAY(X148)&lt;MIN(DAY(($D148+N($J148))),DAY(EOMONTH(X148,0))),1,0)))</f>
        <v/>
      </c>
      <c r="Z148" s="9" t="str">
        <f aca="false">IF(V148=0,"",IF(AH148="",Y148,IF((AH148-1)&lt;($D148+N($J148)),-1,12*(YEAR((AH148-1))-YEAR(($D148+N($J148))))+MONTH((AH148-1))-MONTH(($D148+N($J148)))-IF(DAY((AH148-1))&lt;MIN(DAY(($D148+N($J148))),DAY(EOMONTH((AH148-1),0))),1,0))))</f>
        <v/>
      </c>
      <c r="AA148" s="9" t="str">
        <f aca="false">IF(V148=0,"",IF($E148="Full-Time","FT",IF(AND($E148="Part-Time",N($F148)&gt;=PT_MinHours),"PT","None")))</f>
        <v/>
      </c>
      <c r="AB148" s="9" t="str">
        <f aca="false">IF(V148=0,"",IF($H148="Full-Time","FT",IF(AND($H148="Part-Time",N($I148)&gt;=PT_MinHours),"PT","None")))</f>
        <v/>
      </c>
      <c r="AC148" s="9" t="str">
        <f aca="false">IF(V148=0,"",IF(AH148&lt;&gt;"",AB148,AA148))</f>
        <v/>
      </c>
      <c r="AD148" s="9" t="str">
        <f aca="false">IF(V148=0,"",IF(AA148="FT",IF(Z148&lt;FT_First,0,IF(Z148&lt;FT_Y5,1+INT((Z148-FT_First)/FT_Int1),FT_PreY5+FT_PerYear*INT((Z148-FT_Y5)/12)+FT_AnnivDays+INT(MOD(Z148-FT_Y5,12)/FT_Int2))),IF(AA148="PT",IF(Z148&lt;PT_First,0,1+INT((Z148-PT_First)/PT_Int)),0)))</f>
        <v/>
      </c>
      <c r="AE148" s="9" t="str">
        <f aca="false">IF(V148=0,"",IF(AB148="FT",IF(Z148&lt;FT_First,0,IF(Z148&lt;FT_Y5,1+INT((Z148-FT_First)/FT_Int1),FT_PreY5+FT_PerYear*INT((Z148-FT_Y5)/12)+FT_AnnivDays+INT(MOD(Z148-FT_Y5,12)/FT_Int2))),IF(AB148="PT",IF(Z148&lt;PT_First,0,1+INT((Z148-PT_First)/PT_Int)),0)))</f>
        <v/>
      </c>
      <c r="AF148" s="9" t="str">
        <f aca="false">IF(V148=0,"",IF(AB148="FT",IF(Y148&lt;FT_First,0,IF(Y148&lt;FT_Y5,1+INT((Y148-FT_First)/FT_Int1),FT_PreY5+FT_PerYear*INT((Y148-FT_Y5)/12)+FT_AnnivDays+INT(MOD(Y148-FT_Y5,12)/FT_Int2))),IF(AB148="PT",IF(Y148&lt;PT_First,0,1+INT((Y148-PT_First)/PT_Int)),0)))</f>
        <v/>
      </c>
      <c r="AG148" s="9" t="str">
        <f aca="false">IF(V148=0,"",IF(AC148="FT",IF(Y148&lt;FT_First,FT_First,IF(Y148&lt;FT_Y5,MIN(FT_Y5,FT_First+FT_Int1*(INT((Y148-FT_First)/FT_Int1)+1)),FT_Y5+12*INT((Y148-FT_Y5)/12)+FT_Int2*(INT(MOD(Y148-FT_Y5,12)/FT_Int2)+1))),IF(AC148="PT",IF(Y148&lt;PT_First,PT_First,PT_First+PT_Int*(INT((Y148-PT_First)/PT_Int)+1)),"")))</f>
        <v/>
      </c>
      <c r="AH148" s="11" t="str">
        <f aca="false">IF(V148=0,"",IF($G148="","",IF($G148&gt;X148,"",$G148)))</f>
        <v/>
      </c>
    </row>
    <row r="149" customFormat="false" ht="15" hidden="false" customHeight="false" outlineLevel="0" collapsed="false">
      <c r="A149" s="12"/>
      <c r="B149" s="12"/>
      <c r="C149" s="12"/>
      <c r="D149" s="13"/>
      <c r="E149" s="12"/>
      <c r="F149" s="14"/>
      <c r="G149" s="13"/>
      <c r="H149" s="12"/>
      <c r="I149" s="14"/>
      <c r="J149" s="14"/>
      <c r="K149" s="13"/>
      <c r="L149" s="9" t="str">
        <f aca="false">IF(V149=0,"",IF($G149="","",$E149&amp;" to "&amp;$H149&amp;IF($H149="Part-Time"," "&amp;N($I149)&amp;" hrs","")&amp;" on "&amp;TEXT($G149,"dd/mm/yyyy")&amp;IF($G149&gt;AsOfDate," (future)",IF(AA149=AC149,"",IF(AC149="None"," - STOPPED accruing",IF(AA149="None"," - now qualifying"," - pathway changed"))))))</f>
        <v/>
      </c>
      <c r="M149" s="9" t="str">
        <f aca="false">IF(V149=0,"",IF(W149=1,"Terminated",IF(AC149="None",IF(O149&gt;0,"No longer accruing","Not eligible - "&amp;IF(AND(AC149="None",IF(AH149&lt;&gt;"",$H149,$E149)="Part-Time"),"under "&amp;PT_MinHours&amp;" hrs",IF(AH149&lt;&gt;"",$H149,$E149))),IF(O149&gt;0,"Yes - accruing","Not yet - from "&amp;TEXT(Q149,"dd/mm/yyyy")))))</f>
        <v/>
      </c>
      <c r="N149" s="9" t="str">
        <f aca="false">IF(V149=0,"",IF(Y149&lt;0,"-",INT(Y149/12)&amp;"y "&amp;MOD(Y149,12)&amp;"m"))</f>
        <v/>
      </c>
      <c r="O149" s="10" t="str">
        <f aca="false">IF(V149=0,"",AD149+IF(AH149="",0,AF149-AE149))</f>
        <v/>
      </c>
      <c r="P149" s="10" t="str">
        <f aca="false">IF(V149=0,"",O149*HoursPerDay)</f>
        <v/>
      </c>
      <c r="Q149" s="11" t="str">
        <f aca="false">IF(V149=0,"",IF(OR(W149=1,AC149="None"),"",EDATE(($D149+N($J149)),AG149)))</f>
        <v/>
      </c>
      <c r="R149" s="10" t="str">
        <f aca="false">IF(V149=0,"",IF(NOT(EH_Ready),"",SUMIFS(INDEX(EH_Data,0,EH_ColBal),INDEX(EH_Data,0,EH_ColFirst),$A149,INDEX(EH_Data,0,EH_ColSur),$B149,INDEX(EH_Data,0,EH_ColCat),BonusCat)/IF(EHUnit="Hours",HoursPerDay,1)))</f>
        <v/>
      </c>
      <c r="S149" s="10" t="str">
        <f aca="false">IF(OR(V149=0,R149="",W149=1),"",O149-R149)</f>
        <v/>
      </c>
      <c r="T149" s="10" t="str">
        <f aca="false">IF(S149="","",S149*HoursPerDay)</f>
        <v/>
      </c>
      <c r="U149" s="9" t="str">
        <f aca="false">IF(V149=0,"",IF(W149=1,IF(N(R149)&gt;0,"TERMINATED - forfeit "&amp;TEXT(R149,"0.##")&amp;" days in EH","Terminated"),IF(NOT(EH_Ready),"Paste EH export (see Settings)",IF(S149&gt;0,"ADD "&amp;TEXT(S149,"0.##")&amp;" day(s) = "&amp;TEXT(T149,"0.##")&amp;" hrs in EH",IF(S149&lt;0,"CHECK - EH has "&amp;TEXT(-S149,"0.##")&amp;" days more than policy",IF(O149&gt;0,"OK","-"))))))</f>
        <v/>
      </c>
      <c r="V149" s="9" t="n">
        <f aca="false">IF(OR(LEN($A149&amp;$B149)=0,$D149=""),0,1)</f>
        <v>0</v>
      </c>
      <c r="W149" s="9" t="n">
        <f aca="false">IF(V149=0,0,IF(AND($K149&lt;&gt;"",$K149&lt;=AsOfDate),1,0))</f>
        <v>0</v>
      </c>
      <c r="X149" s="11" t="str">
        <f aca="false">IF(V149=0,"",IF($K149="",AsOfDate,MIN(AsOfDate,$K149)))</f>
        <v/>
      </c>
      <c r="Y149" s="9" t="str">
        <f aca="false">IF(V149=0,"",IF(X149&lt;($D149+N($J149)),-1,12*(YEAR(X149)-YEAR(($D149+N($J149))))+MONTH(X149)-MONTH(($D149+N($J149)))-IF(DAY(X149)&lt;MIN(DAY(($D149+N($J149))),DAY(EOMONTH(X149,0))),1,0)))</f>
        <v/>
      </c>
      <c r="Z149" s="9" t="str">
        <f aca="false">IF(V149=0,"",IF(AH149="",Y149,IF((AH149-1)&lt;($D149+N($J149)),-1,12*(YEAR((AH149-1))-YEAR(($D149+N($J149))))+MONTH((AH149-1))-MONTH(($D149+N($J149)))-IF(DAY((AH149-1))&lt;MIN(DAY(($D149+N($J149))),DAY(EOMONTH((AH149-1),0))),1,0))))</f>
        <v/>
      </c>
      <c r="AA149" s="9" t="str">
        <f aca="false">IF(V149=0,"",IF($E149="Full-Time","FT",IF(AND($E149="Part-Time",N($F149)&gt;=PT_MinHours),"PT","None")))</f>
        <v/>
      </c>
      <c r="AB149" s="9" t="str">
        <f aca="false">IF(V149=0,"",IF($H149="Full-Time","FT",IF(AND($H149="Part-Time",N($I149)&gt;=PT_MinHours),"PT","None")))</f>
        <v/>
      </c>
      <c r="AC149" s="9" t="str">
        <f aca="false">IF(V149=0,"",IF(AH149&lt;&gt;"",AB149,AA149))</f>
        <v/>
      </c>
      <c r="AD149" s="9" t="str">
        <f aca="false">IF(V149=0,"",IF(AA149="FT",IF(Z149&lt;FT_First,0,IF(Z149&lt;FT_Y5,1+INT((Z149-FT_First)/FT_Int1),FT_PreY5+FT_PerYear*INT((Z149-FT_Y5)/12)+FT_AnnivDays+INT(MOD(Z149-FT_Y5,12)/FT_Int2))),IF(AA149="PT",IF(Z149&lt;PT_First,0,1+INT((Z149-PT_First)/PT_Int)),0)))</f>
        <v/>
      </c>
      <c r="AE149" s="9" t="str">
        <f aca="false">IF(V149=0,"",IF(AB149="FT",IF(Z149&lt;FT_First,0,IF(Z149&lt;FT_Y5,1+INT((Z149-FT_First)/FT_Int1),FT_PreY5+FT_PerYear*INT((Z149-FT_Y5)/12)+FT_AnnivDays+INT(MOD(Z149-FT_Y5,12)/FT_Int2))),IF(AB149="PT",IF(Z149&lt;PT_First,0,1+INT((Z149-PT_First)/PT_Int)),0)))</f>
        <v/>
      </c>
      <c r="AF149" s="9" t="str">
        <f aca="false">IF(V149=0,"",IF(AB149="FT",IF(Y149&lt;FT_First,0,IF(Y149&lt;FT_Y5,1+INT((Y149-FT_First)/FT_Int1),FT_PreY5+FT_PerYear*INT((Y149-FT_Y5)/12)+FT_AnnivDays+INT(MOD(Y149-FT_Y5,12)/FT_Int2))),IF(AB149="PT",IF(Y149&lt;PT_First,0,1+INT((Y149-PT_First)/PT_Int)),0)))</f>
        <v/>
      </c>
      <c r="AG149" s="9" t="str">
        <f aca="false">IF(V149=0,"",IF(AC149="FT",IF(Y149&lt;FT_First,FT_First,IF(Y149&lt;FT_Y5,MIN(FT_Y5,FT_First+FT_Int1*(INT((Y149-FT_First)/FT_Int1)+1)),FT_Y5+12*INT((Y149-FT_Y5)/12)+FT_Int2*(INT(MOD(Y149-FT_Y5,12)/FT_Int2)+1))),IF(AC149="PT",IF(Y149&lt;PT_First,PT_First,PT_First+PT_Int*(INT((Y149-PT_First)/PT_Int)+1)),"")))</f>
        <v/>
      </c>
      <c r="AH149" s="11" t="str">
        <f aca="false">IF(V149=0,"",IF($G149="","",IF($G149&gt;X149,"",$G149)))</f>
        <v/>
      </c>
    </row>
    <row r="150" customFormat="false" ht="15" hidden="false" customHeight="false" outlineLevel="0" collapsed="false">
      <c r="A150" s="12"/>
      <c r="B150" s="12"/>
      <c r="C150" s="12"/>
      <c r="D150" s="13"/>
      <c r="E150" s="12"/>
      <c r="F150" s="14"/>
      <c r="G150" s="13"/>
      <c r="H150" s="12"/>
      <c r="I150" s="14"/>
      <c r="J150" s="14"/>
      <c r="K150" s="13"/>
      <c r="L150" s="9" t="str">
        <f aca="false">IF(V150=0,"",IF($G150="","",$E150&amp;" to "&amp;$H150&amp;IF($H150="Part-Time"," "&amp;N($I150)&amp;" hrs","")&amp;" on "&amp;TEXT($G150,"dd/mm/yyyy")&amp;IF($G150&gt;AsOfDate," (future)",IF(AA150=AC150,"",IF(AC150="None"," - STOPPED accruing",IF(AA150="None"," - now qualifying"," - pathway changed"))))))</f>
        <v/>
      </c>
      <c r="M150" s="9" t="str">
        <f aca="false">IF(V150=0,"",IF(W150=1,"Terminated",IF(AC150="None",IF(O150&gt;0,"No longer accruing","Not eligible - "&amp;IF(AND(AC150="None",IF(AH150&lt;&gt;"",$H150,$E150)="Part-Time"),"under "&amp;PT_MinHours&amp;" hrs",IF(AH150&lt;&gt;"",$H150,$E150))),IF(O150&gt;0,"Yes - accruing","Not yet - from "&amp;TEXT(Q150,"dd/mm/yyyy")))))</f>
        <v/>
      </c>
      <c r="N150" s="9" t="str">
        <f aca="false">IF(V150=0,"",IF(Y150&lt;0,"-",INT(Y150/12)&amp;"y "&amp;MOD(Y150,12)&amp;"m"))</f>
        <v/>
      </c>
      <c r="O150" s="10" t="str">
        <f aca="false">IF(V150=0,"",AD150+IF(AH150="",0,AF150-AE150))</f>
        <v/>
      </c>
      <c r="P150" s="10" t="str">
        <f aca="false">IF(V150=0,"",O150*HoursPerDay)</f>
        <v/>
      </c>
      <c r="Q150" s="11" t="str">
        <f aca="false">IF(V150=0,"",IF(OR(W150=1,AC150="None"),"",EDATE(($D150+N($J150)),AG150)))</f>
        <v/>
      </c>
      <c r="R150" s="10" t="str">
        <f aca="false">IF(V150=0,"",IF(NOT(EH_Ready),"",SUMIFS(INDEX(EH_Data,0,EH_ColBal),INDEX(EH_Data,0,EH_ColFirst),$A150,INDEX(EH_Data,0,EH_ColSur),$B150,INDEX(EH_Data,0,EH_ColCat),BonusCat)/IF(EHUnit="Hours",HoursPerDay,1)))</f>
        <v/>
      </c>
      <c r="S150" s="10" t="str">
        <f aca="false">IF(OR(V150=0,R150="",W150=1),"",O150-R150)</f>
        <v/>
      </c>
      <c r="T150" s="10" t="str">
        <f aca="false">IF(S150="","",S150*HoursPerDay)</f>
        <v/>
      </c>
      <c r="U150" s="9" t="str">
        <f aca="false">IF(V150=0,"",IF(W150=1,IF(N(R150)&gt;0,"TERMINATED - forfeit "&amp;TEXT(R150,"0.##")&amp;" days in EH","Terminated"),IF(NOT(EH_Ready),"Paste EH export (see Settings)",IF(S150&gt;0,"ADD "&amp;TEXT(S150,"0.##")&amp;" day(s) = "&amp;TEXT(T150,"0.##")&amp;" hrs in EH",IF(S150&lt;0,"CHECK - EH has "&amp;TEXT(-S150,"0.##")&amp;" days more than policy",IF(O150&gt;0,"OK","-"))))))</f>
        <v/>
      </c>
      <c r="V150" s="9" t="n">
        <f aca="false">IF(OR(LEN($A150&amp;$B150)=0,$D150=""),0,1)</f>
        <v>0</v>
      </c>
      <c r="W150" s="9" t="n">
        <f aca="false">IF(V150=0,0,IF(AND($K150&lt;&gt;"",$K150&lt;=AsOfDate),1,0))</f>
        <v>0</v>
      </c>
      <c r="X150" s="11" t="str">
        <f aca="false">IF(V150=0,"",IF($K150="",AsOfDate,MIN(AsOfDate,$K150)))</f>
        <v/>
      </c>
      <c r="Y150" s="9" t="str">
        <f aca="false">IF(V150=0,"",IF(X150&lt;($D150+N($J150)),-1,12*(YEAR(X150)-YEAR(($D150+N($J150))))+MONTH(X150)-MONTH(($D150+N($J150)))-IF(DAY(X150)&lt;MIN(DAY(($D150+N($J150))),DAY(EOMONTH(X150,0))),1,0)))</f>
        <v/>
      </c>
      <c r="Z150" s="9" t="str">
        <f aca="false">IF(V150=0,"",IF(AH150="",Y150,IF((AH150-1)&lt;($D150+N($J150)),-1,12*(YEAR((AH150-1))-YEAR(($D150+N($J150))))+MONTH((AH150-1))-MONTH(($D150+N($J150)))-IF(DAY((AH150-1))&lt;MIN(DAY(($D150+N($J150))),DAY(EOMONTH((AH150-1),0))),1,0))))</f>
        <v/>
      </c>
      <c r="AA150" s="9" t="str">
        <f aca="false">IF(V150=0,"",IF($E150="Full-Time","FT",IF(AND($E150="Part-Time",N($F150)&gt;=PT_MinHours),"PT","None")))</f>
        <v/>
      </c>
      <c r="AB150" s="9" t="str">
        <f aca="false">IF(V150=0,"",IF($H150="Full-Time","FT",IF(AND($H150="Part-Time",N($I150)&gt;=PT_MinHours),"PT","None")))</f>
        <v/>
      </c>
      <c r="AC150" s="9" t="str">
        <f aca="false">IF(V150=0,"",IF(AH150&lt;&gt;"",AB150,AA150))</f>
        <v/>
      </c>
      <c r="AD150" s="9" t="str">
        <f aca="false">IF(V150=0,"",IF(AA150="FT",IF(Z150&lt;FT_First,0,IF(Z150&lt;FT_Y5,1+INT((Z150-FT_First)/FT_Int1),FT_PreY5+FT_PerYear*INT((Z150-FT_Y5)/12)+FT_AnnivDays+INT(MOD(Z150-FT_Y5,12)/FT_Int2))),IF(AA150="PT",IF(Z150&lt;PT_First,0,1+INT((Z150-PT_First)/PT_Int)),0)))</f>
        <v/>
      </c>
      <c r="AE150" s="9" t="str">
        <f aca="false">IF(V150=0,"",IF(AB150="FT",IF(Z150&lt;FT_First,0,IF(Z150&lt;FT_Y5,1+INT((Z150-FT_First)/FT_Int1),FT_PreY5+FT_PerYear*INT((Z150-FT_Y5)/12)+FT_AnnivDays+INT(MOD(Z150-FT_Y5,12)/FT_Int2))),IF(AB150="PT",IF(Z150&lt;PT_First,0,1+INT((Z150-PT_First)/PT_Int)),0)))</f>
        <v/>
      </c>
      <c r="AF150" s="9" t="str">
        <f aca="false">IF(V150=0,"",IF(AB150="FT",IF(Y150&lt;FT_First,0,IF(Y150&lt;FT_Y5,1+INT((Y150-FT_First)/FT_Int1),FT_PreY5+FT_PerYear*INT((Y150-FT_Y5)/12)+FT_AnnivDays+INT(MOD(Y150-FT_Y5,12)/FT_Int2))),IF(AB150="PT",IF(Y150&lt;PT_First,0,1+INT((Y150-PT_First)/PT_Int)),0)))</f>
        <v/>
      </c>
      <c r="AG150" s="9" t="str">
        <f aca="false">IF(V150=0,"",IF(AC150="FT",IF(Y150&lt;FT_First,FT_First,IF(Y150&lt;FT_Y5,MIN(FT_Y5,FT_First+FT_Int1*(INT((Y150-FT_First)/FT_Int1)+1)),FT_Y5+12*INT((Y150-FT_Y5)/12)+FT_Int2*(INT(MOD(Y150-FT_Y5,12)/FT_Int2)+1))),IF(AC150="PT",IF(Y150&lt;PT_First,PT_First,PT_First+PT_Int*(INT((Y150-PT_First)/PT_Int)+1)),"")))</f>
        <v/>
      </c>
      <c r="AH150" s="11" t="str">
        <f aca="false">IF(V150=0,"",IF($G150="","",IF($G150&gt;X150,"",$G150)))</f>
        <v/>
      </c>
    </row>
    <row r="151" customFormat="false" ht="15" hidden="false" customHeight="false" outlineLevel="0" collapsed="false">
      <c r="A151" s="12"/>
      <c r="B151" s="12"/>
      <c r="C151" s="12"/>
      <c r="D151" s="13"/>
      <c r="E151" s="12"/>
      <c r="F151" s="14"/>
      <c r="G151" s="13"/>
      <c r="H151" s="12"/>
      <c r="I151" s="14"/>
      <c r="J151" s="14"/>
      <c r="K151" s="13"/>
      <c r="L151" s="9" t="str">
        <f aca="false">IF(V151=0,"",IF($G151="","",$E151&amp;" to "&amp;$H151&amp;IF($H151="Part-Time"," "&amp;N($I151)&amp;" hrs","")&amp;" on "&amp;TEXT($G151,"dd/mm/yyyy")&amp;IF($G151&gt;AsOfDate," (future)",IF(AA151=AC151,"",IF(AC151="None"," - STOPPED accruing",IF(AA151="None"," - now qualifying"," - pathway changed"))))))</f>
        <v/>
      </c>
      <c r="M151" s="9" t="str">
        <f aca="false">IF(V151=0,"",IF(W151=1,"Terminated",IF(AC151="None",IF(O151&gt;0,"No longer accruing","Not eligible - "&amp;IF(AND(AC151="None",IF(AH151&lt;&gt;"",$H151,$E151)="Part-Time"),"under "&amp;PT_MinHours&amp;" hrs",IF(AH151&lt;&gt;"",$H151,$E151))),IF(O151&gt;0,"Yes - accruing","Not yet - from "&amp;TEXT(Q151,"dd/mm/yyyy")))))</f>
        <v/>
      </c>
      <c r="N151" s="9" t="str">
        <f aca="false">IF(V151=0,"",IF(Y151&lt;0,"-",INT(Y151/12)&amp;"y "&amp;MOD(Y151,12)&amp;"m"))</f>
        <v/>
      </c>
      <c r="O151" s="10" t="str">
        <f aca="false">IF(V151=0,"",AD151+IF(AH151="",0,AF151-AE151))</f>
        <v/>
      </c>
      <c r="P151" s="10" t="str">
        <f aca="false">IF(V151=0,"",O151*HoursPerDay)</f>
        <v/>
      </c>
      <c r="Q151" s="11" t="str">
        <f aca="false">IF(V151=0,"",IF(OR(W151=1,AC151="None"),"",EDATE(($D151+N($J151)),AG151)))</f>
        <v/>
      </c>
      <c r="R151" s="10" t="str">
        <f aca="false">IF(V151=0,"",IF(NOT(EH_Ready),"",SUMIFS(INDEX(EH_Data,0,EH_ColBal),INDEX(EH_Data,0,EH_ColFirst),$A151,INDEX(EH_Data,0,EH_ColSur),$B151,INDEX(EH_Data,0,EH_ColCat),BonusCat)/IF(EHUnit="Hours",HoursPerDay,1)))</f>
        <v/>
      </c>
      <c r="S151" s="10" t="str">
        <f aca="false">IF(OR(V151=0,R151="",W151=1),"",O151-R151)</f>
        <v/>
      </c>
      <c r="T151" s="10" t="str">
        <f aca="false">IF(S151="","",S151*HoursPerDay)</f>
        <v/>
      </c>
      <c r="U151" s="9" t="str">
        <f aca="false">IF(V151=0,"",IF(W151=1,IF(N(R151)&gt;0,"TERMINATED - forfeit "&amp;TEXT(R151,"0.##")&amp;" days in EH","Terminated"),IF(NOT(EH_Ready),"Paste EH export (see Settings)",IF(S151&gt;0,"ADD "&amp;TEXT(S151,"0.##")&amp;" day(s) = "&amp;TEXT(T151,"0.##")&amp;" hrs in EH",IF(S151&lt;0,"CHECK - EH has "&amp;TEXT(-S151,"0.##")&amp;" days more than policy",IF(O151&gt;0,"OK","-"))))))</f>
        <v/>
      </c>
      <c r="V151" s="9" t="n">
        <f aca="false">IF(OR(LEN($A151&amp;$B151)=0,$D151=""),0,1)</f>
        <v>0</v>
      </c>
      <c r="W151" s="9" t="n">
        <f aca="false">IF(V151=0,0,IF(AND($K151&lt;&gt;"",$K151&lt;=AsOfDate),1,0))</f>
        <v>0</v>
      </c>
      <c r="X151" s="11" t="str">
        <f aca="false">IF(V151=0,"",IF($K151="",AsOfDate,MIN(AsOfDate,$K151)))</f>
        <v/>
      </c>
      <c r="Y151" s="9" t="str">
        <f aca="false">IF(V151=0,"",IF(X151&lt;($D151+N($J151)),-1,12*(YEAR(X151)-YEAR(($D151+N($J151))))+MONTH(X151)-MONTH(($D151+N($J151)))-IF(DAY(X151)&lt;MIN(DAY(($D151+N($J151))),DAY(EOMONTH(X151,0))),1,0)))</f>
        <v/>
      </c>
      <c r="Z151" s="9" t="str">
        <f aca="false">IF(V151=0,"",IF(AH151="",Y151,IF((AH151-1)&lt;($D151+N($J151)),-1,12*(YEAR((AH151-1))-YEAR(($D151+N($J151))))+MONTH((AH151-1))-MONTH(($D151+N($J151)))-IF(DAY((AH151-1))&lt;MIN(DAY(($D151+N($J151))),DAY(EOMONTH((AH151-1),0))),1,0))))</f>
        <v/>
      </c>
      <c r="AA151" s="9" t="str">
        <f aca="false">IF(V151=0,"",IF($E151="Full-Time","FT",IF(AND($E151="Part-Time",N($F151)&gt;=PT_MinHours),"PT","None")))</f>
        <v/>
      </c>
      <c r="AB151" s="9" t="str">
        <f aca="false">IF(V151=0,"",IF($H151="Full-Time","FT",IF(AND($H151="Part-Time",N($I151)&gt;=PT_MinHours),"PT","None")))</f>
        <v/>
      </c>
      <c r="AC151" s="9" t="str">
        <f aca="false">IF(V151=0,"",IF(AH151&lt;&gt;"",AB151,AA151))</f>
        <v/>
      </c>
      <c r="AD151" s="9" t="str">
        <f aca="false">IF(V151=0,"",IF(AA151="FT",IF(Z151&lt;FT_First,0,IF(Z151&lt;FT_Y5,1+INT((Z151-FT_First)/FT_Int1),FT_PreY5+FT_PerYear*INT((Z151-FT_Y5)/12)+FT_AnnivDays+INT(MOD(Z151-FT_Y5,12)/FT_Int2))),IF(AA151="PT",IF(Z151&lt;PT_First,0,1+INT((Z151-PT_First)/PT_Int)),0)))</f>
        <v/>
      </c>
      <c r="AE151" s="9" t="str">
        <f aca="false">IF(V151=0,"",IF(AB151="FT",IF(Z151&lt;FT_First,0,IF(Z151&lt;FT_Y5,1+INT((Z151-FT_First)/FT_Int1),FT_PreY5+FT_PerYear*INT((Z151-FT_Y5)/12)+FT_AnnivDays+INT(MOD(Z151-FT_Y5,12)/FT_Int2))),IF(AB151="PT",IF(Z151&lt;PT_First,0,1+INT((Z151-PT_First)/PT_Int)),0)))</f>
        <v/>
      </c>
      <c r="AF151" s="9" t="str">
        <f aca="false">IF(V151=0,"",IF(AB151="FT",IF(Y151&lt;FT_First,0,IF(Y151&lt;FT_Y5,1+INT((Y151-FT_First)/FT_Int1),FT_PreY5+FT_PerYear*INT((Y151-FT_Y5)/12)+FT_AnnivDays+INT(MOD(Y151-FT_Y5,12)/FT_Int2))),IF(AB151="PT",IF(Y151&lt;PT_First,0,1+INT((Y151-PT_First)/PT_Int)),0)))</f>
        <v/>
      </c>
      <c r="AG151" s="9" t="str">
        <f aca="false">IF(V151=0,"",IF(AC151="FT",IF(Y151&lt;FT_First,FT_First,IF(Y151&lt;FT_Y5,MIN(FT_Y5,FT_First+FT_Int1*(INT((Y151-FT_First)/FT_Int1)+1)),FT_Y5+12*INT((Y151-FT_Y5)/12)+FT_Int2*(INT(MOD(Y151-FT_Y5,12)/FT_Int2)+1))),IF(AC151="PT",IF(Y151&lt;PT_First,PT_First,PT_First+PT_Int*(INT((Y151-PT_First)/PT_Int)+1)),"")))</f>
        <v/>
      </c>
      <c r="AH151" s="11" t="str">
        <f aca="false">IF(V151=0,"",IF($G151="","",IF($G151&gt;X151,"",$G151)))</f>
        <v/>
      </c>
    </row>
    <row r="152" customFormat="false" ht="15" hidden="false" customHeight="false" outlineLevel="0" collapsed="false">
      <c r="A152" s="12"/>
      <c r="B152" s="12"/>
      <c r="C152" s="12"/>
      <c r="D152" s="13"/>
      <c r="E152" s="12"/>
      <c r="F152" s="14"/>
      <c r="G152" s="13"/>
      <c r="H152" s="12"/>
      <c r="I152" s="14"/>
      <c r="J152" s="14"/>
      <c r="K152" s="13"/>
      <c r="L152" s="9" t="str">
        <f aca="false">IF(V152=0,"",IF($G152="","",$E152&amp;" to "&amp;$H152&amp;IF($H152="Part-Time"," "&amp;N($I152)&amp;" hrs","")&amp;" on "&amp;TEXT($G152,"dd/mm/yyyy")&amp;IF($G152&gt;AsOfDate," (future)",IF(AA152=AC152,"",IF(AC152="None"," - STOPPED accruing",IF(AA152="None"," - now qualifying"," - pathway changed"))))))</f>
        <v/>
      </c>
      <c r="M152" s="9" t="str">
        <f aca="false">IF(V152=0,"",IF(W152=1,"Terminated",IF(AC152="None",IF(O152&gt;0,"No longer accruing","Not eligible - "&amp;IF(AND(AC152="None",IF(AH152&lt;&gt;"",$H152,$E152)="Part-Time"),"under "&amp;PT_MinHours&amp;" hrs",IF(AH152&lt;&gt;"",$H152,$E152))),IF(O152&gt;0,"Yes - accruing","Not yet - from "&amp;TEXT(Q152,"dd/mm/yyyy")))))</f>
        <v/>
      </c>
      <c r="N152" s="9" t="str">
        <f aca="false">IF(V152=0,"",IF(Y152&lt;0,"-",INT(Y152/12)&amp;"y "&amp;MOD(Y152,12)&amp;"m"))</f>
        <v/>
      </c>
      <c r="O152" s="10" t="str">
        <f aca="false">IF(V152=0,"",AD152+IF(AH152="",0,AF152-AE152))</f>
        <v/>
      </c>
      <c r="P152" s="10" t="str">
        <f aca="false">IF(V152=0,"",O152*HoursPerDay)</f>
        <v/>
      </c>
      <c r="Q152" s="11" t="str">
        <f aca="false">IF(V152=0,"",IF(OR(W152=1,AC152="None"),"",EDATE(($D152+N($J152)),AG152)))</f>
        <v/>
      </c>
      <c r="R152" s="10" t="str">
        <f aca="false">IF(V152=0,"",IF(NOT(EH_Ready),"",SUMIFS(INDEX(EH_Data,0,EH_ColBal),INDEX(EH_Data,0,EH_ColFirst),$A152,INDEX(EH_Data,0,EH_ColSur),$B152,INDEX(EH_Data,0,EH_ColCat),BonusCat)/IF(EHUnit="Hours",HoursPerDay,1)))</f>
        <v/>
      </c>
      <c r="S152" s="10" t="str">
        <f aca="false">IF(OR(V152=0,R152="",W152=1),"",O152-R152)</f>
        <v/>
      </c>
      <c r="T152" s="10" t="str">
        <f aca="false">IF(S152="","",S152*HoursPerDay)</f>
        <v/>
      </c>
      <c r="U152" s="9" t="str">
        <f aca="false">IF(V152=0,"",IF(W152=1,IF(N(R152)&gt;0,"TERMINATED - forfeit "&amp;TEXT(R152,"0.##")&amp;" days in EH","Terminated"),IF(NOT(EH_Ready),"Paste EH export (see Settings)",IF(S152&gt;0,"ADD "&amp;TEXT(S152,"0.##")&amp;" day(s) = "&amp;TEXT(T152,"0.##")&amp;" hrs in EH",IF(S152&lt;0,"CHECK - EH has "&amp;TEXT(-S152,"0.##")&amp;" days more than policy",IF(O152&gt;0,"OK","-"))))))</f>
        <v/>
      </c>
      <c r="V152" s="9" t="n">
        <f aca="false">IF(OR(LEN($A152&amp;$B152)=0,$D152=""),0,1)</f>
        <v>0</v>
      </c>
      <c r="W152" s="9" t="n">
        <f aca="false">IF(V152=0,0,IF(AND($K152&lt;&gt;"",$K152&lt;=AsOfDate),1,0))</f>
        <v>0</v>
      </c>
      <c r="X152" s="11" t="str">
        <f aca="false">IF(V152=0,"",IF($K152="",AsOfDate,MIN(AsOfDate,$K152)))</f>
        <v/>
      </c>
      <c r="Y152" s="9" t="str">
        <f aca="false">IF(V152=0,"",IF(X152&lt;($D152+N($J152)),-1,12*(YEAR(X152)-YEAR(($D152+N($J152))))+MONTH(X152)-MONTH(($D152+N($J152)))-IF(DAY(X152)&lt;MIN(DAY(($D152+N($J152))),DAY(EOMONTH(X152,0))),1,0)))</f>
        <v/>
      </c>
      <c r="Z152" s="9" t="str">
        <f aca="false">IF(V152=0,"",IF(AH152="",Y152,IF((AH152-1)&lt;($D152+N($J152)),-1,12*(YEAR((AH152-1))-YEAR(($D152+N($J152))))+MONTH((AH152-1))-MONTH(($D152+N($J152)))-IF(DAY((AH152-1))&lt;MIN(DAY(($D152+N($J152))),DAY(EOMONTH((AH152-1),0))),1,0))))</f>
        <v/>
      </c>
      <c r="AA152" s="9" t="str">
        <f aca="false">IF(V152=0,"",IF($E152="Full-Time","FT",IF(AND($E152="Part-Time",N($F152)&gt;=PT_MinHours),"PT","None")))</f>
        <v/>
      </c>
      <c r="AB152" s="9" t="str">
        <f aca="false">IF(V152=0,"",IF($H152="Full-Time","FT",IF(AND($H152="Part-Time",N($I152)&gt;=PT_MinHours),"PT","None")))</f>
        <v/>
      </c>
      <c r="AC152" s="9" t="str">
        <f aca="false">IF(V152=0,"",IF(AH152&lt;&gt;"",AB152,AA152))</f>
        <v/>
      </c>
      <c r="AD152" s="9" t="str">
        <f aca="false">IF(V152=0,"",IF(AA152="FT",IF(Z152&lt;FT_First,0,IF(Z152&lt;FT_Y5,1+INT((Z152-FT_First)/FT_Int1),FT_PreY5+FT_PerYear*INT((Z152-FT_Y5)/12)+FT_AnnivDays+INT(MOD(Z152-FT_Y5,12)/FT_Int2))),IF(AA152="PT",IF(Z152&lt;PT_First,0,1+INT((Z152-PT_First)/PT_Int)),0)))</f>
        <v/>
      </c>
      <c r="AE152" s="9" t="str">
        <f aca="false">IF(V152=0,"",IF(AB152="FT",IF(Z152&lt;FT_First,0,IF(Z152&lt;FT_Y5,1+INT((Z152-FT_First)/FT_Int1),FT_PreY5+FT_PerYear*INT((Z152-FT_Y5)/12)+FT_AnnivDays+INT(MOD(Z152-FT_Y5,12)/FT_Int2))),IF(AB152="PT",IF(Z152&lt;PT_First,0,1+INT((Z152-PT_First)/PT_Int)),0)))</f>
        <v/>
      </c>
      <c r="AF152" s="9" t="str">
        <f aca="false">IF(V152=0,"",IF(AB152="FT",IF(Y152&lt;FT_First,0,IF(Y152&lt;FT_Y5,1+INT((Y152-FT_First)/FT_Int1),FT_PreY5+FT_PerYear*INT((Y152-FT_Y5)/12)+FT_AnnivDays+INT(MOD(Y152-FT_Y5,12)/FT_Int2))),IF(AB152="PT",IF(Y152&lt;PT_First,0,1+INT((Y152-PT_First)/PT_Int)),0)))</f>
        <v/>
      </c>
      <c r="AG152" s="9" t="str">
        <f aca="false">IF(V152=0,"",IF(AC152="FT",IF(Y152&lt;FT_First,FT_First,IF(Y152&lt;FT_Y5,MIN(FT_Y5,FT_First+FT_Int1*(INT((Y152-FT_First)/FT_Int1)+1)),FT_Y5+12*INT((Y152-FT_Y5)/12)+FT_Int2*(INT(MOD(Y152-FT_Y5,12)/FT_Int2)+1))),IF(AC152="PT",IF(Y152&lt;PT_First,PT_First,PT_First+PT_Int*(INT((Y152-PT_First)/PT_Int)+1)),"")))</f>
        <v/>
      </c>
      <c r="AH152" s="11" t="str">
        <f aca="false">IF(V152=0,"",IF($G152="","",IF($G152&gt;X152,"",$G152)))</f>
        <v/>
      </c>
    </row>
    <row r="153" customFormat="false" ht="15" hidden="false" customHeight="false" outlineLevel="0" collapsed="false">
      <c r="A153" s="12"/>
      <c r="B153" s="12"/>
      <c r="C153" s="12"/>
      <c r="D153" s="13"/>
      <c r="E153" s="12"/>
      <c r="F153" s="14"/>
      <c r="G153" s="13"/>
      <c r="H153" s="12"/>
      <c r="I153" s="14"/>
      <c r="J153" s="14"/>
      <c r="K153" s="13"/>
      <c r="L153" s="9" t="str">
        <f aca="false">IF(V153=0,"",IF($G153="","",$E153&amp;" to "&amp;$H153&amp;IF($H153="Part-Time"," "&amp;N($I153)&amp;" hrs","")&amp;" on "&amp;TEXT($G153,"dd/mm/yyyy")&amp;IF($G153&gt;AsOfDate," (future)",IF(AA153=AC153,"",IF(AC153="None"," - STOPPED accruing",IF(AA153="None"," - now qualifying"," - pathway changed"))))))</f>
        <v/>
      </c>
      <c r="M153" s="9" t="str">
        <f aca="false">IF(V153=0,"",IF(W153=1,"Terminated",IF(AC153="None",IF(O153&gt;0,"No longer accruing","Not eligible - "&amp;IF(AND(AC153="None",IF(AH153&lt;&gt;"",$H153,$E153)="Part-Time"),"under "&amp;PT_MinHours&amp;" hrs",IF(AH153&lt;&gt;"",$H153,$E153))),IF(O153&gt;0,"Yes - accruing","Not yet - from "&amp;TEXT(Q153,"dd/mm/yyyy")))))</f>
        <v/>
      </c>
      <c r="N153" s="9" t="str">
        <f aca="false">IF(V153=0,"",IF(Y153&lt;0,"-",INT(Y153/12)&amp;"y "&amp;MOD(Y153,12)&amp;"m"))</f>
        <v/>
      </c>
      <c r="O153" s="10" t="str">
        <f aca="false">IF(V153=0,"",AD153+IF(AH153="",0,AF153-AE153))</f>
        <v/>
      </c>
      <c r="P153" s="10" t="str">
        <f aca="false">IF(V153=0,"",O153*HoursPerDay)</f>
        <v/>
      </c>
      <c r="Q153" s="11" t="str">
        <f aca="false">IF(V153=0,"",IF(OR(W153=1,AC153="None"),"",EDATE(($D153+N($J153)),AG153)))</f>
        <v/>
      </c>
      <c r="R153" s="10" t="str">
        <f aca="false">IF(V153=0,"",IF(NOT(EH_Ready),"",SUMIFS(INDEX(EH_Data,0,EH_ColBal),INDEX(EH_Data,0,EH_ColFirst),$A153,INDEX(EH_Data,0,EH_ColSur),$B153,INDEX(EH_Data,0,EH_ColCat),BonusCat)/IF(EHUnit="Hours",HoursPerDay,1)))</f>
        <v/>
      </c>
      <c r="S153" s="10" t="str">
        <f aca="false">IF(OR(V153=0,R153="",W153=1),"",O153-R153)</f>
        <v/>
      </c>
      <c r="T153" s="10" t="str">
        <f aca="false">IF(S153="","",S153*HoursPerDay)</f>
        <v/>
      </c>
      <c r="U153" s="9" t="str">
        <f aca="false">IF(V153=0,"",IF(W153=1,IF(N(R153)&gt;0,"TERMINATED - forfeit "&amp;TEXT(R153,"0.##")&amp;" days in EH","Terminated"),IF(NOT(EH_Ready),"Paste EH export (see Settings)",IF(S153&gt;0,"ADD "&amp;TEXT(S153,"0.##")&amp;" day(s) = "&amp;TEXT(T153,"0.##")&amp;" hrs in EH",IF(S153&lt;0,"CHECK - EH has "&amp;TEXT(-S153,"0.##")&amp;" days more than policy",IF(O153&gt;0,"OK","-"))))))</f>
        <v/>
      </c>
      <c r="V153" s="9" t="n">
        <f aca="false">IF(OR(LEN($A153&amp;$B153)=0,$D153=""),0,1)</f>
        <v>0</v>
      </c>
      <c r="W153" s="9" t="n">
        <f aca="false">IF(V153=0,0,IF(AND($K153&lt;&gt;"",$K153&lt;=AsOfDate),1,0))</f>
        <v>0</v>
      </c>
      <c r="X153" s="11" t="str">
        <f aca="false">IF(V153=0,"",IF($K153="",AsOfDate,MIN(AsOfDate,$K153)))</f>
        <v/>
      </c>
      <c r="Y153" s="9" t="str">
        <f aca="false">IF(V153=0,"",IF(X153&lt;($D153+N($J153)),-1,12*(YEAR(X153)-YEAR(($D153+N($J153))))+MONTH(X153)-MONTH(($D153+N($J153)))-IF(DAY(X153)&lt;MIN(DAY(($D153+N($J153))),DAY(EOMONTH(X153,0))),1,0)))</f>
        <v/>
      </c>
      <c r="Z153" s="9" t="str">
        <f aca="false">IF(V153=0,"",IF(AH153="",Y153,IF((AH153-1)&lt;($D153+N($J153)),-1,12*(YEAR((AH153-1))-YEAR(($D153+N($J153))))+MONTH((AH153-1))-MONTH(($D153+N($J153)))-IF(DAY((AH153-1))&lt;MIN(DAY(($D153+N($J153))),DAY(EOMONTH((AH153-1),0))),1,0))))</f>
        <v/>
      </c>
      <c r="AA153" s="9" t="str">
        <f aca="false">IF(V153=0,"",IF($E153="Full-Time","FT",IF(AND($E153="Part-Time",N($F153)&gt;=PT_MinHours),"PT","None")))</f>
        <v/>
      </c>
      <c r="AB153" s="9" t="str">
        <f aca="false">IF(V153=0,"",IF($H153="Full-Time","FT",IF(AND($H153="Part-Time",N($I153)&gt;=PT_MinHours),"PT","None")))</f>
        <v/>
      </c>
      <c r="AC153" s="9" t="str">
        <f aca="false">IF(V153=0,"",IF(AH153&lt;&gt;"",AB153,AA153))</f>
        <v/>
      </c>
      <c r="AD153" s="9" t="str">
        <f aca="false">IF(V153=0,"",IF(AA153="FT",IF(Z153&lt;FT_First,0,IF(Z153&lt;FT_Y5,1+INT((Z153-FT_First)/FT_Int1),FT_PreY5+FT_PerYear*INT((Z153-FT_Y5)/12)+FT_AnnivDays+INT(MOD(Z153-FT_Y5,12)/FT_Int2))),IF(AA153="PT",IF(Z153&lt;PT_First,0,1+INT((Z153-PT_First)/PT_Int)),0)))</f>
        <v/>
      </c>
      <c r="AE153" s="9" t="str">
        <f aca="false">IF(V153=0,"",IF(AB153="FT",IF(Z153&lt;FT_First,0,IF(Z153&lt;FT_Y5,1+INT((Z153-FT_First)/FT_Int1),FT_PreY5+FT_PerYear*INT((Z153-FT_Y5)/12)+FT_AnnivDays+INT(MOD(Z153-FT_Y5,12)/FT_Int2))),IF(AB153="PT",IF(Z153&lt;PT_First,0,1+INT((Z153-PT_First)/PT_Int)),0)))</f>
        <v/>
      </c>
      <c r="AF153" s="9" t="str">
        <f aca="false">IF(V153=0,"",IF(AB153="FT",IF(Y153&lt;FT_First,0,IF(Y153&lt;FT_Y5,1+INT((Y153-FT_First)/FT_Int1),FT_PreY5+FT_PerYear*INT((Y153-FT_Y5)/12)+FT_AnnivDays+INT(MOD(Y153-FT_Y5,12)/FT_Int2))),IF(AB153="PT",IF(Y153&lt;PT_First,0,1+INT((Y153-PT_First)/PT_Int)),0)))</f>
        <v/>
      </c>
      <c r="AG153" s="9" t="str">
        <f aca="false">IF(V153=0,"",IF(AC153="FT",IF(Y153&lt;FT_First,FT_First,IF(Y153&lt;FT_Y5,MIN(FT_Y5,FT_First+FT_Int1*(INT((Y153-FT_First)/FT_Int1)+1)),FT_Y5+12*INT((Y153-FT_Y5)/12)+FT_Int2*(INT(MOD(Y153-FT_Y5,12)/FT_Int2)+1))),IF(AC153="PT",IF(Y153&lt;PT_First,PT_First,PT_First+PT_Int*(INT((Y153-PT_First)/PT_Int)+1)),"")))</f>
        <v/>
      </c>
      <c r="AH153" s="11" t="str">
        <f aca="false">IF(V153=0,"",IF($G153="","",IF($G153&gt;X153,"",$G153)))</f>
        <v/>
      </c>
    </row>
    <row r="154" customFormat="false" ht="15" hidden="false" customHeight="false" outlineLevel="0" collapsed="false">
      <c r="A154" s="12"/>
      <c r="B154" s="12"/>
      <c r="C154" s="12"/>
      <c r="D154" s="13"/>
      <c r="E154" s="12"/>
      <c r="F154" s="14"/>
      <c r="G154" s="13"/>
      <c r="H154" s="12"/>
      <c r="I154" s="14"/>
      <c r="J154" s="14"/>
      <c r="K154" s="13"/>
      <c r="L154" s="9" t="str">
        <f aca="false">IF(V154=0,"",IF($G154="","",$E154&amp;" to "&amp;$H154&amp;IF($H154="Part-Time"," "&amp;N($I154)&amp;" hrs","")&amp;" on "&amp;TEXT($G154,"dd/mm/yyyy")&amp;IF($G154&gt;AsOfDate," (future)",IF(AA154=AC154,"",IF(AC154="None"," - STOPPED accruing",IF(AA154="None"," - now qualifying"," - pathway changed"))))))</f>
        <v/>
      </c>
      <c r="M154" s="9" t="str">
        <f aca="false">IF(V154=0,"",IF(W154=1,"Terminated",IF(AC154="None",IF(O154&gt;0,"No longer accruing","Not eligible - "&amp;IF(AND(AC154="None",IF(AH154&lt;&gt;"",$H154,$E154)="Part-Time"),"under "&amp;PT_MinHours&amp;" hrs",IF(AH154&lt;&gt;"",$H154,$E154))),IF(O154&gt;0,"Yes - accruing","Not yet - from "&amp;TEXT(Q154,"dd/mm/yyyy")))))</f>
        <v/>
      </c>
      <c r="N154" s="9" t="str">
        <f aca="false">IF(V154=0,"",IF(Y154&lt;0,"-",INT(Y154/12)&amp;"y "&amp;MOD(Y154,12)&amp;"m"))</f>
        <v/>
      </c>
      <c r="O154" s="10" t="str">
        <f aca="false">IF(V154=0,"",AD154+IF(AH154="",0,AF154-AE154))</f>
        <v/>
      </c>
      <c r="P154" s="10" t="str">
        <f aca="false">IF(V154=0,"",O154*HoursPerDay)</f>
        <v/>
      </c>
      <c r="Q154" s="11" t="str">
        <f aca="false">IF(V154=0,"",IF(OR(W154=1,AC154="None"),"",EDATE(($D154+N($J154)),AG154)))</f>
        <v/>
      </c>
      <c r="R154" s="10" t="str">
        <f aca="false">IF(V154=0,"",IF(NOT(EH_Ready),"",SUMIFS(INDEX(EH_Data,0,EH_ColBal),INDEX(EH_Data,0,EH_ColFirst),$A154,INDEX(EH_Data,0,EH_ColSur),$B154,INDEX(EH_Data,0,EH_ColCat),BonusCat)/IF(EHUnit="Hours",HoursPerDay,1)))</f>
        <v/>
      </c>
      <c r="S154" s="10" t="str">
        <f aca="false">IF(OR(V154=0,R154="",W154=1),"",O154-R154)</f>
        <v/>
      </c>
      <c r="T154" s="10" t="str">
        <f aca="false">IF(S154="","",S154*HoursPerDay)</f>
        <v/>
      </c>
      <c r="U154" s="9" t="str">
        <f aca="false">IF(V154=0,"",IF(W154=1,IF(N(R154)&gt;0,"TERMINATED - forfeit "&amp;TEXT(R154,"0.##")&amp;" days in EH","Terminated"),IF(NOT(EH_Ready),"Paste EH export (see Settings)",IF(S154&gt;0,"ADD "&amp;TEXT(S154,"0.##")&amp;" day(s) = "&amp;TEXT(T154,"0.##")&amp;" hrs in EH",IF(S154&lt;0,"CHECK - EH has "&amp;TEXT(-S154,"0.##")&amp;" days more than policy",IF(O154&gt;0,"OK","-"))))))</f>
        <v/>
      </c>
      <c r="V154" s="9" t="n">
        <f aca="false">IF(OR(LEN($A154&amp;$B154)=0,$D154=""),0,1)</f>
        <v>0</v>
      </c>
      <c r="W154" s="9" t="n">
        <f aca="false">IF(V154=0,0,IF(AND($K154&lt;&gt;"",$K154&lt;=AsOfDate),1,0))</f>
        <v>0</v>
      </c>
      <c r="X154" s="11" t="str">
        <f aca="false">IF(V154=0,"",IF($K154="",AsOfDate,MIN(AsOfDate,$K154)))</f>
        <v/>
      </c>
      <c r="Y154" s="9" t="str">
        <f aca="false">IF(V154=0,"",IF(X154&lt;($D154+N($J154)),-1,12*(YEAR(X154)-YEAR(($D154+N($J154))))+MONTH(X154)-MONTH(($D154+N($J154)))-IF(DAY(X154)&lt;MIN(DAY(($D154+N($J154))),DAY(EOMONTH(X154,0))),1,0)))</f>
        <v/>
      </c>
      <c r="Z154" s="9" t="str">
        <f aca="false">IF(V154=0,"",IF(AH154="",Y154,IF((AH154-1)&lt;($D154+N($J154)),-1,12*(YEAR((AH154-1))-YEAR(($D154+N($J154))))+MONTH((AH154-1))-MONTH(($D154+N($J154)))-IF(DAY((AH154-1))&lt;MIN(DAY(($D154+N($J154))),DAY(EOMONTH((AH154-1),0))),1,0))))</f>
        <v/>
      </c>
      <c r="AA154" s="9" t="str">
        <f aca="false">IF(V154=0,"",IF($E154="Full-Time","FT",IF(AND($E154="Part-Time",N($F154)&gt;=PT_MinHours),"PT","None")))</f>
        <v/>
      </c>
      <c r="AB154" s="9" t="str">
        <f aca="false">IF(V154=0,"",IF($H154="Full-Time","FT",IF(AND($H154="Part-Time",N($I154)&gt;=PT_MinHours),"PT","None")))</f>
        <v/>
      </c>
      <c r="AC154" s="9" t="str">
        <f aca="false">IF(V154=0,"",IF(AH154&lt;&gt;"",AB154,AA154))</f>
        <v/>
      </c>
      <c r="AD154" s="9" t="str">
        <f aca="false">IF(V154=0,"",IF(AA154="FT",IF(Z154&lt;FT_First,0,IF(Z154&lt;FT_Y5,1+INT((Z154-FT_First)/FT_Int1),FT_PreY5+FT_PerYear*INT((Z154-FT_Y5)/12)+FT_AnnivDays+INT(MOD(Z154-FT_Y5,12)/FT_Int2))),IF(AA154="PT",IF(Z154&lt;PT_First,0,1+INT((Z154-PT_First)/PT_Int)),0)))</f>
        <v/>
      </c>
      <c r="AE154" s="9" t="str">
        <f aca="false">IF(V154=0,"",IF(AB154="FT",IF(Z154&lt;FT_First,0,IF(Z154&lt;FT_Y5,1+INT((Z154-FT_First)/FT_Int1),FT_PreY5+FT_PerYear*INT((Z154-FT_Y5)/12)+FT_AnnivDays+INT(MOD(Z154-FT_Y5,12)/FT_Int2))),IF(AB154="PT",IF(Z154&lt;PT_First,0,1+INT((Z154-PT_First)/PT_Int)),0)))</f>
        <v/>
      </c>
      <c r="AF154" s="9" t="str">
        <f aca="false">IF(V154=0,"",IF(AB154="FT",IF(Y154&lt;FT_First,0,IF(Y154&lt;FT_Y5,1+INT((Y154-FT_First)/FT_Int1),FT_PreY5+FT_PerYear*INT((Y154-FT_Y5)/12)+FT_AnnivDays+INT(MOD(Y154-FT_Y5,12)/FT_Int2))),IF(AB154="PT",IF(Y154&lt;PT_First,0,1+INT((Y154-PT_First)/PT_Int)),0)))</f>
        <v/>
      </c>
      <c r="AG154" s="9" t="str">
        <f aca="false">IF(V154=0,"",IF(AC154="FT",IF(Y154&lt;FT_First,FT_First,IF(Y154&lt;FT_Y5,MIN(FT_Y5,FT_First+FT_Int1*(INT((Y154-FT_First)/FT_Int1)+1)),FT_Y5+12*INT((Y154-FT_Y5)/12)+FT_Int2*(INT(MOD(Y154-FT_Y5,12)/FT_Int2)+1))),IF(AC154="PT",IF(Y154&lt;PT_First,PT_First,PT_First+PT_Int*(INT((Y154-PT_First)/PT_Int)+1)),"")))</f>
        <v/>
      </c>
      <c r="AH154" s="11" t="str">
        <f aca="false">IF(V154=0,"",IF($G154="","",IF($G154&gt;X154,"",$G154)))</f>
        <v/>
      </c>
    </row>
  </sheetData>
  <autoFilter ref="A4:U154"/>
  <conditionalFormatting sqref="U5:U154">
    <cfRule type="expression" priority="2" aboveAverage="0" equalAverage="0" bottom="0" percent="0" rank="0" text="" dxfId="15">
      <formula>LEFT(U5,3)="ADD"</formula>
    </cfRule>
    <cfRule type="expression" priority="3" aboveAverage="0" equalAverage="0" bottom="0" percent="0" rank="0" text="" dxfId="16">
      <formula>OR(LEFT(U5,5)="CHECK",LEFT(U5,10)="TERMINATED")</formula>
    </cfRule>
    <cfRule type="expression" priority="4" aboveAverage="0" equalAverage="0" bottom="0" percent="0" rank="0" text="" dxfId="17">
      <formula>U5="OK"</formula>
    </cfRule>
  </conditionalFormatting>
  <conditionalFormatting sqref="M5:M154">
    <cfRule type="expression" priority="5" aboveAverage="0" equalAverage="0" bottom="0" percent="0" rank="0" text="" dxfId="18">
      <formula>LEFT(M5,3)="Yes"</formula>
    </cfRule>
  </conditionalFormatting>
  <conditionalFormatting sqref="L5:L154">
    <cfRule type="expression" priority="6" aboveAverage="0" equalAverage="0" bottom="0" percent="0" rank="0" text="" dxfId="19">
      <formula>L5&lt;&gt;""</formula>
    </cfRule>
  </conditionalFormatting>
  <dataValidations count="2">
    <dataValidation allowBlank="true" errorStyle="stop" operator="between" showDropDown="false" showErrorMessage="false" showInputMessage="false" sqref="E5:E154 H5:H154" type="list">
      <formula1>"Full-Time,Part-Time,Casual"</formula1>
      <formula2>0</formula2>
    </dataValidation>
    <dataValidation allowBlank="true" error="Enter a date" errorStyle="stop" operator="greaterThan" showDropDown="false" showErrorMessage="false" showInputMessage="false" sqref="D5:D154 G5:G154 K5:K154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</cols>
  <sheetData>
    <row r="1" customFormat="false" ht="15" hidden="false" customHeight="false" outlineLevel="0" collapsed="false">
      <c r="A1" s="2" t="s">
        <v>60</v>
      </c>
      <c r="B1" s="2" t="s">
        <v>2</v>
      </c>
      <c r="C1" s="2" t="s">
        <v>3</v>
      </c>
      <c r="D1" s="2" t="s">
        <v>61</v>
      </c>
      <c r="E1" s="2" t="s">
        <v>62</v>
      </c>
      <c r="F1" s="2" t="s">
        <v>63</v>
      </c>
      <c r="G1" s="2" t="s">
        <v>64</v>
      </c>
      <c r="I1" s="15" t="s">
        <v>65</v>
      </c>
    </row>
    <row r="2" customFormat="false" ht="15" hidden="false" customHeight="false" outlineLevel="0" collapsed="false">
      <c r="A2" s="16" t="s">
        <v>66</v>
      </c>
      <c r="B2" s="16" t="s">
        <v>36</v>
      </c>
      <c r="C2" s="16" t="s">
        <v>37</v>
      </c>
      <c r="D2" s="16" t="s">
        <v>67</v>
      </c>
      <c r="E2" s="16" t="s">
        <v>68</v>
      </c>
      <c r="F2" s="16" t="n">
        <v>120</v>
      </c>
      <c r="G2" s="16" t="n">
        <v>4800</v>
      </c>
    </row>
    <row r="3" customFormat="false" ht="15" hidden="false" customHeight="false" outlineLevel="0" collapsed="false">
      <c r="A3" s="16" t="s">
        <v>66</v>
      </c>
      <c r="B3" s="16" t="s">
        <v>36</v>
      </c>
      <c r="C3" s="16" t="s">
        <v>37</v>
      </c>
      <c r="D3" s="16" t="s">
        <v>67</v>
      </c>
      <c r="E3" s="16" t="s">
        <v>69</v>
      </c>
      <c r="F3" s="16" t="n">
        <v>64</v>
      </c>
      <c r="G3" s="16" t="n">
        <v>2560</v>
      </c>
    </row>
    <row r="4" customFormat="false" ht="15" hidden="false" customHeight="false" outlineLevel="0" collapsed="false">
      <c r="A4" s="16" t="s">
        <v>70</v>
      </c>
      <c r="B4" s="16" t="s">
        <v>40</v>
      </c>
      <c r="C4" s="16" t="s">
        <v>41</v>
      </c>
      <c r="D4" s="16" t="s">
        <v>67</v>
      </c>
      <c r="E4" s="16" t="s">
        <v>69</v>
      </c>
      <c r="F4" s="16" t="n">
        <v>32</v>
      </c>
      <c r="G4" s="16" t="n">
        <v>1024</v>
      </c>
    </row>
    <row r="5" customFormat="false" ht="15" hidden="false" customHeight="false" outlineLevel="0" collapsed="false">
      <c r="A5" s="16" t="s">
        <v>71</v>
      </c>
      <c r="B5" s="16" t="s">
        <v>48</v>
      </c>
      <c r="C5" s="16" t="s">
        <v>49</v>
      </c>
      <c r="D5" s="16" t="s">
        <v>67</v>
      </c>
      <c r="E5" s="16" t="s">
        <v>69</v>
      </c>
      <c r="F5" s="16" t="n">
        <v>8</v>
      </c>
      <c r="G5" s="16" t="n">
        <v>300</v>
      </c>
    </row>
    <row r="6" customFormat="false" ht="15" hidden="false" customHeight="false" outlineLevel="0" collapsed="false">
      <c r="A6" s="16" t="s">
        <v>72</v>
      </c>
      <c r="B6" s="16" t="s">
        <v>51</v>
      </c>
      <c r="C6" s="16" t="s">
        <v>52</v>
      </c>
      <c r="D6" s="16" t="s">
        <v>46</v>
      </c>
      <c r="E6" s="16" t="s">
        <v>69</v>
      </c>
      <c r="F6" s="16" t="n">
        <v>80</v>
      </c>
      <c r="G6" s="16" t="n">
        <v>3600</v>
      </c>
    </row>
    <row r="7" customFormat="false" ht="15" hidden="false" customHeight="false" outlineLevel="0" collapsed="false">
      <c r="A7" s="16" t="s">
        <v>73</v>
      </c>
      <c r="B7" s="16" t="s">
        <v>56</v>
      </c>
      <c r="C7" s="16" t="s">
        <v>57</v>
      </c>
      <c r="D7" s="16" t="s">
        <v>67</v>
      </c>
      <c r="E7" s="16" t="s">
        <v>69</v>
      </c>
      <c r="F7" s="16" t="n">
        <v>40</v>
      </c>
      <c r="G7" s="16" t="n">
        <v>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70"/>
  </cols>
  <sheetData>
    <row r="2" customFormat="false" ht="17.35" hidden="false" customHeight="false" outlineLevel="0" collapsed="false">
      <c r="B2" s="1" t="s">
        <v>74</v>
      </c>
    </row>
    <row r="4" customFormat="false" ht="15" hidden="false" customHeight="false" outlineLevel="0" collapsed="false">
      <c r="B4" s="5" t="s">
        <v>75</v>
      </c>
      <c r="C4" s="5" t="s">
        <v>76</v>
      </c>
    </row>
    <row r="5" customFormat="false" ht="15" hidden="false" customHeight="false" outlineLevel="0" collapsed="false">
      <c r="B5" s="16" t="s">
        <v>77</v>
      </c>
      <c r="C5" s="13" t="n">
        <f aca="true">TODAY()</f>
        <v>46295</v>
      </c>
      <c r="E5" s="3" t="s">
        <v>78</v>
      </c>
    </row>
    <row r="6" customFormat="false" ht="15" hidden="false" customHeight="false" outlineLevel="0" collapsed="false">
      <c r="B6" s="16" t="s">
        <v>79</v>
      </c>
      <c r="C6" s="12" t="n">
        <v>8</v>
      </c>
      <c r="E6" s="3" t="s">
        <v>80</v>
      </c>
    </row>
    <row r="7" customFormat="false" ht="15" hidden="false" customHeight="false" outlineLevel="0" collapsed="false">
      <c r="B7" s="16" t="s">
        <v>81</v>
      </c>
      <c r="C7" s="12" t="s">
        <v>69</v>
      </c>
      <c r="E7" s="3" t="s">
        <v>82</v>
      </c>
    </row>
    <row r="8" customFormat="false" ht="15" hidden="false" customHeight="false" outlineLevel="0" collapsed="false">
      <c r="B8" s="16" t="s">
        <v>83</v>
      </c>
      <c r="C8" s="12" t="s">
        <v>84</v>
      </c>
      <c r="E8" s="3" t="s">
        <v>85</v>
      </c>
    </row>
    <row r="10" customFormat="false" ht="15" hidden="false" customHeight="false" outlineLevel="0" collapsed="false">
      <c r="B10" s="5" t="s">
        <v>86</v>
      </c>
      <c r="C10" s="5" t="s">
        <v>87</v>
      </c>
      <c r="D10" s="5" t="s">
        <v>88</v>
      </c>
    </row>
    <row r="11" customFormat="false" ht="15" hidden="false" customHeight="false" outlineLevel="0" collapsed="false">
      <c r="B11" s="16" t="s">
        <v>89</v>
      </c>
      <c r="C11" s="12" t="s">
        <v>2</v>
      </c>
      <c r="D11" s="17" t="str">
        <f aca="false">IF(ISNUMBER(MATCH(C11,EH_Hdr,0)),"Yes","NO")</f>
        <v>Yes</v>
      </c>
      <c r="E11" s="3" t="s">
        <v>90</v>
      </c>
      <c r="F11" s="3" t="n">
        <f aca="false">IFERROR(MATCH(C11,EH_Hdr,0),0)</f>
        <v>2</v>
      </c>
    </row>
    <row r="12" customFormat="false" ht="15" hidden="false" customHeight="false" outlineLevel="0" collapsed="false">
      <c r="B12" s="16" t="s">
        <v>91</v>
      </c>
      <c r="C12" s="12" t="s">
        <v>3</v>
      </c>
      <c r="D12" s="17" t="str">
        <f aca="false">IF(ISNUMBER(MATCH(C12,EH_Hdr,0)),"Yes","NO")</f>
        <v>Yes</v>
      </c>
      <c r="F12" s="3" t="n">
        <f aca="false">IFERROR(MATCH(C12,EH_Hdr,0),0)</f>
        <v>3</v>
      </c>
    </row>
    <row r="13" customFormat="false" ht="15" hidden="false" customHeight="false" outlineLevel="0" collapsed="false">
      <c r="B13" s="16" t="s">
        <v>92</v>
      </c>
      <c r="C13" s="12" t="s">
        <v>62</v>
      </c>
      <c r="D13" s="17" t="str">
        <f aca="false">IF(ISNUMBER(MATCH(C13,EH_Hdr,0)),"Yes","NO")</f>
        <v>Yes</v>
      </c>
      <c r="F13" s="3" t="n">
        <f aca="false">IFERROR(MATCH(C13,EH_Hdr,0),0)</f>
        <v>5</v>
      </c>
    </row>
    <row r="14" customFormat="false" ht="15" hidden="false" customHeight="false" outlineLevel="0" collapsed="false">
      <c r="B14" s="16" t="s">
        <v>93</v>
      </c>
      <c r="C14" s="12" t="s">
        <v>63</v>
      </c>
      <c r="D14" s="17" t="str">
        <f aca="false">IF(ISNUMBER(MATCH(C14,EH_Hdr,0)),"Yes","NO")</f>
        <v>Yes</v>
      </c>
      <c r="F14" s="3" t="n">
        <f aca="false">IFERROR(MATCH(C14,EH_Hdr,0),0)</f>
        <v>6</v>
      </c>
    </row>
    <row r="15" customFormat="false" ht="15" hidden="false" customHeight="false" outlineLevel="0" collapsed="false">
      <c r="B15" s="2" t="s">
        <v>94</v>
      </c>
      <c r="C15" s="18" t="str">
        <f aca="false">IF(EH_Ready,"YES","NO - fix headers above")</f>
        <v>YES</v>
      </c>
      <c r="F15" s="19" t="b">
        <f aca="false">AND(EH_ColFirst&gt;0,EH_ColSur&gt;0,EH_ColCat&gt;0,EH_ColBal&gt;0)</f>
        <v>1</v>
      </c>
    </row>
    <row r="17" customFormat="false" ht="15" hidden="false" customHeight="false" outlineLevel="0" collapsed="false">
      <c r="B17" s="5" t="s">
        <v>95</v>
      </c>
      <c r="C17" s="5" t="s">
        <v>76</v>
      </c>
    </row>
    <row r="18" customFormat="false" ht="15" hidden="false" customHeight="false" outlineLevel="0" collapsed="false">
      <c r="B18" s="16" t="s">
        <v>96</v>
      </c>
      <c r="C18" s="12" t="n">
        <v>36</v>
      </c>
      <c r="E18" s="3" t="s">
        <v>97</v>
      </c>
    </row>
    <row r="19" customFormat="false" ht="15" hidden="false" customHeight="false" outlineLevel="0" collapsed="false">
      <c r="B19" s="16" t="s">
        <v>98</v>
      </c>
      <c r="C19" s="12" t="n">
        <v>4</v>
      </c>
      <c r="E19" s="3" t="s">
        <v>99</v>
      </c>
    </row>
    <row r="20" customFormat="false" ht="15" hidden="false" customHeight="false" outlineLevel="0" collapsed="false">
      <c r="B20" s="16" t="s">
        <v>100</v>
      </c>
      <c r="C20" s="12" t="n">
        <v>60</v>
      </c>
      <c r="E20" s="3" t="s">
        <v>101</v>
      </c>
    </row>
    <row r="21" customFormat="false" ht="15" hidden="false" customHeight="false" outlineLevel="0" collapsed="false">
      <c r="B21" s="16" t="s">
        <v>102</v>
      </c>
      <c r="C21" s="12" t="n">
        <v>2</v>
      </c>
      <c r="E21" s="3" t="s">
        <v>101</v>
      </c>
    </row>
    <row r="22" customFormat="false" ht="15" hidden="false" customHeight="false" outlineLevel="0" collapsed="false">
      <c r="B22" s="16" t="s">
        <v>103</v>
      </c>
      <c r="C22" s="12" t="n">
        <v>3</v>
      </c>
      <c r="E22" s="3" t="s">
        <v>104</v>
      </c>
    </row>
    <row r="23" customFormat="false" ht="15" hidden="false" customHeight="false" outlineLevel="0" collapsed="false">
      <c r="B23" s="16" t="s">
        <v>105</v>
      </c>
      <c r="C23" s="12" t="n">
        <v>60</v>
      </c>
      <c r="E23" s="3" t="s">
        <v>106</v>
      </c>
    </row>
    <row r="24" customFormat="false" ht="15" hidden="false" customHeight="false" outlineLevel="0" collapsed="false">
      <c r="B24" s="16" t="s">
        <v>107</v>
      </c>
      <c r="C24" s="12" t="n">
        <v>4</v>
      </c>
      <c r="E24" s="3" t="s">
        <v>108</v>
      </c>
    </row>
    <row r="25" customFormat="false" ht="15" hidden="false" customHeight="false" outlineLevel="0" collapsed="false">
      <c r="B25" s="16" t="s">
        <v>109</v>
      </c>
      <c r="C25" s="12" t="n">
        <v>24</v>
      </c>
      <c r="E25" s="3" t="s">
        <v>110</v>
      </c>
    </row>
    <row r="26" customFormat="false" ht="15" hidden="false" customHeight="false" outlineLevel="0" collapsed="false">
      <c r="B26" s="16" t="s">
        <v>111</v>
      </c>
      <c r="C26" s="9" t="n">
        <f aca="false">1+INT((FT_Y5-1-FT_First)/FT_Int1)</f>
        <v>6</v>
      </c>
    </row>
    <row r="27" customFormat="false" ht="15" hidden="false" customHeight="false" outlineLevel="0" collapsed="false">
      <c r="B27" s="16" t="s">
        <v>112</v>
      </c>
      <c r="C27" s="9" t="n">
        <f aca="false">FT_AnnivDays+INT(11/FT_Int2)</f>
        <v>5</v>
      </c>
    </row>
    <row r="30" customFormat="false" ht="15" hidden="false" customHeight="true" outlineLevel="0" collapsed="false">
      <c r="B30" s="20" t="s">
        <v>113</v>
      </c>
      <c r="C30" s="20"/>
      <c r="D30" s="20"/>
      <c r="E30" s="20"/>
    </row>
    <row r="31" customFormat="false" ht="15" hidden="false" customHeight="true" outlineLevel="0" collapsed="false">
      <c r="B31" s="21" t="s">
        <v>114</v>
      </c>
      <c r="C31" s="21"/>
      <c r="D31" s="21"/>
      <c r="E31" s="21"/>
    </row>
    <row r="32" customFormat="false" ht="15" hidden="false" customHeight="true" outlineLevel="0" collapsed="false">
      <c r="B32" s="21" t="s">
        <v>115</v>
      </c>
      <c r="C32" s="21"/>
      <c r="D32" s="21"/>
      <c r="E32" s="21"/>
    </row>
    <row r="33" customFormat="false" ht="15" hidden="false" customHeight="true" outlineLevel="0" collapsed="false">
      <c r="B33" s="21" t="s">
        <v>116</v>
      </c>
      <c r="C33" s="21"/>
      <c r="D33" s="21"/>
      <c r="E33" s="21"/>
    </row>
    <row r="34" customFormat="false" ht="15" hidden="false" customHeight="true" outlineLevel="0" collapsed="false">
      <c r="B34" s="21" t="s">
        <v>117</v>
      </c>
      <c r="C34" s="21"/>
      <c r="D34" s="21"/>
      <c r="E34" s="21"/>
    </row>
    <row r="35" customFormat="false" ht="15" hidden="false" customHeight="true" outlineLevel="0" collapsed="false">
      <c r="B35" s="21" t="s">
        <v>118</v>
      </c>
      <c r="C35" s="21"/>
      <c r="D35" s="21"/>
      <c r="E35" s="21"/>
    </row>
    <row r="36" customFormat="false" ht="15" hidden="false" customHeight="false" outlineLevel="0" collapsed="false">
      <c r="B36" s="21"/>
      <c r="C36" s="21"/>
      <c r="D36" s="21"/>
      <c r="E36" s="21"/>
    </row>
    <row r="37" customFormat="false" ht="15" hidden="false" customHeight="true" outlineLevel="0" collapsed="false">
      <c r="B37" s="20" t="s">
        <v>119</v>
      </c>
      <c r="C37" s="20"/>
      <c r="D37" s="20"/>
      <c r="E37" s="20"/>
    </row>
    <row r="38" customFormat="false" ht="15" hidden="false" customHeight="true" outlineLevel="0" collapsed="false">
      <c r="B38" s="21" t="s">
        <v>120</v>
      </c>
      <c r="C38" s="21"/>
      <c r="D38" s="21"/>
      <c r="E38" s="21"/>
    </row>
    <row r="39" customFormat="false" ht="15" hidden="false" customHeight="true" outlineLevel="0" collapsed="false">
      <c r="B39" s="21" t="s">
        <v>121</v>
      </c>
      <c r="C39" s="21"/>
      <c r="D39" s="21"/>
      <c r="E39" s="21"/>
    </row>
    <row r="40" customFormat="false" ht="15" hidden="false" customHeight="true" outlineLevel="0" collapsed="false">
      <c r="B40" s="21" t="s">
        <v>122</v>
      </c>
      <c r="C40" s="21"/>
      <c r="D40" s="21"/>
      <c r="E40" s="21"/>
    </row>
    <row r="41" customFormat="false" ht="15" hidden="false" customHeight="true" outlineLevel="0" collapsed="false">
      <c r="B41" s="21" t="s">
        <v>123</v>
      </c>
      <c r="C41" s="21"/>
      <c r="D41" s="21"/>
      <c r="E41" s="21"/>
    </row>
    <row r="42" customFormat="false" ht="15" hidden="false" customHeight="false" outlineLevel="0" collapsed="false">
      <c r="B42" s="21"/>
      <c r="C42" s="21"/>
      <c r="D42" s="21"/>
      <c r="E42" s="21"/>
    </row>
    <row r="43" customFormat="false" ht="15" hidden="false" customHeight="true" outlineLevel="0" collapsed="false">
      <c r="B43" s="20" t="s">
        <v>124</v>
      </c>
      <c r="C43" s="20"/>
      <c r="D43" s="20"/>
      <c r="E43" s="20"/>
    </row>
  </sheetData>
  <mergeCells count="14"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  <mergeCell ref="B43:E43"/>
  </mergeCells>
  <conditionalFormatting sqref="D11:D14">
    <cfRule type="expression" priority="2" aboveAverage="0" equalAverage="0" bottom="0" percent="0" rank="0" text="" dxfId="20">
      <formula>D11="NO"</formula>
    </cfRule>
    <cfRule type="expression" priority="3" aboveAverage="0" equalAverage="0" bottom="0" percent="0" rank="0" text="" dxfId="18">
      <formula>D11="Yes"</formula>
    </cfRule>
  </conditionalFormatting>
  <dataValidations count="1">
    <dataValidation allowBlank="true" errorStyle="stop" operator="between" showDropDown="false" showErrorMessage="false" showInputMessage="false" sqref="C8" type="list">
      <formula1>"Hours,Days"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2026-09-30T06:56:52Z</dcterms:created>
  <dc:creator>openpyxl</dc:creator>
  <dc:description/>
  <dc:language>en-US</dc:language>
  <cp:lastModifiedBy/>
  <dcterms:modified xsi:type="dcterms:W3CDTF">2026-09-30T06:56:52Z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