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<sst xmlns="http://schemas.openxmlformats.org/spreadsheetml/2006/main" count="365" uniqueCount="174">
  <si>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</si>
  <si>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</si>
  <si>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</si>
  <si>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</si>
  <si>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</si>
  <si>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</si>
  <si>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</si>
  <si>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</si>
  <si>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</si>
  <si>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</si>
  <si>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</si>
  <si>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</si>
  <si>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</si>
  <si>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</si>
  <si>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</si>
  <si>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</si>
  <si>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</si>
  <si>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</si>
  <si>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</si>
  <si>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</si>
  <si>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</si>
  <si>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</si>
  <si>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</si>
  <si>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</si>
  <si>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</si>
  <si>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</si>
  <si>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</si>
  <si>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</si>
  <si>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</si>
  <si>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</si>
  <si>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</si>
  <si>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</si>
  <si>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</si>
  <si>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</si>
  <si>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</si>
  <si>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</si>
  <si>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</si>
  <si>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</si>
  <si>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</si>
  <si>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</si>
  <si>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</si>
  <si>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</si>
  <si>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</si>
  <si>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</si>
  <si>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</si>
  <si>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</si>
  <si>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</si>
  <si>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</si>
  <si>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</si>
  <si>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</si>
  <si>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</si>
  <si>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</si>
  <si>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</si>
  <si>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</si>
  <si>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</si>
  <si>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</si>
  <si>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</si>
  <si>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</si>
  <si>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</si>
  <si>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</si>
  <si>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</si>
  <si>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</si>
  <si>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</si>
  <si>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</si>
  <si>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</si>
  <si>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</si>
  <si>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</si>
  <si>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</si>
  <si>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</si>
  <si>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</si>
  <si>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</si>
  <si>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</si>
  <si>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</si>
  <si>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</si>
  <si>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</si>
  <si>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</si>
  <si>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</si>
  <si>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</si>
  <si>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</si>
  <si>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</si>
  <si>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</si>
  <si>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</si>
  <si>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</si>
  <si>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</si>
  <si>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</si>
  <si>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</si>
  <si>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</si>
  <si>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</si>
  <si>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</si>
  <si>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</si>
  <si>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</si>
  <si>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</si>
  <si>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</si>
  <si>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</si>
  <si>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</si>
  <si>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Chris</t>
  </si>
  <si>
    <t xml:space="preserve">Taylor</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</si>
  <si>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</si>
  <si>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</si>
  <si>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</si>
  <si>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</si>
  <si>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</si>
  <si>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</si>
  <si>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</si>
  <si>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</si>
  <si>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</si>
  <si>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</si>
  <si>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</si>
  <si>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</si>
  <si>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</si>
  <si>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</si>
  <si>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</si>
  <si>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</si>
  <si>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</si>
  <si>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</si>
  <si>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</si>
  <si>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</si>
  <si>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</si>
  <si>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</si>
  <si>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</si>
  <si>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</si>
  <si>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</si>
  <si>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</si>
  <si>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</si>
  <si>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</si>
  <si>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</si>
  <si>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</si>
  <si>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</si>
  <si>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</si>
  <si>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</si>
  <si>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</si>
  <si>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</si>
  <si>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</si>
  <si>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</si>
  <si>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</si>
  <si>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</si>
  <si>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</si>
  <si>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</si>
  <si>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</si>
  <si>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</si>
  <si>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</si>
  <si>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</si>
  <si>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</si>
  <si>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</si>
  <si>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</si>
  <si>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</si>
  <si>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</si>
  <si>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</si>
  <si>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</si>
  <si>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</si>
  <si>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</si>
  <si>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</si>
  <si>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</si>
  <si>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</si>
  <si>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</si>
  <si>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</si>
  <si>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</si>
  <si>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</si>
  <si>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</si>
  <si>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</si>
  <si>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</si>
  <si>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</si>
  <si>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</si>
  <si>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</si>
  <si>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</si>
  <si>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1 July (or any start date) to today and paste it at A1. On this tab set the day BEFORE the report start date.</t>
  </si>
  <si>
    <t xml:space="preserve">6.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</si>
  <si>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7. Filter the Action column: ACCRUE = add those hours in EH now. CHECK = something does not add up. OK = nothing to do. Data Check flags input problems (e.g. EmploymentType not matching the latest start date).</t>
  </si>
  <si>
    <t xml:space="preserve">8.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</si>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</sst>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8"/>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"&amp;TEXT(SUMIF($Y$5:$Y$154,"&gt;0"),"0.##")&amp;" hrs for "&amp;COUNTIF($Z$5:$Z$154,"Yes")&amp;" people"</f>
        <v>As at 01/10/2026  |  Report from 01/07/2026  |  Staff: 8  |  Accruing: 5  |  To accrue now: 40 hrs for 4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c r="AA3" s="3"/>
      <c r="AB3" s="3" t="s">
        <v>22</v>
      </c>
      <c r="AC3" s="3" t="s">
        <v>23</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24</v>
      </c>
      <c r="B4" s="4" t="s">
        <v>25</v>
      </c>
      <c r="C4" s="4" t="s">
        <v>26</v>
      </c>
      <c r="D4" s="4" t="s">
        <v>27</v>
      </c>
      <c r="E4" s="5" t="s">
        <v>28</v>
      </c>
      <c r="F4" s="4" t="s">
        <v>29</v>
      </c>
      <c r="G4" s="4" t="s">
        <v>30</v>
      </c>
      <c r="H4" s="4" t="s">
        <v>31</v>
      </c>
      <c r="I4" s="4" t="s">
        <v>32</v>
      </c>
      <c r="J4" s="4" t="s">
        <v>33</v>
      </c>
      <c r="K4" s="5" t="s">
        <v>34</v>
      </c>
      <c r="L4" s="5" t="s">
        <v>35</v>
      </c>
      <c r="M4" s="5" t="s">
        <v>36</v>
      </c>
      <c r="N4" s="5" t="s">
        <v>37</v>
      </c>
      <c r="O4" s="5" t="s">
        <v>38</v>
      </c>
      <c r="P4" s="4" t="s">
        <v>39</v>
      </c>
      <c r="Q4" s="5" t="s">
        <v>40</v>
      </c>
      <c r="R4" s="5" t="s">
        <v>41</v>
      </c>
      <c r="S4" s="5" t="s">
        <v>42</v>
      </c>
      <c r="T4" s="6" t="s">
        <v>43</v>
      </c>
      <c r="U4" s="6" t="s">
        <v>44</v>
      </c>
      <c r="V4" s="6" t="s">
        <v>45</v>
      </c>
      <c r="W4" s="6" t="s">
        <v>46</v>
      </c>
      <c r="X4" s="6" t="s">
        <v>47</v>
      </c>
      <c r="Y4" s="6" t="s">
        <v>48</v>
      </c>
      <c r="Z4" s="6" t="s">
        <v>49</v>
      </c>
      <c r="AA4" s="6" t="s">
        <v>50</v>
      </c>
      <c r="AB4" s="6" t="s">
        <v>51</v>
      </c>
      <c r="AC4" s="6" t="s">
        <v>52</v>
      </c>
      <c r="AD4" s="5" t="s">
        <v>53</v>
      </c>
      <c r="AE4" s="7" t="s">
        <v>54</v>
      </c>
      <c r="AF4" s="7" t="s">
        <v>55</v>
      </c>
      <c r="AG4" s="7" t="s">
        <v>56</v>
      </c>
      <c r="AH4" s="7" t="s">
        <v>57</v>
      </c>
      <c r="AI4" s="7" t="s">
        <v>58</v>
      </c>
      <c r="AJ4" s="7" t="s">
        <v>59</v>
      </c>
      <c r="AK4" s="7" t="s">
        <v>60</v>
      </c>
      <c r="AL4" s="7" t="s">
        <v>61</v>
      </c>
      <c r="AM4" s="7" t="s">
        <v>62</v>
      </c>
      <c r="AN4" s="7" t="s">
        <v>63</v>
      </c>
      <c r="AO4" s="7" t="s">
        <v>64</v>
      </c>
      <c r="AP4" s="7" t="s">
        <v>65</v>
      </c>
      <c r="AQ4" s="7" t="s">
        <v>66</v>
      </c>
      <c r="AR4" s="7" t="s">
        <v>67</v>
      </c>
      <c r="AS4" s="7" t="s">
        <v>68</v>
      </c>
      <c r="AT4" s="7" t="s">
        <v>69</v>
      </c>
      <c r="AU4" s="7" t="s">
        <v>70</v>
      </c>
      <c r="AV4" s="7" t="s">
        <v>71</v>
      </c>
      <c r="AW4" s="7" t="s">
        <v>72</v>
      </c>
      <c r="AX4" s="7" t="s">
        <v>73</v>
      </c>
      <c r="AY4" s="7" t="s">
        <v>74</v>
      </c>
      <c r="AZ4" s="7" t="s">
        <v>75</v>
      </c>
      <c r="BA4" s="7" t="s">
        <v>76</v>
      </c>
      <c r="BB4" s="7" t="s">
        <v>77</v>
      </c>
    </row>
    <row r="5" customFormat="false" ht="15" hidden="false" customHeight="false" outlineLevel="0" collapsed="false">
      <c r="A5" s="8" t="s">
        <v>78</v>
      </c>
      <c r="B5" s="8" t="s">
        <v>79</v>
      </c>
      <c r="C5" s="8" t="s">
        <v>80</v>
      </c>
      <c r="D5" s="9" t="n">
        <v>32975</v>
      </c>
      <c r="E5" s="10" t="n">
        <f aca="false">IF(OR(AE5=0,$D5=""),"",DATE(YEAR(AsOfDate)+IF(DATE(YEAR(AsOfDate),MONTH($D5),DAY($D5))&lt;=AsOfDate,1,0),MONTH($D5),DAY($D5)))</f>
        <v>46489</v>
      </c>
      <c r="F5" s="9" t="n">
        <v>44242</v>
      </c>
      <c r="G5" s="9"/>
      <c r="H5" s="9" t="n">
        <v>44242</v>
      </c>
      <c r="I5" s="9"/>
      <c r="J5" s="9"/>
      <c r="K5" s="10" t="n">
        <f aca="false">IF(AE5=0,"",DATE(YEAR(AsOfDate)+IF(DATE(YEAR(AsOfDate),MONTH($F5),DAY($F5))&lt;=AsOfDate,1,0),MONTH($F5),DAY($F5)))</f>
        <v>46433</v>
      </c>
      <c r="L5" s="11" t="n">
        <f aca="false">IF(AE5=0,"",ROUND((AsOfDate-$F5)/365.25,1))</f>
        <v>5.6</v>
      </c>
      <c r="M5" s="12" t="str">
        <f aca="false">IF(AE5=0,"",IF(AsOfDate&lt;AF5,"-",DATEDIF(AF5,AsOfDate,"y")&amp;"y "&amp;DATEDIF(AF5,AsOfDate,"ym")&amp;"m "&amp;DATEDIF(AF5,AsOfDate,"md")&amp;"d"))</f>
        <v>5y 7m 16d</v>
      </c>
      <c r="N5" s="13" t="n">
        <f aca="false">IF(AE5=0,"",O5*HoursPerDay)</f>
        <v>80</v>
      </c>
      <c r="O5" s="13" t="n">
        <f aca="false">IF(AE5=0,"",AX5)</f>
        <v>10</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"&amp;IF(AND($C5="Part-Time",$P5&lt;&gt;"",N($P5)&lt;PT_MinHours),"under "&amp;PT_MinHours&amp;" hrs",$C5)),IF(O5&gt;0,"Yes - accruing","Not yet - from "&amp;TEXT(S5,"dd/mm/yyyy"))))</f>
        <v>Yes - accruing</v>
      </c>
      <c r="S5" s="10" t="n">
        <f aca="false">IF(AE5=0,"",IF(AQ5="None","",EDATE(AF5,AZ5)))</f>
        <v>46341</v>
      </c>
      <c r="T5" s="13" t="n">
        <f aca="false">IF(OR(AE5=0,W5=""),"",W5-U5+V5)</f>
        <v>64</v>
      </c>
      <c r="U5" s="13" t="n">
        <f aca="false">IF(AE5=0,"",IF(NOT(LH_Ready),"",SUMIFS(INDEX(LH_Data,0,LH_ColAcc),INDEX(LH_Data,0,LH_ColFirst),$A5,INDEX(LH_Data,0,LH_ColSur),$B5,INDEX(LH_Data,0,LH_ColCat),BonusCat)*UnitFactor))</f>
        <v>0</v>
      </c>
      <c r="V5" s="13" t="n">
        <f aca="false">IF(AE5=0,"",IF(NOT(LH_Ready),"",SUMIFS(INDEX(LH_Data,0,LH_ColTaken),INDEX(LH_Data,0,LH_ColFirst),$A5,INDEX(LH_Data,0,LH_ColSur),$B5,INDEX(LH_Data,0,LH_ColCat),BonusCat)*UnitFactor))</f>
        <v>8</v>
      </c>
      <c r="W5" s="13" t="n">
        <f aca="false">IF(AE5=0,"",IF(NOT(LH_Ready),"",IF(BB5=0,0,INDEX(INDEX(LH_Data,0,LH_ColClose),BB5-1)*UnitFactor)))</f>
        <v>56</v>
      </c>
      <c r="X5" s="13" t="n">
        <f aca="false">IF(AE5=0,"",(AX5-AY5)*HoursPerDay)</f>
        <v>8</v>
      </c>
      <c r="Y5" s="13" t="n">
        <f aca="false">IF(AE5=0,"",X5-N(U5))</f>
        <v>8</v>
      </c>
      <c r="Z5" s="12" t="str">
        <f aca="false">IF(AE5=0,"",IF(Y5&gt;0,"Yes","No"))</f>
        <v>Yes</v>
      </c>
      <c r="AA5" s="12" t="str">
        <f aca="false">IF(AE5=0,"",IF(NOT(LH_Ready),"Paste Leave History export",IF(Y5&gt;0,"ACCRUE "&amp;TEXT(Y5,"0.##")&amp;" hrs ("&amp;TEXT(Y5/HoursPerDay,"0.##")&amp;" days)"&amp;IF(BA5=0," - no Bonus Leave line in EH yet",""),IF(Y5&lt;0,"CHECK - EH accrued "&amp;TEXT(-Y5,"0.##")&amp;" hrs more than policy",IF(AND(O5&gt;0,BA5=0),"CHECK - policy says "&amp;TEXT(N5,"0.##")&amp;" hrs to date but no Bonus Leave in EH",IF(O5&gt;0,"OK","-"))))))</f>
        <v>ACCRUE 8 hrs (1 days)</v>
      </c>
      <c r="AB5" s="13" t="n">
        <f aca="false">IF(OR(AE5=0,T5=""),"",AY5*HoursPerDay-T5)</f>
        <v>8</v>
      </c>
      <c r="AC5" s="12" t="n">
        <f aca="false">IF(AE5=0,"",BA5)</f>
        <v>6</v>
      </c>
      <c r="AD5" s="12" t="str">
        <f aca="false">IF(AE5=0,"",TRIM(IF(AND(AG5&gt;=1,IF(AG5&gt;=3,AM5,IF(AG5=2,AL5,AK5))&lt;&gt;$C5),"EmploymentType does not match latest start date ("&amp;IF(AG5&gt;=3,AM5,IF(AG5=2,AL5,AK5))&amp;"). ","")&amp;IF(AND(AG5&gt;=1,AH5&lt;&gt;$F5),"Earliest type date should equal StartDate. ","")&amp;IF(AND(AG5&gt;=2,AH5=AI5),"Two types start on the same date. ","")&amp;IF(AND($C5="Part-Time",$P5=""),"Part-time: enter PT Hrs/Week (blank = 24+). ","")))</f>
        <v/>
      </c>
      <c r="AE5" s="12" t="n">
        <f aca="false">IF(OR(LEN($A5&amp;$B5)=0,$F5=""),0,1)</f>
        <v>1</v>
      </c>
      <c r="AF5" s="10" t="n">
        <f aca="false">IF(AE5=0,"",IF($J5&lt;&gt;"",$J5,$F5))</f>
        <v>44242</v>
      </c>
      <c r="AG5" s="12" t="n">
        <f aca="false">IF(AE5=0,"",COUNT($G5:$I5))</f>
        <v>1</v>
      </c>
      <c r="AH5" s="10" t="n">
        <f aca="false">IF(AE5=0,"",IFERROR(SMALL($G5:$I5,1),""))</f>
        <v>44242</v>
      </c>
      <c r="AI5" s="10" t="str">
        <f aca="false">IF(AE5=0,"",IFERROR(SMALL($G5:$I5,2),""))</f>
        <v/>
      </c>
      <c r="AJ5" s="10" t="str">
        <f aca="false">IF(AE5=0,"",IFERROR(SMALL($G5:$I5,3),""))</f>
        <v/>
      </c>
      <c r="AK5" s="12" t="str">
        <f aca="false">IF(AE5=0,"",IF(AH5="","",IF(AH5=$G5,"Part-Time",IF(AH5=$H5,"Full-Time","Casual"))))</f>
        <v>Full-Time</v>
      </c>
      <c r="AL5" s="12" t="str">
        <f aca="false">IF(AE5=0,"",IF(AI5="","",IF(AI5=$G5,"Part-Time",IF(AI5=$H5,"Full-Time","Casual"))))</f>
        <v/>
      </c>
      <c r="AM5" s="12" t="str">
        <f aca="false">IF(AE5=0,"",IF(AJ5="","",IF(AJ5=$G5,"Part-Time",IF(AJ5=$H5,"Full-Time","Casual"))))</f>
        <v/>
      </c>
      <c r="AN5" s="12" t="str">
        <f aca="false">IF(AE5=0,"",IF(AG5=0,IF($C5="Full-Time","FT",IF(AND($C5="Part-Time",OR($P5="",N($P5)&gt;=PT_MinHours)),"PT","None")),IF(AK5="Full-Time","FT",IF(AND(AK5="Part-Time",OR($P5="",N($P5)&gt;=PT_MinHours)),"PT","None"))))</f>
        <v>FT</v>
      </c>
      <c r="AO5" s="12" t="str">
        <f aca="false">IF(AE5=0,"",IF(AG5&lt;2,"",IF(AL5="Full-Time","FT",IF(AND(AL5="Part-Time",OR($P5="",N($P5)&gt;=PT_MinHours)),"PT","None"))))</f>
        <v/>
      </c>
      <c r="AP5" s="12" t="str">
        <f aca="false">IF(AE5=0,"",IF(AG5&lt;3,"",IF(AM5="Full-Time","FT",IF(AND(AM5="Part-Time",OR($P5="",N($P5)&gt;=PT_MinHours)),"PT","None"))))</f>
        <v/>
      </c>
      <c r="AQ5" s="12" t="str">
        <f aca="false">IF(AE5=0,"",IF(AND(AG5&gt;=3,AJ5&lt;=AsOfDate),AP5,IF(AND(AG5&gt;=2,AI5&lt;=AsOfDate),AO5,AN5)))</f>
        <v>FT</v>
      </c>
      <c r="AR5" s="12" t="n">
        <f aca="false">IF(AE5=0,"",IF(AsOfDate&lt;AF5,-1,12*(YEAR(AsOfDate)-YEAR(AF5))+MONTH(AsOfDate)-MONTH(AF5)-IF(DAY(AsOfDate)&lt;MIN(DAY(AF5),DAY(EOMONTH(AsOfDate,0))),1,0)))</f>
        <v>67</v>
      </c>
      <c r="AS5" s="12" t="n">
        <f aca="false">IF(AE5=0,"",IF(OR(AG5&lt;2,AI5&gt;AsOfDate),AR5,IF((AI5-1)&lt;AF5,-1,12*(YEAR((AI5-1))-YEAR(AF5))+MONTH((AI5-1))-MONTH(AF5)-IF(DAY((AI5-1))&lt;MIN(DAY(AF5),DAY(EOMONTH((AI5-1),0))),1,0))))</f>
        <v>67</v>
      </c>
      <c r="AT5" s="12" t="n">
        <f aca="false">IF(AE5=0,"",IF(OR(AG5&lt;3,AJ5&gt;AsOfDate),AR5,IF((AJ5-1)&lt;AF5,-1,12*(YEAR((AJ5-1))-YEAR(AF5))+MONTH((AJ5-1))-MONTH(AF5)-IF(DAY((AJ5-1))&lt;MIN(DAY(AF5),DAY(EOMONTH((AJ5-1),0))),1,0))))</f>
        <v>67</v>
      </c>
      <c r="AU5" s="12" t="n">
        <f aca="false">IF(AE5=0,"",IF(PFYDate&lt;AF5,-1,12*(YEAR(PFYDate)-YEAR(AF5))+MONTH(PFYDate)-MONTH(AF5)-IF(DAY(PFYDate)&lt;MIN(DAY(AF5),DAY(EOMONTH(PFYDate,0))),1,0)))</f>
        <v>64</v>
      </c>
      <c r="AV5" s="12" t="n">
        <f aca="false">IF(AE5=0,"",IF(OR(AG5&lt;2,AI5&gt;PFYDate),AU5,IF((AI5-1)&lt;AF5,-1,12*(YEAR((AI5-1))-YEAR(AF5))+MONTH((AI5-1))-MONTH(AF5)-IF(DAY((AI5-1))&lt;MIN(DAY(AF5),DAY(EOMONTH((AI5-1),0))),1,0))))</f>
        <v>64</v>
      </c>
      <c r="AW5" s="12" t="n">
        <f aca="false">IF(AE5=0,"",IF(OR(AG5&lt;3,AJ5&gt;PFYDate),AU5,IF((AJ5-1)&lt;AF5,-1,12*(YEAR((AJ5-1))-YEAR(AF5))+MONTH((AJ5-1))-MONTH(AF5)-IF(DAY((AJ5-1))&lt;MIN(DAY(AF5),DAY(EOMONTH((AJ5-1),0))),1,0))))</f>
        <v>64</v>
      </c>
      <c r="AX5" s="12"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10</v>
      </c>
      <c r="AY5" s="12"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9</v>
      </c>
      <c r="AZ5" s="12" t="n">
        <f aca="false">IF(AE5=0,"",IF(AQ5="FT",IF(AR5&lt;FT_First,FT_First,IF(AR5&lt;FT_Y5,MIN(FT_Y5,FT_First+FT_Int1*(INT((AR5-FT_First)/FT_Int1)+1)),FT_Y5+12*INT((AR5-FT_Y5)/12)+FT_Int2*(INT(MOD(AR5-FT_Y5,12)/FT_Int2)+1))),IF(AQ5="PT",IF(AR5&lt;PT_First,PT_First,PT_First+PT_Int*(INT((AR5-PT_First)/PT_Int)+1)),"")))</f>
        <v>69</v>
      </c>
      <c r="BA5" s="12" t="n">
        <f aca="false">IF(AE5=0,"",IF(NOT(LH_Ready),0,COUNTIFS(INDEX(LH_Data,0,LH_ColFirst),$A5,INDEX(LH_Data,0,LH_ColSur),$B5,INDEX(LH_Data,0,LH_ColCat),BonusCat)))</f>
        <v>6</v>
      </c>
      <c r="BB5" s="12" t="n">
        <f aca="false">IF(AE5=0,"",IF(OR(NOT(LH_Ready),BA5=0),0,SUMPRODUCT(MAX((INDEX(LH_Data,0,LH_ColFirst)=$A5)*(INDEX(LH_Data,0,LH_ColSur)=$B5)*(INDEX(LH_Data,0,LH_ColCat)=BonusCat)*ROW(LH_Data)))))</f>
        <v>7</v>
      </c>
    </row>
    <row r="6" customFormat="false" ht="15" hidden="false" customHeight="false" outlineLevel="0" collapsed="false">
      <c r="A6" s="8" t="s">
        <v>81</v>
      </c>
      <c r="B6" s="8" t="s">
        <v>82</v>
      </c>
      <c r="C6" s="8" t="s">
        <v>83</v>
      </c>
      <c r="D6" s="9" t="n">
        <v>31381</v>
      </c>
      <c r="E6" s="10" t="n">
        <f aca="false">IF(OR(AE6=0,$D6=""),"",DATE(YEAR(AsOfDate)+IF(DATE(YEAR(AsOfDate),MONTH($D6),DAY($D6))&lt;=AsOfDate,1,0),MONTH($D6),DAY($D6)))</f>
        <v>46356</v>
      </c>
      <c r="F6" s="9" t="n">
        <v>43983</v>
      </c>
      <c r="G6" s="9" t="n">
        <v>43983</v>
      </c>
      <c r="H6" s="9"/>
      <c r="I6" s="9"/>
      <c r="J6" s="9"/>
      <c r="K6" s="10" t="n">
        <f aca="false">IF(AE6=0,"",DATE(YEAR(AsOfDate)+IF(DATE(YEAR(AsOfDate),MONTH($F6),DAY($F6))&lt;=AsOfDate,1,0),MONTH($F6),DAY($F6)))</f>
        <v>46539</v>
      </c>
      <c r="L6" s="11" t="n">
        <f aca="false">IF(AE6=0,"",ROUND((AsOfDate-$F6)/365.25,1))</f>
        <v>6.3</v>
      </c>
      <c r="M6" s="12" t="str">
        <f aca="false">IF(AE6=0,"",IF(AsOfDate&lt;AF6,"-",DATEDIF(AF6,AsOfDate,"y")&amp;"y "&amp;DATEDIF(AF6,AsOfDate,"ym")&amp;"m "&amp;DATEDIF(AF6,AsOfDate,"md")&amp;"d"))</f>
        <v>6y 4m 0d</v>
      </c>
      <c r="N6" s="13" t="n">
        <f aca="false">IF(AE6=0,"",O6*HoursPerDay)</f>
        <v>40</v>
      </c>
      <c r="O6" s="13" t="n">
        <f aca="false">IF(AE6=0,"",AX6)</f>
        <v>5</v>
      </c>
      <c r="P6" s="14" t="n">
        <v>24</v>
      </c>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"&amp;IF(AND($C6="Part-Time",$P6&lt;&gt;"",N($P6)&lt;PT_MinHours),"under "&amp;PT_MinHours&amp;" hrs",$C6)),IF(O6&gt;0,"Yes - accruing","Not yet - from "&amp;TEXT(S6,"dd/mm/yyyy"))))</f>
        <v>Yes - accruing</v>
      </c>
      <c r="S6" s="10" t="n">
        <f aca="false">IF(AE6=0,"",IF(AQ6="None","",EDATE(AF6,AZ6)))</f>
        <v>46419</v>
      </c>
      <c r="T6" s="13" t="n">
        <f aca="false">IF(OR(AE6=0,W6=""),"",W6-U6+V6)</f>
        <v>32</v>
      </c>
      <c r="U6" s="13" t="n">
        <f aca="false">IF(AE6=0,"",IF(NOT(LH_Ready),"",SUMIFS(INDEX(LH_Data,0,LH_ColAcc),INDEX(LH_Data,0,LH_ColFirst),$A6,INDEX(LH_Data,0,LH_ColSur),$B6,INDEX(LH_Data,0,LH_ColCat),BonusCat)*UnitFactor))</f>
        <v>0</v>
      </c>
      <c r="V6" s="13" t="n">
        <f aca="false">IF(AE6=0,"",IF(NOT(LH_Ready),"",SUMIFS(INDEX(LH_Data,0,LH_ColTaken),INDEX(LH_Data,0,LH_ColFirst),$A6,INDEX(LH_Data,0,LH_ColSur),$B6,INDEX(LH_Data,0,LH_ColCat),BonusCat)*UnitFactor))</f>
        <v>0</v>
      </c>
      <c r="W6" s="13" t="n">
        <f aca="false">IF(AE6=0,"",IF(NOT(LH_Ready),"",IF(BB6=0,0,INDEX(INDEX(LH_Data,0,LH_ColClose),BB6-1)*UnitFactor)))</f>
        <v>32</v>
      </c>
      <c r="X6" s="13" t="n">
        <f aca="false">IF(AE6=0,"",(AX6-AY6)*HoursPerDay)</f>
        <v>8</v>
      </c>
      <c r="Y6" s="13" t="n">
        <f aca="false">IF(AE6=0,"",X6-N(U6))</f>
        <v>8</v>
      </c>
      <c r="Z6" s="12" t="str">
        <f aca="false">IF(AE6=0,"",IF(Y6&gt;0,"Yes","No"))</f>
        <v>Yes</v>
      </c>
      <c r="AA6" s="12" t="str">
        <f aca="false">IF(AE6=0,"",IF(NOT(LH_Ready),"Paste Leave History export",IF(Y6&gt;0,"ACCRUE "&amp;TEXT(Y6,"0.##")&amp;" hrs ("&amp;TEXT(Y6/HoursPerDay,"0.##")&amp;" days)"&amp;IF(BA6=0," - no Bonus Leave line in EH yet",""),IF(Y6&lt;0,"CHECK - EH accrued "&amp;TEXT(-Y6,"0.##")&amp;" hrs more than policy",IF(AND(O6&gt;0,BA6=0),"CHECK - policy says "&amp;TEXT(N6,"0.##")&amp;" hrs to date but no Bonus Leave in EH",IF(O6&gt;0,"OK","-"))))))</f>
        <v>ACCRUE 8 hrs (1 days)</v>
      </c>
      <c r="AB6" s="13" t="n">
        <f aca="false">IF(OR(AE6=0,T6=""),"",AY6*HoursPerDay-T6)</f>
        <v>0</v>
      </c>
      <c r="AC6" s="12" t="n">
        <f aca="false">IF(AE6=0,"",BA6)</f>
        <v>6</v>
      </c>
      <c r="AD6" s="12" t="str">
        <f aca="false">IF(AE6=0,"",TRIM(IF(AND(AG6&gt;=1,IF(AG6&gt;=3,AM6,IF(AG6=2,AL6,AK6))&lt;&gt;$C6),"EmploymentType does not match latest start date ("&amp;IF(AG6&gt;=3,AM6,IF(AG6=2,AL6,AK6))&amp;"). ","")&amp;IF(AND(AG6&gt;=1,AH6&lt;&gt;$F6),"Earliest type date should equal StartDate. ","")&amp;IF(AND(AG6&gt;=2,AH6=AI6),"Two types start on the same date. ","")&amp;IF(AND($C6="Part-Time",$P6=""),"Part-time: enter PT Hrs/Week (blank = 24+). ","")))</f>
        <v/>
      </c>
      <c r="AE6" s="12" t="n">
        <f aca="false">IF(OR(LEN($A6&amp;$B6)=0,$F6=""),0,1)</f>
        <v>1</v>
      </c>
      <c r="AF6" s="10" t="n">
        <f aca="false">IF(AE6=0,"",IF($J6&lt;&gt;"",$J6,$F6))</f>
        <v>43983</v>
      </c>
      <c r="AG6" s="12" t="n">
        <f aca="false">IF(AE6=0,"",COUNT($G6:$I6))</f>
        <v>1</v>
      </c>
      <c r="AH6" s="10" t="n">
        <f aca="false">IF(AE6=0,"",IFERROR(SMALL($G6:$I6,1),""))</f>
        <v>43983</v>
      </c>
      <c r="AI6" s="10" t="str">
        <f aca="false">IF(AE6=0,"",IFERROR(SMALL($G6:$I6,2),""))</f>
        <v/>
      </c>
      <c r="AJ6" s="10" t="str">
        <f aca="false">IF(AE6=0,"",IFERROR(SMALL($G6:$I6,3),""))</f>
        <v/>
      </c>
      <c r="AK6" s="12" t="str">
        <f aca="false">IF(AE6=0,"",IF(AH6="","",IF(AH6=$G6,"Part-Time",IF(AH6=$H6,"Full-Time","Casual"))))</f>
        <v>Part-Time</v>
      </c>
      <c r="AL6" s="12" t="str">
        <f aca="false">IF(AE6=0,"",IF(AI6="","",IF(AI6=$G6,"Part-Time",IF(AI6=$H6,"Full-Time","Casual"))))</f>
        <v/>
      </c>
      <c r="AM6" s="12" t="str">
        <f aca="false">IF(AE6=0,"",IF(AJ6="","",IF(AJ6=$G6,"Part-Time",IF(AJ6=$H6,"Full-Time","Casual"))))</f>
        <v/>
      </c>
      <c r="AN6" s="12" t="str">
        <f aca="false">IF(AE6=0,"",IF(AG6=0,IF($C6="Full-Time","FT",IF(AND($C6="Part-Time",OR($P6="",N($P6)&gt;=PT_MinHours)),"PT","None")),IF(AK6="Full-Time","FT",IF(AND(AK6="Part-Time",OR($P6="",N($P6)&gt;=PT_MinHours)),"PT","None"))))</f>
        <v>PT</v>
      </c>
      <c r="AO6" s="12" t="str">
        <f aca="false">IF(AE6=0,"",IF(AG6&lt;2,"",IF(AL6="Full-Time","FT",IF(AND(AL6="Part-Time",OR($P6="",N($P6)&gt;=PT_MinHours)),"PT","None"))))</f>
        <v/>
      </c>
      <c r="AP6" s="12" t="str">
        <f aca="false">IF(AE6=0,"",IF(AG6&lt;3,"",IF(AM6="Full-Time","FT",IF(AND(AM6="Part-Time",OR($P6="",N($P6)&gt;=PT_MinHours)),"PT","None"))))</f>
        <v/>
      </c>
      <c r="AQ6" s="12" t="str">
        <f aca="false">IF(AE6=0,"",IF(AND(AG6&gt;=3,AJ6&lt;=AsOfDate),AP6,IF(AND(AG6&gt;=2,AI6&lt;=AsOfDate),AO6,AN6)))</f>
        <v>PT</v>
      </c>
      <c r="AR6" s="12" t="n">
        <f aca="false">IF(AE6=0,"",IF(AsOfDate&lt;AF6,-1,12*(YEAR(AsOfDate)-YEAR(AF6))+MONTH(AsOfDate)-MONTH(AF6)-IF(DAY(AsOfDate)&lt;MIN(DAY(AF6),DAY(EOMONTH(AsOfDate,0))),1,0)))</f>
        <v>76</v>
      </c>
      <c r="AS6" s="12" t="n">
        <f aca="false">IF(AE6=0,"",IF(OR(AG6&lt;2,AI6&gt;AsOfDate),AR6,IF((AI6-1)&lt;AF6,-1,12*(YEAR((AI6-1))-YEAR(AF6))+MONTH((AI6-1))-MONTH(AF6)-IF(DAY((AI6-1))&lt;MIN(DAY(AF6),DAY(EOMONTH((AI6-1),0))),1,0))))</f>
        <v>76</v>
      </c>
      <c r="AT6" s="12" t="n">
        <f aca="false">IF(AE6=0,"",IF(OR(AG6&lt;3,AJ6&gt;AsOfDate),AR6,IF((AJ6-1)&lt;AF6,-1,12*(YEAR((AJ6-1))-YEAR(AF6))+MONTH((AJ6-1))-MONTH(AF6)-IF(DAY((AJ6-1))&lt;MIN(DAY(AF6),DAY(EOMONTH((AJ6-1),0))),1,0))))</f>
        <v>76</v>
      </c>
      <c r="AU6" s="12" t="n">
        <f aca="false">IF(AE6=0,"",IF(PFYDate&lt;AF6,-1,12*(YEAR(PFYDate)-YEAR(AF6))+MONTH(PFYDate)-MONTH(AF6)-IF(DAY(PFYDate)&lt;MIN(DAY(AF6),DAY(EOMONTH(PFYDate,0))),1,0)))</f>
        <v>72</v>
      </c>
      <c r="AV6" s="12" t="n">
        <f aca="false">IF(AE6=0,"",IF(OR(AG6&lt;2,AI6&gt;PFYDate),AU6,IF((AI6-1)&lt;AF6,-1,12*(YEAR((AI6-1))-YEAR(AF6))+MONTH((AI6-1))-MONTH(AF6)-IF(DAY((AI6-1))&lt;MIN(DAY(AF6),DAY(EOMONTH((AI6-1),0))),1,0))))</f>
        <v>72</v>
      </c>
      <c r="AW6" s="12" t="n">
        <f aca="false">IF(AE6=0,"",IF(OR(AG6&lt;3,AJ6&gt;PFYDate),AU6,IF((AJ6-1)&lt;AF6,-1,12*(YEAR((AJ6-1))-YEAR(AF6))+MONTH((AJ6-1))-MONTH(AF6)-IF(DAY((AJ6-1))&lt;MIN(DAY(AF6),DAY(EOMONTH((AJ6-1),0))),1,0))))</f>
        <v>72</v>
      </c>
      <c r="AX6" s="12"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5</v>
      </c>
      <c r="AY6" s="12"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4</v>
      </c>
      <c r="AZ6" s="12" t="n">
        <f aca="false">IF(AE6=0,"",IF(AQ6="FT",IF(AR6&lt;FT_First,FT_First,IF(AR6&lt;FT_Y5,MIN(FT_Y5,FT_First+FT_Int1*(INT((AR6-FT_First)/FT_Int1)+1)),FT_Y5+12*INT((AR6-FT_Y5)/12)+FT_Int2*(INT(MOD(AR6-FT_Y5,12)/FT_Int2)+1))),IF(AQ6="PT",IF(AR6&lt;PT_First,PT_First,PT_First+PT_Int*(INT((AR6-PT_First)/PT_Int)+1)),"")))</f>
        <v>80</v>
      </c>
      <c r="BA6" s="12" t="n">
        <f aca="false">IF(AE6=0,"",IF(NOT(LH_Ready),0,COUNTIFS(INDEX(LH_Data,0,LH_ColFirst),$A6,INDEX(LH_Data,0,LH_ColSur),$B6,INDEX(LH_Data,0,LH_ColCat),BonusCat)))</f>
        <v>6</v>
      </c>
      <c r="BB6" s="12" t="n">
        <f aca="false">IF(AE6=0,"",IF(OR(NOT(LH_Ready),BA6=0),0,SUMPRODUCT(MAX((INDEX(LH_Data,0,LH_ColFirst)=$A6)*(INDEX(LH_Data,0,LH_ColSur)=$B6)*(INDEX(LH_Data,0,LH_ColCat)=BonusCat)*ROW(LH_Data)))))</f>
        <v>19</v>
      </c>
    </row>
    <row r="7" customFormat="false" ht="15" hidden="false" customHeight="false" outlineLevel="0" collapsed="false">
      <c r="A7" s="8" t="s">
        <v>84</v>
      </c>
      <c r="B7" s="8" t="s">
        <v>85</v>
      </c>
      <c r="C7" s="8" t="s">
        <v>86</v>
      </c>
      <c r="D7" s="9" t="n">
        <v>36545</v>
      </c>
      <c r="E7" s="10" t="n">
        <f aca="false">IF(OR(AE7=0,$D7=""),"",DATE(YEAR(AsOfDate)+IF(DATE(YEAR(AsOfDate),MONTH($D7),DAY($D7))&lt;=AsOfDate,1,0),MONTH($D7),DAY($D7)))</f>
        <v>46407</v>
      </c>
      <c r="F7" s="9" t="n">
        <v>43528</v>
      </c>
      <c r="G7" s="9"/>
      <c r="H7" s="9"/>
      <c r="I7" s="9" t="n">
        <v>43528</v>
      </c>
      <c r="J7" s="9"/>
      <c r="K7" s="10" t="n">
        <f aca="false">IF(AE7=0,"",DATE(YEAR(AsOfDate)+IF(DATE(YEAR(AsOfDate),MONTH($F7),DAY($F7))&lt;=AsOfDate,1,0),MONTH($F7),DAY($F7)))</f>
        <v>46450</v>
      </c>
      <c r="L7" s="11" t="n">
        <f aca="false">IF(AE7=0,"",ROUND((AsOfDate-$F7)/365.25,1))</f>
        <v>7.6</v>
      </c>
      <c r="M7" s="12" t="str">
        <f aca="false">IF(AE7=0,"",IF(AsOfDate&lt;AF7,"-",DATEDIF(AF7,AsOfDate,"y")&amp;"y "&amp;DATEDIF(AF7,AsOfDate,"ym")&amp;"m "&amp;DATEDIF(AF7,AsOfDate,"md")&amp;"d"))</f>
        <v>7y 6m 27d</v>
      </c>
      <c r="N7" s="13" t="n">
        <f aca="false">IF(AE7=0,"",O7*HoursPerDay)</f>
        <v>0</v>
      </c>
      <c r="O7" s="13" t="n">
        <f aca="false">IF(AE7=0,"",AX7)</f>
        <v>0</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"&amp;IF(AND($C7="Part-Time",$P7&lt;&gt;"",N($P7)&lt;PT_MinHours),"under "&amp;PT_MinHours&amp;" hrs",$C7)),IF(O7&gt;0,"Yes - accruing","Not yet - from "&amp;TEXT(S7,"dd/mm/yyyy"))))</f>
        <v>Not eligible - Casual</v>
      </c>
      <c r="S7" s="10" t="str">
        <f aca="false">IF(AE7=0,"",IF(AQ7="None","",EDATE(AF7,AZ7)))</f>
        <v/>
      </c>
      <c r="T7" s="13" t="n">
        <f aca="false">IF(OR(AE7=0,W7=""),"",W7-U7+V7)</f>
        <v>0</v>
      </c>
      <c r="U7" s="13" t="n">
        <f aca="false">IF(AE7=0,"",IF(NOT(LH_Ready),"",SUMIFS(INDEX(LH_Data,0,LH_ColAcc),INDEX(LH_Data,0,LH_ColFirst),$A7,INDEX(LH_Data,0,LH_ColSur),$B7,INDEX(LH_Data,0,LH_ColCat),BonusCat)*UnitFactor))</f>
        <v>0</v>
      </c>
      <c r="V7" s="13" t="n">
        <f aca="false">IF(AE7=0,"",IF(NOT(LH_Ready),"",SUMIFS(INDEX(LH_Data,0,LH_ColTaken),INDEX(LH_Data,0,LH_ColFirst),$A7,INDEX(LH_Data,0,LH_ColSur),$B7,INDEX(LH_Data,0,LH_ColCat),BonusCat)*UnitFactor))</f>
        <v>0</v>
      </c>
      <c r="W7" s="13" t="n">
        <f aca="false">IF(AE7=0,"",IF(NOT(LH_Ready),"",IF(BB7=0,0,INDEX(INDEX(LH_Data,0,LH_ColClose),BB7-1)*UnitFactor)))</f>
        <v>0</v>
      </c>
      <c r="X7" s="13" t="n">
        <f aca="false">IF(AE7=0,"",(AX7-AY7)*HoursPerDay)</f>
        <v>0</v>
      </c>
      <c r="Y7" s="13" t="n">
        <f aca="false">IF(AE7=0,"",X7-N(U7))</f>
        <v>0</v>
      </c>
      <c r="Z7" s="12" t="str">
        <f aca="false">IF(AE7=0,"",IF(Y7&gt;0,"Yes","No"))</f>
        <v>No</v>
      </c>
      <c r="AA7" s="12" t="str">
        <f aca="false">IF(AE7=0,"",IF(NOT(LH_Ready),"Paste Leave History export",IF(Y7&gt;0,"ACCRUE "&amp;TEXT(Y7,"0.##")&amp;" hrs ("&amp;TEXT(Y7/HoursPerDay,"0.##")&amp;" days)"&amp;IF(BA7=0," - no Bonus Leave line in EH yet",""),IF(Y7&lt;0,"CHECK - EH accrued "&amp;TEXT(-Y7,"0.##")&amp;" hrs more than policy",IF(AND(O7&gt;0,BA7=0),"CHECK - policy says "&amp;TEXT(N7,"0.##")&amp;" hrs to date but no Bonus Leave in EH",IF(O7&gt;0,"OK","-"))))))</f>
        <v>-</v>
      </c>
      <c r="AB7" s="13" t="n">
        <f aca="false">IF(OR(AE7=0,T7=""),"",AY7*HoursPerDay-T7)</f>
        <v>0</v>
      </c>
      <c r="AC7" s="12" t="n">
        <f aca="false">IF(AE7=0,"",BA7)</f>
        <v>0</v>
      </c>
      <c r="AD7" s="12" t="str">
        <f aca="false">IF(AE7=0,"",TRIM(IF(AND(AG7&gt;=1,IF(AG7&gt;=3,AM7,IF(AG7=2,AL7,AK7))&lt;&gt;$C7),"EmploymentType does not match latest start date ("&amp;IF(AG7&gt;=3,AM7,IF(AG7=2,AL7,AK7))&amp;"). ","")&amp;IF(AND(AG7&gt;=1,AH7&lt;&gt;$F7),"Earliest type date should equal StartDate. ","")&amp;IF(AND(AG7&gt;=2,AH7=AI7),"Two types start on the same date. ","")&amp;IF(AND($C7="Part-Time",$P7=""),"Part-time: enter PT Hrs/Week (blank = 24+). ","")))</f>
        <v/>
      </c>
      <c r="AE7" s="12" t="n">
        <f aca="false">IF(OR(LEN($A7&amp;$B7)=0,$F7=""),0,1)</f>
        <v>1</v>
      </c>
      <c r="AF7" s="10" t="n">
        <f aca="false">IF(AE7=0,"",IF($J7&lt;&gt;"",$J7,$F7))</f>
        <v>43528</v>
      </c>
      <c r="AG7" s="12" t="n">
        <f aca="false">IF(AE7=0,"",COUNT($G7:$I7))</f>
        <v>1</v>
      </c>
      <c r="AH7" s="10" t="n">
        <f aca="false">IF(AE7=0,"",IFERROR(SMALL($G7:$I7,1),""))</f>
        <v>43528</v>
      </c>
      <c r="AI7" s="10" t="str">
        <f aca="false">IF(AE7=0,"",IFERROR(SMALL($G7:$I7,2),""))</f>
        <v/>
      </c>
      <c r="AJ7" s="10" t="str">
        <f aca="false">IF(AE7=0,"",IFERROR(SMALL($G7:$I7,3),""))</f>
        <v/>
      </c>
      <c r="AK7" s="12" t="str">
        <f aca="false">IF(AE7=0,"",IF(AH7="","",IF(AH7=$G7,"Part-Time",IF(AH7=$H7,"Full-Time","Casual"))))</f>
        <v>Casual</v>
      </c>
      <c r="AL7" s="12" t="str">
        <f aca="false">IF(AE7=0,"",IF(AI7="","",IF(AI7=$G7,"Part-Time",IF(AI7=$H7,"Full-Time","Casual"))))</f>
        <v/>
      </c>
      <c r="AM7" s="12" t="str">
        <f aca="false">IF(AE7=0,"",IF(AJ7="","",IF(AJ7=$G7,"Part-Time",IF(AJ7=$H7,"Full-Time","Casual"))))</f>
        <v/>
      </c>
      <c r="AN7" s="12" t="str">
        <f aca="false">IF(AE7=0,"",IF(AG7=0,IF($C7="Full-Time","FT",IF(AND($C7="Part-Time",OR($P7="",N($P7)&gt;=PT_MinHours)),"PT","None")),IF(AK7="Full-Time","FT",IF(AND(AK7="Part-Time",OR($P7="",N($P7)&gt;=PT_MinHours)),"PT","None"))))</f>
        <v>None</v>
      </c>
      <c r="AO7" s="12" t="str">
        <f aca="false">IF(AE7=0,"",IF(AG7&lt;2,"",IF(AL7="Full-Time","FT",IF(AND(AL7="Part-Time",OR($P7="",N($P7)&gt;=PT_MinHours)),"PT","None"))))</f>
        <v/>
      </c>
      <c r="AP7" s="12" t="str">
        <f aca="false">IF(AE7=0,"",IF(AG7&lt;3,"",IF(AM7="Full-Time","FT",IF(AND(AM7="Part-Time",OR($P7="",N($P7)&gt;=PT_MinHours)),"PT","None"))))</f>
        <v/>
      </c>
      <c r="AQ7" s="12" t="str">
        <f aca="false">IF(AE7=0,"",IF(AND(AG7&gt;=3,AJ7&lt;=AsOfDate),AP7,IF(AND(AG7&gt;=2,AI7&lt;=AsOfDate),AO7,AN7)))</f>
        <v>None</v>
      </c>
      <c r="AR7" s="12" t="n">
        <f aca="false">IF(AE7=0,"",IF(AsOfDate&lt;AF7,-1,12*(YEAR(AsOfDate)-YEAR(AF7))+MONTH(AsOfDate)-MONTH(AF7)-IF(DAY(AsOfDate)&lt;MIN(DAY(AF7),DAY(EOMONTH(AsOfDate,0))),1,0)))</f>
        <v>90</v>
      </c>
      <c r="AS7" s="12" t="n">
        <f aca="false">IF(AE7=0,"",IF(OR(AG7&lt;2,AI7&gt;AsOfDate),AR7,IF((AI7-1)&lt;AF7,-1,12*(YEAR((AI7-1))-YEAR(AF7))+MONTH((AI7-1))-MONTH(AF7)-IF(DAY((AI7-1))&lt;MIN(DAY(AF7),DAY(EOMONTH((AI7-1),0))),1,0))))</f>
        <v>90</v>
      </c>
      <c r="AT7" s="12" t="n">
        <f aca="false">IF(AE7=0,"",IF(OR(AG7&lt;3,AJ7&gt;AsOfDate),AR7,IF((AJ7-1)&lt;AF7,-1,12*(YEAR((AJ7-1))-YEAR(AF7))+MONTH((AJ7-1))-MONTH(AF7)-IF(DAY((AJ7-1))&lt;MIN(DAY(AF7),DAY(EOMONTH((AJ7-1),0))),1,0))))</f>
        <v>90</v>
      </c>
      <c r="AU7" s="12" t="n">
        <f aca="false">IF(AE7=0,"",IF(PFYDate&lt;AF7,-1,12*(YEAR(PFYDate)-YEAR(AF7))+MONTH(PFYDate)-MONTH(AF7)-IF(DAY(PFYDate)&lt;MIN(DAY(AF7),DAY(EOMONTH(PFYDate,0))),1,0)))</f>
        <v>87</v>
      </c>
      <c r="AV7" s="12" t="n">
        <f aca="false">IF(AE7=0,"",IF(OR(AG7&lt;2,AI7&gt;PFYDate),AU7,IF((AI7-1)&lt;AF7,-1,12*(YEAR((AI7-1))-YEAR(AF7))+MONTH((AI7-1))-MONTH(AF7)-IF(DAY((AI7-1))&lt;MIN(DAY(AF7),DAY(EOMONTH((AI7-1),0))),1,0))))</f>
        <v>87</v>
      </c>
      <c r="AW7" s="12" t="n">
        <f aca="false">IF(AE7=0,"",IF(OR(AG7&lt;3,AJ7&gt;PFYDate),AU7,IF((AJ7-1)&lt;AF7,-1,12*(YEAR((AJ7-1))-YEAR(AF7))+MONTH((AJ7-1))-MONTH(AF7)-IF(DAY((AJ7-1))&lt;MIN(DAY(AF7),DAY(EOMONTH((AJ7-1),0))),1,0))))</f>
        <v>87</v>
      </c>
      <c r="AX7" s="12"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12"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12" t="str">
        <f aca="false">IF(AE7=0,"",IF(AQ7="FT",IF(AR7&lt;FT_First,FT_First,IF(AR7&lt;FT_Y5,MIN(FT_Y5,FT_First+FT_Int1*(INT((AR7-FT_First)/FT_Int1)+1)),FT_Y5+12*INT((AR7-FT_Y5)/12)+FT_Int2*(INT(MOD(AR7-FT_Y5,12)/FT_Int2)+1))),IF(AQ7="PT",IF(AR7&lt;PT_First,PT_First,PT_First+PT_Int*(INT((AR7-PT_First)/PT_Int)+1)),"")))</f>
        <v/>
      </c>
      <c r="BA7" s="12" t="n">
        <f aca="false">IF(AE7=0,"",IF(NOT(LH_Ready),0,COUNTIFS(INDEX(LH_Data,0,LH_ColFirst),$A7,INDEX(LH_Data,0,LH_ColSur),$B7,INDEX(LH_Data,0,LH_ColCat),BonusCat)))</f>
        <v>0</v>
      </c>
      <c r="BB7" s="12" t="n">
        <f aca="false">IF(AE7=0,"",IF(OR(NOT(LH_Ready),BA7=0),0,SUMPRODUCT(MAX((INDEX(LH_Data,0,LH_ColFirst)=$A7)*(INDEX(LH_Data,0,LH_ColSur)=$B7)*(INDEX(LH_Data,0,LH_ColCat)=BonusCat)*ROW(LH_Data)))))</f>
        <v>0</v>
      </c>
    </row>
    <row r="8" customFormat="false" ht="15" hidden="false" customHeight="false" outlineLevel="0" collapsed="false">
      <c r="A8" s="8" t="s">
        <v>87</v>
      </c>
      <c r="B8" s="8" t="s">
        <v>88</v>
      </c>
      <c r="C8" s="8" t="s">
        <v>83</v>
      </c>
      <c r="D8" s="9" t="n">
        <v>33793</v>
      </c>
      <c r="E8" s="10" t="n">
        <f aca="false">IF(OR(AE8=0,$D8=""),"",DATE(YEAR(AsOfDate)+IF(DATE(YEAR(AsOfDate),MONTH($D8),DAY($D8))&lt;=AsOfDate,1,0),MONTH($D8),DAY($D8)))</f>
        <v>46576</v>
      </c>
      <c r="F8" s="9" t="n">
        <v>44621</v>
      </c>
      <c r="G8" s="9" t="n">
        <v>45839</v>
      </c>
      <c r="H8" s="9" t="n">
        <v>44621</v>
      </c>
      <c r="I8" s="9"/>
      <c r="J8" s="9"/>
      <c r="K8" s="10" t="n">
        <f aca="false">IF(AE8=0,"",DATE(YEAR(AsOfDate)+IF(DATE(YEAR(AsOfDate),MONTH($F8),DAY($F8))&lt;=AsOfDate,1,0),MONTH($F8),DAY($F8)))</f>
        <v>46447</v>
      </c>
      <c r="L8" s="11" t="n">
        <f aca="false">IF(AE8=0,"",ROUND((AsOfDate-$F8)/365.25,1))</f>
        <v>4.6</v>
      </c>
      <c r="M8" s="12" t="str">
        <f aca="false">IF(AE8=0,"",IF(AsOfDate&lt;AF8,"-",DATEDIF(AF8,AsOfDate,"y")&amp;"y "&amp;DATEDIF(AF8,AsOfDate,"ym")&amp;"m "&amp;DATEDIF(AF8,AsOfDate,"md")&amp;"d"))</f>
        <v>4y 7m 0d</v>
      </c>
      <c r="N8" s="13" t="n">
        <f aca="false">IF(AE8=0,"",O8*HoursPerDay)</f>
        <v>8</v>
      </c>
      <c r="O8" s="13" t="n">
        <f aca="false">IF(AE8=0,"",AX8)</f>
        <v>1</v>
      </c>
      <c r="P8" s="14" t="n">
        <v>20</v>
      </c>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Full-Time to Part-Time on 01/07/2025 - STOPPED accruing</v>
      </c>
      <c r="R8" s="12" t="str">
        <f aca="false">IF(AE8=0,"",IF(AQ8="None",IF(O8&gt;0,"No longer accruing","Not eligible - "&amp;IF(AND($C8="Part-Time",$P8&lt;&gt;"",N($P8)&lt;PT_MinHours),"under "&amp;PT_MinHours&amp;" hrs",$C8)),IF(O8&gt;0,"Yes - accruing","Not yet - from "&amp;TEXT(S8,"dd/mm/yyyy"))))</f>
        <v>No longer accruing</v>
      </c>
      <c r="S8" s="10" t="str">
        <f aca="false">IF(AE8=0,"",IF(AQ8="None","",EDATE(AF8,AZ8)))</f>
        <v/>
      </c>
      <c r="T8" s="13" t="n">
        <f aca="false">IF(OR(AE8=0,W8=""),"",W8-U8+V8)</f>
        <v>8</v>
      </c>
      <c r="U8" s="13" t="n">
        <f aca="false">IF(AE8=0,"",IF(NOT(LH_Ready),"",SUMIFS(INDEX(LH_Data,0,LH_ColAcc),INDEX(LH_Data,0,LH_ColFirst),$A8,INDEX(LH_Data,0,LH_ColSur),$B8,INDEX(LH_Data,0,LH_ColCat),BonusCat)*UnitFactor))</f>
        <v>0</v>
      </c>
      <c r="V8" s="13" t="n">
        <f aca="false">IF(AE8=0,"",IF(NOT(LH_Ready),"",SUMIFS(INDEX(LH_Data,0,LH_ColTaken),INDEX(LH_Data,0,LH_ColFirst),$A8,INDEX(LH_Data,0,LH_ColSur),$B8,INDEX(LH_Data,0,LH_ColCat),BonusCat)*UnitFactor))</f>
        <v>8</v>
      </c>
      <c r="W8" s="13" t="n">
        <f aca="false">IF(AE8=0,"",IF(NOT(LH_Ready),"",IF(BB8=0,0,INDEX(INDEX(LH_Data,0,LH_ColClose),BB8-1)*UnitFactor)))</f>
        <v>0</v>
      </c>
      <c r="X8" s="13" t="n">
        <f aca="false">IF(AE8=0,"",(AX8-AY8)*HoursPerDay)</f>
        <v>0</v>
      </c>
      <c r="Y8" s="13" t="n">
        <f aca="false">IF(AE8=0,"",X8-N(U8))</f>
        <v>0</v>
      </c>
      <c r="Z8" s="12" t="str">
        <f aca="false">IF(AE8=0,"",IF(Y8&gt;0,"Yes","No"))</f>
        <v>No</v>
      </c>
      <c r="AA8" s="12" t="str">
        <f aca="false">IF(AE8=0,"",IF(NOT(LH_Ready),"Paste Leave History export",IF(Y8&gt;0,"ACCRUE "&amp;TEXT(Y8,"0.##")&amp;" hrs ("&amp;TEXT(Y8/HoursPerDay,"0.##")&amp;" days)"&amp;IF(BA8=0," - no Bonus Leave line in EH yet",""),IF(Y8&lt;0,"CHECK - EH accrued "&amp;TEXT(-Y8,"0.##")&amp;" hrs more than policy",IF(AND(O8&gt;0,BA8=0),"CHECK - policy says "&amp;TEXT(N8,"0.##")&amp;" hrs to date but no Bonus Leave in EH",IF(O8&gt;0,"OK","-"))))))</f>
        <v>OK</v>
      </c>
      <c r="AB8" s="13" t="n">
        <f aca="false">IF(OR(AE8=0,T8=""),"",AY8*HoursPerDay-T8)</f>
        <v>0</v>
      </c>
      <c r="AC8" s="12" t="n">
        <f aca="false">IF(AE8=0,"",BA8)</f>
        <v>6</v>
      </c>
      <c r="AD8" s="12" t="str">
        <f aca="false">IF(AE8=0,"",TRIM(IF(AND(AG8&gt;=1,IF(AG8&gt;=3,AM8,IF(AG8=2,AL8,AK8))&lt;&gt;$C8),"EmploymentType does not match latest start date ("&amp;IF(AG8&gt;=3,AM8,IF(AG8=2,AL8,AK8))&amp;"). ","")&amp;IF(AND(AG8&gt;=1,AH8&lt;&gt;$F8),"Earliest type date should equal StartDate. ","")&amp;IF(AND(AG8&gt;=2,AH8=AI8),"Two types start on the same date. ","")&amp;IF(AND($C8="Part-Time",$P8=""),"Part-time: enter PT Hrs/Week (blank = 24+). ","")))</f>
        <v/>
      </c>
      <c r="AE8" s="12" t="n">
        <f aca="false">IF(OR(LEN($A8&amp;$B8)=0,$F8=""),0,1)</f>
        <v>1</v>
      </c>
      <c r="AF8" s="10" t="n">
        <f aca="false">IF(AE8=0,"",IF($J8&lt;&gt;"",$J8,$F8))</f>
        <v>44621</v>
      </c>
      <c r="AG8" s="12" t="n">
        <f aca="false">IF(AE8=0,"",COUNT($G8:$I8))</f>
        <v>2</v>
      </c>
      <c r="AH8" s="10" t="n">
        <f aca="false">IF(AE8=0,"",IFERROR(SMALL($G8:$I8,1),""))</f>
        <v>44621</v>
      </c>
      <c r="AI8" s="10" t="n">
        <f aca="false">IF(AE8=0,"",IFERROR(SMALL($G8:$I8,2),""))</f>
        <v>45839</v>
      </c>
      <c r="AJ8" s="10" t="str">
        <f aca="false">IF(AE8=0,"",IFERROR(SMALL($G8:$I8,3),""))</f>
        <v/>
      </c>
      <c r="AK8" s="12" t="str">
        <f aca="false">IF(AE8=0,"",IF(AH8="","",IF(AH8=$G8,"Part-Time",IF(AH8=$H8,"Full-Time","Casual"))))</f>
        <v>Full-Time</v>
      </c>
      <c r="AL8" s="12" t="str">
        <f aca="false">IF(AE8=0,"",IF(AI8="","",IF(AI8=$G8,"Part-Time",IF(AI8=$H8,"Full-Time","Casual"))))</f>
        <v>Part-Time</v>
      </c>
      <c r="AM8" s="12" t="str">
        <f aca="false">IF(AE8=0,"",IF(AJ8="","",IF(AJ8=$G8,"Part-Time",IF(AJ8=$H8,"Full-Time","Casual"))))</f>
        <v/>
      </c>
      <c r="AN8" s="12" t="str">
        <f aca="false">IF(AE8=0,"",IF(AG8=0,IF($C8="Full-Time","FT",IF(AND($C8="Part-Time",OR($P8="",N($P8)&gt;=PT_MinHours)),"PT","None")),IF(AK8="Full-Time","FT",IF(AND(AK8="Part-Time",OR($P8="",N($P8)&gt;=PT_MinHours)),"PT","None"))))</f>
        <v>FT</v>
      </c>
      <c r="AO8" s="12" t="str">
        <f aca="false">IF(AE8=0,"",IF(AG8&lt;2,"",IF(AL8="Full-Time","FT",IF(AND(AL8="Part-Time",OR($P8="",N($P8)&gt;=PT_MinHours)),"PT","None"))))</f>
        <v>None</v>
      </c>
      <c r="AP8" s="12" t="str">
        <f aca="false">IF(AE8=0,"",IF(AG8&lt;3,"",IF(AM8="Full-Time","FT",IF(AND(AM8="Part-Time",OR($P8="",N($P8)&gt;=PT_MinHours)),"PT","None"))))</f>
        <v/>
      </c>
      <c r="AQ8" s="12" t="str">
        <f aca="false">IF(AE8=0,"",IF(AND(AG8&gt;=3,AJ8&lt;=AsOfDate),AP8,IF(AND(AG8&gt;=2,AI8&lt;=AsOfDate),AO8,AN8)))</f>
        <v>None</v>
      </c>
      <c r="AR8" s="12" t="n">
        <f aca="false">IF(AE8=0,"",IF(AsOfDate&lt;AF8,-1,12*(YEAR(AsOfDate)-YEAR(AF8))+MONTH(AsOfDate)-MONTH(AF8)-IF(DAY(AsOfDate)&lt;MIN(DAY(AF8),DAY(EOMONTH(AsOfDate,0))),1,0)))</f>
        <v>55</v>
      </c>
      <c r="AS8" s="12" t="n">
        <f aca="false">IF(AE8=0,"",IF(OR(AG8&lt;2,AI8&gt;AsOfDate),AR8,IF((AI8-1)&lt;AF8,-1,12*(YEAR((AI8-1))-YEAR(AF8))+MONTH((AI8-1))-MONTH(AF8)-IF(DAY((AI8-1))&lt;MIN(DAY(AF8),DAY(EOMONTH((AI8-1),0))),1,0))))</f>
        <v>39</v>
      </c>
      <c r="AT8" s="12" t="n">
        <f aca="false">IF(AE8=0,"",IF(OR(AG8&lt;3,AJ8&gt;AsOfDate),AR8,IF((AJ8-1)&lt;AF8,-1,12*(YEAR((AJ8-1))-YEAR(AF8))+MONTH((AJ8-1))-MONTH(AF8)-IF(DAY((AJ8-1))&lt;MIN(DAY(AF8),DAY(EOMONTH((AJ8-1),0))),1,0))))</f>
        <v>55</v>
      </c>
      <c r="AU8" s="12" t="n">
        <f aca="false">IF(AE8=0,"",IF(PFYDate&lt;AF8,-1,12*(YEAR(PFYDate)-YEAR(AF8))+MONTH(PFYDate)-MONTH(AF8)-IF(DAY(PFYDate)&lt;MIN(DAY(AF8),DAY(EOMONTH(PFYDate,0))),1,0)))</f>
        <v>51</v>
      </c>
      <c r="AV8" s="12" t="n">
        <f aca="false">IF(AE8=0,"",IF(OR(AG8&lt;2,AI8&gt;PFYDate),AU8,IF((AI8-1)&lt;AF8,-1,12*(YEAR((AI8-1))-YEAR(AF8))+MONTH((AI8-1))-MONTH(AF8)-IF(DAY((AI8-1))&lt;MIN(DAY(AF8),DAY(EOMONTH((AI8-1),0))),1,0))))</f>
        <v>39</v>
      </c>
      <c r="AW8" s="12" t="n">
        <f aca="false">IF(AE8=0,"",IF(OR(AG8&lt;3,AJ8&gt;PFYDate),AU8,IF((AJ8-1)&lt;AF8,-1,12*(YEAR((AJ8-1))-YEAR(AF8))+MONTH((AJ8-1))-MONTH(AF8)-IF(DAY((AJ8-1))&lt;MIN(DAY(AF8),DAY(EOMONTH((AJ8-1),0))),1,0))))</f>
        <v>51</v>
      </c>
      <c r="AX8" s="12"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1</v>
      </c>
      <c r="AY8" s="12"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1</v>
      </c>
      <c r="AZ8" s="12" t="str">
        <f aca="false">IF(AE8=0,"",IF(AQ8="FT",IF(AR8&lt;FT_First,FT_First,IF(AR8&lt;FT_Y5,MIN(FT_Y5,FT_First+FT_Int1*(INT((AR8-FT_First)/FT_Int1)+1)),FT_Y5+12*INT((AR8-FT_Y5)/12)+FT_Int2*(INT(MOD(AR8-FT_Y5,12)/FT_Int2)+1))),IF(AQ8="PT",IF(AR8&lt;PT_First,PT_First,PT_First+PT_Int*(INT((AR8-PT_First)/PT_Int)+1)),"")))</f>
        <v/>
      </c>
      <c r="BA8" s="12" t="n">
        <f aca="false">IF(AE8=0,"",IF(NOT(LH_Ready),0,COUNTIFS(INDEX(LH_Data,0,LH_ColFirst),$A8,INDEX(LH_Data,0,LH_ColSur),$B8,INDEX(LH_Data,0,LH_ColCat),BonusCat)))</f>
        <v>6</v>
      </c>
      <c r="BB8" s="12" t="n">
        <f aca="false">IF(AE8=0,"",IF(OR(NOT(LH_Ready),BA8=0),0,SUMPRODUCT(MAX((INDEX(LH_Data,0,LH_ColFirst)=$A8)*(INDEX(LH_Data,0,LH_ColSur)=$B8)*(INDEX(LH_Data,0,LH_ColCat)=BonusCat)*ROW(LH_Data)))))</f>
        <v>25</v>
      </c>
    </row>
    <row r="9" customFormat="false" ht="15" hidden="false" customHeight="false" outlineLevel="0" collapsed="false">
      <c r="A9" s="8" t="s">
        <v>89</v>
      </c>
      <c r="B9" s="8" t="s">
        <v>90</v>
      </c>
      <c r="C9" s="8" t="s">
        <v>80</v>
      </c>
      <c r="D9" s="9" t="n">
        <v>32202</v>
      </c>
      <c r="E9" s="10" t="n">
        <f aca="false">IF(OR(AE9=0,$D9=""),"",DATE(YEAR(AsOfDate)+IF(DATE(YEAR(AsOfDate),MONTH($D9),DAY($D9))&lt;=AsOfDate,1,0),MONTH($D9),DAY($D9)))</f>
        <v>46447</v>
      </c>
      <c r="F9" s="9" t="n">
        <v>43840</v>
      </c>
      <c r="G9" s="9" t="n">
        <v>43840</v>
      </c>
      <c r="H9" s="9" t="n">
        <v>45292</v>
      </c>
      <c r="I9" s="9"/>
      <c r="J9" s="9"/>
      <c r="K9" s="10" t="n">
        <f aca="false">IF(AE9=0,"",DATE(YEAR(AsOfDate)+IF(DATE(YEAR(AsOfDate),MONTH($F9),DAY($F9))&lt;=AsOfDate,1,0),MONTH($F9),DAY($F9)))</f>
        <v>46397</v>
      </c>
      <c r="L9" s="11" t="n">
        <f aca="false">IF(AE9=0,"",ROUND((AsOfDate-$F9)/365.25,1))</f>
        <v>6.7</v>
      </c>
      <c r="M9" s="12" t="str">
        <f aca="false">IF(AE9=0,"",IF(AsOfDate&lt;AF9,"-",DATEDIF(AF9,AsOfDate,"y")&amp;"y "&amp;DATEDIF(AF9,AsOfDate,"ym")&amp;"m "&amp;DATEDIF(AF9,AsOfDate,"md")&amp;"d"))</f>
        <v>6y 8m 21d</v>
      </c>
      <c r="N9" s="13" t="n">
        <f aca="false">IF(AE9=0,"",O9*HoursPerDay)</f>
        <v>96</v>
      </c>
      <c r="O9" s="13" t="n">
        <f aca="false">IF(AE9=0,"",AX9)</f>
        <v>12</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Part-Time to Full-Time on 01/01/2024 - pathway changed</v>
      </c>
      <c r="R9" s="12" t="str">
        <f aca="false">IF(AE9=0,"",IF(AQ9="None",IF(O9&gt;0,"No longer accruing","Not eligible - "&amp;IF(AND($C9="Part-Time",$P9&lt;&gt;"",N($P9)&lt;PT_MinHours),"under "&amp;PT_MinHours&amp;" hrs",$C9)),IF(O9&gt;0,"Yes - accruing","Not yet - from "&amp;TEXT(S9,"dd/mm/yyyy"))))</f>
        <v>Yes - accruing</v>
      </c>
      <c r="S9" s="10" t="n">
        <f aca="false">IF(AE9=0,"",IF(AQ9="None","",EDATE(AF9,AZ9)))</f>
        <v>46305</v>
      </c>
      <c r="T9" s="13" t="n">
        <f aca="false">IF(OR(AE9=0,W9=""),"",W9-U9+V9)</f>
        <v>72</v>
      </c>
      <c r="U9" s="13" t="n">
        <f aca="false">IF(AE9=0,"",IF(NOT(LH_Ready),"",SUMIFS(INDEX(LH_Data,0,LH_ColAcc),INDEX(LH_Data,0,LH_ColFirst),$A9,INDEX(LH_Data,0,LH_ColSur),$B9,INDEX(LH_Data,0,LH_ColCat),BonusCat)*UnitFactor))</f>
        <v>8</v>
      </c>
      <c r="V9" s="13" t="n">
        <f aca="false">IF(AE9=0,"",IF(NOT(LH_Ready),"",SUMIFS(INDEX(LH_Data,0,LH_ColTaken),INDEX(LH_Data,0,LH_ColFirst),$A9,INDEX(LH_Data,0,LH_ColSur),$B9,INDEX(LH_Data,0,LH_ColCat),BonusCat)*UnitFactor))</f>
        <v>0</v>
      </c>
      <c r="W9" s="13" t="n">
        <f aca="false">IF(AE9=0,"",IF(NOT(LH_Ready),"",IF(BB9=0,0,INDEX(INDEX(LH_Data,0,LH_ColClose),BB9-1)*UnitFactor)))</f>
        <v>80</v>
      </c>
      <c r="X9" s="13" t="n">
        <f aca="false">IF(AE9=0,"",(AX9-AY9)*HoursPerDay)</f>
        <v>8</v>
      </c>
      <c r="Y9" s="13" t="n">
        <f aca="false">IF(AE9=0,"",X9-N(U9))</f>
        <v>0</v>
      </c>
      <c r="Z9" s="12" t="str">
        <f aca="false">IF(AE9=0,"",IF(Y9&gt;0,"Yes","No"))</f>
        <v>No</v>
      </c>
      <c r="AA9" s="12" t="str">
        <f aca="false">IF(AE9=0,"",IF(NOT(LH_Ready),"Paste Leave History export",IF(Y9&gt;0,"ACCRUE "&amp;TEXT(Y9,"0.##")&amp;" hrs ("&amp;TEXT(Y9/HoursPerDay,"0.##")&amp;" days)"&amp;IF(BA9=0," - no Bonus Leave line in EH yet",""),IF(Y9&lt;0,"CHECK - EH accrued "&amp;TEXT(-Y9,"0.##")&amp;" hrs more than policy",IF(AND(O9&gt;0,BA9=0),"CHECK - policy says "&amp;TEXT(N9,"0.##")&amp;" hrs to date but no Bonus Leave in EH",IF(O9&gt;0,"OK","-"))))))</f>
        <v>OK</v>
      </c>
      <c r="AB9" s="13" t="n">
        <f aca="false">IF(OR(AE9=0,T9=""),"",AY9*HoursPerDay-T9)</f>
        <v>16</v>
      </c>
      <c r="AC9" s="12" t="n">
        <f aca="false">IF(AE9=0,"",BA9)</f>
        <v>6</v>
      </c>
      <c r="AD9" s="12" t="str">
        <f aca="false">IF(AE9=0,"",TRIM(IF(AND(AG9&gt;=1,IF(AG9&gt;=3,AM9,IF(AG9=2,AL9,AK9))&lt;&gt;$C9),"EmploymentType does not match latest start date ("&amp;IF(AG9&gt;=3,AM9,IF(AG9=2,AL9,AK9))&amp;"). ","")&amp;IF(AND(AG9&gt;=1,AH9&lt;&gt;$F9),"Earliest type date should equal StartDate. ","")&amp;IF(AND(AG9&gt;=2,AH9=AI9),"Two types start on the same date. ","")&amp;IF(AND($C9="Part-Time",$P9=""),"Part-time: enter PT Hrs/Week (blank = 24+). ","")))</f>
        <v/>
      </c>
      <c r="AE9" s="12" t="n">
        <f aca="false">IF(OR(LEN($A9&amp;$B9)=0,$F9=""),0,1)</f>
        <v>1</v>
      </c>
      <c r="AF9" s="10" t="n">
        <f aca="false">IF(AE9=0,"",IF($J9&lt;&gt;"",$J9,$F9))</f>
        <v>43840</v>
      </c>
      <c r="AG9" s="12" t="n">
        <f aca="false">IF(AE9=0,"",COUNT($G9:$I9))</f>
        <v>2</v>
      </c>
      <c r="AH9" s="10" t="n">
        <f aca="false">IF(AE9=0,"",IFERROR(SMALL($G9:$I9,1),""))</f>
        <v>43840</v>
      </c>
      <c r="AI9" s="10" t="n">
        <f aca="false">IF(AE9=0,"",IFERROR(SMALL($G9:$I9,2),""))</f>
        <v>45292</v>
      </c>
      <c r="AJ9" s="10" t="str">
        <f aca="false">IF(AE9=0,"",IFERROR(SMALL($G9:$I9,3),""))</f>
        <v/>
      </c>
      <c r="AK9" s="12" t="str">
        <f aca="false">IF(AE9=0,"",IF(AH9="","",IF(AH9=$G9,"Part-Time",IF(AH9=$H9,"Full-Time","Casual"))))</f>
        <v>Part-Time</v>
      </c>
      <c r="AL9" s="12" t="str">
        <f aca="false">IF(AE9=0,"",IF(AI9="","",IF(AI9=$G9,"Part-Time",IF(AI9=$H9,"Full-Time","Casual"))))</f>
        <v>Full-Time</v>
      </c>
      <c r="AM9" s="12" t="str">
        <f aca="false">IF(AE9=0,"",IF(AJ9="","",IF(AJ9=$G9,"Part-Time",IF(AJ9=$H9,"Full-Time","Casual"))))</f>
        <v/>
      </c>
      <c r="AN9" s="12" t="str">
        <f aca="false">IF(AE9=0,"",IF(AG9=0,IF($C9="Full-Time","FT",IF(AND($C9="Part-Time",OR($P9="",N($P9)&gt;=PT_MinHours)),"PT","None")),IF(AK9="Full-Time","FT",IF(AND(AK9="Part-Time",OR($P9="",N($P9)&gt;=PT_MinHours)),"PT","None"))))</f>
        <v>PT</v>
      </c>
      <c r="AO9" s="12" t="str">
        <f aca="false">IF(AE9=0,"",IF(AG9&lt;2,"",IF(AL9="Full-Time","FT",IF(AND(AL9="Part-Time",OR($P9="",N($P9)&gt;=PT_MinHours)),"PT","None"))))</f>
        <v>FT</v>
      </c>
      <c r="AP9" s="12" t="str">
        <f aca="false">IF(AE9=0,"",IF(AG9&lt;3,"",IF(AM9="Full-Time","FT",IF(AND(AM9="Part-Time",OR($P9="",N($P9)&gt;=PT_MinHours)),"PT","None"))))</f>
        <v/>
      </c>
      <c r="AQ9" s="12" t="str">
        <f aca="false">IF(AE9=0,"",IF(AND(AG9&gt;=3,AJ9&lt;=AsOfDate),AP9,IF(AND(AG9&gt;=2,AI9&lt;=AsOfDate),AO9,AN9)))</f>
        <v>FT</v>
      </c>
      <c r="AR9" s="12" t="n">
        <f aca="false">IF(AE9=0,"",IF(AsOfDate&lt;AF9,-1,12*(YEAR(AsOfDate)-YEAR(AF9))+MONTH(AsOfDate)-MONTH(AF9)-IF(DAY(AsOfDate)&lt;MIN(DAY(AF9),DAY(EOMONTH(AsOfDate,0))),1,0)))</f>
        <v>80</v>
      </c>
      <c r="AS9" s="12" t="n">
        <f aca="false">IF(AE9=0,"",IF(OR(AG9&lt;2,AI9&gt;AsOfDate),AR9,IF((AI9-1)&lt;AF9,-1,12*(YEAR((AI9-1))-YEAR(AF9))+MONTH((AI9-1))-MONTH(AF9)-IF(DAY((AI9-1))&lt;MIN(DAY(AF9),DAY(EOMONTH((AI9-1),0))),1,0))))</f>
        <v>47</v>
      </c>
      <c r="AT9" s="12" t="n">
        <f aca="false">IF(AE9=0,"",IF(OR(AG9&lt;3,AJ9&gt;AsOfDate),AR9,IF((AJ9-1)&lt;AF9,-1,12*(YEAR((AJ9-1))-YEAR(AF9))+MONTH((AJ9-1))-MONTH(AF9)-IF(DAY((AJ9-1))&lt;MIN(DAY(AF9),DAY(EOMONTH((AJ9-1),0))),1,0))))</f>
        <v>80</v>
      </c>
      <c r="AU9" s="12" t="n">
        <f aca="false">IF(AE9=0,"",IF(PFYDate&lt;AF9,-1,12*(YEAR(PFYDate)-YEAR(AF9))+MONTH(PFYDate)-MONTH(AF9)-IF(DAY(PFYDate)&lt;MIN(DAY(AF9),DAY(EOMONTH(PFYDate,0))),1,0)))</f>
        <v>77</v>
      </c>
      <c r="AV9" s="12" t="n">
        <f aca="false">IF(AE9=0,"",IF(OR(AG9&lt;2,AI9&gt;PFYDate),AU9,IF((AI9-1)&lt;AF9,-1,12*(YEAR((AI9-1))-YEAR(AF9))+MONTH((AI9-1))-MONTH(AF9)-IF(DAY((AI9-1))&lt;MIN(DAY(AF9),DAY(EOMONTH((AI9-1),0))),1,0))))</f>
        <v>47</v>
      </c>
      <c r="AW9" s="12" t="n">
        <f aca="false">IF(AE9=0,"",IF(OR(AG9&lt;3,AJ9&gt;PFYDate),AU9,IF((AJ9-1)&lt;AF9,-1,12*(YEAR((AJ9-1))-YEAR(AF9))+MONTH((AJ9-1))-MONTH(AF9)-IF(DAY((AJ9-1))&lt;MIN(DAY(AF9),DAY(EOMONTH((AJ9-1),0))),1,0))))</f>
        <v>77</v>
      </c>
      <c r="AX9" s="12"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12</v>
      </c>
      <c r="AY9" s="12"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11</v>
      </c>
      <c r="AZ9" s="12" t="n">
        <f aca="false">IF(AE9=0,"",IF(AQ9="FT",IF(AR9&lt;FT_First,FT_First,IF(AR9&lt;FT_Y5,MIN(FT_Y5,FT_First+FT_Int1*(INT((AR9-FT_First)/FT_Int1)+1)),FT_Y5+12*INT((AR9-FT_Y5)/12)+FT_Int2*(INT(MOD(AR9-FT_Y5,12)/FT_Int2)+1))),IF(AQ9="PT",IF(AR9&lt;PT_First,PT_First,PT_First+PT_Int*(INT((AR9-PT_First)/PT_Int)+1)),"")))</f>
        <v>81</v>
      </c>
      <c r="BA9" s="12" t="n">
        <f aca="false">IF(AE9=0,"",IF(NOT(LH_Ready),0,COUNTIFS(INDEX(LH_Data,0,LH_ColFirst),$A9,INDEX(LH_Data,0,LH_ColSur),$B9,INDEX(LH_Data,0,LH_ColCat),BonusCat)))</f>
        <v>6</v>
      </c>
      <c r="BB9" s="12" t="n">
        <f aca="false">IF(AE9=0,"",IF(OR(NOT(LH_Ready),BA9=0),0,SUMPRODUCT(MAX((INDEX(LH_Data,0,LH_ColFirst)=$A9)*(INDEX(LH_Data,0,LH_ColSur)=$B9)*(INDEX(LH_Data,0,LH_ColCat)=BonusCat)*ROW(LH_Data)))))</f>
        <v>31</v>
      </c>
    </row>
    <row r="10" customFormat="false" ht="15" hidden="false" customHeight="false" outlineLevel="0" collapsed="false">
      <c r="A10" s="8" t="s">
        <v>91</v>
      </c>
      <c r="B10" s="8" t="s">
        <v>92</v>
      </c>
      <c r="C10" s="8" t="s">
        <v>80</v>
      </c>
      <c r="D10" s="9" t="n">
        <v>34945</v>
      </c>
      <c r="E10" s="10" t="n">
        <f aca="false">IF(OR(AE10=0,$D10=""),"",DATE(YEAR(AsOfDate)+IF(DATE(YEAR(AsOfDate),MONTH($D10),DAY($D10))&lt;=AsOfDate,1,0),MONTH($D10),DAY($D10)))</f>
        <v>46633</v>
      </c>
      <c r="F10" s="9" t="n">
        <v>44686</v>
      </c>
      <c r="G10" s="9"/>
      <c r="H10" s="9" t="n">
        <v>44686</v>
      </c>
      <c r="I10" s="9"/>
      <c r="J10" s="9" t="n">
        <v>44867</v>
      </c>
      <c r="K10" s="10" t="n">
        <f aca="false">IF(AE10=0,"",DATE(YEAR(AsOfDate)+IF(DATE(YEAR(AsOfDate),MONTH($F10),DAY($F10))&lt;=AsOfDate,1,0),MONTH($F10),DAY($F10)))</f>
        <v>46512</v>
      </c>
      <c r="L10" s="11" t="n">
        <f aca="false">IF(AE10=0,"",ROUND((AsOfDate-$F10)/365.25,1))</f>
        <v>4.4</v>
      </c>
      <c r="M10" s="12" t="str">
        <f aca="false">IF(AE10=0,"",IF(AsOfDate&lt;AF10,"-",DATEDIF(AF10,AsOfDate,"y")&amp;"y "&amp;DATEDIF(AF10,AsOfDate,"ym")&amp;"m "&amp;DATEDIF(AF10,AsOfDate,"md")&amp;"d"))</f>
        <v>3y 10m 29d</v>
      </c>
      <c r="N10" s="13" t="n">
        <f aca="false">IF(AE10=0,"",O10*HoursPerDay)</f>
        <v>24</v>
      </c>
      <c r="O10" s="13" t="n">
        <f aca="false">IF(AE10=0,"",AX10)</f>
        <v>3</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"&amp;IF(AND($C10="Part-Time",$P10&lt;&gt;"",N($P10)&lt;PT_MinHours),"under "&amp;PT_MinHours&amp;" hrs",$C10)),IF(O10&gt;0,"Yes - accruing","Not yet - from "&amp;TEXT(S10,"dd/mm/yyyy"))))</f>
        <v>Yes - accruing</v>
      </c>
      <c r="S10" s="10" t="n">
        <f aca="false">IF(AE10=0,"",IF(AQ10="None","",EDATE(AF10,AZ10)))</f>
        <v>46328</v>
      </c>
      <c r="T10" s="13" t="n">
        <f aca="false">IF(OR(AE10=0,W10=""),"",W10-U10+V10)</f>
        <v>0</v>
      </c>
      <c r="U10" s="13" t="n">
        <f aca="false">IF(AE10=0,"",IF(NOT(LH_Ready),"",SUMIFS(INDEX(LH_Data,0,LH_ColAcc),INDEX(LH_Data,0,LH_ColFirst),$A10,INDEX(LH_Data,0,LH_ColSur),$B10,INDEX(LH_Data,0,LH_ColCat),BonusCat)*UnitFactor))</f>
        <v>0</v>
      </c>
      <c r="V10" s="13" t="n">
        <f aca="false">IF(AE10=0,"",IF(NOT(LH_Ready),"",SUMIFS(INDEX(LH_Data,0,LH_ColTaken),INDEX(LH_Data,0,LH_ColFirst),$A10,INDEX(LH_Data,0,LH_ColSur),$B10,INDEX(LH_Data,0,LH_ColCat),BonusCat)*UnitFactor))</f>
        <v>0</v>
      </c>
      <c r="W10" s="13" t="n">
        <f aca="false">IF(AE10=0,"",IF(NOT(LH_Ready),"",IF(BB10=0,0,INDEX(INDEX(LH_Data,0,LH_ColClose),BB10-1)*UnitFactor)))</f>
        <v>0</v>
      </c>
      <c r="X10" s="13" t="n">
        <f aca="false">IF(AE10=0,"",(AX10-AY10)*HoursPerDay)</f>
        <v>8</v>
      </c>
      <c r="Y10" s="13" t="n">
        <f aca="false">IF(AE10=0,"",X10-N(U10))</f>
        <v>8</v>
      </c>
      <c r="Z10" s="12" t="str">
        <f aca="false">IF(AE10=0,"",IF(Y10&gt;0,"Yes","No"))</f>
        <v>Yes</v>
      </c>
      <c r="AA10" s="12" t="str">
        <f aca="false">IF(AE10=0,"",IF(NOT(LH_Ready),"Paste Leave History export",IF(Y10&gt;0,"ACCRUE "&amp;TEXT(Y10,"0.##")&amp;" hrs ("&amp;TEXT(Y10/HoursPerDay,"0.##")&amp;" days)"&amp;IF(BA10=0," - no Bonus Leave line in EH yet",""),IF(Y10&lt;0,"CHECK - EH accrued "&amp;TEXT(-Y10,"0.##")&amp;" hrs more than policy",IF(AND(O10&gt;0,BA10=0),"CHECK - policy says "&amp;TEXT(N10,"0.##")&amp;" hrs to date but no Bonus Leave in EH",IF(O10&gt;0,"OK","-"))))))</f>
        <v>ACCRUE 8 hrs (1 days) - no Bonus Leave line in EH yet</v>
      </c>
      <c r="AB10" s="13" t="n">
        <f aca="false">IF(OR(AE10=0,T10=""),"",AY10*HoursPerDay-T10)</f>
        <v>16</v>
      </c>
      <c r="AC10" s="12" t="n">
        <f aca="false">IF(AE10=0,"",BA10)</f>
        <v>0</v>
      </c>
      <c r="AD10" s="12" t="str">
        <f aca="false">IF(AE10=0,"",TRIM(IF(AND(AG10&gt;=1,IF(AG10&gt;=3,AM10,IF(AG10=2,AL10,AK10))&lt;&gt;$C10),"EmploymentType does not match latest start date ("&amp;IF(AG10&gt;=3,AM10,IF(AG10=2,AL10,AK10))&amp;"). ","")&amp;IF(AND(AG10&gt;=1,AH10&lt;&gt;$F10),"Earliest type date should equal StartDate. ","")&amp;IF(AND(AG10&gt;=2,AH10=AI10),"Two types start on the same date. ","")&amp;IF(AND($C10="Part-Time",$P10=""),"Part-time: enter PT Hrs/Week (blank = 24+). ","")))</f>
        <v/>
      </c>
      <c r="AE10" s="12" t="n">
        <f aca="false">IF(OR(LEN($A10&amp;$B10)=0,$F10=""),0,1)</f>
        <v>1</v>
      </c>
      <c r="AF10" s="10" t="n">
        <f aca="false">IF(AE10=0,"",IF($J10&lt;&gt;"",$J10,$F10))</f>
        <v>44867</v>
      </c>
      <c r="AG10" s="12" t="n">
        <f aca="false">IF(AE10=0,"",COUNT($G10:$I10))</f>
        <v>1</v>
      </c>
      <c r="AH10" s="10" t="n">
        <f aca="false">IF(AE10=0,"",IFERROR(SMALL($G10:$I10,1),""))</f>
        <v>44686</v>
      </c>
      <c r="AI10" s="10" t="str">
        <f aca="false">IF(AE10=0,"",IFERROR(SMALL($G10:$I10,2),""))</f>
        <v/>
      </c>
      <c r="AJ10" s="10" t="str">
        <f aca="false">IF(AE10=0,"",IFERROR(SMALL($G10:$I10,3),""))</f>
        <v/>
      </c>
      <c r="AK10" s="12" t="str">
        <f aca="false">IF(AE10=0,"",IF(AH10="","",IF(AH10=$G10,"Part-Time",IF(AH10=$H10,"Full-Time","Casual"))))</f>
        <v>Full-Time</v>
      </c>
      <c r="AL10" s="12" t="str">
        <f aca="false">IF(AE10=0,"",IF(AI10="","",IF(AI10=$G10,"Part-Time",IF(AI10=$H10,"Full-Time","Casual"))))</f>
        <v/>
      </c>
      <c r="AM10" s="12" t="str">
        <f aca="false">IF(AE10=0,"",IF(AJ10="","",IF(AJ10=$G10,"Part-Time",IF(AJ10=$H10,"Full-Time","Casual"))))</f>
        <v/>
      </c>
      <c r="AN10" s="12" t="str">
        <f aca="false">IF(AE10=0,"",IF(AG10=0,IF($C10="Full-Time","FT",IF(AND($C10="Part-Time",OR($P10="",N($P10)&gt;=PT_MinHours)),"PT","None")),IF(AK10="Full-Time","FT",IF(AND(AK10="Part-Time",OR($P10="",N($P10)&gt;=PT_MinHours)),"PT","None"))))</f>
        <v>FT</v>
      </c>
      <c r="AO10" s="12" t="str">
        <f aca="false">IF(AE10=0,"",IF(AG10&lt;2,"",IF(AL10="Full-Time","FT",IF(AND(AL10="Part-Time",OR($P10="",N($P10)&gt;=PT_MinHours)),"PT","None"))))</f>
        <v/>
      </c>
      <c r="AP10" s="12" t="str">
        <f aca="false">IF(AE10=0,"",IF(AG10&lt;3,"",IF(AM10="Full-Time","FT",IF(AND(AM10="Part-Time",OR($P10="",N($P10)&gt;=PT_MinHours)),"PT","None"))))</f>
        <v/>
      </c>
      <c r="AQ10" s="12" t="str">
        <f aca="false">IF(AE10=0,"",IF(AND(AG10&gt;=3,AJ10&lt;=AsOfDate),AP10,IF(AND(AG10&gt;=2,AI10&lt;=AsOfDate),AO10,AN10)))</f>
        <v>FT</v>
      </c>
      <c r="AR10" s="12" t="n">
        <f aca="false">IF(AE10=0,"",IF(AsOfDate&lt;AF10,-1,12*(YEAR(AsOfDate)-YEAR(AF10))+MONTH(AsOfDate)-MONTH(AF10)-IF(DAY(AsOfDate)&lt;MIN(DAY(AF10),DAY(EOMONTH(AsOfDate,0))),1,0)))</f>
        <v>46</v>
      </c>
      <c r="AS10" s="12" t="n">
        <f aca="false">IF(AE10=0,"",IF(OR(AG10&lt;2,AI10&gt;AsOfDate),AR10,IF((AI10-1)&lt;AF10,-1,12*(YEAR((AI10-1))-YEAR(AF10))+MONTH((AI10-1))-MONTH(AF10)-IF(DAY((AI10-1))&lt;MIN(DAY(AF10),DAY(EOMONTH((AI10-1),0))),1,0))))</f>
        <v>46</v>
      </c>
      <c r="AT10" s="12" t="n">
        <f aca="false">IF(AE10=0,"",IF(OR(AG10&lt;3,AJ10&gt;AsOfDate),AR10,IF((AJ10-1)&lt;AF10,-1,12*(YEAR((AJ10-1))-YEAR(AF10))+MONTH((AJ10-1))-MONTH(AF10)-IF(DAY((AJ10-1))&lt;MIN(DAY(AF10),DAY(EOMONTH((AJ10-1),0))),1,0))))</f>
        <v>46</v>
      </c>
      <c r="AU10" s="12" t="n">
        <f aca="false">IF(AE10=0,"",IF(PFYDate&lt;AF10,-1,12*(YEAR(PFYDate)-YEAR(AF10))+MONTH(PFYDate)-MONTH(AF10)-IF(DAY(PFYDate)&lt;MIN(DAY(AF10),DAY(EOMONTH(PFYDate,0))),1,0)))</f>
        <v>43</v>
      </c>
      <c r="AV10" s="12" t="n">
        <f aca="false">IF(AE10=0,"",IF(OR(AG10&lt;2,AI10&gt;PFYDate),AU10,IF((AI10-1)&lt;AF10,-1,12*(YEAR((AI10-1))-YEAR(AF10))+MONTH((AI10-1))-MONTH(AF10)-IF(DAY((AI10-1))&lt;MIN(DAY(AF10),DAY(EOMONTH((AI10-1),0))),1,0))))</f>
        <v>43</v>
      </c>
      <c r="AW10" s="12" t="n">
        <f aca="false">IF(AE10=0,"",IF(OR(AG10&lt;3,AJ10&gt;PFYDate),AU10,IF((AJ10-1)&lt;AF10,-1,12*(YEAR((AJ10-1))-YEAR(AF10))+MONTH((AJ10-1))-MONTH(AF10)-IF(DAY((AJ10-1))&lt;MIN(DAY(AF10),DAY(EOMONTH((AJ10-1),0))),1,0))))</f>
        <v>43</v>
      </c>
      <c r="AX10" s="12"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3</v>
      </c>
      <c r="AY10" s="12"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2</v>
      </c>
      <c r="AZ10" s="12" t="n">
        <f aca="false">IF(AE10=0,"",IF(AQ10="FT",IF(AR10&lt;FT_First,FT_First,IF(AR10&lt;FT_Y5,MIN(FT_Y5,FT_First+FT_Int1*(INT((AR10-FT_First)/FT_Int1)+1)),FT_Y5+12*INT((AR10-FT_Y5)/12)+FT_Int2*(INT(MOD(AR10-FT_Y5,12)/FT_Int2)+1))),IF(AQ10="PT",IF(AR10&lt;PT_First,PT_First,PT_First+PT_Int*(INT((AR10-PT_First)/PT_Int)+1)),"")))</f>
        <v>48</v>
      </c>
      <c r="BA10" s="12" t="n">
        <f aca="false">IF(AE10=0,"",IF(NOT(LH_Ready),0,COUNTIFS(INDEX(LH_Data,0,LH_ColFirst),$A10,INDEX(LH_Data,0,LH_ColSur),$B10,INDEX(LH_Data,0,LH_ColCat),BonusCat)))</f>
        <v>0</v>
      </c>
      <c r="BB10" s="12" t="n">
        <f aca="false">IF(AE10=0,"",IF(OR(NOT(LH_Ready),BA10=0),0,SUMPRODUCT(MAX((INDEX(LH_Data,0,LH_ColFirst)=$A10)*(INDEX(LH_Data,0,LH_ColSur)=$B10)*(INDEX(LH_Data,0,LH_ColCat)=BonusCat)*ROW(LH_Data)))))</f>
        <v>0</v>
      </c>
    </row>
    <row r="11" customFormat="false" ht="15" hidden="false" customHeight="false" outlineLevel="0" collapsed="false">
      <c r="A11" s="8" t="s">
        <v>93</v>
      </c>
      <c r="B11" s="8" t="s">
        <v>94</v>
      </c>
      <c r="C11" s="8" t="s">
        <v>80</v>
      </c>
      <c r="D11" s="9" t="n">
        <v>37250</v>
      </c>
      <c r="E11" s="10" t="n">
        <f aca="false">IF(OR(AE11=0,$D11=""),"",DATE(YEAR(AsOfDate)+IF(DATE(YEAR(AsOfDate),MONTH($D11),DAY($D11))&lt;=AsOfDate,1,0),MONTH($D11),DAY($D11)))</f>
        <v>46381</v>
      </c>
      <c r="F11" s="9" t="n">
        <v>45627</v>
      </c>
      <c r="G11" s="9"/>
      <c r="H11" s="9" t="n">
        <v>45627</v>
      </c>
      <c r="I11" s="9"/>
      <c r="J11" s="9"/>
      <c r="K11" s="10" t="n">
        <f aca="false">IF(AE11=0,"",DATE(YEAR(AsOfDate)+IF(DATE(YEAR(AsOfDate),MONTH($F11),DAY($F11))&lt;=AsOfDate,1,0),MONTH($F11),DAY($F11)))</f>
        <v>46357</v>
      </c>
      <c r="L11" s="11" t="n">
        <f aca="false">IF(AE11=0,"",ROUND((AsOfDate-$F11)/365.25,1))</f>
        <v>1.8</v>
      </c>
      <c r="M11" s="12" t="str">
        <f aca="false">IF(AE11=0,"",IF(AsOfDate&lt;AF11,"-",DATEDIF(AF11,AsOfDate,"y")&amp;"y "&amp;DATEDIF(AF11,AsOfDate,"ym")&amp;"m "&amp;DATEDIF(AF11,AsOfDate,"md")&amp;"d"))</f>
        <v>1y 10m 0d</v>
      </c>
      <c r="N11" s="13" t="n">
        <f aca="false">IF(AE11=0,"",O11*HoursPerDay)</f>
        <v>0</v>
      </c>
      <c r="O11" s="13" t="n">
        <f aca="false">IF(AE11=0,"",AX11)</f>
        <v>0</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"&amp;IF(AND($C11="Part-Time",$P11&lt;&gt;"",N($P11)&lt;PT_MinHours),"under "&amp;PT_MinHours&amp;" hrs",$C11)),IF(O11&gt;0,"Yes - accruing","Not yet - from "&amp;TEXT(S11,"dd/mm/yyyy"))))</f>
        <v>Not yet - from 01/12/2027</v>
      </c>
      <c r="S11" s="10" t="n">
        <f aca="false">IF(AE11=0,"",IF(AQ11="None","",EDATE(AF11,AZ11)))</f>
        <v>46722</v>
      </c>
      <c r="T11" s="13" t="n">
        <f aca="false">IF(OR(AE11=0,W11=""),"",W11-U11+V11)</f>
        <v>0</v>
      </c>
      <c r="U11" s="13" t="n">
        <f aca="false">IF(AE11=0,"",IF(NOT(LH_Ready),"",SUMIFS(INDEX(LH_Data,0,LH_ColAcc),INDEX(LH_Data,0,LH_ColFirst),$A11,INDEX(LH_Data,0,LH_ColSur),$B11,INDEX(LH_Data,0,LH_ColCat),BonusCat)*UnitFactor))</f>
        <v>0</v>
      </c>
      <c r="V11" s="13" t="n">
        <f aca="false">IF(AE11=0,"",IF(NOT(LH_Ready),"",SUMIFS(INDEX(LH_Data,0,LH_ColTaken),INDEX(LH_Data,0,LH_ColFirst),$A11,INDEX(LH_Data,0,LH_ColSur),$B11,INDEX(LH_Data,0,LH_ColCat),BonusCat)*UnitFactor))</f>
        <v>0</v>
      </c>
      <c r="W11" s="13" t="n">
        <f aca="false">IF(AE11=0,"",IF(NOT(LH_Ready),"",IF(BB11=0,0,INDEX(INDEX(LH_Data,0,LH_ColClose),BB11-1)*UnitFactor)))</f>
        <v>0</v>
      </c>
      <c r="X11" s="13" t="n">
        <f aca="false">IF(AE11=0,"",(AX11-AY11)*HoursPerDay)</f>
        <v>0</v>
      </c>
      <c r="Y11" s="13" t="n">
        <f aca="false">IF(AE11=0,"",X11-N(U11))</f>
        <v>0</v>
      </c>
      <c r="Z11" s="12" t="str">
        <f aca="false">IF(AE11=0,"",IF(Y11&gt;0,"Yes","No"))</f>
        <v>No</v>
      </c>
      <c r="AA11" s="12" t="str">
        <f aca="false">IF(AE11=0,"",IF(NOT(LH_Ready),"Paste Leave History export",IF(Y11&gt;0,"ACCRUE "&amp;TEXT(Y11,"0.##")&amp;" hrs ("&amp;TEXT(Y11/HoursPerDay,"0.##")&amp;" days)"&amp;IF(BA11=0," - no Bonus Leave line in EH yet",""),IF(Y11&lt;0,"CHECK - EH accrued "&amp;TEXT(-Y11,"0.##")&amp;" hrs more than policy",IF(AND(O11&gt;0,BA11=0),"CHECK - policy says "&amp;TEXT(N11,"0.##")&amp;" hrs to date but no Bonus Leave in EH",IF(O11&gt;0,"OK","-"))))))</f>
        <v>-</v>
      </c>
      <c r="AB11" s="13" t="n">
        <f aca="false">IF(OR(AE11=0,T11=""),"",AY11*HoursPerDay-T11)</f>
        <v>0</v>
      </c>
      <c r="AC11" s="12" t="n">
        <f aca="false">IF(AE11=0,"",BA11)</f>
        <v>0</v>
      </c>
      <c r="AD11" s="12" t="str">
        <f aca="false">IF(AE11=0,"",TRIM(IF(AND(AG11&gt;=1,IF(AG11&gt;=3,AM11,IF(AG11=2,AL11,AK11))&lt;&gt;$C11),"EmploymentType does not match latest start date ("&amp;IF(AG11&gt;=3,AM11,IF(AG11=2,AL11,AK11))&amp;"). ","")&amp;IF(AND(AG11&gt;=1,AH11&lt;&gt;$F11),"Earliest type date should equal StartDate. ","")&amp;IF(AND(AG11&gt;=2,AH11=AI11),"Two types start on the same date. ","")&amp;IF(AND($C11="Part-Time",$P11=""),"Part-time: enter PT Hrs/Week (blank = 24+). ","")))</f>
        <v/>
      </c>
      <c r="AE11" s="12" t="n">
        <f aca="false">IF(OR(LEN($A11&amp;$B11)=0,$F11=""),0,1)</f>
        <v>1</v>
      </c>
      <c r="AF11" s="10" t="n">
        <f aca="false">IF(AE11=0,"",IF($J11&lt;&gt;"",$J11,$F11))</f>
        <v>45627</v>
      </c>
      <c r="AG11" s="12" t="n">
        <f aca="false">IF(AE11=0,"",COUNT($G11:$I11))</f>
        <v>1</v>
      </c>
      <c r="AH11" s="10" t="n">
        <f aca="false">IF(AE11=0,"",IFERROR(SMALL($G11:$I11,1),""))</f>
        <v>45627</v>
      </c>
      <c r="AI11" s="10" t="str">
        <f aca="false">IF(AE11=0,"",IFERROR(SMALL($G11:$I11,2),""))</f>
        <v/>
      </c>
      <c r="AJ11" s="10" t="str">
        <f aca="false">IF(AE11=0,"",IFERROR(SMALL($G11:$I11,3),""))</f>
        <v/>
      </c>
      <c r="AK11" s="12" t="str">
        <f aca="false">IF(AE11=0,"",IF(AH11="","",IF(AH11=$G11,"Part-Time",IF(AH11=$H11,"Full-Time","Casual"))))</f>
        <v>Full-Time</v>
      </c>
      <c r="AL11" s="12" t="str">
        <f aca="false">IF(AE11=0,"",IF(AI11="","",IF(AI11=$G11,"Part-Time",IF(AI11=$H11,"Full-Time","Casual"))))</f>
        <v/>
      </c>
      <c r="AM11" s="12" t="str">
        <f aca="false">IF(AE11=0,"",IF(AJ11="","",IF(AJ11=$G11,"Part-Time",IF(AJ11=$H11,"Full-Time","Casual"))))</f>
        <v/>
      </c>
      <c r="AN11" s="12" t="str">
        <f aca="false">IF(AE11=0,"",IF(AG11=0,IF($C11="Full-Time","FT",IF(AND($C11="Part-Time",OR($P11="",N($P11)&gt;=PT_MinHours)),"PT","None")),IF(AK11="Full-Time","FT",IF(AND(AK11="Part-Time",OR($P11="",N($P11)&gt;=PT_MinHours)),"PT","None"))))</f>
        <v>FT</v>
      </c>
      <c r="AO11" s="12" t="str">
        <f aca="false">IF(AE11=0,"",IF(AG11&lt;2,"",IF(AL11="Full-Time","FT",IF(AND(AL11="Part-Time",OR($P11="",N($P11)&gt;=PT_MinHours)),"PT","None"))))</f>
        <v/>
      </c>
      <c r="AP11" s="12" t="str">
        <f aca="false">IF(AE11=0,"",IF(AG11&lt;3,"",IF(AM11="Full-Time","FT",IF(AND(AM11="Part-Time",OR($P11="",N($P11)&gt;=PT_MinHours)),"PT","None"))))</f>
        <v/>
      </c>
      <c r="AQ11" s="12" t="str">
        <f aca="false">IF(AE11=0,"",IF(AND(AG11&gt;=3,AJ11&lt;=AsOfDate),AP11,IF(AND(AG11&gt;=2,AI11&lt;=AsOfDate),AO11,AN11)))</f>
        <v>FT</v>
      </c>
      <c r="AR11" s="12" t="n">
        <f aca="false">IF(AE11=0,"",IF(AsOfDate&lt;AF11,-1,12*(YEAR(AsOfDate)-YEAR(AF11))+MONTH(AsOfDate)-MONTH(AF11)-IF(DAY(AsOfDate)&lt;MIN(DAY(AF11),DAY(EOMONTH(AsOfDate,0))),1,0)))</f>
        <v>22</v>
      </c>
      <c r="AS11" s="12" t="n">
        <f aca="false">IF(AE11=0,"",IF(OR(AG11&lt;2,AI11&gt;AsOfDate),AR11,IF((AI11-1)&lt;AF11,-1,12*(YEAR((AI11-1))-YEAR(AF11))+MONTH((AI11-1))-MONTH(AF11)-IF(DAY((AI11-1))&lt;MIN(DAY(AF11),DAY(EOMONTH((AI11-1),0))),1,0))))</f>
        <v>22</v>
      </c>
      <c r="AT11" s="12" t="n">
        <f aca="false">IF(AE11=0,"",IF(OR(AG11&lt;3,AJ11&gt;AsOfDate),AR11,IF((AJ11-1)&lt;AF11,-1,12*(YEAR((AJ11-1))-YEAR(AF11))+MONTH((AJ11-1))-MONTH(AF11)-IF(DAY((AJ11-1))&lt;MIN(DAY(AF11),DAY(EOMONTH((AJ11-1),0))),1,0))))</f>
        <v>22</v>
      </c>
      <c r="AU11" s="12" t="n">
        <f aca="false">IF(AE11=0,"",IF(PFYDate&lt;AF11,-1,12*(YEAR(PFYDate)-YEAR(AF11))+MONTH(PFYDate)-MONTH(AF11)-IF(DAY(PFYDate)&lt;MIN(DAY(AF11),DAY(EOMONTH(PFYDate,0))),1,0)))</f>
        <v>18</v>
      </c>
      <c r="AV11" s="12" t="n">
        <f aca="false">IF(AE11=0,"",IF(OR(AG11&lt;2,AI11&gt;PFYDate),AU11,IF((AI11-1)&lt;AF11,-1,12*(YEAR((AI11-1))-YEAR(AF11))+MONTH((AI11-1))-MONTH(AF11)-IF(DAY((AI11-1))&lt;MIN(DAY(AF11),DAY(EOMONTH((AI11-1),0))),1,0))))</f>
        <v>18</v>
      </c>
      <c r="AW11" s="12" t="n">
        <f aca="false">IF(AE11=0,"",IF(OR(AG11&lt;3,AJ11&gt;PFYDate),AU11,IF((AJ11-1)&lt;AF11,-1,12*(YEAR((AJ11-1))-YEAR(AF11))+MONTH((AJ11-1))-MONTH(AF11)-IF(DAY((AJ11-1))&lt;MIN(DAY(AF11),DAY(EOMONTH((AJ11-1),0))),1,0))))</f>
        <v>18</v>
      </c>
      <c r="AX11" s="12"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12"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12" t="n">
        <f aca="false">IF(AE11=0,"",IF(AQ11="FT",IF(AR11&lt;FT_First,FT_First,IF(AR11&lt;FT_Y5,MIN(FT_Y5,FT_First+FT_Int1*(INT((AR11-FT_First)/FT_Int1)+1)),FT_Y5+12*INT((AR11-FT_Y5)/12)+FT_Int2*(INT(MOD(AR11-FT_Y5,12)/FT_Int2)+1))),IF(AQ11="PT",IF(AR11&lt;PT_First,PT_First,PT_First+PT_Int*(INT((AR11-PT_First)/PT_Int)+1)),"")))</f>
        <v>36</v>
      </c>
      <c r="BA11" s="12" t="n">
        <f aca="false">IF(AE11=0,"",IF(NOT(LH_Ready),0,COUNTIFS(INDEX(LH_Data,0,LH_ColFirst),$A11,INDEX(LH_Data,0,LH_ColSur),$B11,INDEX(LH_Data,0,LH_ColCat),BonusCat)))</f>
        <v>0</v>
      </c>
      <c r="BB11" s="12" t="n">
        <f aca="false">IF(AE11=0,"",IF(OR(NOT(LH_Ready),BA11=0),0,SUMPRODUCT(MAX((INDEX(LH_Data,0,LH_ColFirst)=$A11)*(INDEX(LH_Data,0,LH_ColSur)=$B11)*(INDEX(LH_Data,0,LH_ColCat)=BonusCat)*ROW(LH_Data)))))</f>
        <v>0</v>
      </c>
    </row>
    <row r="12" customFormat="false" ht="15" hidden="false" customHeight="false" outlineLevel="0" collapsed="false">
      <c r="A12" s="8" t="s">
        <v>95</v>
      </c>
      <c r="B12" s="8" t="s">
        <v>96</v>
      </c>
      <c r="C12" s="8" t="s">
        <v>80</v>
      </c>
      <c r="D12" s="9" t="n">
        <v>34126</v>
      </c>
      <c r="E12" s="10" t="n">
        <f aca="false">IF(OR(AE12=0,$D12=""),"",DATE(YEAR(AsOfDate)+IF(DATE(YEAR(AsOfDate),MONTH($D12),DAY($D12))&lt;=AsOfDate,1,0),MONTH($D12),DAY($D12)))</f>
        <v>46544</v>
      </c>
      <c r="F12" s="9" t="n">
        <v>43710</v>
      </c>
      <c r="G12" s="9"/>
      <c r="H12" s="9" t="n">
        <v>44256</v>
      </c>
      <c r="I12" s="9" t="n">
        <v>43710</v>
      </c>
      <c r="J12" s="9"/>
      <c r="K12" s="10" t="n">
        <f aca="false">IF(AE12=0,"",DATE(YEAR(AsOfDate)+IF(DATE(YEAR(AsOfDate),MONTH($F12),DAY($F12))&lt;=AsOfDate,1,0),MONTH($F12),DAY($F12)))</f>
        <v>46632</v>
      </c>
      <c r="L12" s="11" t="n">
        <f aca="false">IF(AE12=0,"",ROUND((AsOfDate-$F12)/365.25,1))</f>
        <v>7.1</v>
      </c>
      <c r="M12" s="12" t="str">
        <f aca="false">IF(AE12=0,"",IF(AsOfDate&lt;AF12,"-",DATEDIF(AF12,AsOfDate,"y")&amp;"y "&amp;DATEDIF(AF12,AsOfDate,"ym")&amp;"m "&amp;DATEDIF(AF12,AsOfDate,"md")&amp;"d"))</f>
        <v>7y 0m 29d</v>
      </c>
      <c r="N12" s="13" t="n">
        <f aca="false">IF(AE12=0,"",O12*HoursPerDay)</f>
        <v>144</v>
      </c>
      <c r="O12" s="13" t="n">
        <f aca="false">IF(AE12=0,"",AX12)</f>
        <v>18</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Casual to Full-Time on 01/03/2021 - now qualifying</v>
      </c>
      <c r="R12" s="12" t="str">
        <f aca="false">IF(AE12=0,"",IF(AQ12="None",IF(O12&gt;0,"No longer accruing","Not eligible - "&amp;IF(AND($C12="Part-Time",$P12&lt;&gt;"",N($P12)&lt;PT_MinHours),"under "&amp;PT_MinHours&amp;" hrs",$C12)),IF(O12&gt;0,"Yes - accruing","Not yet - from "&amp;TEXT(S12,"dd/mm/yyyy"))))</f>
        <v>Yes - accruing</v>
      </c>
      <c r="S12" s="10" t="n">
        <f aca="false">IF(AE12=0,"",IF(AQ12="None","",EDATE(AF12,AZ12)))</f>
        <v>46358</v>
      </c>
      <c r="T12" s="13" t="n">
        <f aca="false">IF(OR(AE12=0,W12=""),"",W12-U12+V12)</f>
        <v>16</v>
      </c>
      <c r="U12" s="13" t="n">
        <f aca="false">IF(AE12=0,"",IF(NOT(LH_Ready),"",SUMIFS(INDEX(LH_Data,0,LH_ColAcc),INDEX(LH_Data,0,LH_ColFirst),$A12,INDEX(LH_Data,0,LH_ColSur),$B12,INDEX(LH_Data,0,LH_ColCat),BonusCat)*UnitFactor))</f>
        <v>0</v>
      </c>
      <c r="V12" s="13" t="n">
        <f aca="false">IF(AE12=0,"",IF(NOT(LH_Ready),"",SUMIFS(INDEX(LH_Data,0,LH_ColTaken),INDEX(LH_Data,0,LH_ColFirst),$A12,INDEX(LH_Data,0,LH_ColSur),$B12,INDEX(LH_Data,0,LH_ColCat),BonusCat)*UnitFactor))</f>
        <v>0</v>
      </c>
      <c r="W12" s="13" t="n">
        <f aca="false">IF(AE12=0,"",IF(NOT(LH_Ready),"",IF(BB12=0,0,INDEX(INDEX(LH_Data,0,LH_ColClose),BB12-1)*UnitFactor)))</f>
        <v>16</v>
      </c>
      <c r="X12" s="13" t="n">
        <f aca="false">IF(AE12=0,"",(AX12-AY12)*HoursPerDay)</f>
        <v>16</v>
      </c>
      <c r="Y12" s="13" t="n">
        <f aca="false">IF(AE12=0,"",X12-N(U12))</f>
        <v>16</v>
      </c>
      <c r="Z12" s="12" t="str">
        <f aca="false">IF(AE12=0,"",IF(Y12&gt;0,"Yes","No"))</f>
        <v>Yes</v>
      </c>
      <c r="AA12" s="12" t="str">
        <f aca="false">IF(AE12=0,"",IF(NOT(LH_Ready),"Paste Leave History export",IF(Y12&gt;0,"ACCRUE "&amp;TEXT(Y12,"0.##")&amp;" hrs ("&amp;TEXT(Y12/HoursPerDay,"0.##")&amp;" days)"&amp;IF(BA12=0," - no Bonus Leave line in EH yet",""),IF(Y12&lt;0,"CHECK - EH accrued "&amp;TEXT(-Y12,"0.##")&amp;" hrs more than policy",IF(AND(O12&gt;0,BA12=0),"CHECK - policy says "&amp;TEXT(N12,"0.##")&amp;" hrs to date but no Bonus Leave in EH",IF(O12&gt;0,"OK","-"))))))</f>
        <v>ACCRUE 16 hrs (2 days)</v>
      </c>
      <c r="AB12" s="13" t="n">
        <f aca="false">IF(OR(AE12=0,T12=""),"",AY12*HoursPerDay-T12)</f>
        <v>112</v>
      </c>
      <c r="AC12" s="12" t="n">
        <f aca="false">IF(AE12=0,"",BA12)</f>
        <v>6</v>
      </c>
      <c r="AD12" s="12" t="str">
        <f aca="false">IF(AE12=0,"",TRIM(IF(AND(AG12&gt;=1,IF(AG12&gt;=3,AM12,IF(AG12=2,AL12,AK12))&lt;&gt;$C12),"EmploymentType does not match latest start date ("&amp;IF(AG12&gt;=3,AM12,IF(AG12=2,AL12,AK12))&amp;"). ","")&amp;IF(AND(AG12&gt;=1,AH12&lt;&gt;$F12),"Earliest type date should equal StartDate. ","")&amp;IF(AND(AG12&gt;=2,AH12=AI12),"Two types start on the same date. ","")&amp;IF(AND($C12="Part-Time",$P12=""),"Part-time: enter PT Hrs/Week (blank = 24+). ","")))</f>
        <v/>
      </c>
      <c r="AE12" s="12" t="n">
        <f aca="false">IF(OR(LEN($A12&amp;$B12)=0,$F12=""),0,1)</f>
        <v>1</v>
      </c>
      <c r="AF12" s="10" t="n">
        <f aca="false">IF(AE12=0,"",IF($J12&lt;&gt;"",$J12,$F12))</f>
        <v>43710</v>
      </c>
      <c r="AG12" s="12" t="n">
        <f aca="false">IF(AE12=0,"",COUNT($G12:$I12))</f>
        <v>2</v>
      </c>
      <c r="AH12" s="10" t="n">
        <f aca="false">IF(AE12=0,"",IFERROR(SMALL($G12:$I12,1),""))</f>
        <v>43710</v>
      </c>
      <c r="AI12" s="10" t="n">
        <f aca="false">IF(AE12=0,"",IFERROR(SMALL($G12:$I12,2),""))</f>
        <v>44256</v>
      </c>
      <c r="AJ12" s="10" t="str">
        <f aca="false">IF(AE12=0,"",IFERROR(SMALL($G12:$I12,3),""))</f>
        <v/>
      </c>
      <c r="AK12" s="12" t="str">
        <f aca="false">IF(AE12=0,"",IF(AH12="","",IF(AH12=$G12,"Part-Time",IF(AH12=$H12,"Full-Time","Casual"))))</f>
        <v>Casual</v>
      </c>
      <c r="AL12" s="12" t="str">
        <f aca="false">IF(AE12=0,"",IF(AI12="","",IF(AI12=$G12,"Part-Time",IF(AI12=$H12,"Full-Time","Casual"))))</f>
        <v>Full-Time</v>
      </c>
      <c r="AM12" s="12" t="str">
        <f aca="false">IF(AE12=0,"",IF(AJ12="","",IF(AJ12=$G12,"Part-Time",IF(AJ12=$H12,"Full-Time","Casual"))))</f>
        <v/>
      </c>
      <c r="AN12" s="12" t="str">
        <f aca="false">IF(AE12=0,"",IF(AG12=0,IF($C12="Full-Time","FT",IF(AND($C12="Part-Time",OR($P12="",N($P12)&gt;=PT_MinHours)),"PT","None")),IF(AK12="Full-Time","FT",IF(AND(AK12="Part-Time",OR($P12="",N($P12)&gt;=PT_MinHours)),"PT","None"))))</f>
        <v>None</v>
      </c>
      <c r="AO12" s="12" t="str">
        <f aca="false">IF(AE12=0,"",IF(AG12&lt;2,"",IF(AL12="Full-Time","FT",IF(AND(AL12="Part-Time",OR($P12="",N($P12)&gt;=PT_MinHours)),"PT","None"))))</f>
        <v>FT</v>
      </c>
      <c r="AP12" s="12" t="str">
        <f aca="false">IF(AE12=0,"",IF(AG12&lt;3,"",IF(AM12="Full-Time","FT",IF(AND(AM12="Part-Time",OR($P12="",N($P12)&gt;=PT_MinHours)),"PT","None"))))</f>
        <v/>
      </c>
      <c r="AQ12" s="12" t="str">
        <f aca="false">IF(AE12=0,"",IF(AND(AG12&gt;=3,AJ12&lt;=AsOfDate),AP12,IF(AND(AG12&gt;=2,AI12&lt;=AsOfDate),AO12,AN12)))</f>
        <v>FT</v>
      </c>
      <c r="AR12" s="12" t="n">
        <f aca="false">IF(AE12=0,"",IF(AsOfDate&lt;AF12,-1,12*(YEAR(AsOfDate)-YEAR(AF12))+MONTH(AsOfDate)-MONTH(AF12)-IF(DAY(AsOfDate)&lt;MIN(DAY(AF12),DAY(EOMONTH(AsOfDate,0))),1,0)))</f>
        <v>84</v>
      </c>
      <c r="AS12" s="12" t="n">
        <f aca="false">IF(AE12=0,"",IF(OR(AG12&lt;2,AI12&gt;AsOfDate),AR12,IF((AI12-1)&lt;AF12,-1,12*(YEAR((AI12-1))-YEAR(AF12))+MONTH((AI12-1))-MONTH(AF12)-IF(DAY((AI12-1))&lt;MIN(DAY(AF12),DAY(EOMONTH((AI12-1),0))),1,0))))</f>
        <v>17</v>
      </c>
      <c r="AT12" s="12" t="n">
        <f aca="false">IF(AE12=0,"",IF(OR(AG12&lt;3,AJ12&gt;AsOfDate),AR12,IF((AJ12-1)&lt;AF12,-1,12*(YEAR((AJ12-1))-YEAR(AF12))+MONTH((AJ12-1))-MONTH(AF12)-IF(DAY((AJ12-1))&lt;MIN(DAY(AF12),DAY(EOMONTH((AJ12-1),0))),1,0))))</f>
        <v>84</v>
      </c>
      <c r="AU12" s="12" t="n">
        <f aca="false">IF(AE12=0,"",IF(PFYDate&lt;AF12,-1,12*(YEAR(PFYDate)-YEAR(AF12))+MONTH(PFYDate)-MONTH(AF12)-IF(DAY(PFYDate)&lt;MIN(DAY(AF12),DAY(EOMONTH(PFYDate,0))),1,0)))</f>
        <v>81</v>
      </c>
      <c r="AV12" s="12" t="n">
        <f aca="false">IF(AE12=0,"",IF(OR(AG12&lt;2,AI12&gt;PFYDate),AU12,IF((AI12-1)&lt;AF12,-1,12*(YEAR((AI12-1))-YEAR(AF12))+MONTH((AI12-1))-MONTH(AF12)-IF(DAY((AI12-1))&lt;MIN(DAY(AF12),DAY(EOMONTH((AI12-1),0))),1,0))))</f>
        <v>17</v>
      </c>
      <c r="AW12" s="12" t="n">
        <f aca="false">IF(AE12=0,"",IF(OR(AG12&lt;3,AJ12&gt;PFYDate),AU12,IF((AJ12-1)&lt;AF12,-1,12*(YEAR((AJ12-1))-YEAR(AF12))+MONTH((AJ12-1))-MONTH(AF12)-IF(DAY((AJ12-1))&lt;MIN(DAY(AF12),DAY(EOMONTH((AJ12-1),0))),1,0))))</f>
        <v>81</v>
      </c>
      <c r="AX12" s="12"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18</v>
      </c>
      <c r="AY12" s="12"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16</v>
      </c>
      <c r="AZ12" s="12" t="n">
        <f aca="false">IF(AE12=0,"",IF(AQ12="FT",IF(AR12&lt;FT_First,FT_First,IF(AR12&lt;FT_Y5,MIN(FT_Y5,FT_First+FT_Int1*(INT((AR12-FT_First)/FT_Int1)+1)),FT_Y5+12*INT((AR12-FT_Y5)/12)+FT_Int2*(INT(MOD(AR12-FT_Y5,12)/FT_Int2)+1))),IF(AQ12="PT",IF(AR12&lt;PT_First,PT_First,PT_First+PT_Int*(INT((AR12-PT_First)/PT_Int)+1)),"")))</f>
        <v>87</v>
      </c>
      <c r="BA12" s="12" t="n">
        <f aca="false">IF(AE12=0,"",IF(NOT(LH_Ready),0,COUNTIFS(INDEX(LH_Data,0,LH_ColFirst),$A12,INDEX(LH_Data,0,LH_ColSur),$B12,INDEX(LH_Data,0,LH_ColCat),BonusCat)))</f>
        <v>6</v>
      </c>
      <c r="BB12" s="12" t="n">
        <f aca="false">IF(AE12=0,"",IF(OR(NOT(LH_Ready),BA12=0),0,SUMPRODUCT(MAX((INDEX(LH_Data,0,LH_ColFirst)=$A12)*(INDEX(LH_Data,0,LH_ColSur)=$B12)*(INDEX(LH_Data,0,LH_ColCat)=BonusCat)*ROW(LH_Data)))))</f>
        <v>37</v>
      </c>
    </row>
    <row r="13" customFormat="false" ht="15" hidden="false" customHeight="false" outlineLevel="0" collapsed="false">
      <c r="A13" s="15"/>
      <c r="B13" s="15"/>
      <c r="C13" s="15"/>
      <c r="D13" s="16"/>
      <c r="E13" s="10" t="str">
        <f aca="false">IF(OR(AE13=0,$D13=""),"",DATE(YEAR(AsOfDate)+IF(DATE(YEAR(AsOfDate),MONTH($D13),DAY($D13))&lt;=AsOfDate,1,0),MONTH($D13),DAY($D13)))</f>
        <v/>
      </c>
      <c r="F13" s="16"/>
      <c r="G13" s="16"/>
      <c r="H13" s="16"/>
      <c r="I13" s="16"/>
      <c r="J13" s="16"/>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7"/>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"&amp;IF(AND($C13="Part-Time",$P13&lt;&gt;"",N($P13)&lt;PT_MinHours),"under "&amp;PT_MinHours&amp;" hrs",$C13)),IF(O13&gt;0,"Yes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IF(AE13=0,"",X13-N(U13))</f>
        <v/>
      </c>
      <c r="Z13" s="12" t="str">
        <f aca="false">IF(AE13=0,"",IF(Y13&gt;0,"Yes","No"))</f>
        <v/>
      </c>
      <c r="AA13" s="12" t="str">
        <f aca="false">IF(AE13=0,"",IF(NOT(LH_Ready),"Paste Leave History export",IF(Y13&gt;0,"ACCRUE "&amp;TEXT(Y13,"0.##")&amp;" hrs ("&amp;TEXT(Y13/HoursPerDay,"0.##")&amp;" days)"&amp;IF(BA13=0," - no Bonus Leave line in EH yet",""),IF(Y13&lt;0,"CHECK - EH accrued "&amp;TEXT(-Y13,"0.##")&amp;" hrs more than policy",IF(AND(O13&gt;0,BA13=0),"CHECK - policy says "&amp;TEXT(N13,"0.##")&amp;" hrs to date but no Bonus Leave in EH",IF(O13&gt;0,"OK","-"))))))</f>
        <v/>
      </c>
      <c r="AB13" s="13" t="str">
        <f aca="false">IF(OR(AE13=0,T13=""),"",AY13*HoursPerDay-T13)</f>
        <v/>
      </c>
      <c r="AC13" s="12" t="str">
        <f aca="false">IF(AE13=0,"",BA13)</f>
        <v/>
      </c>
      <c r="AD13" s="12" t="str">
        <f aca="false">IF(AE13=0,"",TRIM(IF(AND(AG13&gt;=1,IF(AG13&gt;=3,AM13,IF(AG13=2,AL13,AK13))&lt;&gt;$C13),"EmploymentType does not match latest start date ("&amp;IF(AG13&gt;=3,AM13,IF(AG13=2,AL13,AK13))&amp;"). ","")&amp;IF(AND(AG13&gt;=1,AH13&lt;&gt;$F13),"Earliest type date should equal StartDate. ","")&amp;IF(AND(AG13&gt;=2,AH13=AI13),"Two types start on the same date. ","")&amp;IF(AND($C13="Part-Time",$P13=""),"Part-time: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IF(AE13=0,"",IF(AG13=0,IF($C13="Full-Time","FT",IF(AND($C13="Part-Time",OR($P13="",N($P13)&gt;=PT_MinHours)),"PT","None")),IF(AK13="Full-Time","FT",IF(AND(AK13="Part-Time",OR($P13="",N($P13)&gt;=PT_MinHours)),"PT","None"))))</f>
        <v/>
      </c>
      <c r="AO13" s="12" t="str">
        <f aca="false">IF(AE13=0,"",IF(AG13&lt;2,"",IF(AL13="Full-Time","FT",IF(AND(AL13="Part-Time",OR($P13="",N($P13)&gt;=PT_MinHours)),"PT","None"))))</f>
        <v/>
      </c>
      <c r="AP13" s="12" t="str">
        <f aca="false">IF(AE13=0,"",IF(AG13&lt;3,"",IF(AM13="Full-Time","FT",IF(AND(AM13="Part-Time",OR($P13="",N($P13)&gt;=PT_MinHours)),"PT","None"))))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IF(OR(AE14=0,$D14=""),"",DATE(YEAR(AsOfDate)+IF(DATE(YEAR(AsOfDate),MONTH($D14),DAY($D14))&lt;=AsOfDate,1,0),MONTH($D14),DAY($D14)))</f>
        <v/>
      </c>
      <c r="F14" s="16"/>
      <c r="G14" s="16"/>
      <c r="H14" s="16"/>
      <c r="I14" s="16"/>
      <c r="J14" s="16"/>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7"/>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"&amp;IF(AND($C14="Part-Time",$P14&lt;&gt;"",N($P14)&lt;PT_MinHours),"under "&amp;PT_MinHours&amp;" hrs",$C14)),IF(O14&gt;0,"Yes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IF(AE14=0,"",X14-N(U14))</f>
        <v/>
      </c>
      <c r="Z14" s="12" t="str">
        <f aca="false">IF(AE14=0,"",IF(Y14&gt;0,"Yes","No"))</f>
        <v/>
      </c>
      <c r="AA14" s="12" t="str">
        <f aca="false">IF(AE14=0,"",IF(NOT(LH_Ready),"Paste Leave History export",IF(Y14&gt;0,"ACCRUE "&amp;TEXT(Y14,"0.##")&amp;" hrs ("&amp;TEXT(Y14/HoursPerDay,"0.##")&amp;" days)"&amp;IF(BA14=0," - no Bonus Leave line in EH yet",""),IF(Y14&lt;0,"CHECK - EH accrued "&amp;TEXT(-Y14,"0.##")&amp;" hrs more than policy",IF(AND(O14&gt;0,BA14=0),"CHECK - policy says "&amp;TEXT(N14,"0.##")&amp;" hrs to date but no Bonus Leave in EH",IF(O14&gt;0,"OK","-"))))))</f>
        <v/>
      </c>
      <c r="AB14" s="13" t="str">
        <f aca="false">IF(OR(AE14=0,T14=""),"",AY14*HoursPerDay-T14)</f>
        <v/>
      </c>
      <c r="AC14" s="12" t="str">
        <f aca="false">IF(AE14=0,"",BA14)</f>
        <v/>
      </c>
      <c r="AD14" s="12" t="str">
        <f aca="false">IF(AE14=0,"",TRIM(IF(AND(AG14&gt;=1,IF(AG14&gt;=3,AM14,IF(AG14=2,AL14,AK14))&lt;&gt;$C14),"EmploymentType does not match latest start date ("&amp;IF(AG14&gt;=3,AM14,IF(AG14=2,AL14,AK14))&amp;"). ","")&amp;IF(AND(AG14&gt;=1,AH14&lt;&gt;$F14),"Earliest type date should equal StartDate. ","")&amp;IF(AND(AG14&gt;=2,AH14=AI14),"Two types start on the same date. ","")&amp;IF(AND($C14="Part-Time",$P14=""),"Part-time: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IF(AE14=0,"",IF(AG14=0,IF($C14="Full-Time","FT",IF(AND($C14="Part-Time",OR($P14="",N($P14)&gt;=PT_MinHours)),"PT","None")),IF(AK14="Full-Time","FT",IF(AND(AK14="Part-Time",OR($P14="",N($P14)&gt;=PT_MinHours)),"PT","None"))))</f>
        <v/>
      </c>
      <c r="AO14" s="12" t="str">
        <f aca="false">IF(AE14=0,"",IF(AG14&lt;2,"",IF(AL14="Full-Time","FT",IF(AND(AL14="Part-Time",OR($P14="",N($P14)&gt;=PT_MinHours)),"PT","None"))))</f>
        <v/>
      </c>
      <c r="AP14" s="12" t="str">
        <f aca="false">IF(AE14=0,"",IF(AG14&lt;3,"",IF(AM14="Full-Time","FT",IF(AND(AM14="Part-Time",OR($P14="",N($P14)&gt;=PT_MinHours)),"PT","None"))))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IF(OR(AE15=0,$D15=""),"",DATE(YEAR(AsOfDate)+IF(DATE(YEAR(AsOfDate),MONTH($D15),DAY($D15))&lt;=AsOfDate,1,0),MONTH($D15),DAY($D15)))</f>
        <v/>
      </c>
      <c r="F15" s="16"/>
      <c r="G15" s="16"/>
      <c r="H15" s="16"/>
      <c r="I15" s="16"/>
      <c r="J15" s="16"/>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7"/>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"&amp;IF(AND($C15="Part-Time",$P15&lt;&gt;"",N($P15)&lt;PT_MinHours),"under "&amp;PT_MinHours&amp;" hrs",$C15)),IF(O15&gt;0,"Yes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IF(AE15=0,"",X15-N(U15))</f>
        <v/>
      </c>
      <c r="Z15" s="12" t="str">
        <f aca="false">IF(AE15=0,"",IF(Y15&gt;0,"Yes","No"))</f>
        <v/>
      </c>
      <c r="AA15" s="12" t="str">
        <f aca="false">IF(AE15=0,"",IF(NOT(LH_Ready),"Paste Leave History export",IF(Y15&gt;0,"ACCRUE "&amp;TEXT(Y15,"0.##")&amp;" hrs ("&amp;TEXT(Y15/HoursPerDay,"0.##")&amp;" days)"&amp;IF(BA15=0," - no Bonus Leave line in EH yet",""),IF(Y15&lt;0,"CHECK - EH accrued "&amp;TEXT(-Y15,"0.##")&amp;" hrs more than policy",IF(AND(O15&gt;0,BA15=0),"CHECK - policy says "&amp;TEXT(N15,"0.##")&amp;" hrs to date but no Bonus Leave in EH",IF(O15&gt;0,"OK","-"))))))</f>
        <v/>
      </c>
      <c r="AB15" s="13" t="str">
        <f aca="false">IF(OR(AE15=0,T15=""),"",AY15*HoursPerDay-T15)</f>
        <v/>
      </c>
      <c r="AC15" s="12" t="str">
        <f aca="false">IF(AE15=0,"",BA15)</f>
        <v/>
      </c>
      <c r="AD15" s="12" t="str">
        <f aca="false">IF(AE15=0,"",TRIM(IF(AND(AG15&gt;=1,IF(AG15&gt;=3,AM15,IF(AG15=2,AL15,AK15))&lt;&gt;$C15),"EmploymentType does not match latest start date ("&amp;IF(AG15&gt;=3,AM15,IF(AG15=2,AL15,AK15))&amp;"). ","")&amp;IF(AND(AG15&gt;=1,AH15&lt;&gt;$F15),"Earliest type date should equal StartDate. ","")&amp;IF(AND(AG15&gt;=2,AH15=AI15),"Two types start on the same date. ","")&amp;IF(AND($C15="Part-Time",$P15=""),"Part-time: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IF(AE15=0,"",IF(AG15=0,IF($C15="Full-Time","FT",IF(AND($C15="Part-Time",OR($P15="",N($P15)&gt;=PT_MinHours)),"PT","None")),IF(AK15="Full-Time","FT",IF(AND(AK15="Part-Time",OR($P15="",N($P15)&gt;=PT_MinHours)),"PT","None"))))</f>
        <v/>
      </c>
      <c r="AO15" s="12" t="str">
        <f aca="false">IF(AE15=0,"",IF(AG15&lt;2,"",IF(AL15="Full-Time","FT",IF(AND(AL15="Part-Time",OR($P15="",N($P15)&gt;=PT_MinHours)),"PT","None"))))</f>
        <v/>
      </c>
      <c r="AP15" s="12" t="str">
        <f aca="false">IF(AE15=0,"",IF(AG15&lt;3,"",IF(AM15="Full-Time","FT",IF(AND(AM15="Part-Time",OR($P15="",N($P15)&gt;=PT_MinHours)),"PT","None"))))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IF(OR(AE16=0,$D16=""),"",DATE(YEAR(AsOfDate)+IF(DATE(YEAR(AsOfDate),MONTH($D16),DAY($D16))&lt;=AsOfDate,1,0),MONTH($D16),DAY($D16)))</f>
        <v/>
      </c>
      <c r="F16" s="16"/>
      <c r="G16" s="16"/>
      <c r="H16" s="16"/>
      <c r="I16" s="16"/>
      <c r="J16" s="16"/>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7"/>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"&amp;IF(AND($C16="Part-Time",$P16&lt;&gt;"",N($P16)&lt;PT_MinHours),"under "&amp;PT_MinHours&amp;" hrs",$C16)),IF(O16&gt;0,"Yes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IF(AE16=0,"",X16-N(U16))</f>
        <v/>
      </c>
      <c r="Z16" s="12" t="str">
        <f aca="false">IF(AE16=0,"",IF(Y16&gt;0,"Yes","No"))</f>
        <v/>
      </c>
      <c r="AA16" s="12" t="str">
        <f aca="false">IF(AE16=0,"",IF(NOT(LH_Ready),"Paste Leave History export",IF(Y16&gt;0,"ACCRUE "&amp;TEXT(Y16,"0.##")&amp;" hrs ("&amp;TEXT(Y16/HoursPerDay,"0.##")&amp;" days)"&amp;IF(BA16=0," - no Bonus Leave line in EH yet",""),IF(Y16&lt;0,"CHECK - EH accrued "&amp;TEXT(-Y16,"0.##")&amp;" hrs more than policy",IF(AND(O16&gt;0,BA16=0),"CHECK - policy says "&amp;TEXT(N16,"0.##")&amp;" hrs to date but no Bonus Leave in EH",IF(O16&gt;0,"OK","-"))))))</f>
        <v/>
      </c>
      <c r="AB16" s="13" t="str">
        <f aca="false">IF(OR(AE16=0,T16=""),"",AY16*HoursPerDay-T16)</f>
        <v/>
      </c>
      <c r="AC16" s="12" t="str">
        <f aca="false">IF(AE16=0,"",BA16)</f>
        <v/>
      </c>
      <c r="AD16" s="12" t="str">
        <f aca="false">IF(AE16=0,"",TRIM(IF(AND(AG16&gt;=1,IF(AG16&gt;=3,AM16,IF(AG16=2,AL16,AK16))&lt;&gt;$C16),"EmploymentType does not match latest start date ("&amp;IF(AG16&gt;=3,AM16,IF(AG16=2,AL16,AK16))&amp;"). ","")&amp;IF(AND(AG16&gt;=1,AH16&lt;&gt;$F16),"Earliest type date should equal StartDate. ","")&amp;IF(AND(AG16&gt;=2,AH16=AI16),"Two types start on the same date. ","")&amp;IF(AND($C16="Part-Time",$P16=""),"Part-time: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IF(AE16=0,"",IF(AG16=0,IF($C16="Full-Time","FT",IF(AND($C16="Part-Time",OR($P16="",N($P16)&gt;=PT_MinHours)),"PT","None")),IF(AK16="Full-Time","FT",IF(AND(AK16="Part-Time",OR($P16="",N($P16)&gt;=PT_MinHours)),"PT","None"))))</f>
        <v/>
      </c>
      <c r="AO16" s="12" t="str">
        <f aca="false">IF(AE16=0,"",IF(AG16&lt;2,"",IF(AL16="Full-Time","FT",IF(AND(AL16="Part-Time",OR($P16="",N($P16)&gt;=PT_MinHours)),"PT","None"))))</f>
        <v/>
      </c>
      <c r="AP16" s="12" t="str">
        <f aca="false">IF(AE16=0,"",IF(AG16&lt;3,"",IF(AM16="Full-Time","FT",IF(AND(AM16="Part-Time",OR($P16="",N($P16)&gt;=PT_MinHours)),"PT","None"))))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IF(OR(AE17=0,$D17=""),"",DATE(YEAR(AsOfDate)+IF(DATE(YEAR(AsOfDate),MONTH($D17),DAY($D17))&lt;=AsOfDate,1,0),MONTH($D17),DAY($D17)))</f>
        <v/>
      </c>
      <c r="F17" s="16"/>
      <c r="G17" s="16"/>
      <c r="H17" s="16"/>
      <c r="I17" s="16"/>
      <c r="J17" s="16"/>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7"/>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"&amp;IF(AND($C17="Part-Time",$P17&lt;&gt;"",N($P17)&lt;PT_MinHours),"under "&amp;PT_MinHours&amp;" hrs",$C17)),IF(O17&gt;0,"Yes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IF(AE17=0,"",X17-N(U17))</f>
        <v/>
      </c>
      <c r="Z17" s="12" t="str">
        <f aca="false">IF(AE17=0,"",IF(Y17&gt;0,"Yes","No"))</f>
        <v/>
      </c>
      <c r="AA17" s="12" t="str">
        <f aca="false">IF(AE17=0,"",IF(NOT(LH_Ready),"Paste Leave History export",IF(Y17&gt;0,"ACCRUE "&amp;TEXT(Y17,"0.##")&amp;" hrs ("&amp;TEXT(Y17/HoursPerDay,"0.##")&amp;" days)"&amp;IF(BA17=0," - no Bonus Leave line in EH yet",""),IF(Y17&lt;0,"CHECK - EH accrued "&amp;TEXT(-Y17,"0.##")&amp;" hrs more than policy",IF(AND(O17&gt;0,BA17=0),"CHECK - policy says "&amp;TEXT(N17,"0.##")&amp;" hrs to date but no Bonus Leave in EH",IF(O17&gt;0,"OK","-"))))))</f>
        <v/>
      </c>
      <c r="AB17" s="13" t="str">
        <f aca="false">IF(OR(AE17=0,T17=""),"",AY17*HoursPerDay-T17)</f>
        <v/>
      </c>
      <c r="AC17" s="12" t="str">
        <f aca="false">IF(AE17=0,"",BA17)</f>
        <v/>
      </c>
      <c r="AD17" s="12" t="str">
        <f aca="false">IF(AE17=0,"",TRIM(IF(AND(AG17&gt;=1,IF(AG17&gt;=3,AM17,IF(AG17=2,AL17,AK17))&lt;&gt;$C17),"EmploymentType does not match latest start date ("&amp;IF(AG17&gt;=3,AM17,IF(AG17=2,AL17,AK17))&amp;"). ","")&amp;IF(AND(AG17&gt;=1,AH17&lt;&gt;$F17),"Earliest type date should equal StartDate. ","")&amp;IF(AND(AG17&gt;=2,AH17=AI17),"Two types start on the same date. ","")&amp;IF(AND($C17="Part-Time",$P17=""),"Part-time: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IF(AE17=0,"",IF(AG17=0,IF($C17="Full-Time","FT",IF(AND($C17="Part-Time",OR($P17="",N($P17)&gt;=PT_MinHours)),"PT","None")),IF(AK17="Full-Time","FT",IF(AND(AK17="Part-Time",OR($P17="",N($P17)&gt;=PT_MinHours)),"PT","None"))))</f>
        <v/>
      </c>
      <c r="AO17" s="12" t="str">
        <f aca="false">IF(AE17=0,"",IF(AG17&lt;2,"",IF(AL17="Full-Time","FT",IF(AND(AL17="Part-Time",OR($P17="",N($P17)&gt;=PT_MinHours)),"PT","None"))))</f>
        <v/>
      </c>
      <c r="AP17" s="12" t="str">
        <f aca="false">IF(AE17=0,"",IF(AG17&lt;3,"",IF(AM17="Full-Time","FT",IF(AND(AM17="Part-Time",OR($P17="",N($P17)&gt;=PT_MinHours)),"PT","None"))))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IF(OR(AE18=0,$D18=""),"",DATE(YEAR(AsOfDate)+IF(DATE(YEAR(AsOfDate),MONTH($D18),DAY($D18))&lt;=AsOfDate,1,0),MONTH($D18),DAY($D18)))</f>
        <v/>
      </c>
      <c r="F18" s="16"/>
      <c r="G18" s="16"/>
      <c r="H18" s="16"/>
      <c r="I18" s="16"/>
      <c r="J18" s="16"/>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7"/>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"&amp;IF(AND($C18="Part-Time",$P18&lt;&gt;"",N($P18)&lt;PT_MinHours),"under "&amp;PT_MinHours&amp;" hrs",$C18)),IF(O18&gt;0,"Yes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IF(AE18=0,"",X18-N(U18))</f>
        <v/>
      </c>
      <c r="Z18" s="12" t="str">
        <f aca="false">IF(AE18=0,"",IF(Y18&gt;0,"Yes","No"))</f>
        <v/>
      </c>
      <c r="AA18" s="12" t="str">
        <f aca="false">IF(AE18=0,"",IF(NOT(LH_Ready),"Paste Leave History export",IF(Y18&gt;0,"ACCRUE "&amp;TEXT(Y18,"0.##")&amp;" hrs ("&amp;TEXT(Y18/HoursPerDay,"0.##")&amp;" days)"&amp;IF(BA18=0," - no Bonus Leave line in EH yet",""),IF(Y18&lt;0,"CHECK - EH accrued "&amp;TEXT(-Y18,"0.##")&amp;" hrs more than policy",IF(AND(O18&gt;0,BA18=0),"CHECK - policy says "&amp;TEXT(N18,"0.##")&amp;" hrs to date but no Bonus Leave in EH",IF(O18&gt;0,"OK","-"))))))</f>
        <v/>
      </c>
      <c r="AB18" s="13" t="str">
        <f aca="false">IF(OR(AE18=0,T18=""),"",AY18*HoursPerDay-T18)</f>
        <v/>
      </c>
      <c r="AC18" s="12" t="str">
        <f aca="false">IF(AE18=0,"",BA18)</f>
        <v/>
      </c>
      <c r="AD18" s="12" t="str">
        <f aca="false">IF(AE18=0,"",TRIM(IF(AND(AG18&gt;=1,IF(AG18&gt;=3,AM18,IF(AG18=2,AL18,AK18))&lt;&gt;$C18),"EmploymentType does not match latest start date ("&amp;IF(AG18&gt;=3,AM18,IF(AG18=2,AL18,AK18))&amp;"). ","")&amp;IF(AND(AG18&gt;=1,AH18&lt;&gt;$F18),"Earliest type date should equal StartDate. ","")&amp;IF(AND(AG18&gt;=2,AH18=AI18),"Two types start on the same date. ","")&amp;IF(AND($C18="Part-Time",$P18=""),"Part-time: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IF(AE18=0,"",IF(AG18=0,IF($C18="Full-Time","FT",IF(AND($C18="Part-Time",OR($P18="",N($P18)&gt;=PT_MinHours)),"PT","None")),IF(AK18="Full-Time","FT",IF(AND(AK18="Part-Time",OR($P18="",N($P18)&gt;=PT_MinHours)),"PT","None"))))</f>
        <v/>
      </c>
      <c r="AO18" s="12" t="str">
        <f aca="false">IF(AE18=0,"",IF(AG18&lt;2,"",IF(AL18="Full-Time","FT",IF(AND(AL18="Part-Time",OR($P18="",N($P18)&gt;=PT_MinHours)),"PT","None"))))</f>
        <v/>
      </c>
      <c r="AP18" s="12" t="str">
        <f aca="false">IF(AE18=0,"",IF(AG18&lt;3,"",IF(AM18="Full-Time","FT",IF(AND(AM18="Part-Time",OR($P18="",N($P18)&gt;=PT_MinHours)),"PT","None"))))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IF(OR(AE19=0,$D19=""),"",DATE(YEAR(AsOfDate)+IF(DATE(YEAR(AsOfDate),MONTH($D19),DAY($D19))&lt;=AsOfDate,1,0),MONTH($D19),DAY($D19)))</f>
        <v/>
      </c>
      <c r="F19" s="16"/>
      <c r="G19" s="16"/>
      <c r="H19" s="16"/>
      <c r="I19" s="16"/>
      <c r="J19" s="16"/>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7"/>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"&amp;IF(AND($C19="Part-Time",$P19&lt;&gt;"",N($P19)&lt;PT_MinHours),"under "&amp;PT_MinHours&amp;" hrs",$C19)),IF(O19&gt;0,"Yes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IF(AE19=0,"",X19-N(U19))</f>
        <v/>
      </c>
      <c r="Z19" s="12" t="str">
        <f aca="false">IF(AE19=0,"",IF(Y19&gt;0,"Yes","No"))</f>
        <v/>
      </c>
      <c r="AA19" s="12" t="str">
        <f aca="false">IF(AE19=0,"",IF(NOT(LH_Ready),"Paste Leave History export",IF(Y19&gt;0,"ACCRUE "&amp;TEXT(Y19,"0.##")&amp;" hrs ("&amp;TEXT(Y19/HoursPerDay,"0.##")&amp;" days)"&amp;IF(BA19=0," - no Bonus Leave line in EH yet",""),IF(Y19&lt;0,"CHECK - EH accrued "&amp;TEXT(-Y19,"0.##")&amp;" hrs more than policy",IF(AND(O19&gt;0,BA19=0),"CHECK - policy says "&amp;TEXT(N19,"0.##")&amp;" hrs to date but no Bonus Leave in EH",IF(O19&gt;0,"OK","-"))))))</f>
        <v/>
      </c>
      <c r="AB19" s="13" t="str">
        <f aca="false">IF(OR(AE19=0,T19=""),"",AY19*HoursPerDay-T19)</f>
        <v/>
      </c>
      <c r="AC19" s="12" t="str">
        <f aca="false">IF(AE19=0,"",BA19)</f>
        <v/>
      </c>
      <c r="AD19" s="12" t="str">
        <f aca="false">IF(AE19=0,"",TRIM(IF(AND(AG19&gt;=1,IF(AG19&gt;=3,AM19,IF(AG19=2,AL19,AK19))&lt;&gt;$C19),"EmploymentType does not match latest start date ("&amp;IF(AG19&gt;=3,AM19,IF(AG19=2,AL19,AK19))&amp;"). ","")&amp;IF(AND(AG19&gt;=1,AH19&lt;&gt;$F19),"Earliest type date should equal StartDate. ","")&amp;IF(AND(AG19&gt;=2,AH19=AI19),"Two types start on the same date. ","")&amp;IF(AND($C19="Part-Time",$P19=""),"Part-time: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IF(AE19=0,"",IF(AG19=0,IF($C19="Full-Time","FT",IF(AND($C19="Part-Time",OR($P19="",N($P19)&gt;=PT_MinHours)),"PT","None")),IF(AK19="Full-Time","FT",IF(AND(AK19="Part-Time",OR($P19="",N($P19)&gt;=PT_MinHours)),"PT","None"))))</f>
        <v/>
      </c>
      <c r="AO19" s="12" t="str">
        <f aca="false">IF(AE19=0,"",IF(AG19&lt;2,"",IF(AL19="Full-Time","FT",IF(AND(AL19="Part-Time",OR($P19="",N($P19)&gt;=PT_MinHours)),"PT","None"))))</f>
        <v/>
      </c>
      <c r="AP19" s="12" t="str">
        <f aca="false">IF(AE19=0,"",IF(AG19&lt;3,"",IF(AM19="Full-Time","FT",IF(AND(AM19="Part-Time",OR($P19="",N($P19)&gt;=PT_MinHours)),"PT","None"))))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IF(OR(AE20=0,$D20=""),"",DATE(YEAR(AsOfDate)+IF(DATE(YEAR(AsOfDate),MONTH($D20),DAY($D20))&lt;=AsOfDate,1,0),MONTH($D20),DAY($D20)))</f>
        <v/>
      </c>
      <c r="F20" s="16"/>
      <c r="G20" s="16"/>
      <c r="H20" s="16"/>
      <c r="I20" s="16"/>
      <c r="J20" s="16"/>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7"/>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"&amp;IF(AND($C20="Part-Time",$P20&lt;&gt;"",N($P20)&lt;PT_MinHours),"under "&amp;PT_MinHours&amp;" hrs",$C20)),IF(O20&gt;0,"Yes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IF(AE20=0,"",X20-N(U20))</f>
        <v/>
      </c>
      <c r="Z20" s="12" t="str">
        <f aca="false">IF(AE20=0,"",IF(Y20&gt;0,"Yes","No"))</f>
        <v/>
      </c>
      <c r="AA20" s="12" t="str">
        <f aca="false">IF(AE20=0,"",IF(NOT(LH_Ready),"Paste Leave History export",IF(Y20&gt;0,"ACCRUE "&amp;TEXT(Y20,"0.##")&amp;" hrs ("&amp;TEXT(Y20/HoursPerDay,"0.##")&amp;" days)"&amp;IF(BA20=0," - no Bonus Leave line in EH yet",""),IF(Y20&lt;0,"CHECK - EH accrued "&amp;TEXT(-Y20,"0.##")&amp;" hrs more than policy",IF(AND(O20&gt;0,BA20=0),"CHECK - policy says "&amp;TEXT(N20,"0.##")&amp;" hrs to date but no Bonus Leave in EH",IF(O20&gt;0,"OK","-"))))))</f>
        <v/>
      </c>
      <c r="AB20" s="13" t="str">
        <f aca="false">IF(OR(AE20=0,T20=""),"",AY20*HoursPerDay-T20)</f>
        <v/>
      </c>
      <c r="AC20" s="12" t="str">
        <f aca="false">IF(AE20=0,"",BA20)</f>
        <v/>
      </c>
      <c r="AD20" s="12" t="str">
        <f aca="false">IF(AE20=0,"",TRIM(IF(AND(AG20&gt;=1,IF(AG20&gt;=3,AM20,IF(AG20=2,AL20,AK20))&lt;&gt;$C20),"EmploymentType does not match latest start date ("&amp;IF(AG20&gt;=3,AM20,IF(AG20=2,AL20,AK20))&amp;"). ","")&amp;IF(AND(AG20&gt;=1,AH20&lt;&gt;$F20),"Earliest type date should equal StartDate. ","")&amp;IF(AND(AG20&gt;=2,AH20=AI20),"Two types start on the same date. ","")&amp;IF(AND($C20="Part-Time",$P20=""),"Part-time: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IF(AE20=0,"",IF(AG20=0,IF($C20="Full-Time","FT",IF(AND($C20="Part-Time",OR($P20="",N($P20)&gt;=PT_MinHours)),"PT","None")),IF(AK20="Full-Time","FT",IF(AND(AK20="Part-Time",OR($P20="",N($P20)&gt;=PT_MinHours)),"PT","None"))))</f>
        <v/>
      </c>
      <c r="AO20" s="12" t="str">
        <f aca="false">IF(AE20=0,"",IF(AG20&lt;2,"",IF(AL20="Full-Time","FT",IF(AND(AL20="Part-Time",OR($P20="",N($P20)&gt;=PT_MinHours)),"PT","None"))))</f>
        <v/>
      </c>
      <c r="AP20" s="12" t="str">
        <f aca="false">IF(AE20=0,"",IF(AG20&lt;3,"",IF(AM20="Full-Time","FT",IF(AND(AM20="Part-Time",OR($P20="",N($P20)&gt;=PT_MinHours)),"PT","None"))))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IF(OR(AE21=0,$D21=""),"",DATE(YEAR(AsOfDate)+IF(DATE(YEAR(AsOfDate),MONTH($D21),DAY($D21))&lt;=AsOfDate,1,0),MONTH($D21),DAY($D21)))</f>
        <v/>
      </c>
      <c r="F21" s="16"/>
      <c r="G21" s="16"/>
      <c r="H21" s="16"/>
      <c r="I21" s="16"/>
      <c r="J21" s="16"/>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7"/>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"&amp;IF(AND($C21="Part-Time",$P21&lt;&gt;"",N($P21)&lt;PT_MinHours),"under "&amp;PT_MinHours&amp;" hrs",$C21)),IF(O21&gt;0,"Yes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IF(AE21=0,"",X21-N(U21))</f>
        <v/>
      </c>
      <c r="Z21" s="12" t="str">
        <f aca="false">IF(AE21=0,"",IF(Y21&gt;0,"Yes","No"))</f>
        <v/>
      </c>
      <c r="AA21" s="12" t="str">
        <f aca="false">IF(AE21=0,"",IF(NOT(LH_Ready),"Paste Leave History export",IF(Y21&gt;0,"ACCRUE "&amp;TEXT(Y21,"0.##")&amp;" hrs ("&amp;TEXT(Y21/HoursPerDay,"0.##")&amp;" days)"&amp;IF(BA21=0," - no Bonus Leave line in EH yet",""),IF(Y21&lt;0,"CHECK - EH accrued "&amp;TEXT(-Y21,"0.##")&amp;" hrs more than policy",IF(AND(O21&gt;0,BA21=0),"CHECK - policy says "&amp;TEXT(N21,"0.##")&amp;" hrs to date but no Bonus Leave in EH",IF(O21&gt;0,"OK","-"))))))</f>
        <v/>
      </c>
      <c r="AB21" s="13" t="str">
        <f aca="false">IF(OR(AE21=0,T21=""),"",AY21*HoursPerDay-T21)</f>
        <v/>
      </c>
      <c r="AC21" s="12" t="str">
        <f aca="false">IF(AE21=0,"",BA21)</f>
        <v/>
      </c>
      <c r="AD21" s="12" t="str">
        <f aca="false">IF(AE21=0,"",TRIM(IF(AND(AG21&gt;=1,IF(AG21&gt;=3,AM21,IF(AG21=2,AL21,AK21))&lt;&gt;$C21),"EmploymentType does not match latest start date ("&amp;IF(AG21&gt;=3,AM21,IF(AG21=2,AL21,AK21))&amp;"). ","")&amp;IF(AND(AG21&gt;=1,AH21&lt;&gt;$F21),"Earliest type date should equal StartDate. ","")&amp;IF(AND(AG21&gt;=2,AH21=AI21),"Two types start on the same date. ","")&amp;IF(AND($C21="Part-Time",$P21=""),"Part-time: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IF(AE21=0,"",IF(AG21=0,IF($C21="Full-Time","FT",IF(AND($C21="Part-Time",OR($P21="",N($P21)&gt;=PT_MinHours)),"PT","None")),IF(AK21="Full-Time","FT",IF(AND(AK21="Part-Time",OR($P21="",N($P21)&gt;=PT_MinHours)),"PT","None"))))</f>
        <v/>
      </c>
      <c r="AO21" s="12" t="str">
        <f aca="false">IF(AE21=0,"",IF(AG21&lt;2,"",IF(AL21="Full-Time","FT",IF(AND(AL21="Part-Time",OR($P21="",N($P21)&gt;=PT_MinHours)),"PT","None"))))</f>
        <v/>
      </c>
      <c r="AP21" s="12" t="str">
        <f aca="false">IF(AE21=0,"",IF(AG21&lt;3,"",IF(AM21="Full-Time","FT",IF(AND(AM21="Part-Time",OR($P21="",N($P21)&gt;=PT_MinHours)),"PT","None"))))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IF(OR(AE22=0,$D22=""),"",DATE(YEAR(AsOfDate)+IF(DATE(YEAR(AsOfDate),MONTH($D22),DAY($D22))&lt;=AsOfDate,1,0),MONTH($D22),DAY($D22)))</f>
        <v/>
      </c>
      <c r="F22" s="16"/>
      <c r="G22" s="16"/>
      <c r="H22" s="16"/>
      <c r="I22" s="16"/>
      <c r="J22" s="16"/>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7"/>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"&amp;IF(AND($C22="Part-Time",$P22&lt;&gt;"",N($P22)&lt;PT_MinHours),"under "&amp;PT_MinHours&amp;" hrs",$C22)),IF(O22&gt;0,"Yes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IF(AE22=0,"",X22-N(U22))</f>
        <v/>
      </c>
      <c r="Z22" s="12" t="str">
        <f aca="false">IF(AE22=0,"",IF(Y22&gt;0,"Yes","No"))</f>
        <v/>
      </c>
      <c r="AA22" s="12" t="str">
        <f aca="false">IF(AE22=0,"",IF(NOT(LH_Ready),"Paste Leave History export",IF(Y22&gt;0,"ACCRUE "&amp;TEXT(Y22,"0.##")&amp;" hrs ("&amp;TEXT(Y22/HoursPerDay,"0.##")&amp;" days)"&amp;IF(BA22=0," - no Bonus Leave line in EH yet",""),IF(Y22&lt;0,"CHECK - EH accrued "&amp;TEXT(-Y22,"0.##")&amp;" hrs more than policy",IF(AND(O22&gt;0,BA22=0),"CHECK - policy says "&amp;TEXT(N22,"0.##")&amp;" hrs to date but no Bonus Leave in EH",IF(O22&gt;0,"OK","-"))))))</f>
        <v/>
      </c>
      <c r="AB22" s="13" t="str">
        <f aca="false">IF(OR(AE22=0,T22=""),"",AY22*HoursPerDay-T22)</f>
        <v/>
      </c>
      <c r="AC22" s="12" t="str">
        <f aca="false">IF(AE22=0,"",BA22)</f>
        <v/>
      </c>
      <c r="AD22" s="12" t="str">
        <f aca="false">IF(AE22=0,"",TRIM(IF(AND(AG22&gt;=1,IF(AG22&gt;=3,AM22,IF(AG22=2,AL22,AK22))&lt;&gt;$C22),"EmploymentType does not match latest start date ("&amp;IF(AG22&gt;=3,AM22,IF(AG22=2,AL22,AK22))&amp;"). ","")&amp;IF(AND(AG22&gt;=1,AH22&lt;&gt;$F22),"Earliest type date should equal StartDate. ","")&amp;IF(AND(AG22&gt;=2,AH22=AI22),"Two types start on the same date. ","")&amp;IF(AND($C22="Part-Time",$P22=""),"Part-time: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IF(AE22=0,"",IF(AG22=0,IF($C22="Full-Time","FT",IF(AND($C22="Part-Time",OR($P22="",N($P22)&gt;=PT_MinHours)),"PT","None")),IF(AK22="Full-Time","FT",IF(AND(AK22="Part-Time",OR($P22="",N($P22)&gt;=PT_MinHours)),"PT","None"))))</f>
        <v/>
      </c>
      <c r="AO22" s="12" t="str">
        <f aca="false">IF(AE22=0,"",IF(AG22&lt;2,"",IF(AL22="Full-Time","FT",IF(AND(AL22="Part-Time",OR($P22="",N($P22)&gt;=PT_MinHours)),"PT","None"))))</f>
        <v/>
      </c>
      <c r="AP22" s="12" t="str">
        <f aca="false">IF(AE22=0,"",IF(AG22&lt;3,"",IF(AM22="Full-Time","FT",IF(AND(AM22="Part-Time",OR($P22="",N($P22)&gt;=PT_MinHours)),"PT","None"))))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IF(OR(AE23=0,$D23=""),"",DATE(YEAR(AsOfDate)+IF(DATE(YEAR(AsOfDate),MONTH($D23),DAY($D23))&lt;=AsOfDate,1,0),MONTH($D23),DAY($D23)))</f>
        <v/>
      </c>
      <c r="F23" s="16"/>
      <c r="G23" s="16"/>
      <c r="H23" s="16"/>
      <c r="I23" s="16"/>
      <c r="J23" s="16"/>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7"/>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"&amp;IF(AND($C23="Part-Time",$P23&lt;&gt;"",N($P23)&lt;PT_MinHours),"under "&amp;PT_MinHours&amp;" hrs",$C23)),IF(O23&gt;0,"Yes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IF(AE23=0,"",X23-N(U23))</f>
        <v/>
      </c>
      <c r="Z23" s="12" t="str">
        <f aca="false">IF(AE23=0,"",IF(Y23&gt;0,"Yes","No"))</f>
        <v/>
      </c>
      <c r="AA23" s="12" t="str">
        <f aca="false">IF(AE23=0,"",IF(NOT(LH_Ready),"Paste Leave History export",IF(Y23&gt;0,"ACCRUE "&amp;TEXT(Y23,"0.##")&amp;" hrs ("&amp;TEXT(Y23/HoursPerDay,"0.##")&amp;" days)"&amp;IF(BA23=0," - no Bonus Leave line in EH yet",""),IF(Y23&lt;0,"CHECK - EH accrued "&amp;TEXT(-Y23,"0.##")&amp;" hrs more than policy",IF(AND(O23&gt;0,BA23=0),"CHECK - policy says "&amp;TEXT(N23,"0.##")&amp;" hrs to date but no Bonus Leave in EH",IF(O23&gt;0,"OK","-"))))))</f>
        <v/>
      </c>
      <c r="AB23" s="13" t="str">
        <f aca="false">IF(OR(AE23=0,T23=""),"",AY23*HoursPerDay-T23)</f>
        <v/>
      </c>
      <c r="AC23" s="12" t="str">
        <f aca="false">IF(AE23=0,"",BA23)</f>
        <v/>
      </c>
      <c r="AD23" s="12" t="str">
        <f aca="false">IF(AE23=0,"",TRIM(IF(AND(AG23&gt;=1,IF(AG23&gt;=3,AM23,IF(AG23=2,AL23,AK23))&lt;&gt;$C23),"EmploymentType does not match latest start date ("&amp;IF(AG23&gt;=3,AM23,IF(AG23=2,AL23,AK23))&amp;"). ","")&amp;IF(AND(AG23&gt;=1,AH23&lt;&gt;$F23),"Earliest type date should equal StartDate. ","")&amp;IF(AND(AG23&gt;=2,AH23=AI23),"Two types start on the same date. ","")&amp;IF(AND($C23="Part-Time",$P23=""),"Part-time: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IF(AE23=0,"",IF(AG23=0,IF($C23="Full-Time","FT",IF(AND($C23="Part-Time",OR($P23="",N($P23)&gt;=PT_MinHours)),"PT","None")),IF(AK23="Full-Time","FT",IF(AND(AK23="Part-Time",OR($P23="",N($P23)&gt;=PT_MinHours)),"PT","None"))))</f>
        <v/>
      </c>
      <c r="AO23" s="12" t="str">
        <f aca="false">IF(AE23=0,"",IF(AG23&lt;2,"",IF(AL23="Full-Time","FT",IF(AND(AL23="Part-Time",OR($P23="",N($P23)&gt;=PT_MinHours)),"PT","None"))))</f>
        <v/>
      </c>
      <c r="AP23" s="12" t="str">
        <f aca="false">IF(AE23=0,"",IF(AG23&lt;3,"",IF(AM23="Full-Time","FT",IF(AND(AM23="Part-Time",OR($P23="",N($P23)&gt;=PT_MinHours)),"PT","None"))))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IF(OR(AE24=0,$D24=""),"",DATE(YEAR(AsOfDate)+IF(DATE(YEAR(AsOfDate),MONTH($D24),DAY($D24))&lt;=AsOfDate,1,0),MONTH($D24),DAY($D24)))</f>
        <v/>
      </c>
      <c r="F24" s="16"/>
      <c r="G24" s="16"/>
      <c r="H24" s="16"/>
      <c r="I24" s="16"/>
      <c r="J24" s="16"/>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7"/>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"&amp;IF(AND($C24="Part-Time",$P24&lt;&gt;"",N($P24)&lt;PT_MinHours),"under "&amp;PT_MinHours&amp;" hrs",$C24)),IF(O24&gt;0,"Yes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IF(AE24=0,"",X24-N(U24))</f>
        <v/>
      </c>
      <c r="Z24" s="12" t="str">
        <f aca="false">IF(AE24=0,"",IF(Y24&gt;0,"Yes","No"))</f>
        <v/>
      </c>
      <c r="AA24" s="12" t="str">
        <f aca="false">IF(AE24=0,"",IF(NOT(LH_Ready),"Paste Leave History export",IF(Y24&gt;0,"ACCRUE "&amp;TEXT(Y24,"0.##")&amp;" hrs ("&amp;TEXT(Y24/HoursPerDay,"0.##")&amp;" days)"&amp;IF(BA24=0," - no Bonus Leave line in EH yet",""),IF(Y24&lt;0,"CHECK - EH accrued "&amp;TEXT(-Y24,"0.##")&amp;" hrs more than policy",IF(AND(O24&gt;0,BA24=0),"CHECK - policy says "&amp;TEXT(N24,"0.##")&amp;" hrs to date but no Bonus Leave in EH",IF(O24&gt;0,"OK","-"))))))</f>
        <v/>
      </c>
      <c r="AB24" s="13" t="str">
        <f aca="false">IF(OR(AE24=0,T24=""),"",AY24*HoursPerDay-T24)</f>
        <v/>
      </c>
      <c r="AC24" s="12" t="str">
        <f aca="false">IF(AE24=0,"",BA24)</f>
        <v/>
      </c>
      <c r="AD24" s="12" t="str">
        <f aca="false">IF(AE24=0,"",TRIM(IF(AND(AG24&gt;=1,IF(AG24&gt;=3,AM24,IF(AG24=2,AL24,AK24))&lt;&gt;$C24),"EmploymentType does not match latest start date ("&amp;IF(AG24&gt;=3,AM24,IF(AG24=2,AL24,AK24))&amp;"). ","")&amp;IF(AND(AG24&gt;=1,AH24&lt;&gt;$F24),"Earliest type date should equal StartDate. ","")&amp;IF(AND(AG24&gt;=2,AH24=AI24),"Two types start on the same date. ","")&amp;IF(AND($C24="Part-Time",$P24=""),"Part-time: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IF(AE24=0,"",IF(AG24=0,IF($C24="Full-Time","FT",IF(AND($C24="Part-Time",OR($P24="",N($P24)&gt;=PT_MinHours)),"PT","None")),IF(AK24="Full-Time","FT",IF(AND(AK24="Part-Time",OR($P24="",N($P24)&gt;=PT_MinHours)),"PT","None"))))</f>
        <v/>
      </c>
      <c r="AO24" s="12" t="str">
        <f aca="false">IF(AE24=0,"",IF(AG24&lt;2,"",IF(AL24="Full-Time","FT",IF(AND(AL24="Part-Time",OR($P24="",N($P24)&gt;=PT_MinHours)),"PT","None"))))</f>
        <v/>
      </c>
      <c r="AP24" s="12" t="str">
        <f aca="false">IF(AE24=0,"",IF(AG24&lt;3,"",IF(AM24="Full-Time","FT",IF(AND(AM24="Part-Time",OR($P24="",N($P24)&gt;=PT_MinHours)),"PT","None"))))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IF(OR(AE25=0,$D25=""),"",DATE(YEAR(AsOfDate)+IF(DATE(YEAR(AsOfDate),MONTH($D25),DAY($D25))&lt;=AsOfDate,1,0),MONTH($D25),DAY($D25)))</f>
        <v/>
      </c>
      <c r="F25" s="16"/>
      <c r="G25" s="16"/>
      <c r="H25" s="16"/>
      <c r="I25" s="16"/>
      <c r="J25" s="16"/>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7"/>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"&amp;IF(AND($C25="Part-Time",$P25&lt;&gt;"",N($P25)&lt;PT_MinHours),"under "&amp;PT_MinHours&amp;" hrs",$C25)),IF(O25&gt;0,"Yes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IF(AE25=0,"",X25-N(U25))</f>
        <v/>
      </c>
      <c r="Z25" s="12" t="str">
        <f aca="false">IF(AE25=0,"",IF(Y25&gt;0,"Yes","No"))</f>
        <v/>
      </c>
      <c r="AA25" s="12" t="str">
        <f aca="false">IF(AE25=0,"",IF(NOT(LH_Ready),"Paste Leave History export",IF(Y25&gt;0,"ACCRUE "&amp;TEXT(Y25,"0.##")&amp;" hrs ("&amp;TEXT(Y25/HoursPerDay,"0.##")&amp;" days)"&amp;IF(BA25=0," - no Bonus Leave line in EH yet",""),IF(Y25&lt;0,"CHECK - EH accrued "&amp;TEXT(-Y25,"0.##")&amp;" hrs more than policy",IF(AND(O25&gt;0,BA25=0),"CHECK - policy says "&amp;TEXT(N25,"0.##")&amp;" hrs to date but no Bonus Leave in EH",IF(O25&gt;0,"OK","-"))))))</f>
        <v/>
      </c>
      <c r="AB25" s="13" t="str">
        <f aca="false">IF(OR(AE25=0,T25=""),"",AY25*HoursPerDay-T25)</f>
        <v/>
      </c>
      <c r="AC25" s="12" t="str">
        <f aca="false">IF(AE25=0,"",BA25)</f>
        <v/>
      </c>
      <c r="AD25" s="12" t="str">
        <f aca="false">IF(AE25=0,"",TRIM(IF(AND(AG25&gt;=1,IF(AG25&gt;=3,AM25,IF(AG25=2,AL25,AK25))&lt;&gt;$C25),"EmploymentType does not match latest start date ("&amp;IF(AG25&gt;=3,AM25,IF(AG25=2,AL25,AK25))&amp;"). ","")&amp;IF(AND(AG25&gt;=1,AH25&lt;&gt;$F25),"Earliest type date should equal StartDate. ","")&amp;IF(AND(AG25&gt;=2,AH25=AI25),"Two types start on the same date. ","")&amp;IF(AND($C25="Part-Time",$P25=""),"Part-time: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IF(AE25=0,"",IF(AG25=0,IF($C25="Full-Time","FT",IF(AND($C25="Part-Time",OR($P25="",N($P25)&gt;=PT_MinHours)),"PT","None")),IF(AK25="Full-Time","FT",IF(AND(AK25="Part-Time",OR($P25="",N($P25)&gt;=PT_MinHours)),"PT","None"))))</f>
        <v/>
      </c>
      <c r="AO25" s="12" t="str">
        <f aca="false">IF(AE25=0,"",IF(AG25&lt;2,"",IF(AL25="Full-Time","FT",IF(AND(AL25="Part-Time",OR($P25="",N($P25)&gt;=PT_MinHours)),"PT","None"))))</f>
        <v/>
      </c>
      <c r="AP25" s="12" t="str">
        <f aca="false">IF(AE25=0,"",IF(AG25&lt;3,"",IF(AM25="Full-Time","FT",IF(AND(AM25="Part-Time",OR($P25="",N($P25)&gt;=PT_MinHours)),"PT","None"))))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IF(OR(AE26=0,$D26=""),"",DATE(YEAR(AsOfDate)+IF(DATE(YEAR(AsOfDate),MONTH($D26),DAY($D26))&lt;=AsOfDate,1,0),MONTH($D26),DAY($D26)))</f>
        <v/>
      </c>
      <c r="F26" s="16"/>
      <c r="G26" s="16"/>
      <c r="H26" s="16"/>
      <c r="I26" s="16"/>
      <c r="J26" s="16"/>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7"/>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"&amp;IF(AND($C26="Part-Time",$P26&lt;&gt;"",N($P26)&lt;PT_MinHours),"under "&amp;PT_MinHours&amp;" hrs",$C26)),IF(O26&gt;0,"Yes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IF(AE26=0,"",X26-N(U26))</f>
        <v/>
      </c>
      <c r="Z26" s="12" t="str">
        <f aca="false">IF(AE26=0,"",IF(Y26&gt;0,"Yes","No"))</f>
        <v/>
      </c>
      <c r="AA26" s="12" t="str">
        <f aca="false">IF(AE26=0,"",IF(NOT(LH_Ready),"Paste Leave History export",IF(Y26&gt;0,"ACCRUE "&amp;TEXT(Y26,"0.##")&amp;" hrs ("&amp;TEXT(Y26/HoursPerDay,"0.##")&amp;" days)"&amp;IF(BA26=0," - no Bonus Leave line in EH yet",""),IF(Y26&lt;0,"CHECK - EH accrued "&amp;TEXT(-Y26,"0.##")&amp;" hrs more than policy",IF(AND(O26&gt;0,BA26=0),"CHECK - policy says "&amp;TEXT(N26,"0.##")&amp;" hrs to date but no Bonus Leave in EH",IF(O26&gt;0,"OK","-"))))))</f>
        <v/>
      </c>
      <c r="AB26" s="13" t="str">
        <f aca="false">IF(OR(AE26=0,T26=""),"",AY26*HoursPerDay-T26)</f>
        <v/>
      </c>
      <c r="AC26" s="12" t="str">
        <f aca="false">IF(AE26=0,"",BA26)</f>
        <v/>
      </c>
      <c r="AD26" s="12" t="str">
        <f aca="false">IF(AE26=0,"",TRIM(IF(AND(AG26&gt;=1,IF(AG26&gt;=3,AM26,IF(AG26=2,AL26,AK26))&lt;&gt;$C26),"EmploymentType does not match latest start date ("&amp;IF(AG26&gt;=3,AM26,IF(AG26=2,AL26,AK26))&amp;"). ","")&amp;IF(AND(AG26&gt;=1,AH26&lt;&gt;$F26),"Earliest type date should equal StartDate. ","")&amp;IF(AND(AG26&gt;=2,AH26=AI26),"Two types start on the same date. ","")&amp;IF(AND($C26="Part-Time",$P26=""),"Part-time: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IF(AE26=0,"",IF(AG26=0,IF($C26="Full-Time","FT",IF(AND($C26="Part-Time",OR($P26="",N($P26)&gt;=PT_MinHours)),"PT","None")),IF(AK26="Full-Time","FT",IF(AND(AK26="Part-Time",OR($P26="",N($P26)&gt;=PT_MinHours)),"PT","None"))))</f>
        <v/>
      </c>
      <c r="AO26" s="12" t="str">
        <f aca="false">IF(AE26=0,"",IF(AG26&lt;2,"",IF(AL26="Full-Time","FT",IF(AND(AL26="Part-Time",OR($P26="",N($P26)&gt;=PT_MinHours)),"PT","None"))))</f>
        <v/>
      </c>
      <c r="AP26" s="12" t="str">
        <f aca="false">IF(AE26=0,"",IF(AG26&lt;3,"",IF(AM26="Full-Time","FT",IF(AND(AM26="Part-Time",OR($P26="",N($P26)&gt;=PT_MinHours)),"PT","None"))))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IF(OR(AE27=0,$D27=""),"",DATE(YEAR(AsOfDate)+IF(DATE(YEAR(AsOfDate),MONTH($D27),DAY($D27))&lt;=AsOfDate,1,0),MONTH($D27),DAY($D27)))</f>
        <v/>
      </c>
      <c r="F27" s="16"/>
      <c r="G27" s="16"/>
      <c r="H27" s="16"/>
      <c r="I27" s="16"/>
      <c r="J27" s="16"/>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7"/>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"&amp;IF(AND($C27="Part-Time",$P27&lt;&gt;"",N($P27)&lt;PT_MinHours),"under "&amp;PT_MinHours&amp;" hrs",$C27)),IF(O27&gt;0,"Yes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IF(AE27=0,"",X27-N(U27))</f>
        <v/>
      </c>
      <c r="Z27" s="12" t="str">
        <f aca="false">IF(AE27=0,"",IF(Y27&gt;0,"Yes","No"))</f>
        <v/>
      </c>
      <c r="AA27" s="12" t="str">
        <f aca="false">IF(AE27=0,"",IF(NOT(LH_Ready),"Paste Leave History export",IF(Y27&gt;0,"ACCRUE "&amp;TEXT(Y27,"0.##")&amp;" hrs ("&amp;TEXT(Y27/HoursPerDay,"0.##")&amp;" days)"&amp;IF(BA27=0," - no Bonus Leave line in EH yet",""),IF(Y27&lt;0,"CHECK - EH accrued "&amp;TEXT(-Y27,"0.##")&amp;" hrs more than policy",IF(AND(O27&gt;0,BA27=0),"CHECK - policy says "&amp;TEXT(N27,"0.##")&amp;" hrs to date but no Bonus Leave in EH",IF(O27&gt;0,"OK","-"))))))</f>
        <v/>
      </c>
      <c r="AB27" s="13" t="str">
        <f aca="false">IF(OR(AE27=0,T27=""),"",AY27*HoursPerDay-T27)</f>
        <v/>
      </c>
      <c r="AC27" s="12" t="str">
        <f aca="false">IF(AE27=0,"",BA27)</f>
        <v/>
      </c>
      <c r="AD27" s="12" t="str">
        <f aca="false">IF(AE27=0,"",TRIM(IF(AND(AG27&gt;=1,IF(AG27&gt;=3,AM27,IF(AG27=2,AL27,AK27))&lt;&gt;$C27),"EmploymentType does not match latest start date ("&amp;IF(AG27&gt;=3,AM27,IF(AG27=2,AL27,AK27))&amp;"). ","")&amp;IF(AND(AG27&gt;=1,AH27&lt;&gt;$F27),"Earliest type date should equal StartDate. ","")&amp;IF(AND(AG27&gt;=2,AH27=AI27),"Two types start on the same date. ","")&amp;IF(AND($C27="Part-Time",$P27=""),"Part-time: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IF(AE27=0,"",IF(AG27=0,IF($C27="Full-Time","FT",IF(AND($C27="Part-Time",OR($P27="",N($P27)&gt;=PT_MinHours)),"PT","None")),IF(AK27="Full-Time","FT",IF(AND(AK27="Part-Time",OR($P27="",N($P27)&gt;=PT_MinHours)),"PT","None"))))</f>
        <v/>
      </c>
      <c r="AO27" s="12" t="str">
        <f aca="false">IF(AE27=0,"",IF(AG27&lt;2,"",IF(AL27="Full-Time","FT",IF(AND(AL27="Part-Time",OR($P27="",N($P27)&gt;=PT_MinHours)),"PT","None"))))</f>
        <v/>
      </c>
      <c r="AP27" s="12" t="str">
        <f aca="false">IF(AE27=0,"",IF(AG27&lt;3,"",IF(AM27="Full-Time","FT",IF(AND(AM27="Part-Time",OR($P27="",N($P27)&gt;=PT_MinHours)),"PT","None"))))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IF(OR(AE28=0,$D28=""),"",DATE(YEAR(AsOfDate)+IF(DATE(YEAR(AsOfDate),MONTH($D28),DAY($D28))&lt;=AsOfDate,1,0),MONTH($D28),DAY($D28)))</f>
        <v/>
      </c>
      <c r="F28" s="16"/>
      <c r="G28" s="16"/>
      <c r="H28" s="16"/>
      <c r="I28" s="16"/>
      <c r="J28" s="16"/>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7"/>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"&amp;IF(AND($C28="Part-Time",$P28&lt;&gt;"",N($P28)&lt;PT_MinHours),"under "&amp;PT_MinHours&amp;" hrs",$C28)),IF(O28&gt;0,"Yes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IF(AE28=0,"",X28-N(U28))</f>
        <v/>
      </c>
      <c r="Z28" s="12" t="str">
        <f aca="false">IF(AE28=0,"",IF(Y28&gt;0,"Yes","No"))</f>
        <v/>
      </c>
      <c r="AA28" s="12" t="str">
        <f aca="false">IF(AE28=0,"",IF(NOT(LH_Ready),"Paste Leave History export",IF(Y28&gt;0,"ACCRUE "&amp;TEXT(Y28,"0.##")&amp;" hrs ("&amp;TEXT(Y28/HoursPerDay,"0.##")&amp;" days)"&amp;IF(BA28=0," - no Bonus Leave line in EH yet",""),IF(Y28&lt;0,"CHECK - EH accrued "&amp;TEXT(-Y28,"0.##")&amp;" hrs more than policy",IF(AND(O28&gt;0,BA28=0),"CHECK - policy says "&amp;TEXT(N28,"0.##")&amp;" hrs to date but no Bonus Leave in EH",IF(O28&gt;0,"OK","-"))))))</f>
        <v/>
      </c>
      <c r="AB28" s="13" t="str">
        <f aca="false">IF(OR(AE28=0,T28=""),"",AY28*HoursPerDay-T28)</f>
        <v/>
      </c>
      <c r="AC28" s="12" t="str">
        <f aca="false">IF(AE28=0,"",BA28)</f>
        <v/>
      </c>
      <c r="AD28" s="12" t="str">
        <f aca="false">IF(AE28=0,"",TRIM(IF(AND(AG28&gt;=1,IF(AG28&gt;=3,AM28,IF(AG28=2,AL28,AK28))&lt;&gt;$C28),"EmploymentType does not match latest start date ("&amp;IF(AG28&gt;=3,AM28,IF(AG28=2,AL28,AK28))&amp;"). ","")&amp;IF(AND(AG28&gt;=1,AH28&lt;&gt;$F28),"Earliest type date should equal StartDate. ","")&amp;IF(AND(AG28&gt;=2,AH28=AI28),"Two types start on the same date. ","")&amp;IF(AND($C28="Part-Time",$P28=""),"Part-time: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IF(AE28=0,"",IF(AG28=0,IF($C28="Full-Time","FT",IF(AND($C28="Part-Time",OR($P28="",N($P28)&gt;=PT_MinHours)),"PT","None")),IF(AK28="Full-Time","FT",IF(AND(AK28="Part-Time",OR($P28="",N($P28)&gt;=PT_MinHours)),"PT","None"))))</f>
        <v/>
      </c>
      <c r="AO28" s="12" t="str">
        <f aca="false">IF(AE28=0,"",IF(AG28&lt;2,"",IF(AL28="Full-Time","FT",IF(AND(AL28="Part-Time",OR($P28="",N($P28)&gt;=PT_MinHours)),"PT","None"))))</f>
        <v/>
      </c>
      <c r="AP28" s="12" t="str">
        <f aca="false">IF(AE28=0,"",IF(AG28&lt;3,"",IF(AM28="Full-Time","FT",IF(AND(AM28="Part-Time",OR($P28="",N($P28)&gt;=PT_MinHours)),"PT","None"))))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IF(OR(AE29=0,$D29=""),"",DATE(YEAR(AsOfDate)+IF(DATE(YEAR(AsOfDate),MONTH($D29),DAY($D29))&lt;=AsOfDate,1,0),MONTH($D29),DAY($D29)))</f>
        <v/>
      </c>
      <c r="F29" s="16"/>
      <c r="G29" s="16"/>
      <c r="H29" s="16"/>
      <c r="I29" s="16"/>
      <c r="J29" s="16"/>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7"/>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"&amp;IF(AND($C29="Part-Time",$P29&lt;&gt;"",N($P29)&lt;PT_MinHours),"under "&amp;PT_MinHours&amp;" hrs",$C29)),IF(O29&gt;0,"Yes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IF(AE29=0,"",X29-N(U29))</f>
        <v/>
      </c>
      <c r="Z29" s="12" t="str">
        <f aca="false">IF(AE29=0,"",IF(Y29&gt;0,"Yes","No"))</f>
        <v/>
      </c>
      <c r="AA29" s="12" t="str">
        <f aca="false">IF(AE29=0,"",IF(NOT(LH_Ready),"Paste Leave History export",IF(Y29&gt;0,"ACCRUE "&amp;TEXT(Y29,"0.##")&amp;" hrs ("&amp;TEXT(Y29/HoursPerDay,"0.##")&amp;" days)"&amp;IF(BA29=0," - no Bonus Leave line in EH yet",""),IF(Y29&lt;0,"CHECK - EH accrued "&amp;TEXT(-Y29,"0.##")&amp;" hrs more than policy",IF(AND(O29&gt;0,BA29=0),"CHECK - policy says "&amp;TEXT(N29,"0.##")&amp;" hrs to date but no Bonus Leave in EH",IF(O29&gt;0,"OK","-"))))))</f>
        <v/>
      </c>
      <c r="AB29" s="13" t="str">
        <f aca="false">IF(OR(AE29=0,T29=""),"",AY29*HoursPerDay-T29)</f>
        <v/>
      </c>
      <c r="AC29" s="12" t="str">
        <f aca="false">IF(AE29=0,"",BA29)</f>
        <v/>
      </c>
      <c r="AD29" s="12" t="str">
        <f aca="false">IF(AE29=0,"",TRIM(IF(AND(AG29&gt;=1,IF(AG29&gt;=3,AM29,IF(AG29=2,AL29,AK29))&lt;&gt;$C29),"EmploymentType does not match latest start date ("&amp;IF(AG29&gt;=3,AM29,IF(AG29=2,AL29,AK29))&amp;"). ","")&amp;IF(AND(AG29&gt;=1,AH29&lt;&gt;$F29),"Earliest type date should equal StartDate. ","")&amp;IF(AND(AG29&gt;=2,AH29=AI29),"Two types start on the same date. ","")&amp;IF(AND($C29="Part-Time",$P29=""),"Part-time: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IF(AE29=0,"",IF(AG29=0,IF($C29="Full-Time","FT",IF(AND($C29="Part-Time",OR($P29="",N($P29)&gt;=PT_MinHours)),"PT","None")),IF(AK29="Full-Time","FT",IF(AND(AK29="Part-Time",OR($P29="",N($P29)&gt;=PT_MinHours)),"PT","None"))))</f>
        <v/>
      </c>
      <c r="AO29" s="12" t="str">
        <f aca="false">IF(AE29=0,"",IF(AG29&lt;2,"",IF(AL29="Full-Time","FT",IF(AND(AL29="Part-Time",OR($P29="",N($P29)&gt;=PT_MinHours)),"PT","None"))))</f>
        <v/>
      </c>
      <c r="AP29" s="12" t="str">
        <f aca="false">IF(AE29=0,"",IF(AG29&lt;3,"",IF(AM29="Full-Time","FT",IF(AND(AM29="Part-Time",OR($P29="",N($P29)&gt;=PT_MinHours)),"PT","None"))))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IF(OR(AE30=0,$D30=""),"",DATE(YEAR(AsOfDate)+IF(DATE(YEAR(AsOfDate),MONTH($D30),DAY($D30))&lt;=AsOfDate,1,0),MONTH($D30),DAY($D30)))</f>
        <v/>
      </c>
      <c r="F30" s="16"/>
      <c r="G30" s="16"/>
      <c r="H30" s="16"/>
      <c r="I30" s="16"/>
      <c r="J30" s="16"/>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7"/>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"&amp;IF(AND($C30="Part-Time",$P30&lt;&gt;"",N($P30)&lt;PT_MinHours),"under "&amp;PT_MinHours&amp;" hrs",$C30)),IF(O30&gt;0,"Yes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IF(AE30=0,"",X30-N(U30))</f>
        <v/>
      </c>
      <c r="Z30" s="12" t="str">
        <f aca="false">IF(AE30=0,"",IF(Y30&gt;0,"Yes","No"))</f>
        <v/>
      </c>
      <c r="AA30" s="12" t="str">
        <f aca="false">IF(AE30=0,"",IF(NOT(LH_Ready),"Paste Leave History export",IF(Y30&gt;0,"ACCRUE "&amp;TEXT(Y30,"0.##")&amp;" hrs ("&amp;TEXT(Y30/HoursPerDay,"0.##")&amp;" days)"&amp;IF(BA30=0," - no Bonus Leave line in EH yet",""),IF(Y30&lt;0,"CHECK - EH accrued "&amp;TEXT(-Y30,"0.##")&amp;" hrs more than policy",IF(AND(O30&gt;0,BA30=0),"CHECK - policy says "&amp;TEXT(N30,"0.##")&amp;" hrs to date but no Bonus Leave in EH",IF(O30&gt;0,"OK","-"))))))</f>
        <v/>
      </c>
      <c r="AB30" s="13" t="str">
        <f aca="false">IF(OR(AE30=0,T30=""),"",AY30*HoursPerDay-T30)</f>
        <v/>
      </c>
      <c r="AC30" s="12" t="str">
        <f aca="false">IF(AE30=0,"",BA30)</f>
        <v/>
      </c>
      <c r="AD30" s="12" t="str">
        <f aca="false">IF(AE30=0,"",TRIM(IF(AND(AG30&gt;=1,IF(AG30&gt;=3,AM30,IF(AG30=2,AL30,AK30))&lt;&gt;$C30),"EmploymentType does not match latest start date ("&amp;IF(AG30&gt;=3,AM30,IF(AG30=2,AL30,AK30))&amp;"). ","")&amp;IF(AND(AG30&gt;=1,AH30&lt;&gt;$F30),"Earliest type date should equal StartDate. ","")&amp;IF(AND(AG30&gt;=2,AH30=AI30),"Two types start on the same date. ","")&amp;IF(AND($C30="Part-Time",$P30=""),"Part-time: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IF(AE30=0,"",IF(AG30=0,IF($C30="Full-Time","FT",IF(AND($C30="Part-Time",OR($P30="",N($P30)&gt;=PT_MinHours)),"PT","None")),IF(AK30="Full-Time","FT",IF(AND(AK30="Part-Time",OR($P30="",N($P30)&gt;=PT_MinHours)),"PT","None"))))</f>
        <v/>
      </c>
      <c r="AO30" s="12" t="str">
        <f aca="false">IF(AE30=0,"",IF(AG30&lt;2,"",IF(AL30="Full-Time","FT",IF(AND(AL30="Part-Time",OR($P30="",N($P30)&gt;=PT_MinHours)),"PT","None"))))</f>
        <v/>
      </c>
      <c r="AP30" s="12" t="str">
        <f aca="false">IF(AE30=0,"",IF(AG30&lt;3,"",IF(AM30="Full-Time","FT",IF(AND(AM30="Part-Time",OR($P30="",N($P30)&gt;=PT_MinHours)),"PT","None"))))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IF(OR(AE31=0,$D31=""),"",DATE(YEAR(AsOfDate)+IF(DATE(YEAR(AsOfDate),MONTH($D31),DAY($D31))&lt;=AsOfDate,1,0),MONTH($D31),DAY($D31)))</f>
        <v/>
      </c>
      <c r="F31" s="16"/>
      <c r="G31" s="16"/>
      <c r="H31" s="16"/>
      <c r="I31" s="16"/>
      <c r="J31" s="16"/>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7"/>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"&amp;IF(AND($C31="Part-Time",$P31&lt;&gt;"",N($P31)&lt;PT_MinHours),"under "&amp;PT_MinHours&amp;" hrs",$C31)),IF(O31&gt;0,"Yes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IF(AE31=0,"",X31-N(U31))</f>
        <v/>
      </c>
      <c r="Z31" s="12" t="str">
        <f aca="false">IF(AE31=0,"",IF(Y31&gt;0,"Yes","No"))</f>
        <v/>
      </c>
      <c r="AA31" s="12" t="str">
        <f aca="false">IF(AE31=0,"",IF(NOT(LH_Ready),"Paste Leave History export",IF(Y31&gt;0,"ACCRUE "&amp;TEXT(Y31,"0.##")&amp;" hrs ("&amp;TEXT(Y31/HoursPerDay,"0.##")&amp;" days)"&amp;IF(BA31=0," - no Bonus Leave line in EH yet",""),IF(Y31&lt;0,"CHECK - EH accrued "&amp;TEXT(-Y31,"0.##")&amp;" hrs more than policy",IF(AND(O31&gt;0,BA31=0),"CHECK - policy says "&amp;TEXT(N31,"0.##")&amp;" hrs to date but no Bonus Leave in EH",IF(O31&gt;0,"OK","-"))))))</f>
        <v/>
      </c>
      <c r="AB31" s="13" t="str">
        <f aca="false">IF(OR(AE31=0,T31=""),"",AY31*HoursPerDay-T31)</f>
        <v/>
      </c>
      <c r="AC31" s="12" t="str">
        <f aca="false">IF(AE31=0,"",BA31)</f>
        <v/>
      </c>
      <c r="AD31" s="12" t="str">
        <f aca="false">IF(AE31=0,"",TRIM(IF(AND(AG31&gt;=1,IF(AG31&gt;=3,AM31,IF(AG31=2,AL31,AK31))&lt;&gt;$C31),"EmploymentType does not match latest start date ("&amp;IF(AG31&gt;=3,AM31,IF(AG31=2,AL31,AK31))&amp;"). ","")&amp;IF(AND(AG31&gt;=1,AH31&lt;&gt;$F31),"Earliest type date should equal StartDate. ","")&amp;IF(AND(AG31&gt;=2,AH31=AI31),"Two types start on the same date. ","")&amp;IF(AND($C31="Part-Time",$P31=""),"Part-time: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IF(AE31=0,"",IF(AG31=0,IF($C31="Full-Time","FT",IF(AND($C31="Part-Time",OR($P31="",N($P31)&gt;=PT_MinHours)),"PT","None")),IF(AK31="Full-Time","FT",IF(AND(AK31="Part-Time",OR($P31="",N($P31)&gt;=PT_MinHours)),"PT","None"))))</f>
        <v/>
      </c>
      <c r="AO31" s="12" t="str">
        <f aca="false">IF(AE31=0,"",IF(AG31&lt;2,"",IF(AL31="Full-Time","FT",IF(AND(AL31="Part-Time",OR($P31="",N($P31)&gt;=PT_MinHours)),"PT","None"))))</f>
        <v/>
      </c>
      <c r="AP31" s="12" t="str">
        <f aca="false">IF(AE31=0,"",IF(AG31&lt;3,"",IF(AM31="Full-Time","FT",IF(AND(AM31="Part-Time",OR($P31="",N($P31)&gt;=PT_MinHours)),"PT","None"))))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IF(OR(AE32=0,$D32=""),"",DATE(YEAR(AsOfDate)+IF(DATE(YEAR(AsOfDate),MONTH($D32),DAY($D32))&lt;=AsOfDate,1,0),MONTH($D32),DAY($D32)))</f>
        <v/>
      </c>
      <c r="F32" s="16"/>
      <c r="G32" s="16"/>
      <c r="H32" s="16"/>
      <c r="I32" s="16"/>
      <c r="J32" s="16"/>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7"/>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"&amp;IF(AND($C32="Part-Time",$P32&lt;&gt;"",N($P32)&lt;PT_MinHours),"under "&amp;PT_MinHours&amp;" hrs",$C32)),IF(O32&gt;0,"Yes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IF(AE32=0,"",X32-N(U32))</f>
        <v/>
      </c>
      <c r="Z32" s="12" t="str">
        <f aca="false">IF(AE32=0,"",IF(Y32&gt;0,"Yes","No"))</f>
        <v/>
      </c>
      <c r="AA32" s="12" t="str">
        <f aca="false">IF(AE32=0,"",IF(NOT(LH_Ready),"Paste Leave History export",IF(Y32&gt;0,"ACCRUE "&amp;TEXT(Y32,"0.##")&amp;" hrs ("&amp;TEXT(Y32/HoursPerDay,"0.##")&amp;" days)"&amp;IF(BA32=0," - no Bonus Leave line in EH yet",""),IF(Y32&lt;0,"CHECK - EH accrued "&amp;TEXT(-Y32,"0.##")&amp;" hrs more than policy",IF(AND(O32&gt;0,BA32=0),"CHECK - policy says "&amp;TEXT(N32,"0.##")&amp;" hrs to date but no Bonus Leave in EH",IF(O32&gt;0,"OK","-"))))))</f>
        <v/>
      </c>
      <c r="AB32" s="13" t="str">
        <f aca="false">IF(OR(AE32=0,T32=""),"",AY32*HoursPerDay-T32)</f>
        <v/>
      </c>
      <c r="AC32" s="12" t="str">
        <f aca="false">IF(AE32=0,"",BA32)</f>
        <v/>
      </c>
      <c r="AD32" s="12" t="str">
        <f aca="false">IF(AE32=0,"",TRIM(IF(AND(AG32&gt;=1,IF(AG32&gt;=3,AM32,IF(AG32=2,AL32,AK32))&lt;&gt;$C32),"EmploymentType does not match latest start date ("&amp;IF(AG32&gt;=3,AM32,IF(AG32=2,AL32,AK32))&amp;"). ","")&amp;IF(AND(AG32&gt;=1,AH32&lt;&gt;$F32),"Earliest type date should equal StartDate. ","")&amp;IF(AND(AG32&gt;=2,AH32=AI32),"Two types start on the same date. ","")&amp;IF(AND($C32="Part-Time",$P32=""),"Part-time: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IF(AE32=0,"",IF(AG32=0,IF($C32="Full-Time","FT",IF(AND($C32="Part-Time",OR($P32="",N($P32)&gt;=PT_MinHours)),"PT","None")),IF(AK32="Full-Time","FT",IF(AND(AK32="Part-Time",OR($P32="",N($P32)&gt;=PT_MinHours)),"PT","None"))))</f>
        <v/>
      </c>
      <c r="AO32" s="12" t="str">
        <f aca="false">IF(AE32=0,"",IF(AG32&lt;2,"",IF(AL32="Full-Time","FT",IF(AND(AL32="Part-Time",OR($P32="",N($P32)&gt;=PT_MinHours)),"PT","None"))))</f>
        <v/>
      </c>
      <c r="AP32" s="12" t="str">
        <f aca="false">IF(AE32=0,"",IF(AG32&lt;3,"",IF(AM32="Full-Time","FT",IF(AND(AM32="Part-Time",OR($P32="",N($P32)&gt;=PT_MinHours)),"PT","None"))))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IF(OR(AE33=0,$D33=""),"",DATE(YEAR(AsOfDate)+IF(DATE(YEAR(AsOfDate),MONTH($D33),DAY($D33))&lt;=AsOfDate,1,0),MONTH($D33),DAY($D33)))</f>
        <v/>
      </c>
      <c r="F33" s="16"/>
      <c r="G33" s="16"/>
      <c r="H33" s="16"/>
      <c r="I33" s="16"/>
      <c r="J33" s="16"/>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7"/>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"&amp;IF(AND($C33="Part-Time",$P33&lt;&gt;"",N($P33)&lt;PT_MinHours),"under "&amp;PT_MinHours&amp;" hrs",$C33)),IF(O33&gt;0,"Yes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IF(AE33=0,"",X33-N(U33))</f>
        <v/>
      </c>
      <c r="Z33" s="12" t="str">
        <f aca="false">IF(AE33=0,"",IF(Y33&gt;0,"Yes","No"))</f>
        <v/>
      </c>
      <c r="AA33" s="12" t="str">
        <f aca="false">IF(AE33=0,"",IF(NOT(LH_Ready),"Paste Leave History export",IF(Y33&gt;0,"ACCRUE "&amp;TEXT(Y33,"0.##")&amp;" hrs ("&amp;TEXT(Y33/HoursPerDay,"0.##")&amp;" days)"&amp;IF(BA33=0," - no Bonus Leave line in EH yet",""),IF(Y33&lt;0,"CHECK - EH accrued "&amp;TEXT(-Y33,"0.##")&amp;" hrs more than policy",IF(AND(O33&gt;0,BA33=0),"CHECK - policy says "&amp;TEXT(N33,"0.##")&amp;" hrs to date but no Bonus Leave in EH",IF(O33&gt;0,"OK","-"))))))</f>
        <v/>
      </c>
      <c r="AB33" s="13" t="str">
        <f aca="false">IF(OR(AE33=0,T33=""),"",AY33*HoursPerDay-T33)</f>
        <v/>
      </c>
      <c r="AC33" s="12" t="str">
        <f aca="false">IF(AE33=0,"",BA33)</f>
        <v/>
      </c>
      <c r="AD33" s="12" t="str">
        <f aca="false">IF(AE33=0,"",TRIM(IF(AND(AG33&gt;=1,IF(AG33&gt;=3,AM33,IF(AG33=2,AL33,AK33))&lt;&gt;$C33),"EmploymentType does not match latest start date ("&amp;IF(AG33&gt;=3,AM33,IF(AG33=2,AL33,AK33))&amp;"). ","")&amp;IF(AND(AG33&gt;=1,AH33&lt;&gt;$F33),"Earliest type date should equal StartDate. ","")&amp;IF(AND(AG33&gt;=2,AH33=AI33),"Two types start on the same date. ","")&amp;IF(AND($C33="Part-Time",$P33=""),"Part-time: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IF(AE33=0,"",IF(AG33=0,IF($C33="Full-Time","FT",IF(AND($C33="Part-Time",OR($P33="",N($P33)&gt;=PT_MinHours)),"PT","None")),IF(AK33="Full-Time","FT",IF(AND(AK33="Part-Time",OR($P33="",N($P33)&gt;=PT_MinHours)),"PT","None"))))</f>
        <v/>
      </c>
      <c r="AO33" s="12" t="str">
        <f aca="false">IF(AE33=0,"",IF(AG33&lt;2,"",IF(AL33="Full-Time","FT",IF(AND(AL33="Part-Time",OR($P33="",N($P33)&gt;=PT_MinHours)),"PT","None"))))</f>
        <v/>
      </c>
      <c r="AP33" s="12" t="str">
        <f aca="false">IF(AE33=0,"",IF(AG33&lt;3,"",IF(AM33="Full-Time","FT",IF(AND(AM33="Part-Time",OR($P33="",N($P33)&gt;=PT_MinHours)),"PT","None"))))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IF(OR(AE34=0,$D34=""),"",DATE(YEAR(AsOfDate)+IF(DATE(YEAR(AsOfDate),MONTH($D34),DAY($D34))&lt;=AsOfDate,1,0),MONTH($D34),DAY($D34)))</f>
        <v/>
      </c>
      <c r="F34" s="16"/>
      <c r="G34" s="16"/>
      <c r="H34" s="16"/>
      <c r="I34" s="16"/>
      <c r="J34" s="16"/>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7"/>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"&amp;IF(AND($C34="Part-Time",$P34&lt;&gt;"",N($P34)&lt;PT_MinHours),"under "&amp;PT_MinHours&amp;" hrs",$C34)),IF(O34&gt;0,"Yes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IF(AE34=0,"",X34-N(U34))</f>
        <v/>
      </c>
      <c r="Z34" s="12" t="str">
        <f aca="false">IF(AE34=0,"",IF(Y34&gt;0,"Yes","No"))</f>
        <v/>
      </c>
      <c r="AA34" s="12" t="str">
        <f aca="false">IF(AE34=0,"",IF(NOT(LH_Ready),"Paste Leave History export",IF(Y34&gt;0,"ACCRUE "&amp;TEXT(Y34,"0.##")&amp;" hrs ("&amp;TEXT(Y34/HoursPerDay,"0.##")&amp;" days)"&amp;IF(BA34=0," - no Bonus Leave line in EH yet",""),IF(Y34&lt;0,"CHECK - EH accrued "&amp;TEXT(-Y34,"0.##")&amp;" hrs more than policy",IF(AND(O34&gt;0,BA34=0),"CHECK - policy says "&amp;TEXT(N34,"0.##")&amp;" hrs to date but no Bonus Leave in EH",IF(O34&gt;0,"OK","-"))))))</f>
        <v/>
      </c>
      <c r="AB34" s="13" t="str">
        <f aca="false">IF(OR(AE34=0,T34=""),"",AY34*HoursPerDay-T34)</f>
        <v/>
      </c>
      <c r="AC34" s="12" t="str">
        <f aca="false">IF(AE34=0,"",BA34)</f>
        <v/>
      </c>
      <c r="AD34" s="12" t="str">
        <f aca="false">IF(AE34=0,"",TRIM(IF(AND(AG34&gt;=1,IF(AG34&gt;=3,AM34,IF(AG34=2,AL34,AK34))&lt;&gt;$C34),"EmploymentType does not match latest start date ("&amp;IF(AG34&gt;=3,AM34,IF(AG34=2,AL34,AK34))&amp;"). ","")&amp;IF(AND(AG34&gt;=1,AH34&lt;&gt;$F34),"Earliest type date should equal StartDate. ","")&amp;IF(AND(AG34&gt;=2,AH34=AI34),"Two types start on the same date. ","")&amp;IF(AND($C34="Part-Time",$P34=""),"Part-time: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IF(AE34=0,"",IF(AG34=0,IF($C34="Full-Time","FT",IF(AND($C34="Part-Time",OR($P34="",N($P34)&gt;=PT_MinHours)),"PT","None")),IF(AK34="Full-Time","FT",IF(AND(AK34="Part-Time",OR($P34="",N($P34)&gt;=PT_MinHours)),"PT","None"))))</f>
        <v/>
      </c>
      <c r="AO34" s="12" t="str">
        <f aca="false">IF(AE34=0,"",IF(AG34&lt;2,"",IF(AL34="Full-Time","FT",IF(AND(AL34="Part-Time",OR($P34="",N($P34)&gt;=PT_MinHours)),"PT","None"))))</f>
        <v/>
      </c>
      <c r="AP34" s="12" t="str">
        <f aca="false">IF(AE34=0,"",IF(AG34&lt;3,"",IF(AM34="Full-Time","FT",IF(AND(AM34="Part-Time",OR($P34="",N($P34)&gt;=PT_MinHours)),"PT","None"))))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IF(OR(AE35=0,$D35=""),"",DATE(YEAR(AsOfDate)+IF(DATE(YEAR(AsOfDate),MONTH($D35),DAY($D35))&lt;=AsOfDate,1,0),MONTH($D35),DAY($D35)))</f>
        <v/>
      </c>
      <c r="F35" s="16"/>
      <c r="G35" s="16"/>
      <c r="H35" s="16"/>
      <c r="I35" s="16"/>
      <c r="J35" s="16"/>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7"/>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"&amp;IF(AND($C35="Part-Time",$P35&lt;&gt;"",N($P35)&lt;PT_MinHours),"under "&amp;PT_MinHours&amp;" hrs",$C35)),IF(O35&gt;0,"Yes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IF(AE35=0,"",X35-N(U35))</f>
        <v/>
      </c>
      <c r="Z35" s="12" t="str">
        <f aca="false">IF(AE35=0,"",IF(Y35&gt;0,"Yes","No"))</f>
        <v/>
      </c>
      <c r="AA35" s="12" t="str">
        <f aca="false">IF(AE35=0,"",IF(NOT(LH_Ready),"Paste Leave History export",IF(Y35&gt;0,"ACCRUE "&amp;TEXT(Y35,"0.##")&amp;" hrs ("&amp;TEXT(Y35/HoursPerDay,"0.##")&amp;" days)"&amp;IF(BA35=0," - no Bonus Leave line in EH yet",""),IF(Y35&lt;0,"CHECK - EH accrued "&amp;TEXT(-Y35,"0.##")&amp;" hrs more than policy",IF(AND(O35&gt;0,BA35=0),"CHECK - policy says "&amp;TEXT(N35,"0.##")&amp;" hrs to date but no Bonus Leave in EH",IF(O35&gt;0,"OK","-"))))))</f>
        <v/>
      </c>
      <c r="AB35" s="13" t="str">
        <f aca="false">IF(OR(AE35=0,T35=""),"",AY35*HoursPerDay-T35)</f>
        <v/>
      </c>
      <c r="AC35" s="12" t="str">
        <f aca="false">IF(AE35=0,"",BA35)</f>
        <v/>
      </c>
      <c r="AD35" s="12" t="str">
        <f aca="false">IF(AE35=0,"",TRIM(IF(AND(AG35&gt;=1,IF(AG35&gt;=3,AM35,IF(AG35=2,AL35,AK35))&lt;&gt;$C35),"EmploymentType does not match latest start date ("&amp;IF(AG35&gt;=3,AM35,IF(AG35=2,AL35,AK35))&amp;"). ","")&amp;IF(AND(AG35&gt;=1,AH35&lt;&gt;$F35),"Earliest type date should equal StartDate. ","")&amp;IF(AND(AG35&gt;=2,AH35=AI35),"Two types start on the same date. ","")&amp;IF(AND($C35="Part-Time",$P35=""),"Part-time: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IF(AE35=0,"",IF(AG35=0,IF($C35="Full-Time","FT",IF(AND($C35="Part-Time",OR($P35="",N($P35)&gt;=PT_MinHours)),"PT","None")),IF(AK35="Full-Time","FT",IF(AND(AK35="Part-Time",OR($P35="",N($P35)&gt;=PT_MinHours)),"PT","None"))))</f>
        <v/>
      </c>
      <c r="AO35" s="12" t="str">
        <f aca="false">IF(AE35=0,"",IF(AG35&lt;2,"",IF(AL35="Full-Time","FT",IF(AND(AL35="Part-Time",OR($P35="",N($P35)&gt;=PT_MinHours)),"PT","None"))))</f>
        <v/>
      </c>
      <c r="AP35" s="12" t="str">
        <f aca="false">IF(AE35=0,"",IF(AG35&lt;3,"",IF(AM35="Full-Time","FT",IF(AND(AM35="Part-Time",OR($P35="",N($P35)&gt;=PT_MinHours)),"PT","None"))))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IF(OR(AE36=0,$D36=""),"",DATE(YEAR(AsOfDate)+IF(DATE(YEAR(AsOfDate),MONTH($D36),DAY($D36))&lt;=AsOfDate,1,0),MONTH($D36),DAY($D36)))</f>
        <v/>
      </c>
      <c r="F36" s="16"/>
      <c r="G36" s="16"/>
      <c r="H36" s="16"/>
      <c r="I36" s="16"/>
      <c r="J36" s="16"/>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7"/>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"&amp;IF(AND($C36="Part-Time",$P36&lt;&gt;"",N($P36)&lt;PT_MinHours),"under "&amp;PT_MinHours&amp;" hrs",$C36)),IF(O36&gt;0,"Yes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IF(AE36=0,"",X36-N(U36))</f>
        <v/>
      </c>
      <c r="Z36" s="12" t="str">
        <f aca="false">IF(AE36=0,"",IF(Y36&gt;0,"Yes","No"))</f>
        <v/>
      </c>
      <c r="AA36" s="12" t="str">
        <f aca="false">IF(AE36=0,"",IF(NOT(LH_Ready),"Paste Leave History export",IF(Y36&gt;0,"ACCRUE "&amp;TEXT(Y36,"0.##")&amp;" hrs ("&amp;TEXT(Y36/HoursPerDay,"0.##")&amp;" days)"&amp;IF(BA36=0," - no Bonus Leave line in EH yet",""),IF(Y36&lt;0,"CHECK - EH accrued "&amp;TEXT(-Y36,"0.##")&amp;" hrs more than policy",IF(AND(O36&gt;0,BA36=0),"CHECK - policy says "&amp;TEXT(N36,"0.##")&amp;" hrs to date but no Bonus Leave in EH",IF(O36&gt;0,"OK","-"))))))</f>
        <v/>
      </c>
      <c r="AB36" s="13" t="str">
        <f aca="false">IF(OR(AE36=0,T36=""),"",AY36*HoursPerDay-T36)</f>
        <v/>
      </c>
      <c r="AC36" s="12" t="str">
        <f aca="false">IF(AE36=0,"",BA36)</f>
        <v/>
      </c>
      <c r="AD36" s="12" t="str">
        <f aca="false">IF(AE36=0,"",TRIM(IF(AND(AG36&gt;=1,IF(AG36&gt;=3,AM36,IF(AG36=2,AL36,AK36))&lt;&gt;$C36),"EmploymentType does not match latest start date ("&amp;IF(AG36&gt;=3,AM36,IF(AG36=2,AL36,AK36))&amp;"). ","")&amp;IF(AND(AG36&gt;=1,AH36&lt;&gt;$F36),"Earliest type date should equal StartDate. ","")&amp;IF(AND(AG36&gt;=2,AH36=AI36),"Two types start on the same date. ","")&amp;IF(AND($C36="Part-Time",$P36=""),"Part-time: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IF(AE36=0,"",IF(AG36=0,IF($C36="Full-Time","FT",IF(AND($C36="Part-Time",OR($P36="",N($P36)&gt;=PT_MinHours)),"PT","None")),IF(AK36="Full-Time","FT",IF(AND(AK36="Part-Time",OR($P36="",N($P36)&gt;=PT_MinHours)),"PT","None"))))</f>
        <v/>
      </c>
      <c r="AO36" s="12" t="str">
        <f aca="false">IF(AE36=0,"",IF(AG36&lt;2,"",IF(AL36="Full-Time","FT",IF(AND(AL36="Part-Time",OR($P36="",N($P36)&gt;=PT_MinHours)),"PT","None"))))</f>
        <v/>
      </c>
      <c r="AP36" s="12" t="str">
        <f aca="false">IF(AE36=0,"",IF(AG36&lt;3,"",IF(AM36="Full-Time","FT",IF(AND(AM36="Part-Time",OR($P36="",N($P36)&gt;=PT_MinHours)),"PT","None"))))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IF(OR(AE37=0,$D37=""),"",DATE(YEAR(AsOfDate)+IF(DATE(YEAR(AsOfDate),MONTH($D37),DAY($D37))&lt;=AsOfDate,1,0),MONTH($D37),DAY($D37)))</f>
        <v/>
      </c>
      <c r="F37" s="16"/>
      <c r="G37" s="16"/>
      <c r="H37" s="16"/>
      <c r="I37" s="16"/>
      <c r="J37" s="16"/>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7"/>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"&amp;IF(AND($C37="Part-Time",$P37&lt;&gt;"",N($P37)&lt;PT_MinHours),"under "&amp;PT_MinHours&amp;" hrs",$C37)),IF(O37&gt;0,"Yes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IF(AE37=0,"",X37-N(U37))</f>
        <v/>
      </c>
      <c r="Z37" s="12" t="str">
        <f aca="false">IF(AE37=0,"",IF(Y37&gt;0,"Yes","No"))</f>
        <v/>
      </c>
      <c r="AA37" s="12" t="str">
        <f aca="false">IF(AE37=0,"",IF(NOT(LH_Ready),"Paste Leave History export",IF(Y37&gt;0,"ACCRUE "&amp;TEXT(Y37,"0.##")&amp;" hrs ("&amp;TEXT(Y37/HoursPerDay,"0.##")&amp;" days)"&amp;IF(BA37=0," - no Bonus Leave line in EH yet",""),IF(Y37&lt;0,"CHECK - EH accrued "&amp;TEXT(-Y37,"0.##")&amp;" hrs more than policy",IF(AND(O37&gt;0,BA37=0),"CHECK - policy says "&amp;TEXT(N37,"0.##")&amp;" hrs to date but no Bonus Leave in EH",IF(O37&gt;0,"OK","-"))))))</f>
        <v/>
      </c>
      <c r="AB37" s="13" t="str">
        <f aca="false">IF(OR(AE37=0,T37=""),"",AY37*HoursPerDay-T37)</f>
        <v/>
      </c>
      <c r="AC37" s="12" t="str">
        <f aca="false">IF(AE37=0,"",BA37)</f>
        <v/>
      </c>
      <c r="AD37" s="12" t="str">
        <f aca="false">IF(AE37=0,"",TRIM(IF(AND(AG37&gt;=1,IF(AG37&gt;=3,AM37,IF(AG37=2,AL37,AK37))&lt;&gt;$C37),"EmploymentType does not match latest start date ("&amp;IF(AG37&gt;=3,AM37,IF(AG37=2,AL37,AK37))&amp;"). ","")&amp;IF(AND(AG37&gt;=1,AH37&lt;&gt;$F37),"Earliest type date should equal StartDate. ","")&amp;IF(AND(AG37&gt;=2,AH37=AI37),"Two types start on the same date. ","")&amp;IF(AND($C37="Part-Time",$P37=""),"Part-time: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IF(AE37=0,"",IF(AG37=0,IF($C37="Full-Time","FT",IF(AND($C37="Part-Time",OR($P37="",N($P37)&gt;=PT_MinHours)),"PT","None")),IF(AK37="Full-Time","FT",IF(AND(AK37="Part-Time",OR($P37="",N($P37)&gt;=PT_MinHours)),"PT","None"))))</f>
        <v/>
      </c>
      <c r="AO37" s="12" t="str">
        <f aca="false">IF(AE37=0,"",IF(AG37&lt;2,"",IF(AL37="Full-Time","FT",IF(AND(AL37="Part-Time",OR($P37="",N($P37)&gt;=PT_MinHours)),"PT","None"))))</f>
        <v/>
      </c>
      <c r="AP37" s="12" t="str">
        <f aca="false">IF(AE37=0,"",IF(AG37&lt;3,"",IF(AM37="Full-Time","FT",IF(AND(AM37="Part-Time",OR($P37="",N($P37)&gt;=PT_MinHours)),"PT","None"))))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IF(OR(AE38=0,$D38=""),"",DATE(YEAR(AsOfDate)+IF(DATE(YEAR(AsOfDate),MONTH($D38),DAY($D38))&lt;=AsOfDate,1,0),MONTH($D38),DAY($D38)))</f>
        <v/>
      </c>
      <c r="F38" s="16"/>
      <c r="G38" s="16"/>
      <c r="H38" s="16"/>
      <c r="I38" s="16"/>
      <c r="J38" s="16"/>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7"/>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"&amp;IF(AND($C38="Part-Time",$P38&lt;&gt;"",N($P38)&lt;PT_MinHours),"under "&amp;PT_MinHours&amp;" hrs",$C38)),IF(O38&gt;0,"Yes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IF(AE38=0,"",X38-N(U38))</f>
        <v/>
      </c>
      <c r="Z38" s="12" t="str">
        <f aca="false">IF(AE38=0,"",IF(Y38&gt;0,"Yes","No"))</f>
        <v/>
      </c>
      <c r="AA38" s="12" t="str">
        <f aca="false">IF(AE38=0,"",IF(NOT(LH_Ready),"Paste Leave History export",IF(Y38&gt;0,"ACCRUE "&amp;TEXT(Y38,"0.##")&amp;" hrs ("&amp;TEXT(Y38/HoursPerDay,"0.##")&amp;" days)"&amp;IF(BA38=0," - no Bonus Leave line in EH yet",""),IF(Y38&lt;0,"CHECK - EH accrued "&amp;TEXT(-Y38,"0.##")&amp;" hrs more than policy",IF(AND(O38&gt;0,BA38=0),"CHECK - policy says "&amp;TEXT(N38,"0.##")&amp;" hrs to date but no Bonus Leave in EH",IF(O38&gt;0,"OK","-"))))))</f>
        <v/>
      </c>
      <c r="AB38" s="13" t="str">
        <f aca="false">IF(OR(AE38=0,T38=""),"",AY38*HoursPerDay-T38)</f>
        <v/>
      </c>
      <c r="AC38" s="12" t="str">
        <f aca="false">IF(AE38=0,"",BA38)</f>
        <v/>
      </c>
      <c r="AD38" s="12" t="str">
        <f aca="false">IF(AE38=0,"",TRIM(IF(AND(AG38&gt;=1,IF(AG38&gt;=3,AM38,IF(AG38=2,AL38,AK38))&lt;&gt;$C38),"EmploymentType does not match latest start date ("&amp;IF(AG38&gt;=3,AM38,IF(AG38=2,AL38,AK38))&amp;"). ","")&amp;IF(AND(AG38&gt;=1,AH38&lt;&gt;$F38),"Earliest type date should equal StartDate. ","")&amp;IF(AND(AG38&gt;=2,AH38=AI38),"Two types start on the same date. ","")&amp;IF(AND($C38="Part-Time",$P38=""),"Part-time: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IF(AE38=0,"",IF(AG38=0,IF($C38="Full-Time","FT",IF(AND($C38="Part-Time",OR($P38="",N($P38)&gt;=PT_MinHours)),"PT","None")),IF(AK38="Full-Time","FT",IF(AND(AK38="Part-Time",OR($P38="",N($P38)&gt;=PT_MinHours)),"PT","None"))))</f>
        <v/>
      </c>
      <c r="AO38" s="12" t="str">
        <f aca="false">IF(AE38=0,"",IF(AG38&lt;2,"",IF(AL38="Full-Time","FT",IF(AND(AL38="Part-Time",OR($P38="",N($P38)&gt;=PT_MinHours)),"PT","None"))))</f>
        <v/>
      </c>
      <c r="AP38" s="12" t="str">
        <f aca="false">IF(AE38=0,"",IF(AG38&lt;3,"",IF(AM38="Full-Time","FT",IF(AND(AM38="Part-Time",OR($P38="",N($P38)&gt;=PT_MinHours)),"PT","None"))))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IF(OR(AE39=0,$D39=""),"",DATE(YEAR(AsOfDate)+IF(DATE(YEAR(AsOfDate),MONTH($D39),DAY($D39))&lt;=AsOfDate,1,0),MONTH($D39),DAY($D39)))</f>
        <v/>
      </c>
      <c r="F39" s="16"/>
      <c r="G39" s="16"/>
      <c r="H39" s="16"/>
      <c r="I39" s="16"/>
      <c r="J39" s="16"/>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7"/>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"&amp;IF(AND($C39="Part-Time",$P39&lt;&gt;"",N($P39)&lt;PT_MinHours),"under "&amp;PT_MinHours&amp;" hrs",$C39)),IF(O39&gt;0,"Yes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IF(AE39=0,"",X39-N(U39))</f>
        <v/>
      </c>
      <c r="Z39" s="12" t="str">
        <f aca="false">IF(AE39=0,"",IF(Y39&gt;0,"Yes","No"))</f>
        <v/>
      </c>
      <c r="AA39" s="12" t="str">
        <f aca="false">IF(AE39=0,"",IF(NOT(LH_Ready),"Paste Leave History export",IF(Y39&gt;0,"ACCRUE "&amp;TEXT(Y39,"0.##")&amp;" hrs ("&amp;TEXT(Y39/HoursPerDay,"0.##")&amp;" days)"&amp;IF(BA39=0," - no Bonus Leave line in EH yet",""),IF(Y39&lt;0,"CHECK - EH accrued "&amp;TEXT(-Y39,"0.##")&amp;" hrs more than policy",IF(AND(O39&gt;0,BA39=0),"CHECK - policy says "&amp;TEXT(N39,"0.##")&amp;" hrs to date but no Bonus Leave in EH",IF(O39&gt;0,"OK","-"))))))</f>
        <v/>
      </c>
      <c r="AB39" s="13" t="str">
        <f aca="false">IF(OR(AE39=0,T39=""),"",AY39*HoursPerDay-T39)</f>
        <v/>
      </c>
      <c r="AC39" s="12" t="str">
        <f aca="false">IF(AE39=0,"",BA39)</f>
        <v/>
      </c>
      <c r="AD39" s="12" t="str">
        <f aca="false">IF(AE39=0,"",TRIM(IF(AND(AG39&gt;=1,IF(AG39&gt;=3,AM39,IF(AG39=2,AL39,AK39))&lt;&gt;$C39),"EmploymentType does not match latest start date ("&amp;IF(AG39&gt;=3,AM39,IF(AG39=2,AL39,AK39))&amp;"). ","")&amp;IF(AND(AG39&gt;=1,AH39&lt;&gt;$F39),"Earliest type date should equal StartDate. ","")&amp;IF(AND(AG39&gt;=2,AH39=AI39),"Two types start on the same date. ","")&amp;IF(AND($C39="Part-Time",$P39=""),"Part-time: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IF(AE39=0,"",IF(AG39=0,IF($C39="Full-Time","FT",IF(AND($C39="Part-Time",OR($P39="",N($P39)&gt;=PT_MinHours)),"PT","None")),IF(AK39="Full-Time","FT",IF(AND(AK39="Part-Time",OR($P39="",N($P39)&gt;=PT_MinHours)),"PT","None"))))</f>
        <v/>
      </c>
      <c r="AO39" s="12" t="str">
        <f aca="false">IF(AE39=0,"",IF(AG39&lt;2,"",IF(AL39="Full-Time","FT",IF(AND(AL39="Part-Time",OR($P39="",N($P39)&gt;=PT_MinHours)),"PT","None"))))</f>
        <v/>
      </c>
      <c r="AP39" s="12" t="str">
        <f aca="false">IF(AE39=0,"",IF(AG39&lt;3,"",IF(AM39="Full-Time","FT",IF(AND(AM39="Part-Time",OR($P39="",N($P39)&gt;=PT_MinHours)),"PT","None"))))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IF(OR(AE40=0,$D40=""),"",DATE(YEAR(AsOfDate)+IF(DATE(YEAR(AsOfDate),MONTH($D40),DAY($D40))&lt;=AsOfDate,1,0),MONTH($D40),DAY($D40)))</f>
        <v/>
      </c>
      <c r="F40" s="16"/>
      <c r="G40" s="16"/>
      <c r="H40" s="16"/>
      <c r="I40" s="16"/>
      <c r="J40" s="16"/>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7"/>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"&amp;IF(AND($C40="Part-Time",$P40&lt;&gt;"",N($P40)&lt;PT_MinHours),"under "&amp;PT_MinHours&amp;" hrs",$C40)),IF(O40&gt;0,"Yes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IF(AE40=0,"",X40-N(U40))</f>
        <v/>
      </c>
      <c r="Z40" s="12" t="str">
        <f aca="false">IF(AE40=0,"",IF(Y40&gt;0,"Yes","No"))</f>
        <v/>
      </c>
      <c r="AA40" s="12" t="str">
        <f aca="false">IF(AE40=0,"",IF(NOT(LH_Ready),"Paste Leave History export",IF(Y40&gt;0,"ACCRUE "&amp;TEXT(Y40,"0.##")&amp;" hrs ("&amp;TEXT(Y40/HoursPerDay,"0.##")&amp;" days)"&amp;IF(BA40=0," - no Bonus Leave line in EH yet",""),IF(Y40&lt;0,"CHECK - EH accrued "&amp;TEXT(-Y40,"0.##")&amp;" hrs more than policy",IF(AND(O40&gt;0,BA40=0),"CHECK - policy says "&amp;TEXT(N40,"0.##")&amp;" hrs to date but no Bonus Leave in EH",IF(O40&gt;0,"OK","-"))))))</f>
        <v/>
      </c>
      <c r="AB40" s="13" t="str">
        <f aca="false">IF(OR(AE40=0,T40=""),"",AY40*HoursPerDay-T40)</f>
        <v/>
      </c>
      <c r="AC40" s="12" t="str">
        <f aca="false">IF(AE40=0,"",BA40)</f>
        <v/>
      </c>
      <c r="AD40" s="12" t="str">
        <f aca="false">IF(AE40=0,"",TRIM(IF(AND(AG40&gt;=1,IF(AG40&gt;=3,AM40,IF(AG40=2,AL40,AK40))&lt;&gt;$C40),"EmploymentType does not match latest start date ("&amp;IF(AG40&gt;=3,AM40,IF(AG40=2,AL40,AK40))&amp;"). ","")&amp;IF(AND(AG40&gt;=1,AH40&lt;&gt;$F40),"Earliest type date should equal StartDate. ","")&amp;IF(AND(AG40&gt;=2,AH40=AI40),"Two types start on the same date. ","")&amp;IF(AND($C40="Part-Time",$P40=""),"Part-time: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IF(AE40=0,"",IF(AG40=0,IF($C40="Full-Time","FT",IF(AND($C40="Part-Time",OR($P40="",N($P40)&gt;=PT_MinHours)),"PT","None")),IF(AK40="Full-Time","FT",IF(AND(AK40="Part-Time",OR($P40="",N($P40)&gt;=PT_MinHours)),"PT","None"))))</f>
        <v/>
      </c>
      <c r="AO40" s="12" t="str">
        <f aca="false">IF(AE40=0,"",IF(AG40&lt;2,"",IF(AL40="Full-Time","FT",IF(AND(AL40="Part-Time",OR($P40="",N($P40)&gt;=PT_MinHours)),"PT","None"))))</f>
        <v/>
      </c>
      <c r="AP40" s="12" t="str">
        <f aca="false">IF(AE40=0,"",IF(AG40&lt;3,"",IF(AM40="Full-Time","FT",IF(AND(AM40="Part-Time",OR($P40="",N($P40)&gt;=PT_MinHours)),"PT","None"))))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IF(OR(AE41=0,$D41=""),"",DATE(YEAR(AsOfDate)+IF(DATE(YEAR(AsOfDate),MONTH($D41),DAY($D41))&lt;=AsOfDate,1,0),MONTH($D41),DAY($D41)))</f>
        <v/>
      </c>
      <c r="F41" s="16"/>
      <c r="G41" s="16"/>
      <c r="H41" s="16"/>
      <c r="I41" s="16"/>
      <c r="J41" s="16"/>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7"/>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"&amp;IF(AND($C41="Part-Time",$P41&lt;&gt;"",N($P41)&lt;PT_MinHours),"under "&amp;PT_MinHours&amp;" hrs",$C41)),IF(O41&gt;0,"Yes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IF(AE41=0,"",X41-N(U41))</f>
        <v/>
      </c>
      <c r="Z41" s="12" t="str">
        <f aca="false">IF(AE41=0,"",IF(Y41&gt;0,"Yes","No"))</f>
        <v/>
      </c>
      <c r="AA41" s="12" t="str">
        <f aca="false">IF(AE41=0,"",IF(NOT(LH_Ready),"Paste Leave History export",IF(Y41&gt;0,"ACCRUE "&amp;TEXT(Y41,"0.##")&amp;" hrs ("&amp;TEXT(Y41/HoursPerDay,"0.##")&amp;" days)"&amp;IF(BA41=0," - no Bonus Leave line in EH yet",""),IF(Y41&lt;0,"CHECK - EH accrued "&amp;TEXT(-Y41,"0.##")&amp;" hrs more than policy",IF(AND(O41&gt;0,BA41=0),"CHECK - policy says "&amp;TEXT(N41,"0.##")&amp;" hrs to date but no Bonus Leave in EH",IF(O41&gt;0,"OK","-"))))))</f>
        <v/>
      </c>
      <c r="AB41" s="13" t="str">
        <f aca="false">IF(OR(AE41=0,T41=""),"",AY41*HoursPerDay-T41)</f>
        <v/>
      </c>
      <c r="AC41" s="12" t="str">
        <f aca="false">IF(AE41=0,"",BA41)</f>
        <v/>
      </c>
      <c r="AD41" s="12" t="str">
        <f aca="false">IF(AE41=0,"",TRIM(IF(AND(AG41&gt;=1,IF(AG41&gt;=3,AM41,IF(AG41=2,AL41,AK41))&lt;&gt;$C41),"EmploymentType does not match latest start date ("&amp;IF(AG41&gt;=3,AM41,IF(AG41=2,AL41,AK41))&amp;"). ","")&amp;IF(AND(AG41&gt;=1,AH41&lt;&gt;$F41),"Earliest type date should equal StartDate. ","")&amp;IF(AND(AG41&gt;=2,AH41=AI41),"Two types start on the same date. ","")&amp;IF(AND($C41="Part-Time",$P41=""),"Part-time: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IF(AE41=0,"",IF(AG41=0,IF($C41="Full-Time","FT",IF(AND($C41="Part-Time",OR($P41="",N($P41)&gt;=PT_MinHours)),"PT","None")),IF(AK41="Full-Time","FT",IF(AND(AK41="Part-Time",OR($P41="",N($P41)&gt;=PT_MinHours)),"PT","None"))))</f>
        <v/>
      </c>
      <c r="AO41" s="12" t="str">
        <f aca="false">IF(AE41=0,"",IF(AG41&lt;2,"",IF(AL41="Full-Time","FT",IF(AND(AL41="Part-Time",OR($P41="",N($P41)&gt;=PT_MinHours)),"PT","None"))))</f>
        <v/>
      </c>
      <c r="AP41" s="12" t="str">
        <f aca="false">IF(AE41=0,"",IF(AG41&lt;3,"",IF(AM41="Full-Time","FT",IF(AND(AM41="Part-Time",OR($P41="",N($P41)&gt;=PT_MinHours)),"PT","None"))))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IF(OR(AE42=0,$D42=""),"",DATE(YEAR(AsOfDate)+IF(DATE(YEAR(AsOfDate),MONTH($D42),DAY($D42))&lt;=AsOfDate,1,0),MONTH($D42),DAY($D42)))</f>
        <v/>
      </c>
      <c r="F42" s="16"/>
      <c r="G42" s="16"/>
      <c r="H42" s="16"/>
      <c r="I42" s="16"/>
      <c r="J42" s="16"/>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7"/>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"&amp;IF(AND($C42="Part-Time",$P42&lt;&gt;"",N($P42)&lt;PT_MinHours),"under "&amp;PT_MinHours&amp;" hrs",$C42)),IF(O42&gt;0,"Yes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IF(AE42=0,"",X42-N(U42))</f>
        <v/>
      </c>
      <c r="Z42" s="12" t="str">
        <f aca="false">IF(AE42=0,"",IF(Y42&gt;0,"Yes","No"))</f>
        <v/>
      </c>
      <c r="AA42" s="12" t="str">
        <f aca="false">IF(AE42=0,"",IF(NOT(LH_Ready),"Paste Leave History export",IF(Y42&gt;0,"ACCRUE "&amp;TEXT(Y42,"0.##")&amp;" hrs ("&amp;TEXT(Y42/HoursPerDay,"0.##")&amp;" days)"&amp;IF(BA42=0," - no Bonus Leave line in EH yet",""),IF(Y42&lt;0,"CHECK - EH accrued "&amp;TEXT(-Y42,"0.##")&amp;" hrs more than policy",IF(AND(O42&gt;0,BA42=0),"CHECK - policy says "&amp;TEXT(N42,"0.##")&amp;" hrs to date but no Bonus Leave in EH",IF(O42&gt;0,"OK","-"))))))</f>
        <v/>
      </c>
      <c r="AB42" s="13" t="str">
        <f aca="false">IF(OR(AE42=0,T42=""),"",AY42*HoursPerDay-T42)</f>
        <v/>
      </c>
      <c r="AC42" s="12" t="str">
        <f aca="false">IF(AE42=0,"",BA42)</f>
        <v/>
      </c>
      <c r="AD42" s="12" t="str">
        <f aca="false">IF(AE42=0,"",TRIM(IF(AND(AG42&gt;=1,IF(AG42&gt;=3,AM42,IF(AG42=2,AL42,AK42))&lt;&gt;$C42),"EmploymentType does not match latest start date ("&amp;IF(AG42&gt;=3,AM42,IF(AG42=2,AL42,AK42))&amp;"). ","")&amp;IF(AND(AG42&gt;=1,AH42&lt;&gt;$F42),"Earliest type date should equal StartDate. ","")&amp;IF(AND(AG42&gt;=2,AH42=AI42),"Two types start on the same date. ","")&amp;IF(AND($C42="Part-Time",$P42=""),"Part-time: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IF(AE42=0,"",IF(AG42=0,IF($C42="Full-Time","FT",IF(AND($C42="Part-Time",OR($P42="",N($P42)&gt;=PT_MinHours)),"PT","None")),IF(AK42="Full-Time","FT",IF(AND(AK42="Part-Time",OR($P42="",N($P42)&gt;=PT_MinHours)),"PT","None"))))</f>
        <v/>
      </c>
      <c r="AO42" s="12" t="str">
        <f aca="false">IF(AE42=0,"",IF(AG42&lt;2,"",IF(AL42="Full-Time","FT",IF(AND(AL42="Part-Time",OR($P42="",N($P42)&gt;=PT_MinHours)),"PT","None"))))</f>
        <v/>
      </c>
      <c r="AP42" s="12" t="str">
        <f aca="false">IF(AE42=0,"",IF(AG42&lt;3,"",IF(AM42="Full-Time","FT",IF(AND(AM42="Part-Time",OR($P42="",N($P42)&gt;=PT_MinHours)),"PT","None"))))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IF(OR(AE43=0,$D43=""),"",DATE(YEAR(AsOfDate)+IF(DATE(YEAR(AsOfDate),MONTH($D43),DAY($D43))&lt;=AsOfDate,1,0),MONTH($D43),DAY($D43)))</f>
        <v/>
      </c>
      <c r="F43" s="16"/>
      <c r="G43" s="16"/>
      <c r="H43" s="16"/>
      <c r="I43" s="16"/>
      <c r="J43" s="16"/>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7"/>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"&amp;IF(AND($C43="Part-Time",$P43&lt;&gt;"",N($P43)&lt;PT_MinHours),"under "&amp;PT_MinHours&amp;" hrs",$C43)),IF(O43&gt;0,"Yes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IF(AE43=0,"",X43-N(U43))</f>
        <v/>
      </c>
      <c r="Z43" s="12" t="str">
        <f aca="false">IF(AE43=0,"",IF(Y43&gt;0,"Yes","No"))</f>
        <v/>
      </c>
      <c r="AA43" s="12" t="str">
        <f aca="false">IF(AE43=0,"",IF(NOT(LH_Ready),"Paste Leave History export",IF(Y43&gt;0,"ACCRUE "&amp;TEXT(Y43,"0.##")&amp;" hrs ("&amp;TEXT(Y43/HoursPerDay,"0.##")&amp;" days)"&amp;IF(BA43=0," - no Bonus Leave line in EH yet",""),IF(Y43&lt;0,"CHECK - EH accrued "&amp;TEXT(-Y43,"0.##")&amp;" hrs more than policy",IF(AND(O43&gt;0,BA43=0),"CHECK - policy says "&amp;TEXT(N43,"0.##")&amp;" hrs to date but no Bonus Leave in EH",IF(O43&gt;0,"OK","-"))))))</f>
        <v/>
      </c>
      <c r="AB43" s="13" t="str">
        <f aca="false">IF(OR(AE43=0,T43=""),"",AY43*HoursPerDay-T43)</f>
        <v/>
      </c>
      <c r="AC43" s="12" t="str">
        <f aca="false">IF(AE43=0,"",BA43)</f>
        <v/>
      </c>
      <c r="AD43" s="12" t="str">
        <f aca="false">IF(AE43=0,"",TRIM(IF(AND(AG43&gt;=1,IF(AG43&gt;=3,AM43,IF(AG43=2,AL43,AK43))&lt;&gt;$C43),"EmploymentType does not match latest start date ("&amp;IF(AG43&gt;=3,AM43,IF(AG43=2,AL43,AK43))&amp;"). ","")&amp;IF(AND(AG43&gt;=1,AH43&lt;&gt;$F43),"Earliest type date should equal StartDate. ","")&amp;IF(AND(AG43&gt;=2,AH43=AI43),"Two types start on the same date. ","")&amp;IF(AND($C43="Part-Time",$P43=""),"Part-time: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IF(AE43=0,"",IF(AG43=0,IF($C43="Full-Time","FT",IF(AND($C43="Part-Time",OR($P43="",N($P43)&gt;=PT_MinHours)),"PT","None")),IF(AK43="Full-Time","FT",IF(AND(AK43="Part-Time",OR($P43="",N($P43)&gt;=PT_MinHours)),"PT","None"))))</f>
        <v/>
      </c>
      <c r="AO43" s="12" t="str">
        <f aca="false">IF(AE43=0,"",IF(AG43&lt;2,"",IF(AL43="Full-Time","FT",IF(AND(AL43="Part-Time",OR($P43="",N($P43)&gt;=PT_MinHours)),"PT","None"))))</f>
        <v/>
      </c>
      <c r="AP43" s="12" t="str">
        <f aca="false">IF(AE43=0,"",IF(AG43&lt;3,"",IF(AM43="Full-Time","FT",IF(AND(AM43="Part-Time",OR($P43="",N($P43)&gt;=PT_MinHours)),"PT","None"))))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IF(OR(AE44=0,$D44=""),"",DATE(YEAR(AsOfDate)+IF(DATE(YEAR(AsOfDate),MONTH($D44),DAY($D44))&lt;=AsOfDate,1,0),MONTH($D44),DAY($D44)))</f>
        <v/>
      </c>
      <c r="F44" s="16"/>
      <c r="G44" s="16"/>
      <c r="H44" s="16"/>
      <c r="I44" s="16"/>
      <c r="J44" s="16"/>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7"/>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"&amp;IF(AND($C44="Part-Time",$P44&lt;&gt;"",N($P44)&lt;PT_MinHours),"under "&amp;PT_MinHours&amp;" hrs",$C44)),IF(O44&gt;0,"Yes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IF(AE44=0,"",X44-N(U44))</f>
        <v/>
      </c>
      <c r="Z44" s="12" t="str">
        <f aca="false">IF(AE44=0,"",IF(Y44&gt;0,"Yes","No"))</f>
        <v/>
      </c>
      <c r="AA44" s="12" t="str">
        <f aca="false">IF(AE44=0,"",IF(NOT(LH_Ready),"Paste Leave History export",IF(Y44&gt;0,"ACCRUE "&amp;TEXT(Y44,"0.##")&amp;" hrs ("&amp;TEXT(Y44/HoursPerDay,"0.##")&amp;" days)"&amp;IF(BA44=0," - no Bonus Leave line in EH yet",""),IF(Y44&lt;0,"CHECK - EH accrued "&amp;TEXT(-Y44,"0.##")&amp;" hrs more than policy",IF(AND(O44&gt;0,BA44=0),"CHECK - policy says "&amp;TEXT(N44,"0.##")&amp;" hrs to date but no Bonus Leave in EH",IF(O44&gt;0,"OK","-"))))))</f>
        <v/>
      </c>
      <c r="AB44" s="13" t="str">
        <f aca="false">IF(OR(AE44=0,T44=""),"",AY44*HoursPerDay-T44)</f>
        <v/>
      </c>
      <c r="AC44" s="12" t="str">
        <f aca="false">IF(AE44=0,"",BA44)</f>
        <v/>
      </c>
      <c r="AD44" s="12" t="str">
        <f aca="false">IF(AE44=0,"",TRIM(IF(AND(AG44&gt;=1,IF(AG44&gt;=3,AM44,IF(AG44=2,AL44,AK44))&lt;&gt;$C44),"EmploymentType does not match latest start date ("&amp;IF(AG44&gt;=3,AM44,IF(AG44=2,AL44,AK44))&amp;"). ","")&amp;IF(AND(AG44&gt;=1,AH44&lt;&gt;$F44),"Earliest type date should equal StartDate. ","")&amp;IF(AND(AG44&gt;=2,AH44=AI44),"Two types start on the same date. ","")&amp;IF(AND($C44="Part-Time",$P44=""),"Part-time: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IF(AE44=0,"",IF(AG44=0,IF($C44="Full-Time","FT",IF(AND($C44="Part-Time",OR($P44="",N($P44)&gt;=PT_MinHours)),"PT","None")),IF(AK44="Full-Time","FT",IF(AND(AK44="Part-Time",OR($P44="",N($P44)&gt;=PT_MinHours)),"PT","None"))))</f>
        <v/>
      </c>
      <c r="AO44" s="12" t="str">
        <f aca="false">IF(AE44=0,"",IF(AG44&lt;2,"",IF(AL44="Full-Time","FT",IF(AND(AL44="Part-Time",OR($P44="",N($P44)&gt;=PT_MinHours)),"PT","None"))))</f>
        <v/>
      </c>
      <c r="AP44" s="12" t="str">
        <f aca="false">IF(AE44=0,"",IF(AG44&lt;3,"",IF(AM44="Full-Time","FT",IF(AND(AM44="Part-Time",OR($P44="",N($P44)&gt;=PT_MinHours)),"PT","None"))))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IF(OR(AE45=0,$D45=""),"",DATE(YEAR(AsOfDate)+IF(DATE(YEAR(AsOfDate),MONTH($D45),DAY($D45))&lt;=AsOfDate,1,0),MONTH($D45),DAY($D45)))</f>
        <v/>
      </c>
      <c r="F45" s="16"/>
      <c r="G45" s="16"/>
      <c r="H45" s="16"/>
      <c r="I45" s="16"/>
      <c r="J45" s="16"/>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7"/>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"&amp;IF(AND($C45="Part-Time",$P45&lt;&gt;"",N($P45)&lt;PT_MinHours),"under "&amp;PT_MinHours&amp;" hrs",$C45)),IF(O45&gt;0,"Yes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IF(AE45=0,"",X45-N(U45))</f>
        <v/>
      </c>
      <c r="Z45" s="12" t="str">
        <f aca="false">IF(AE45=0,"",IF(Y45&gt;0,"Yes","No"))</f>
        <v/>
      </c>
      <c r="AA45" s="12" t="str">
        <f aca="false">IF(AE45=0,"",IF(NOT(LH_Ready),"Paste Leave History export",IF(Y45&gt;0,"ACCRUE "&amp;TEXT(Y45,"0.##")&amp;" hrs ("&amp;TEXT(Y45/HoursPerDay,"0.##")&amp;" days)"&amp;IF(BA45=0," - no Bonus Leave line in EH yet",""),IF(Y45&lt;0,"CHECK - EH accrued "&amp;TEXT(-Y45,"0.##")&amp;" hrs more than policy",IF(AND(O45&gt;0,BA45=0),"CHECK - policy says "&amp;TEXT(N45,"0.##")&amp;" hrs to date but no Bonus Leave in EH",IF(O45&gt;0,"OK","-"))))))</f>
        <v/>
      </c>
      <c r="AB45" s="13" t="str">
        <f aca="false">IF(OR(AE45=0,T45=""),"",AY45*HoursPerDay-T45)</f>
        <v/>
      </c>
      <c r="AC45" s="12" t="str">
        <f aca="false">IF(AE45=0,"",BA45)</f>
        <v/>
      </c>
      <c r="AD45" s="12" t="str">
        <f aca="false">IF(AE45=0,"",TRIM(IF(AND(AG45&gt;=1,IF(AG45&gt;=3,AM45,IF(AG45=2,AL45,AK45))&lt;&gt;$C45),"EmploymentType does not match latest start date ("&amp;IF(AG45&gt;=3,AM45,IF(AG45=2,AL45,AK45))&amp;"). ","")&amp;IF(AND(AG45&gt;=1,AH45&lt;&gt;$F45),"Earliest type date should equal StartDate. ","")&amp;IF(AND(AG45&gt;=2,AH45=AI45),"Two types start on the same date. ","")&amp;IF(AND($C45="Part-Time",$P45=""),"Part-time: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IF(AE45=0,"",IF(AG45=0,IF($C45="Full-Time","FT",IF(AND($C45="Part-Time",OR($P45="",N($P45)&gt;=PT_MinHours)),"PT","None")),IF(AK45="Full-Time","FT",IF(AND(AK45="Part-Time",OR($P45="",N($P45)&gt;=PT_MinHours)),"PT","None"))))</f>
        <v/>
      </c>
      <c r="AO45" s="12" t="str">
        <f aca="false">IF(AE45=0,"",IF(AG45&lt;2,"",IF(AL45="Full-Time","FT",IF(AND(AL45="Part-Time",OR($P45="",N($P45)&gt;=PT_MinHours)),"PT","None"))))</f>
        <v/>
      </c>
      <c r="AP45" s="12" t="str">
        <f aca="false">IF(AE45=0,"",IF(AG45&lt;3,"",IF(AM45="Full-Time","FT",IF(AND(AM45="Part-Time",OR($P45="",N($P45)&gt;=PT_MinHours)),"PT","None"))))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IF(OR(AE46=0,$D46=""),"",DATE(YEAR(AsOfDate)+IF(DATE(YEAR(AsOfDate),MONTH($D46),DAY($D46))&lt;=AsOfDate,1,0),MONTH($D46),DAY($D46)))</f>
        <v/>
      </c>
      <c r="F46" s="16"/>
      <c r="G46" s="16"/>
      <c r="H46" s="16"/>
      <c r="I46" s="16"/>
      <c r="J46" s="16"/>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7"/>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"&amp;IF(AND($C46="Part-Time",$P46&lt;&gt;"",N($P46)&lt;PT_MinHours),"under "&amp;PT_MinHours&amp;" hrs",$C46)),IF(O46&gt;0,"Yes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IF(AE46=0,"",X46-N(U46))</f>
        <v/>
      </c>
      <c r="Z46" s="12" t="str">
        <f aca="false">IF(AE46=0,"",IF(Y46&gt;0,"Yes","No"))</f>
        <v/>
      </c>
      <c r="AA46" s="12" t="str">
        <f aca="false">IF(AE46=0,"",IF(NOT(LH_Ready),"Paste Leave History export",IF(Y46&gt;0,"ACCRUE "&amp;TEXT(Y46,"0.##")&amp;" hrs ("&amp;TEXT(Y46/HoursPerDay,"0.##")&amp;" days)"&amp;IF(BA46=0," - no Bonus Leave line in EH yet",""),IF(Y46&lt;0,"CHECK - EH accrued "&amp;TEXT(-Y46,"0.##")&amp;" hrs more than policy",IF(AND(O46&gt;0,BA46=0),"CHECK - policy says "&amp;TEXT(N46,"0.##")&amp;" hrs to date but no Bonus Leave in EH",IF(O46&gt;0,"OK","-"))))))</f>
        <v/>
      </c>
      <c r="AB46" s="13" t="str">
        <f aca="false">IF(OR(AE46=0,T46=""),"",AY46*HoursPerDay-T46)</f>
        <v/>
      </c>
      <c r="AC46" s="12" t="str">
        <f aca="false">IF(AE46=0,"",BA46)</f>
        <v/>
      </c>
      <c r="AD46" s="12" t="str">
        <f aca="false">IF(AE46=0,"",TRIM(IF(AND(AG46&gt;=1,IF(AG46&gt;=3,AM46,IF(AG46=2,AL46,AK46))&lt;&gt;$C46),"EmploymentType does not match latest start date ("&amp;IF(AG46&gt;=3,AM46,IF(AG46=2,AL46,AK46))&amp;"). ","")&amp;IF(AND(AG46&gt;=1,AH46&lt;&gt;$F46),"Earliest type date should equal StartDate. ","")&amp;IF(AND(AG46&gt;=2,AH46=AI46),"Two types start on the same date. ","")&amp;IF(AND($C46="Part-Time",$P46=""),"Part-time: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IF(AE46=0,"",IF(AG46=0,IF($C46="Full-Time","FT",IF(AND($C46="Part-Time",OR($P46="",N($P46)&gt;=PT_MinHours)),"PT","None")),IF(AK46="Full-Time","FT",IF(AND(AK46="Part-Time",OR($P46="",N($P46)&gt;=PT_MinHours)),"PT","None"))))</f>
        <v/>
      </c>
      <c r="AO46" s="12" t="str">
        <f aca="false">IF(AE46=0,"",IF(AG46&lt;2,"",IF(AL46="Full-Time","FT",IF(AND(AL46="Part-Time",OR($P46="",N($P46)&gt;=PT_MinHours)),"PT","None"))))</f>
        <v/>
      </c>
      <c r="AP46" s="12" t="str">
        <f aca="false">IF(AE46=0,"",IF(AG46&lt;3,"",IF(AM46="Full-Time","FT",IF(AND(AM46="Part-Time",OR($P46="",N($P46)&gt;=PT_MinHours)),"PT","None"))))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IF(OR(AE47=0,$D47=""),"",DATE(YEAR(AsOfDate)+IF(DATE(YEAR(AsOfDate),MONTH($D47),DAY($D47))&lt;=AsOfDate,1,0),MONTH($D47),DAY($D47)))</f>
        <v/>
      </c>
      <c r="F47" s="16"/>
      <c r="G47" s="16"/>
      <c r="H47" s="16"/>
      <c r="I47" s="16"/>
      <c r="J47" s="16"/>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7"/>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"&amp;IF(AND($C47="Part-Time",$P47&lt;&gt;"",N($P47)&lt;PT_MinHours),"under "&amp;PT_MinHours&amp;" hrs",$C47)),IF(O47&gt;0,"Yes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IF(AE47=0,"",X47-N(U47))</f>
        <v/>
      </c>
      <c r="Z47" s="12" t="str">
        <f aca="false">IF(AE47=0,"",IF(Y47&gt;0,"Yes","No"))</f>
        <v/>
      </c>
      <c r="AA47" s="12" t="str">
        <f aca="false">IF(AE47=0,"",IF(NOT(LH_Ready),"Paste Leave History export",IF(Y47&gt;0,"ACCRUE "&amp;TEXT(Y47,"0.##")&amp;" hrs ("&amp;TEXT(Y47/HoursPerDay,"0.##")&amp;" days)"&amp;IF(BA47=0," - no Bonus Leave line in EH yet",""),IF(Y47&lt;0,"CHECK - EH accrued "&amp;TEXT(-Y47,"0.##")&amp;" hrs more than policy",IF(AND(O47&gt;0,BA47=0),"CHECK - policy says "&amp;TEXT(N47,"0.##")&amp;" hrs to date but no Bonus Leave in EH",IF(O47&gt;0,"OK","-"))))))</f>
        <v/>
      </c>
      <c r="AB47" s="13" t="str">
        <f aca="false">IF(OR(AE47=0,T47=""),"",AY47*HoursPerDay-T47)</f>
        <v/>
      </c>
      <c r="AC47" s="12" t="str">
        <f aca="false">IF(AE47=0,"",BA47)</f>
        <v/>
      </c>
      <c r="AD47" s="12" t="str">
        <f aca="false">IF(AE47=0,"",TRIM(IF(AND(AG47&gt;=1,IF(AG47&gt;=3,AM47,IF(AG47=2,AL47,AK47))&lt;&gt;$C47),"EmploymentType does not match latest start date ("&amp;IF(AG47&gt;=3,AM47,IF(AG47=2,AL47,AK47))&amp;"). ","")&amp;IF(AND(AG47&gt;=1,AH47&lt;&gt;$F47),"Earliest type date should equal StartDate. ","")&amp;IF(AND(AG47&gt;=2,AH47=AI47),"Two types start on the same date. ","")&amp;IF(AND($C47="Part-Time",$P47=""),"Part-time: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IF(AE47=0,"",IF(AG47=0,IF($C47="Full-Time","FT",IF(AND($C47="Part-Time",OR($P47="",N($P47)&gt;=PT_MinHours)),"PT","None")),IF(AK47="Full-Time","FT",IF(AND(AK47="Part-Time",OR($P47="",N($P47)&gt;=PT_MinHours)),"PT","None"))))</f>
        <v/>
      </c>
      <c r="AO47" s="12" t="str">
        <f aca="false">IF(AE47=0,"",IF(AG47&lt;2,"",IF(AL47="Full-Time","FT",IF(AND(AL47="Part-Time",OR($P47="",N($P47)&gt;=PT_MinHours)),"PT","None"))))</f>
        <v/>
      </c>
      <c r="AP47" s="12" t="str">
        <f aca="false">IF(AE47=0,"",IF(AG47&lt;3,"",IF(AM47="Full-Time","FT",IF(AND(AM47="Part-Time",OR($P47="",N($P47)&gt;=PT_MinHours)),"PT","None"))))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IF(OR(AE48=0,$D48=""),"",DATE(YEAR(AsOfDate)+IF(DATE(YEAR(AsOfDate),MONTH($D48),DAY($D48))&lt;=AsOfDate,1,0),MONTH($D48),DAY($D48)))</f>
        <v/>
      </c>
      <c r="F48" s="16"/>
      <c r="G48" s="16"/>
      <c r="H48" s="16"/>
      <c r="I48" s="16"/>
      <c r="J48" s="16"/>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7"/>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"&amp;IF(AND($C48="Part-Time",$P48&lt;&gt;"",N($P48)&lt;PT_MinHours),"under "&amp;PT_MinHours&amp;" hrs",$C48)),IF(O48&gt;0,"Yes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IF(AE48=0,"",X48-N(U48))</f>
        <v/>
      </c>
      <c r="Z48" s="12" t="str">
        <f aca="false">IF(AE48=0,"",IF(Y48&gt;0,"Yes","No"))</f>
        <v/>
      </c>
      <c r="AA48" s="12" t="str">
        <f aca="false">IF(AE48=0,"",IF(NOT(LH_Ready),"Paste Leave History export",IF(Y48&gt;0,"ACCRUE "&amp;TEXT(Y48,"0.##")&amp;" hrs ("&amp;TEXT(Y48/HoursPerDay,"0.##")&amp;" days)"&amp;IF(BA48=0," - no Bonus Leave line in EH yet",""),IF(Y48&lt;0,"CHECK - EH accrued "&amp;TEXT(-Y48,"0.##")&amp;" hrs more than policy",IF(AND(O48&gt;0,BA48=0),"CHECK - policy says "&amp;TEXT(N48,"0.##")&amp;" hrs to date but no Bonus Leave in EH",IF(O48&gt;0,"OK","-"))))))</f>
        <v/>
      </c>
      <c r="AB48" s="13" t="str">
        <f aca="false">IF(OR(AE48=0,T48=""),"",AY48*HoursPerDay-T48)</f>
        <v/>
      </c>
      <c r="AC48" s="12" t="str">
        <f aca="false">IF(AE48=0,"",BA48)</f>
        <v/>
      </c>
      <c r="AD48" s="12" t="str">
        <f aca="false">IF(AE48=0,"",TRIM(IF(AND(AG48&gt;=1,IF(AG48&gt;=3,AM48,IF(AG48=2,AL48,AK48))&lt;&gt;$C48),"EmploymentType does not match latest start date ("&amp;IF(AG48&gt;=3,AM48,IF(AG48=2,AL48,AK48))&amp;"). ","")&amp;IF(AND(AG48&gt;=1,AH48&lt;&gt;$F48),"Earliest type date should equal StartDate. ","")&amp;IF(AND(AG48&gt;=2,AH48=AI48),"Two types start on the same date. ","")&amp;IF(AND($C48="Part-Time",$P48=""),"Part-time: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IF(AE48=0,"",IF(AG48=0,IF($C48="Full-Time","FT",IF(AND($C48="Part-Time",OR($P48="",N($P48)&gt;=PT_MinHours)),"PT","None")),IF(AK48="Full-Time","FT",IF(AND(AK48="Part-Time",OR($P48="",N($P48)&gt;=PT_MinHours)),"PT","None"))))</f>
        <v/>
      </c>
      <c r="AO48" s="12" t="str">
        <f aca="false">IF(AE48=0,"",IF(AG48&lt;2,"",IF(AL48="Full-Time","FT",IF(AND(AL48="Part-Time",OR($P48="",N($P48)&gt;=PT_MinHours)),"PT","None"))))</f>
        <v/>
      </c>
      <c r="AP48" s="12" t="str">
        <f aca="false">IF(AE48=0,"",IF(AG48&lt;3,"",IF(AM48="Full-Time","FT",IF(AND(AM48="Part-Time",OR($P48="",N($P48)&gt;=PT_MinHours)),"PT","None"))))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IF(OR(AE49=0,$D49=""),"",DATE(YEAR(AsOfDate)+IF(DATE(YEAR(AsOfDate),MONTH($D49),DAY($D49))&lt;=AsOfDate,1,0),MONTH($D49),DAY($D49)))</f>
        <v/>
      </c>
      <c r="F49" s="16"/>
      <c r="G49" s="16"/>
      <c r="H49" s="16"/>
      <c r="I49" s="16"/>
      <c r="J49" s="16"/>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7"/>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"&amp;IF(AND($C49="Part-Time",$P49&lt;&gt;"",N($P49)&lt;PT_MinHours),"under "&amp;PT_MinHours&amp;" hrs",$C49)),IF(O49&gt;0,"Yes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IF(AE49=0,"",X49-N(U49))</f>
        <v/>
      </c>
      <c r="Z49" s="12" t="str">
        <f aca="false">IF(AE49=0,"",IF(Y49&gt;0,"Yes","No"))</f>
        <v/>
      </c>
      <c r="AA49" s="12" t="str">
        <f aca="false">IF(AE49=0,"",IF(NOT(LH_Ready),"Paste Leave History export",IF(Y49&gt;0,"ACCRUE "&amp;TEXT(Y49,"0.##")&amp;" hrs ("&amp;TEXT(Y49/HoursPerDay,"0.##")&amp;" days)"&amp;IF(BA49=0," - no Bonus Leave line in EH yet",""),IF(Y49&lt;0,"CHECK - EH accrued "&amp;TEXT(-Y49,"0.##")&amp;" hrs more than policy",IF(AND(O49&gt;0,BA49=0),"CHECK - policy says "&amp;TEXT(N49,"0.##")&amp;" hrs to date but no Bonus Leave in EH",IF(O49&gt;0,"OK","-"))))))</f>
        <v/>
      </c>
      <c r="AB49" s="13" t="str">
        <f aca="false">IF(OR(AE49=0,T49=""),"",AY49*HoursPerDay-T49)</f>
        <v/>
      </c>
      <c r="AC49" s="12" t="str">
        <f aca="false">IF(AE49=0,"",BA49)</f>
        <v/>
      </c>
      <c r="AD49" s="12" t="str">
        <f aca="false">IF(AE49=0,"",TRIM(IF(AND(AG49&gt;=1,IF(AG49&gt;=3,AM49,IF(AG49=2,AL49,AK49))&lt;&gt;$C49),"EmploymentType does not match latest start date ("&amp;IF(AG49&gt;=3,AM49,IF(AG49=2,AL49,AK49))&amp;"). ","")&amp;IF(AND(AG49&gt;=1,AH49&lt;&gt;$F49),"Earliest type date should equal StartDate. ","")&amp;IF(AND(AG49&gt;=2,AH49=AI49),"Two types start on the same date. ","")&amp;IF(AND($C49="Part-Time",$P49=""),"Part-time: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IF(AE49=0,"",IF(AG49=0,IF($C49="Full-Time","FT",IF(AND($C49="Part-Time",OR($P49="",N($P49)&gt;=PT_MinHours)),"PT","None")),IF(AK49="Full-Time","FT",IF(AND(AK49="Part-Time",OR($P49="",N($P49)&gt;=PT_MinHours)),"PT","None"))))</f>
        <v/>
      </c>
      <c r="AO49" s="12" t="str">
        <f aca="false">IF(AE49=0,"",IF(AG49&lt;2,"",IF(AL49="Full-Time","FT",IF(AND(AL49="Part-Time",OR($P49="",N($P49)&gt;=PT_MinHours)),"PT","None"))))</f>
        <v/>
      </c>
      <c r="AP49" s="12" t="str">
        <f aca="false">IF(AE49=0,"",IF(AG49&lt;3,"",IF(AM49="Full-Time","FT",IF(AND(AM49="Part-Time",OR($P49="",N($P49)&gt;=PT_MinHours)),"PT","None"))))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IF(OR(AE50=0,$D50=""),"",DATE(YEAR(AsOfDate)+IF(DATE(YEAR(AsOfDate),MONTH($D50),DAY($D50))&lt;=AsOfDate,1,0),MONTH($D50),DAY($D50)))</f>
        <v/>
      </c>
      <c r="F50" s="16"/>
      <c r="G50" s="16"/>
      <c r="H50" s="16"/>
      <c r="I50" s="16"/>
      <c r="J50" s="16"/>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7"/>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"&amp;IF(AND($C50="Part-Time",$P50&lt;&gt;"",N($P50)&lt;PT_MinHours),"under "&amp;PT_MinHours&amp;" hrs",$C50)),IF(O50&gt;0,"Yes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IF(AE50=0,"",X50-N(U50))</f>
        <v/>
      </c>
      <c r="Z50" s="12" t="str">
        <f aca="false">IF(AE50=0,"",IF(Y50&gt;0,"Yes","No"))</f>
        <v/>
      </c>
      <c r="AA50" s="12" t="str">
        <f aca="false">IF(AE50=0,"",IF(NOT(LH_Ready),"Paste Leave History export",IF(Y50&gt;0,"ACCRUE "&amp;TEXT(Y50,"0.##")&amp;" hrs ("&amp;TEXT(Y50/HoursPerDay,"0.##")&amp;" days)"&amp;IF(BA50=0," - no Bonus Leave line in EH yet",""),IF(Y50&lt;0,"CHECK - EH accrued "&amp;TEXT(-Y50,"0.##")&amp;" hrs more than policy",IF(AND(O50&gt;0,BA50=0),"CHECK - policy says "&amp;TEXT(N50,"0.##")&amp;" hrs to date but no Bonus Leave in EH",IF(O50&gt;0,"OK","-"))))))</f>
        <v/>
      </c>
      <c r="AB50" s="13" t="str">
        <f aca="false">IF(OR(AE50=0,T50=""),"",AY50*HoursPerDay-T50)</f>
        <v/>
      </c>
      <c r="AC50" s="12" t="str">
        <f aca="false">IF(AE50=0,"",BA50)</f>
        <v/>
      </c>
      <c r="AD50" s="12" t="str">
        <f aca="false">IF(AE50=0,"",TRIM(IF(AND(AG50&gt;=1,IF(AG50&gt;=3,AM50,IF(AG50=2,AL50,AK50))&lt;&gt;$C50),"EmploymentType does not match latest start date ("&amp;IF(AG50&gt;=3,AM50,IF(AG50=2,AL50,AK50))&amp;"). ","")&amp;IF(AND(AG50&gt;=1,AH50&lt;&gt;$F50),"Earliest type date should equal StartDate. ","")&amp;IF(AND(AG50&gt;=2,AH50=AI50),"Two types start on the same date. ","")&amp;IF(AND($C50="Part-Time",$P50=""),"Part-time: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IF(AE50=0,"",IF(AG50=0,IF($C50="Full-Time","FT",IF(AND($C50="Part-Time",OR($P50="",N($P50)&gt;=PT_MinHours)),"PT","None")),IF(AK50="Full-Time","FT",IF(AND(AK50="Part-Time",OR($P50="",N($P50)&gt;=PT_MinHours)),"PT","None"))))</f>
        <v/>
      </c>
      <c r="AO50" s="12" t="str">
        <f aca="false">IF(AE50=0,"",IF(AG50&lt;2,"",IF(AL50="Full-Time","FT",IF(AND(AL50="Part-Time",OR($P50="",N($P50)&gt;=PT_MinHours)),"PT","None"))))</f>
        <v/>
      </c>
      <c r="AP50" s="12" t="str">
        <f aca="false">IF(AE50=0,"",IF(AG50&lt;3,"",IF(AM50="Full-Time","FT",IF(AND(AM50="Part-Time",OR($P50="",N($P50)&gt;=PT_MinHours)),"PT","None"))))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IF(OR(AE51=0,$D51=""),"",DATE(YEAR(AsOfDate)+IF(DATE(YEAR(AsOfDate),MONTH($D51),DAY($D51))&lt;=AsOfDate,1,0),MONTH($D51),DAY($D51)))</f>
        <v/>
      </c>
      <c r="F51" s="16"/>
      <c r="G51" s="16"/>
      <c r="H51" s="16"/>
      <c r="I51" s="16"/>
      <c r="J51" s="16"/>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7"/>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"&amp;IF(AND($C51="Part-Time",$P51&lt;&gt;"",N($P51)&lt;PT_MinHours),"under "&amp;PT_MinHours&amp;" hrs",$C51)),IF(O51&gt;0,"Yes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IF(AE51=0,"",X51-N(U51))</f>
        <v/>
      </c>
      <c r="Z51" s="12" t="str">
        <f aca="false">IF(AE51=0,"",IF(Y51&gt;0,"Yes","No"))</f>
        <v/>
      </c>
      <c r="AA51" s="12" t="str">
        <f aca="false">IF(AE51=0,"",IF(NOT(LH_Ready),"Paste Leave History export",IF(Y51&gt;0,"ACCRUE "&amp;TEXT(Y51,"0.##")&amp;" hrs ("&amp;TEXT(Y51/HoursPerDay,"0.##")&amp;" days)"&amp;IF(BA51=0," - no Bonus Leave line in EH yet",""),IF(Y51&lt;0,"CHECK - EH accrued "&amp;TEXT(-Y51,"0.##")&amp;" hrs more than policy",IF(AND(O51&gt;0,BA51=0),"CHECK - policy says "&amp;TEXT(N51,"0.##")&amp;" hrs to date but no Bonus Leave in EH",IF(O51&gt;0,"OK","-"))))))</f>
        <v/>
      </c>
      <c r="AB51" s="13" t="str">
        <f aca="false">IF(OR(AE51=0,T51=""),"",AY51*HoursPerDay-T51)</f>
        <v/>
      </c>
      <c r="AC51" s="12" t="str">
        <f aca="false">IF(AE51=0,"",BA51)</f>
        <v/>
      </c>
      <c r="AD51" s="12" t="str">
        <f aca="false">IF(AE51=0,"",TRIM(IF(AND(AG51&gt;=1,IF(AG51&gt;=3,AM51,IF(AG51=2,AL51,AK51))&lt;&gt;$C51),"EmploymentType does not match latest start date ("&amp;IF(AG51&gt;=3,AM51,IF(AG51=2,AL51,AK51))&amp;"). ","")&amp;IF(AND(AG51&gt;=1,AH51&lt;&gt;$F51),"Earliest type date should equal StartDate. ","")&amp;IF(AND(AG51&gt;=2,AH51=AI51),"Two types start on the same date. ","")&amp;IF(AND($C51="Part-Time",$P51=""),"Part-time: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IF(AE51=0,"",IF(AG51=0,IF($C51="Full-Time","FT",IF(AND($C51="Part-Time",OR($P51="",N($P51)&gt;=PT_MinHours)),"PT","None")),IF(AK51="Full-Time","FT",IF(AND(AK51="Part-Time",OR($P51="",N($P51)&gt;=PT_MinHours)),"PT","None"))))</f>
        <v/>
      </c>
      <c r="AO51" s="12" t="str">
        <f aca="false">IF(AE51=0,"",IF(AG51&lt;2,"",IF(AL51="Full-Time","FT",IF(AND(AL51="Part-Time",OR($P51="",N($P51)&gt;=PT_MinHours)),"PT","None"))))</f>
        <v/>
      </c>
      <c r="AP51" s="12" t="str">
        <f aca="false">IF(AE51=0,"",IF(AG51&lt;3,"",IF(AM51="Full-Time","FT",IF(AND(AM51="Part-Time",OR($P51="",N($P51)&gt;=PT_MinHours)),"PT","None"))))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IF(OR(AE52=0,$D52=""),"",DATE(YEAR(AsOfDate)+IF(DATE(YEAR(AsOfDate),MONTH($D52),DAY($D52))&lt;=AsOfDate,1,0),MONTH($D52),DAY($D52)))</f>
        <v/>
      </c>
      <c r="F52" s="16"/>
      <c r="G52" s="16"/>
      <c r="H52" s="16"/>
      <c r="I52" s="16"/>
      <c r="J52" s="16"/>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7"/>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"&amp;IF(AND($C52="Part-Time",$P52&lt;&gt;"",N($P52)&lt;PT_MinHours),"under "&amp;PT_MinHours&amp;" hrs",$C52)),IF(O52&gt;0,"Yes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IF(AE52=0,"",X52-N(U52))</f>
        <v/>
      </c>
      <c r="Z52" s="12" t="str">
        <f aca="false">IF(AE52=0,"",IF(Y52&gt;0,"Yes","No"))</f>
        <v/>
      </c>
      <c r="AA52" s="12" t="str">
        <f aca="false">IF(AE52=0,"",IF(NOT(LH_Ready),"Paste Leave History export",IF(Y52&gt;0,"ACCRUE "&amp;TEXT(Y52,"0.##")&amp;" hrs ("&amp;TEXT(Y52/HoursPerDay,"0.##")&amp;" days)"&amp;IF(BA52=0," - no Bonus Leave line in EH yet",""),IF(Y52&lt;0,"CHECK - EH accrued "&amp;TEXT(-Y52,"0.##")&amp;" hrs more than policy",IF(AND(O52&gt;0,BA52=0),"CHECK - policy says "&amp;TEXT(N52,"0.##")&amp;" hrs to date but no Bonus Leave in EH",IF(O52&gt;0,"OK","-"))))))</f>
        <v/>
      </c>
      <c r="AB52" s="13" t="str">
        <f aca="false">IF(OR(AE52=0,T52=""),"",AY52*HoursPerDay-T52)</f>
        <v/>
      </c>
      <c r="AC52" s="12" t="str">
        <f aca="false">IF(AE52=0,"",BA52)</f>
        <v/>
      </c>
      <c r="AD52" s="12" t="str">
        <f aca="false">IF(AE52=0,"",TRIM(IF(AND(AG52&gt;=1,IF(AG52&gt;=3,AM52,IF(AG52=2,AL52,AK52))&lt;&gt;$C52),"EmploymentType does not match latest start date ("&amp;IF(AG52&gt;=3,AM52,IF(AG52=2,AL52,AK52))&amp;"). ","")&amp;IF(AND(AG52&gt;=1,AH52&lt;&gt;$F52),"Earliest type date should equal StartDate. ","")&amp;IF(AND(AG52&gt;=2,AH52=AI52),"Two types start on the same date. ","")&amp;IF(AND($C52="Part-Time",$P52=""),"Part-time: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IF(AE52=0,"",IF(AG52=0,IF($C52="Full-Time","FT",IF(AND($C52="Part-Time",OR($P52="",N($P52)&gt;=PT_MinHours)),"PT","None")),IF(AK52="Full-Time","FT",IF(AND(AK52="Part-Time",OR($P52="",N($P52)&gt;=PT_MinHours)),"PT","None"))))</f>
        <v/>
      </c>
      <c r="AO52" s="12" t="str">
        <f aca="false">IF(AE52=0,"",IF(AG52&lt;2,"",IF(AL52="Full-Time","FT",IF(AND(AL52="Part-Time",OR($P52="",N($P52)&gt;=PT_MinHours)),"PT","None"))))</f>
        <v/>
      </c>
      <c r="AP52" s="12" t="str">
        <f aca="false">IF(AE52=0,"",IF(AG52&lt;3,"",IF(AM52="Full-Time","FT",IF(AND(AM52="Part-Time",OR($P52="",N($P52)&gt;=PT_MinHours)),"PT","None"))))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IF(OR(AE53=0,$D53=""),"",DATE(YEAR(AsOfDate)+IF(DATE(YEAR(AsOfDate),MONTH($D53),DAY($D53))&lt;=AsOfDate,1,0),MONTH($D53),DAY($D53)))</f>
        <v/>
      </c>
      <c r="F53" s="16"/>
      <c r="G53" s="16"/>
      <c r="H53" s="16"/>
      <c r="I53" s="16"/>
      <c r="J53" s="16"/>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7"/>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"&amp;IF(AND($C53="Part-Time",$P53&lt;&gt;"",N($P53)&lt;PT_MinHours),"under "&amp;PT_MinHours&amp;" hrs",$C53)),IF(O53&gt;0,"Yes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IF(AE53=0,"",X53-N(U53))</f>
        <v/>
      </c>
      <c r="Z53" s="12" t="str">
        <f aca="false">IF(AE53=0,"",IF(Y53&gt;0,"Yes","No"))</f>
        <v/>
      </c>
      <c r="AA53" s="12" t="str">
        <f aca="false">IF(AE53=0,"",IF(NOT(LH_Ready),"Paste Leave History export",IF(Y53&gt;0,"ACCRUE "&amp;TEXT(Y53,"0.##")&amp;" hrs ("&amp;TEXT(Y53/HoursPerDay,"0.##")&amp;" days)"&amp;IF(BA53=0," - no Bonus Leave line in EH yet",""),IF(Y53&lt;0,"CHECK - EH accrued "&amp;TEXT(-Y53,"0.##")&amp;" hrs more than policy",IF(AND(O53&gt;0,BA53=0),"CHECK - policy says "&amp;TEXT(N53,"0.##")&amp;" hrs to date but no Bonus Leave in EH",IF(O53&gt;0,"OK","-"))))))</f>
        <v/>
      </c>
      <c r="AB53" s="13" t="str">
        <f aca="false">IF(OR(AE53=0,T53=""),"",AY53*HoursPerDay-T53)</f>
        <v/>
      </c>
      <c r="AC53" s="12" t="str">
        <f aca="false">IF(AE53=0,"",BA53)</f>
        <v/>
      </c>
      <c r="AD53" s="12" t="str">
        <f aca="false">IF(AE53=0,"",TRIM(IF(AND(AG53&gt;=1,IF(AG53&gt;=3,AM53,IF(AG53=2,AL53,AK53))&lt;&gt;$C53),"EmploymentType does not match latest start date ("&amp;IF(AG53&gt;=3,AM53,IF(AG53=2,AL53,AK53))&amp;"). ","")&amp;IF(AND(AG53&gt;=1,AH53&lt;&gt;$F53),"Earliest type date should equal StartDate. ","")&amp;IF(AND(AG53&gt;=2,AH53=AI53),"Two types start on the same date. ","")&amp;IF(AND($C53="Part-Time",$P53=""),"Part-time: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IF(AE53=0,"",IF(AG53=0,IF($C53="Full-Time","FT",IF(AND($C53="Part-Time",OR($P53="",N($P53)&gt;=PT_MinHours)),"PT","None")),IF(AK53="Full-Time","FT",IF(AND(AK53="Part-Time",OR($P53="",N($P53)&gt;=PT_MinHours)),"PT","None"))))</f>
        <v/>
      </c>
      <c r="AO53" s="12" t="str">
        <f aca="false">IF(AE53=0,"",IF(AG53&lt;2,"",IF(AL53="Full-Time","FT",IF(AND(AL53="Part-Time",OR($P53="",N($P53)&gt;=PT_MinHours)),"PT","None"))))</f>
        <v/>
      </c>
      <c r="AP53" s="12" t="str">
        <f aca="false">IF(AE53=0,"",IF(AG53&lt;3,"",IF(AM53="Full-Time","FT",IF(AND(AM53="Part-Time",OR($P53="",N($P53)&gt;=PT_MinHours)),"PT","None"))))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IF(OR(AE54=0,$D54=""),"",DATE(YEAR(AsOfDate)+IF(DATE(YEAR(AsOfDate),MONTH($D54),DAY($D54))&lt;=AsOfDate,1,0),MONTH($D54),DAY($D54)))</f>
        <v/>
      </c>
      <c r="F54" s="16"/>
      <c r="G54" s="16"/>
      <c r="H54" s="16"/>
      <c r="I54" s="16"/>
      <c r="J54" s="16"/>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7"/>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"&amp;IF(AND($C54="Part-Time",$P54&lt;&gt;"",N($P54)&lt;PT_MinHours),"under "&amp;PT_MinHours&amp;" hrs",$C54)),IF(O54&gt;0,"Yes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IF(AE54=0,"",X54-N(U54))</f>
        <v/>
      </c>
      <c r="Z54" s="12" t="str">
        <f aca="false">IF(AE54=0,"",IF(Y54&gt;0,"Yes","No"))</f>
        <v/>
      </c>
      <c r="AA54" s="12" t="str">
        <f aca="false">IF(AE54=0,"",IF(NOT(LH_Ready),"Paste Leave History export",IF(Y54&gt;0,"ACCRUE "&amp;TEXT(Y54,"0.##")&amp;" hrs ("&amp;TEXT(Y54/HoursPerDay,"0.##")&amp;" days)"&amp;IF(BA54=0," - no Bonus Leave line in EH yet",""),IF(Y54&lt;0,"CHECK - EH accrued "&amp;TEXT(-Y54,"0.##")&amp;" hrs more than policy",IF(AND(O54&gt;0,BA54=0),"CHECK - policy says "&amp;TEXT(N54,"0.##")&amp;" hrs to date but no Bonus Leave in EH",IF(O54&gt;0,"OK","-"))))))</f>
        <v/>
      </c>
      <c r="AB54" s="13" t="str">
        <f aca="false">IF(OR(AE54=0,T54=""),"",AY54*HoursPerDay-T54)</f>
        <v/>
      </c>
      <c r="AC54" s="12" t="str">
        <f aca="false">IF(AE54=0,"",BA54)</f>
        <v/>
      </c>
      <c r="AD54" s="12" t="str">
        <f aca="false">IF(AE54=0,"",TRIM(IF(AND(AG54&gt;=1,IF(AG54&gt;=3,AM54,IF(AG54=2,AL54,AK54))&lt;&gt;$C54),"EmploymentType does not match latest start date ("&amp;IF(AG54&gt;=3,AM54,IF(AG54=2,AL54,AK54))&amp;"). ","")&amp;IF(AND(AG54&gt;=1,AH54&lt;&gt;$F54),"Earliest type date should equal StartDate. ","")&amp;IF(AND(AG54&gt;=2,AH54=AI54),"Two types start on the same date. ","")&amp;IF(AND($C54="Part-Time",$P54=""),"Part-time: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IF(AE54=0,"",IF(AG54=0,IF($C54="Full-Time","FT",IF(AND($C54="Part-Time",OR($P54="",N($P54)&gt;=PT_MinHours)),"PT","None")),IF(AK54="Full-Time","FT",IF(AND(AK54="Part-Time",OR($P54="",N($P54)&gt;=PT_MinHours)),"PT","None"))))</f>
        <v/>
      </c>
      <c r="AO54" s="12" t="str">
        <f aca="false">IF(AE54=0,"",IF(AG54&lt;2,"",IF(AL54="Full-Time","FT",IF(AND(AL54="Part-Time",OR($P54="",N($P54)&gt;=PT_MinHours)),"PT","None"))))</f>
        <v/>
      </c>
      <c r="AP54" s="12" t="str">
        <f aca="false">IF(AE54=0,"",IF(AG54&lt;3,"",IF(AM54="Full-Time","FT",IF(AND(AM54="Part-Time",OR($P54="",N($P54)&gt;=PT_MinHours)),"PT","None"))))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IF(OR(AE55=0,$D55=""),"",DATE(YEAR(AsOfDate)+IF(DATE(YEAR(AsOfDate),MONTH($D55),DAY($D55))&lt;=AsOfDate,1,0),MONTH($D55),DAY($D55)))</f>
        <v/>
      </c>
      <c r="F55" s="16"/>
      <c r="G55" s="16"/>
      <c r="H55" s="16"/>
      <c r="I55" s="16"/>
      <c r="J55" s="16"/>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7"/>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"&amp;IF(AND($C55="Part-Time",$P55&lt;&gt;"",N($P55)&lt;PT_MinHours),"under "&amp;PT_MinHours&amp;" hrs",$C55)),IF(O55&gt;0,"Yes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IF(AE55=0,"",X55-N(U55))</f>
        <v/>
      </c>
      <c r="Z55" s="12" t="str">
        <f aca="false">IF(AE55=0,"",IF(Y55&gt;0,"Yes","No"))</f>
        <v/>
      </c>
      <c r="AA55" s="12" t="str">
        <f aca="false">IF(AE55=0,"",IF(NOT(LH_Ready),"Paste Leave History export",IF(Y55&gt;0,"ACCRUE "&amp;TEXT(Y55,"0.##")&amp;" hrs ("&amp;TEXT(Y55/HoursPerDay,"0.##")&amp;" days)"&amp;IF(BA55=0," - no Bonus Leave line in EH yet",""),IF(Y55&lt;0,"CHECK - EH accrued "&amp;TEXT(-Y55,"0.##")&amp;" hrs more than policy",IF(AND(O55&gt;0,BA55=0),"CHECK - policy says "&amp;TEXT(N55,"0.##")&amp;" hrs to date but no Bonus Leave in EH",IF(O55&gt;0,"OK","-"))))))</f>
        <v/>
      </c>
      <c r="AB55" s="13" t="str">
        <f aca="false">IF(OR(AE55=0,T55=""),"",AY55*HoursPerDay-T55)</f>
        <v/>
      </c>
      <c r="AC55" s="12" t="str">
        <f aca="false">IF(AE55=0,"",BA55)</f>
        <v/>
      </c>
      <c r="AD55" s="12" t="str">
        <f aca="false">IF(AE55=0,"",TRIM(IF(AND(AG55&gt;=1,IF(AG55&gt;=3,AM55,IF(AG55=2,AL55,AK55))&lt;&gt;$C55),"EmploymentType does not match latest start date ("&amp;IF(AG55&gt;=3,AM55,IF(AG55=2,AL55,AK55))&amp;"). ","")&amp;IF(AND(AG55&gt;=1,AH55&lt;&gt;$F55),"Earliest type date should equal StartDate. ","")&amp;IF(AND(AG55&gt;=2,AH55=AI55),"Two types start on the same date. ","")&amp;IF(AND($C55="Part-Time",$P55=""),"Part-time: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IF(AE55=0,"",IF(AG55=0,IF($C55="Full-Time","FT",IF(AND($C55="Part-Time",OR($P55="",N($P55)&gt;=PT_MinHours)),"PT","None")),IF(AK55="Full-Time","FT",IF(AND(AK55="Part-Time",OR($P55="",N($P55)&gt;=PT_MinHours)),"PT","None"))))</f>
        <v/>
      </c>
      <c r="AO55" s="12" t="str">
        <f aca="false">IF(AE55=0,"",IF(AG55&lt;2,"",IF(AL55="Full-Time","FT",IF(AND(AL55="Part-Time",OR($P55="",N($P55)&gt;=PT_MinHours)),"PT","None"))))</f>
        <v/>
      </c>
      <c r="AP55" s="12" t="str">
        <f aca="false">IF(AE55=0,"",IF(AG55&lt;3,"",IF(AM55="Full-Time","FT",IF(AND(AM55="Part-Time",OR($P55="",N($P55)&gt;=PT_MinHours)),"PT","None"))))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IF(OR(AE56=0,$D56=""),"",DATE(YEAR(AsOfDate)+IF(DATE(YEAR(AsOfDate),MONTH($D56),DAY($D56))&lt;=AsOfDate,1,0),MONTH($D56),DAY($D56)))</f>
        <v/>
      </c>
      <c r="F56" s="16"/>
      <c r="G56" s="16"/>
      <c r="H56" s="16"/>
      <c r="I56" s="16"/>
      <c r="J56" s="16"/>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7"/>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"&amp;IF(AND($C56="Part-Time",$P56&lt;&gt;"",N($P56)&lt;PT_MinHours),"under "&amp;PT_MinHours&amp;" hrs",$C56)),IF(O56&gt;0,"Yes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IF(AE56=0,"",X56-N(U56))</f>
        <v/>
      </c>
      <c r="Z56" s="12" t="str">
        <f aca="false">IF(AE56=0,"",IF(Y56&gt;0,"Yes","No"))</f>
        <v/>
      </c>
      <c r="AA56" s="12" t="str">
        <f aca="false">IF(AE56=0,"",IF(NOT(LH_Ready),"Paste Leave History export",IF(Y56&gt;0,"ACCRUE "&amp;TEXT(Y56,"0.##")&amp;" hrs ("&amp;TEXT(Y56/HoursPerDay,"0.##")&amp;" days)"&amp;IF(BA56=0," - no Bonus Leave line in EH yet",""),IF(Y56&lt;0,"CHECK - EH accrued "&amp;TEXT(-Y56,"0.##")&amp;" hrs more than policy",IF(AND(O56&gt;0,BA56=0),"CHECK - policy says "&amp;TEXT(N56,"0.##")&amp;" hrs to date but no Bonus Leave in EH",IF(O56&gt;0,"OK","-"))))))</f>
        <v/>
      </c>
      <c r="AB56" s="13" t="str">
        <f aca="false">IF(OR(AE56=0,T56=""),"",AY56*HoursPerDay-T56)</f>
        <v/>
      </c>
      <c r="AC56" s="12" t="str">
        <f aca="false">IF(AE56=0,"",BA56)</f>
        <v/>
      </c>
      <c r="AD56" s="12" t="str">
        <f aca="false">IF(AE56=0,"",TRIM(IF(AND(AG56&gt;=1,IF(AG56&gt;=3,AM56,IF(AG56=2,AL56,AK56))&lt;&gt;$C56),"EmploymentType does not match latest start date ("&amp;IF(AG56&gt;=3,AM56,IF(AG56=2,AL56,AK56))&amp;"). ","")&amp;IF(AND(AG56&gt;=1,AH56&lt;&gt;$F56),"Earliest type date should equal StartDate. ","")&amp;IF(AND(AG56&gt;=2,AH56=AI56),"Two types start on the same date. ","")&amp;IF(AND($C56="Part-Time",$P56=""),"Part-time: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IF(AE56=0,"",IF(AG56=0,IF($C56="Full-Time","FT",IF(AND($C56="Part-Time",OR($P56="",N($P56)&gt;=PT_MinHours)),"PT","None")),IF(AK56="Full-Time","FT",IF(AND(AK56="Part-Time",OR($P56="",N($P56)&gt;=PT_MinHours)),"PT","None"))))</f>
        <v/>
      </c>
      <c r="AO56" s="12" t="str">
        <f aca="false">IF(AE56=0,"",IF(AG56&lt;2,"",IF(AL56="Full-Time","FT",IF(AND(AL56="Part-Time",OR($P56="",N($P56)&gt;=PT_MinHours)),"PT","None"))))</f>
        <v/>
      </c>
      <c r="AP56" s="12" t="str">
        <f aca="false">IF(AE56=0,"",IF(AG56&lt;3,"",IF(AM56="Full-Time","FT",IF(AND(AM56="Part-Time",OR($P56="",N($P56)&gt;=PT_MinHours)),"PT","None"))))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IF(OR(AE57=0,$D57=""),"",DATE(YEAR(AsOfDate)+IF(DATE(YEAR(AsOfDate),MONTH($D57),DAY($D57))&lt;=AsOfDate,1,0),MONTH($D57),DAY($D57)))</f>
        <v/>
      </c>
      <c r="F57" s="16"/>
      <c r="G57" s="16"/>
      <c r="H57" s="16"/>
      <c r="I57" s="16"/>
      <c r="J57" s="16"/>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7"/>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"&amp;IF(AND($C57="Part-Time",$P57&lt;&gt;"",N($P57)&lt;PT_MinHours),"under "&amp;PT_MinHours&amp;" hrs",$C57)),IF(O57&gt;0,"Yes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IF(AE57=0,"",X57-N(U57))</f>
        <v/>
      </c>
      <c r="Z57" s="12" t="str">
        <f aca="false">IF(AE57=0,"",IF(Y57&gt;0,"Yes","No"))</f>
        <v/>
      </c>
      <c r="AA57" s="12" t="str">
        <f aca="false">IF(AE57=0,"",IF(NOT(LH_Ready),"Paste Leave History export",IF(Y57&gt;0,"ACCRUE "&amp;TEXT(Y57,"0.##")&amp;" hrs ("&amp;TEXT(Y57/HoursPerDay,"0.##")&amp;" days)"&amp;IF(BA57=0," - no Bonus Leave line in EH yet",""),IF(Y57&lt;0,"CHECK - EH accrued "&amp;TEXT(-Y57,"0.##")&amp;" hrs more than policy",IF(AND(O57&gt;0,BA57=0),"CHECK - policy says "&amp;TEXT(N57,"0.##")&amp;" hrs to date but no Bonus Leave in EH",IF(O57&gt;0,"OK","-"))))))</f>
        <v/>
      </c>
      <c r="AB57" s="13" t="str">
        <f aca="false">IF(OR(AE57=0,T57=""),"",AY57*HoursPerDay-T57)</f>
        <v/>
      </c>
      <c r="AC57" s="12" t="str">
        <f aca="false">IF(AE57=0,"",BA57)</f>
        <v/>
      </c>
      <c r="AD57" s="12" t="str">
        <f aca="false">IF(AE57=0,"",TRIM(IF(AND(AG57&gt;=1,IF(AG57&gt;=3,AM57,IF(AG57=2,AL57,AK57))&lt;&gt;$C57),"EmploymentType does not match latest start date ("&amp;IF(AG57&gt;=3,AM57,IF(AG57=2,AL57,AK57))&amp;"). ","")&amp;IF(AND(AG57&gt;=1,AH57&lt;&gt;$F57),"Earliest type date should equal StartDate. ","")&amp;IF(AND(AG57&gt;=2,AH57=AI57),"Two types start on the same date. ","")&amp;IF(AND($C57="Part-Time",$P57=""),"Part-time: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IF(AE57=0,"",IF(AG57=0,IF($C57="Full-Time","FT",IF(AND($C57="Part-Time",OR($P57="",N($P57)&gt;=PT_MinHours)),"PT","None")),IF(AK57="Full-Time","FT",IF(AND(AK57="Part-Time",OR($P57="",N($P57)&gt;=PT_MinHours)),"PT","None"))))</f>
        <v/>
      </c>
      <c r="AO57" s="12" t="str">
        <f aca="false">IF(AE57=0,"",IF(AG57&lt;2,"",IF(AL57="Full-Time","FT",IF(AND(AL57="Part-Time",OR($P57="",N($P57)&gt;=PT_MinHours)),"PT","None"))))</f>
        <v/>
      </c>
      <c r="AP57" s="12" t="str">
        <f aca="false">IF(AE57=0,"",IF(AG57&lt;3,"",IF(AM57="Full-Time","FT",IF(AND(AM57="Part-Time",OR($P57="",N($P57)&gt;=PT_MinHours)),"PT","None"))))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IF(OR(AE58=0,$D58=""),"",DATE(YEAR(AsOfDate)+IF(DATE(YEAR(AsOfDate),MONTH($D58),DAY($D58))&lt;=AsOfDate,1,0),MONTH($D58),DAY($D58)))</f>
        <v/>
      </c>
      <c r="F58" s="16"/>
      <c r="G58" s="16"/>
      <c r="H58" s="16"/>
      <c r="I58" s="16"/>
      <c r="J58" s="16"/>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7"/>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"&amp;IF(AND($C58="Part-Time",$P58&lt;&gt;"",N($P58)&lt;PT_MinHours),"under "&amp;PT_MinHours&amp;" hrs",$C58)),IF(O58&gt;0,"Yes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IF(AE58=0,"",X58-N(U58))</f>
        <v/>
      </c>
      <c r="Z58" s="12" t="str">
        <f aca="false">IF(AE58=0,"",IF(Y58&gt;0,"Yes","No"))</f>
        <v/>
      </c>
      <c r="AA58" s="12" t="str">
        <f aca="false">IF(AE58=0,"",IF(NOT(LH_Ready),"Paste Leave History export",IF(Y58&gt;0,"ACCRUE "&amp;TEXT(Y58,"0.##")&amp;" hrs ("&amp;TEXT(Y58/HoursPerDay,"0.##")&amp;" days)"&amp;IF(BA58=0," - no Bonus Leave line in EH yet",""),IF(Y58&lt;0,"CHECK - EH accrued "&amp;TEXT(-Y58,"0.##")&amp;" hrs more than policy",IF(AND(O58&gt;0,BA58=0),"CHECK - policy says "&amp;TEXT(N58,"0.##")&amp;" hrs to date but no Bonus Leave in EH",IF(O58&gt;0,"OK","-"))))))</f>
        <v/>
      </c>
      <c r="AB58" s="13" t="str">
        <f aca="false">IF(OR(AE58=0,T58=""),"",AY58*HoursPerDay-T58)</f>
        <v/>
      </c>
      <c r="AC58" s="12" t="str">
        <f aca="false">IF(AE58=0,"",BA58)</f>
        <v/>
      </c>
      <c r="AD58" s="12" t="str">
        <f aca="false">IF(AE58=0,"",TRIM(IF(AND(AG58&gt;=1,IF(AG58&gt;=3,AM58,IF(AG58=2,AL58,AK58))&lt;&gt;$C58),"EmploymentType does not match latest start date ("&amp;IF(AG58&gt;=3,AM58,IF(AG58=2,AL58,AK58))&amp;"). ","")&amp;IF(AND(AG58&gt;=1,AH58&lt;&gt;$F58),"Earliest type date should equal StartDate. ","")&amp;IF(AND(AG58&gt;=2,AH58=AI58),"Two types start on the same date. ","")&amp;IF(AND($C58="Part-Time",$P58=""),"Part-time: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IF(AE58=0,"",IF(AG58=0,IF($C58="Full-Time","FT",IF(AND($C58="Part-Time",OR($P58="",N($P58)&gt;=PT_MinHours)),"PT","None")),IF(AK58="Full-Time","FT",IF(AND(AK58="Part-Time",OR($P58="",N($P58)&gt;=PT_MinHours)),"PT","None"))))</f>
        <v/>
      </c>
      <c r="AO58" s="12" t="str">
        <f aca="false">IF(AE58=0,"",IF(AG58&lt;2,"",IF(AL58="Full-Time","FT",IF(AND(AL58="Part-Time",OR($P58="",N($P58)&gt;=PT_MinHours)),"PT","None"))))</f>
        <v/>
      </c>
      <c r="AP58" s="12" t="str">
        <f aca="false">IF(AE58=0,"",IF(AG58&lt;3,"",IF(AM58="Full-Time","FT",IF(AND(AM58="Part-Time",OR($P58="",N($P58)&gt;=PT_MinHours)),"PT","None"))))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IF(OR(AE59=0,$D59=""),"",DATE(YEAR(AsOfDate)+IF(DATE(YEAR(AsOfDate),MONTH($D59),DAY($D59))&lt;=AsOfDate,1,0),MONTH($D59),DAY($D59)))</f>
        <v/>
      </c>
      <c r="F59" s="16"/>
      <c r="G59" s="16"/>
      <c r="H59" s="16"/>
      <c r="I59" s="16"/>
      <c r="J59" s="16"/>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7"/>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"&amp;IF(AND($C59="Part-Time",$P59&lt;&gt;"",N($P59)&lt;PT_MinHours),"under "&amp;PT_MinHours&amp;" hrs",$C59)),IF(O59&gt;0,"Yes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IF(AE59=0,"",X59-N(U59))</f>
        <v/>
      </c>
      <c r="Z59" s="12" t="str">
        <f aca="false">IF(AE59=0,"",IF(Y59&gt;0,"Yes","No"))</f>
        <v/>
      </c>
      <c r="AA59" s="12" t="str">
        <f aca="false">IF(AE59=0,"",IF(NOT(LH_Ready),"Paste Leave History export",IF(Y59&gt;0,"ACCRUE "&amp;TEXT(Y59,"0.##")&amp;" hrs ("&amp;TEXT(Y59/HoursPerDay,"0.##")&amp;" days)"&amp;IF(BA59=0," - no Bonus Leave line in EH yet",""),IF(Y59&lt;0,"CHECK - EH accrued "&amp;TEXT(-Y59,"0.##")&amp;" hrs more than policy",IF(AND(O59&gt;0,BA59=0),"CHECK - policy says "&amp;TEXT(N59,"0.##")&amp;" hrs to date but no Bonus Leave in EH",IF(O59&gt;0,"OK","-"))))))</f>
        <v/>
      </c>
      <c r="AB59" s="13" t="str">
        <f aca="false">IF(OR(AE59=0,T59=""),"",AY59*HoursPerDay-T59)</f>
        <v/>
      </c>
      <c r="AC59" s="12" t="str">
        <f aca="false">IF(AE59=0,"",BA59)</f>
        <v/>
      </c>
      <c r="AD59" s="12" t="str">
        <f aca="false">IF(AE59=0,"",TRIM(IF(AND(AG59&gt;=1,IF(AG59&gt;=3,AM59,IF(AG59=2,AL59,AK59))&lt;&gt;$C59),"EmploymentType does not match latest start date ("&amp;IF(AG59&gt;=3,AM59,IF(AG59=2,AL59,AK59))&amp;"). ","")&amp;IF(AND(AG59&gt;=1,AH59&lt;&gt;$F59),"Earliest type date should equal StartDate. ","")&amp;IF(AND(AG59&gt;=2,AH59=AI59),"Two types start on the same date. ","")&amp;IF(AND($C59="Part-Time",$P59=""),"Part-time: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IF(AE59=0,"",IF(AG59=0,IF($C59="Full-Time","FT",IF(AND($C59="Part-Time",OR($P59="",N($P59)&gt;=PT_MinHours)),"PT","None")),IF(AK59="Full-Time","FT",IF(AND(AK59="Part-Time",OR($P59="",N($P59)&gt;=PT_MinHours)),"PT","None"))))</f>
        <v/>
      </c>
      <c r="AO59" s="12" t="str">
        <f aca="false">IF(AE59=0,"",IF(AG59&lt;2,"",IF(AL59="Full-Time","FT",IF(AND(AL59="Part-Time",OR($P59="",N($P59)&gt;=PT_MinHours)),"PT","None"))))</f>
        <v/>
      </c>
      <c r="AP59" s="12" t="str">
        <f aca="false">IF(AE59=0,"",IF(AG59&lt;3,"",IF(AM59="Full-Time","FT",IF(AND(AM59="Part-Time",OR($P59="",N($P59)&gt;=PT_MinHours)),"PT","None"))))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IF(OR(AE60=0,$D60=""),"",DATE(YEAR(AsOfDate)+IF(DATE(YEAR(AsOfDate),MONTH($D60),DAY($D60))&lt;=AsOfDate,1,0),MONTH($D60),DAY($D60)))</f>
        <v/>
      </c>
      <c r="F60" s="16"/>
      <c r="G60" s="16"/>
      <c r="H60" s="16"/>
      <c r="I60" s="16"/>
      <c r="J60" s="16"/>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7"/>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"&amp;IF(AND($C60="Part-Time",$P60&lt;&gt;"",N($P60)&lt;PT_MinHours),"under "&amp;PT_MinHours&amp;" hrs",$C60)),IF(O60&gt;0,"Yes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IF(AE60=0,"",X60-N(U60))</f>
        <v/>
      </c>
      <c r="Z60" s="12" t="str">
        <f aca="false">IF(AE60=0,"",IF(Y60&gt;0,"Yes","No"))</f>
        <v/>
      </c>
      <c r="AA60" s="12" t="str">
        <f aca="false">IF(AE60=0,"",IF(NOT(LH_Ready),"Paste Leave History export",IF(Y60&gt;0,"ACCRUE "&amp;TEXT(Y60,"0.##")&amp;" hrs ("&amp;TEXT(Y60/HoursPerDay,"0.##")&amp;" days)"&amp;IF(BA60=0," - no Bonus Leave line in EH yet",""),IF(Y60&lt;0,"CHECK - EH accrued "&amp;TEXT(-Y60,"0.##")&amp;" hrs more than policy",IF(AND(O60&gt;0,BA60=0),"CHECK - policy says "&amp;TEXT(N60,"0.##")&amp;" hrs to date but no Bonus Leave in EH",IF(O60&gt;0,"OK","-"))))))</f>
        <v/>
      </c>
      <c r="AB60" s="13" t="str">
        <f aca="false">IF(OR(AE60=0,T60=""),"",AY60*HoursPerDay-T60)</f>
        <v/>
      </c>
      <c r="AC60" s="12" t="str">
        <f aca="false">IF(AE60=0,"",BA60)</f>
        <v/>
      </c>
      <c r="AD60" s="12" t="str">
        <f aca="false">IF(AE60=0,"",TRIM(IF(AND(AG60&gt;=1,IF(AG60&gt;=3,AM60,IF(AG60=2,AL60,AK60))&lt;&gt;$C60),"EmploymentType does not match latest start date ("&amp;IF(AG60&gt;=3,AM60,IF(AG60=2,AL60,AK60))&amp;"). ","")&amp;IF(AND(AG60&gt;=1,AH60&lt;&gt;$F60),"Earliest type date should equal StartDate. ","")&amp;IF(AND(AG60&gt;=2,AH60=AI60),"Two types start on the same date. ","")&amp;IF(AND($C60="Part-Time",$P60=""),"Part-time: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IF(AE60=0,"",IF(AG60=0,IF($C60="Full-Time","FT",IF(AND($C60="Part-Time",OR($P60="",N($P60)&gt;=PT_MinHours)),"PT","None")),IF(AK60="Full-Time","FT",IF(AND(AK60="Part-Time",OR($P60="",N($P60)&gt;=PT_MinHours)),"PT","None"))))</f>
        <v/>
      </c>
      <c r="AO60" s="12" t="str">
        <f aca="false">IF(AE60=0,"",IF(AG60&lt;2,"",IF(AL60="Full-Time","FT",IF(AND(AL60="Part-Time",OR($P60="",N($P60)&gt;=PT_MinHours)),"PT","None"))))</f>
        <v/>
      </c>
      <c r="AP60" s="12" t="str">
        <f aca="false">IF(AE60=0,"",IF(AG60&lt;3,"",IF(AM60="Full-Time","FT",IF(AND(AM60="Part-Time",OR($P60="",N($P60)&gt;=PT_MinHours)),"PT","None"))))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IF(OR(AE61=0,$D61=""),"",DATE(YEAR(AsOfDate)+IF(DATE(YEAR(AsOfDate),MONTH($D61),DAY($D61))&lt;=AsOfDate,1,0),MONTH($D61),DAY($D61)))</f>
        <v/>
      </c>
      <c r="F61" s="16"/>
      <c r="G61" s="16"/>
      <c r="H61" s="16"/>
      <c r="I61" s="16"/>
      <c r="J61" s="16"/>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7"/>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"&amp;IF(AND($C61="Part-Time",$P61&lt;&gt;"",N($P61)&lt;PT_MinHours),"under "&amp;PT_MinHours&amp;" hrs",$C61)),IF(O61&gt;0,"Yes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IF(AE61=0,"",X61-N(U61))</f>
        <v/>
      </c>
      <c r="Z61" s="12" t="str">
        <f aca="false">IF(AE61=0,"",IF(Y61&gt;0,"Yes","No"))</f>
        <v/>
      </c>
      <c r="AA61" s="12" t="str">
        <f aca="false">IF(AE61=0,"",IF(NOT(LH_Ready),"Paste Leave History export",IF(Y61&gt;0,"ACCRUE "&amp;TEXT(Y61,"0.##")&amp;" hrs ("&amp;TEXT(Y61/HoursPerDay,"0.##")&amp;" days)"&amp;IF(BA61=0," - no Bonus Leave line in EH yet",""),IF(Y61&lt;0,"CHECK - EH accrued "&amp;TEXT(-Y61,"0.##")&amp;" hrs more than policy",IF(AND(O61&gt;0,BA61=0),"CHECK - policy says "&amp;TEXT(N61,"0.##")&amp;" hrs to date but no Bonus Leave in EH",IF(O61&gt;0,"OK","-"))))))</f>
        <v/>
      </c>
      <c r="AB61" s="13" t="str">
        <f aca="false">IF(OR(AE61=0,T61=""),"",AY61*HoursPerDay-T61)</f>
        <v/>
      </c>
      <c r="AC61" s="12" t="str">
        <f aca="false">IF(AE61=0,"",BA61)</f>
        <v/>
      </c>
      <c r="AD61" s="12" t="str">
        <f aca="false">IF(AE61=0,"",TRIM(IF(AND(AG61&gt;=1,IF(AG61&gt;=3,AM61,IF(AG61=2,AL61,AK61))&lt;&gt;$C61),"EmploymentType does not match latest start date ("&amp;IF(AG61&gt;=3,AM61,IF(AG61=2,AL61,AK61))&amp;"). ","")&amp;IF(AND(AG61&gt;=1,AH61&lt;&gt;$F61),"Earliest type date should equal StartDate. ","")&amp;IF(AND(AG61&gt;=2,AH61=AI61),"Two types start on the same date. ","")&amp;IF(AND($C61="Part-Time",$P61=""),"Part-time: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IF(AE61=0,"",IF(AG61=0,IF($C61="Full-Time","FT",IF(AND($C61="Part-Time",OR($P61="",N($P61)&gt;=PT_MinHours)),"PT","None")),IF(AK61="Full-Time","FT",IF(AND(AK61="Part-Time",OR($P61="",N($P61)&gt;=PT_MinHours)),"PT","None"))))</f>
        <v/>
      </c>
      <c r="AO61" s="12" t="str">
        <f aca="false">IF(AE61=0,"",IF(AG61&lt;2,"",IF(AL61="Full-Time","FT",IF(AND(AL61="Part-Time",OR($P61="",N($P61)&gt;=PT_MinHours)),"PT","None"))))</f>
        <v/>
      </c>
      <c r="AP61" s="12" t="str">
        <f aca="false">IF(AE61=0,"",IF(AG61&lt;3,"",IF(AM61="Full-Time","FT",IF(AND(AM61="Part-Time",OR($P61="",N($P61)&gt;=PT_MinHours)),"PT","None"))))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IF(OR(AE62=0,$D62=""),"",DATE(YEAR(AsOfDate)+IF(DATE(YEAR(AsOfDate),MONTH($D62),DAY($D62))&lt;=AsOfDate,1,0),MONTH($D62),DAY($D62)))</f>
        <v/>
      </c>
      <c r="F62" s="16"/>
      <c r="G62" s="16"/>
      <c r="H62" s="16"/>
      <c r="I62" s="16"/>
      <c r="J62" s="16"/>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7"/>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"&amp;IF(AND($C62="Part-Time",$P62&lt;&gt;"",N($P62)&lt;PT_MinHours),"under "&amp;PT_MinHours&amp;" hrs",$C62)),IF(O62&gt;0,"Yes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IF(AE62=0,"",X62-N(U62))</f>
        <v/>
      </c>
      <c r="Z62" s="12" t="str">
        <f aca="false">IF(AE62=0,"",IF(Y62&gt;0,"Yes","No"))</f>
        <v/>
      </c>
      <c r="AA62" s="12" t="str">
        <f aca="false">IF(AE62=0,"",IF(NOT(LH_Ready),"Paste Leave History export",IF(Y62&gt;0,"ACCRUE "&amp;TEXT(Y62,"0.##")&amp;" hrs ("&amp;TEXT(Y62/HoursPerDay,"0.##")&amp;" days)"&amp;IF(BA62=0," - no Bonus Leave line in EH yet",""),IF(Y62&lt;0,"CHECK - EH accrued "&amp;TEXT(-Y62,"0.##")&amp;" hrs more than policy",IF(AND(O62&gt;0,BA62=0),"CHECK - policy says "&amp;TEXT(N62,"0.##")&amp;" hrs to date but no Bonus Leave in EH",IF(O62&gt;0,"OK","-"))))))</f>
        <v/>
      </c>
      <c r="AB62" s="13" t="str">
        <f aca="false">IF(OR(AE62=0,T62=""),"",AY62*HoursPerDay-T62)</f>
        <v/>
      </c>
      <c r="AC62" s="12" t="str">
        <f aca="false">IF(AE62=0,"",BA62)</f>
        <v/>
      </c>
      <c r="AD62" s="12" t="str">
        <f aca="false">IF(AE62=0,"",TRIM(IF(AND(AG62&gt;=1,IF(AG62&gt;=3,AM62,IF(AG62=2,AL62,AK62))&lt;&gt;$C62),"EmploymentType does not match latest start date ("&amp;IF(AG62&gt;=3,AM62,IF(AG62=2,AL62,AK62))&amp;"). ","")&amp;IF(AND(AG62&gt;=1,AH62&lt;&gt;$F62),"Earliest type date should equal StartDate. ","")&amp;IF(AND(AG62&gt;=2,AH62=AI62),"Two types start on the same date. ","")&amp;IF(AND($C62="Part-Time",$P62=""),"Part-time: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IF(AE62=0,"",IF(AG62=0,IF($C62="Full-Time","FT",IF(AND($C62="Part-Time",OR($P62="",N($P62)&gt;=PT_MinHours)),"PT","None")),IF(AK62="Full-Time","FT",IF(AND(AK62="Part-Time",OR($P62="",N($P62)&gt;=PT_MinHours)),"PT","None"))))</f>
        <v/>
      </c>
      <c r="AO62" s="12" t="str">
        <f aca="false">IF(AE62=0,"",IF(AG62&lt;2,"",IF(AL62="Full-Time","FT",IF(AND(AL62="Part-Time",OR($P62="",N($P62)&gt;=PT_MinHours)),"PT","None"))))</f>
        <v/>
      </c>
      <c r="AP62" s="12" t="str">
        <f aca="false">IF(AE62=0,"",IF(AG62&lt;3,"",IF(AM62="Full-Time","FT",IF(AND(AM62="Part-Time",OR($P62="",N($P62)&gt;=PT_MinHours)),"PT","None"))))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IF(OR(AE63=0,$D63=""),"",DATE(YEAR(AsOfDate)+IF(DATE(YEAR(AsOfDate),MONTH($D63),DAY($D63))&lt;=AsOfDate,1,0),MONTH($D63),DAY($D63)))</f>
        <v/>
      </c>
      <c r="F63" s="16"/>
      <c r="G63" s="16"/>
      <c r="H63" s="16"/>
      <c r="I63" s="16"/>
      <c r="J63" s="16"/>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7"/>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"&amp;IF(AND($C63="Part-Time",$P63&lt;&gt;"",N($P63)&lt;PT_MinHours),"under "&amp;PT_MinHours&amp;" hrs",$C63)),IF(O63&gt;0,"Yes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IF(AE63=0,"",X63-N(U63))</f>
        <v/>
      </c>
      <c r="Z63" s="12" t="str">
        <f aca="false">IF(AE63=0,"",IF(Y63&gt;0,"Yes","No"))</f>
        <v/>
      </c>
      <c r="AA63" s="12" t="str">
        <f aca="false">IF(AE63=0,"",IF(NOT(LH_Ready),"Paste Leave History export",IF(Y63&gt;0,"ACCRUE "&amp;TEXT(Y63,"0.##")&amp;" hrs ("&amp;TEXT(Y63/HoursPerDay,"0.##")&amp;" days)"&amp;IF(BA63=0," - no Bonus Leave line in EH yet",""),IF(Y63&lt;0,"CHECK - EH accrued "&amp;TEXT(-Y63,"0.##")&amp;" hrs more than policy",IF(AND(O63&gt;0,BA63=0),"CHECK - policy says "&amp;TEXT(N63,"0.##")&amp;" hrs to date but no Bonus Leave in EH",IF(O63&gt;0,"OK","-"))))))</f>
        <v/>
      </c>
      <c r="AB63" s="13" t="str">
        <f aca="false">IF(OR(AE63=0,T63=""),"",AY63*HoursPerDay-T63)</f>
        <v/>
      </c>
      <c r="AC63" s="12" t="str">
        <f aca="false">IF(AE63=0,"",BA63)</f>
        <v/>
      </c>
      <c r="AD63" s="12" t="str">
        <f aca="false">IF(AE63=0,"",TRIM(IF(AND(AG63&gt;=1,IF(AG63&gt;=3,AM63,IF(AG63=2,AL63,AK63))&lt;&gt;$C63),"EmploymentType does not match latest start date ("&amp;IF(AG63&gt;=3,AM63,IF(AG63=2,AL63,AK63))&amp;"). ","")&amp;IF(AND(AG63&gt;=1,AH63&lt;&gt;$F63),"Earliest type date should equal StartDate. ","")&amp;IF(AND(AG63&gt;=2,AH63=AI63),"Two types start on the same date. ","")&amp;IF(AND($C63="Part-Time",$P63=""),"Part-time: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IF(AE63=0,"",IF(AG63=0,IF($C63="Full-Time","FT",IF(AND($C63="Part-Time",OR($P63="",N($P63)&gt;=PT_MinHours)),"PT","None")),IF(AK63="Full-Time","FT",IF(AND(AK63="Part-Time",OR($P63="",N($P63)&gt;=PT_MinHours)),"PT","None"))))</f>
        <v/>
      </c>
      <c r="AO63" s="12" t="str">
        <f aca="false">IF(AE63=0,"",IF(AG63&lt;2,"",IF(AL63="Full-Time","FT",IF(AND(AL63="Part-Time",OR($P63="",N($P63)&gt;=PT_MinHours)),"PT","None"))))</f>
        <v/>
      </c>
      <c r="AP63" s="12" t="str">
        <f aca="false">IF(AE63=0,"",IF(AG63&lt;3,"",IF(AM63="Full-Time","FT",IF(AND(AM63="Part-Time",OR($P63="",N($P63)&gt;=PT_MinHours)),"PT","None"))))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IF(OR(AE64=0,$D64=""),"",DATE(YEAR(AsOfDate)+IF(DATE(YEAR(AsOfDate),MONTH($D64),DAY($D64))&lt;=AsOfDate,1,0),MONTH($D64),DAY($D64)))</f>
        <v/>
      </c>
      <c r="F64" s="16"/>
      <c r="G64" s="16"/>
      <c r="H64" s="16"/>
      <c r="I64" s="16"/>
      <c r="J64" s="16"/>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7"/>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"&amp;IF(AND($C64="Part-Time",$P64&lt;&gt;"",N($P64)&lt;PT_MinHours),"under "&amp;PT_MinHours&amp;" hrs",$C64)),IF(O64&gt;0,"Yes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IF(AE64=0,"",X64-N(U64))</f>
        <v/>
      </c>
      <c r="Z64" s="12" t="str">
        <f aca="false">IF(AE64=0,"",IF(Y64&gt;0,"Yes","No"))</f>
        <v/>
      </c>
      <c r="AA64" s="12" t="str">
        <f aca="false">IF(AE64=0,"",IF(NOT(LH_Ready),"Paste Leave History export",IF(Y64&gt;0,"ACCRUE "&amp;TEXT(Y64,"0.##")&amp;" hrs ("&amp;TEXT(Y64/HoursPerDay,"0.##")&amp;" days)"&amp;IF(BA64=0," - no Bonus Leave line in EH yet",""),IF(Y64&lt;0,"CHECK - EH accrued "&amp;TEXT(-Y64,"0.##")&amp;" hrs more than policy",IF(AND(O64&gt;0,BA64=0),"CHECK - policy says "&amp;TEXT(N64,"0.##")&amp;" hrs to date but no Bonus Leave in EH",IF(O64&gt;0,"OK","-"))))))</f>
        <v/>
      </c>
      <c r="AB64" s="13" t="str">
        <f aca="false">IF(OR(AE64=0,T64=""),"",AY64*HoursPerDay-T64)</f>
        <v/>
      </c>
      <c r="AC64" s="12" t="str">
        <f aca="false">IF(AE64=0,"",BA64)</f>
        <v/>
      </c>
      <c r="AD64" s="12" t="str">
        <f aca="false">IF(AE64=0,"",TRIM(IF(AND(AG64&gt;=1,IF(AG64&gt;=3,AM64,IF(AG64=2,AL64,AK64))&lt;&gt;$C64),"EmploymentType does not match latest start date ("&amp;IF(AG64&gt;=3,AM64,IF(AG64=2,AL64,AK64))&amp;"). ","")&amp;IF(AND(AG64&gt;=1,AH64&lt;&gt;$F64),"Earliest type date should equal StartDate. ","")&amp;IF(AND(AG64&gt;=2,AH64=AI64),"Two types start on the same date. ","")&amp;IF(AND($C64="Part-Time",$P64=""),"Part-time: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IF(AE64=0,"",IF(AG64=0,IF($C64="Full-Time","FT",IF(AND($C64="Part-Time",OR($P64="",N($P64)&gt;=PT_MinHours)),"PT","None")),IF(AK64="Full-Time","FT",IF(AND(AK64="Part-Time",OR($P64="",N($P64)&gt;=PT_MinHours)),"PT","None"))))</f>
        <v/>
      </c>
      <c r="AO64" s="12" t="str">
        <f aca="false">IF(AE64=0,"",IF(AG64&lt;2,"",IF(AL64="Full-Time","FT",IF(AND(AL64="Part-Time",OR($P64="",N($P64)&gt;=PT_MinHours)),"PT","None"))))</f>
        <v/>
      </c>
      <c r="AP64" s="12" t="str">
        <f aca="false">IF(AE64=0,"",IF(AG64&lt;3,"",IF(AM64="Full-Time","FT",IF(AND(AM64="Part-Time",OR($P64="",N($P64)&gt;=PT_MinHours)),"PT","None"))))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IF(OR(AE65=0,$D65=""),"",DATE(YEAR(AsOfDate)+IF(DATE(YEAR(AsOfDate),MONTH($D65),DAY($D65))&lt;=AsOfDate,1,0),MONTH($D65),DAY($D65)))</f>
        <v/>
      </c>
      <c r="F65" s="16"/>
      <c r="G65" s="16"/>
      <c r="H65" s="16"/>
      <c r="I65" s="16"/>
      <c r="J65" s="16"/>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7"/>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"&amp;IF(AND($C65="Part-Time",$P65&lt;&gt;"",N($P65)&lt;PT_MinHours),"under "&amp;PT_MinHours&amp;" hrs",$C65)),IF(O65&gt;0,"Yes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IF(AE65=0,"",X65-N(U65))</f>
        <v/>
      </c>
      <c r="Z65" s="12" t="str">
        <f aca="false">IF(AE65=0,"",IF(Y65&gt;0,"Yes","No"))</f>
        <v/>
      </c>
      <c r="AA65" s="12" t="str">
        <f aca="false">IF(AE65=0,"",IF(NOT(LH_Ready),"Paste Leave History export",IF(Y65&gt;0,"ACCRUE "&amp;TEXT(Y65,"0.##")&amp;" hrs ("&amp;TEXT(Y65/HoursPerDay,"0.##")&amp;" days)"&amp;IF(BA65=0," - no Bonus Leave line in EH yet",""),IF(Y65&lt;0,"CHECK - EH accrued "&amp;TEXT(-Y65,"0.##")&amp;" hrs more than policy",IF(AND(O65&gt;0,BA65=0),"CHECK - policy says "&amp;TEXT(N65,"0.##")&amp;" hrs to date but no Bonus Leave in EH",IF(O65&gt;0,"OK","-"))))))</f>
        <v/>
      </c>
      <c r="AB65" s="13" t="str">
        <f aca="false">IF(OR(AE65=0,T65=""),"",AY65*HoursPerDay-T65)</f>
        <v/>
      </c>
      <c r="AC65" s="12" t="str">
        <f aca="false">IF(AE65=0,"",BA65)</f>
        <v/>
      </c>
      <c r="AD65" s="12" t="str">
        <f aca="false">IF(AE65=0,"",TRIM(IF(AND(AG65&gt;=1,IF(AG65&gt;=3,AM65,IF(AG65=2,AL65,AK65))&lt;&gt;$C65),"EmploymentType does not match latest start date ("&amp;IF(AG65&gt;=3,AM65,IF(AG65=2,AL65,AK65))&amp;"). ","")&amp;IF(AND(AG65&gt;=1,AH65&lt;&gt;$F65),"Earliest type date should equal StartDate. ","")&amp;IF(AND(AG65&gt;=2,AH65=AI65),"Two types start on the same date. ","")&amp;IF(AND($C65="Part-Time",$P65=""),"Part-time: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IF(AE65=0,"",IF(AG65=0,IF($C65="Full-Time","FT",IF(AND($C65="Part-Time",OR($P65="",N($P65)&gt;=PT_MinHours)),"PT","None")),IF(AK65="Full-Time","FT",IF(AND(AK65="Part-Time",OR($P65="",N($P65)&gt;=PT_MinHours)),"PT","None"))))</f>
        <v/>
      </c>
      <c r="AO65" s="12" t="str">
        <f aca="false">IF(AE65=0,"",IF(AG65&lt;2,"",IF(AL65="Full-Time","FT",IF(AND(AL65="Part-Time",OR($P65="",N($P65)&gt;=PT_MinHours)),"PT","None"))))</f>
        <v/>
      </c>
      <c r="AP65" s="12" t="str">
        <f aca="false">IF(AE65=0,"",IF(AG65&lt;3,"",IF(AM65="Full-Time","FT",IF(AND(AM65="Part-Time",OR($P65="",N($P65)&gt;=PT_MinHours)),"PT","None"))))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IF(OR(AE66=0,$D66=""),"",DATE(YEAR(AsOfDate)+IF(DATE(YEAR(AsOfDate),MONTH($D66),DAY($D66))&lt;=AsOfDate,1,0),MONTH($D66),DAY($D66)))</f>
        <v/>
      </c>
      <c r="F66" s="16"/>
      <c r="G66" s="16"/>
      <c r="H66" s="16"/>
      <c r="I66" s="16"/>
      <c r="J66" s="16"/>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7"/>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"&amp;IF(AND($C66="Part-Time",$P66&lt;&gt;"",N($P66)&lt;PT_MinHours),"under "&amp;PT_MinHours&amp;" hrs",$C66)),IF(O66&gt;0,"Yes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IF(AE66=0,"",X66-N(U66))</f>
        <v/>
      </c>
      <c r="Z66" s="12" t="str">
        <f aca="false">IF(AE66=0,"",IF(Y66&gt;0,"Yes","No"))</f>
        <v/>
      </c>
      <c r="AA66" s="12" t="str">
        <f aca="false">IF(AE66=0,"",IF(NOT(LH_Ready),"Paste Leave History export",IF(Y66&gt;0,"ACCRUE "&amp;TEXT(Y66,"0.##")&amp;" hrs ("&amp;TEXT(Y66/HoursPerDay,"0.##")&amp;" days)"&amp;IF(BA66=0," - no Bonus Leave line in EH yet",""),IF(Y66&lt;0,"CHECK - EH accrued "&amp;TEXT(-Y66,"0.##")&amp;" hrs more than policy",IF(AND(O66&gt;0,BA66=0),"CHECK - policy says "&amp;TEXT(N66,"0.##")&amp;" hrs to date but no Bonus Leave in EH",IF(O66&gt;0,"OK","-"))))))</f>
        <v/>
      </c>
      <c r="AB66" s="13" t="str">
        <f aca="false">IF(OR(AE66=0,T66=""),"",AY66*HoursPerDay-T66)</f>
        <v/>
      </c>
      <c r="AC66" s="12" t="str">
        <f aca="false">IF(AE66=0,"",BA66)</f>
        <v/>
      </c>
      <c r="AD66" s="12" t="str">
        <f aca="false">IF(AE66=0,"",TRIM(IF(AND(AG66&gt;=1,IF(AG66&gt;=3,AM66,IF(AG66=2,AL66,AK66))&lt;&gt;$C66),"EmploymentType does not match latest start date ("&amp;IF(AG66&gt;=3,AM66,IF(AG66=2,AL66,AK66))&amp;"). ","")&amp;IF(AND(AG66&gt;=1,AH66&lt;&gt;$F66),"Earliest type date should equal StartDate. ","")&amp;IF(AND(AG66&gt;=2,AH66=AI66),"Two types start on the same date. ","")&amp;IF(AND($C66="Part-Time",$P66=""),"Part-time: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IF(AE66=0,"",IF(AG66=0,IF($C66="Full-Time","FT",IF(AND($C66="Part-Time",OR($P66="",N($P66)&gt;=PT_MinHours)),"PT","None")),IF(AK66="Full-Time","FT",IF(AND(AK66="Part-Time",OR($P66="",N($P66)&gt;=PT_MinHours)),"PT","None"))))</f>
        <v/>
      </c>
      <c r="AO66" s="12" t="str">
        <f aca="false">IF(AE66=0,"",IF(AG66&lt;2,"",IF(AL66="Full-Time","FT",IF(AND(AL66="Part-Time",OR($P66="",N($P66)&gt;=PT_MinHours)),"PT","None"))))</f>
        <v/>
      </c>
      <c r="AP66" s="12" t="str">
        <f aca="false">IF(AE66=0,"",IF(AG66&lt;3,"",IF(AM66="Full-Time","FT",IF(AND(AM66="Part-Time",OR($P66="",N($P66)&gt;=PT_MinHours)),"PT","None"))))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IF(OR(AE67=0,$D67=""),"",DATE(YEAR(AsOfDate)+IF(DATE(YEAR(AsOfDate),MONTH($D67),DAY($D67))&lt;=AsOfDate,1,0),MONTH($D67),DAY($D67)))</f>
        <v/>
      </c>
      <c r="F67" s="16"/>
      <c r="G67" s="16"/>
      <c r="H67" s="16"/>
      <c r="I67" s="16"/>
      <c r="J67" s="16"/>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7"/>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"&amp;IF(AND($C67="Part-Time",$P67&lt;&gt;"",N($P67)&lt;PT_MinHours),"under "&amp;PT_MinHours&amp;" hrs",$C67)),IF(O67&gt;0,"Yes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IF(AE67=0,"",X67-N(U67))</f>
        <v/>
      </c>
      <c r="Z67" s="12" t="str">
        <f aca="false">IF(AE67=0,"",IF(Y67&gt;0,"Yes","No"))</f>
        <v/>
      </c>
      <c r="AA67" s="12" t="str">
        <f aca="false">IF(AE67=0,"",IF(NOT(LH_Ready),"Paste Leave History export",IF(Y67&gt;0,"ACCRUE "&amp;TEXT(Y67,"0.##")&amp;" hrs ("&amp;TEXT(Y67/HoursPerDay,"0.##")&amp;" days)"&amp;IF(BA67=0," - no Bonus Leave line in EH yet",""),IF(Y67&lt;0,"CHECK - EH accrued "&amp;TEXT(-Y67,"0.##")&amp;" hrs more than policy",IF(AND(O67&gt;0,BA67=0),"CHECK - policy says "&amp;TEXT(N67,"0.##")&amp;" hrs to date but no Bonus Leave in EH",IF(O67&gt;0,"OK","-"))))))</f>
        <v/>
      </c>
      <c r="AB67" s="13" t="str">
        <f aca="false">IF(OR(AE67=0,T67=""),"",AY67*HoursPerDay-T67)</f>
        <v/>
      </c>
      <c r="AC67" s="12" t="str">
        <f aca="false">IF(AE67=0,"",BA67)</f>
        <v/>
      </c>
      <c r="AD67" s="12" t="str">
        <f aca="false">IF(AE67=0,"",TRIM(IF(AND(AG67&gt;=1,IF(AG67&gt;=3,AM67,IF(AG67=2,AL67,AK67))&lt;&gt;$C67),"EmploymentType does not match latest start date ("&amp;IF(AG67&gt;=3,AM67,IF(AG67=2,AL67,AK67))&amp;"). ","")&amp;IF(AND(AG67&gt;=1,AH67&lt;&gt;$F67),"Earliest type date should equal StartDate. ","")&amp;IF(AND(AG67&gt;=2,AH67=AI67),"Two types start on the same date. ","")&amp;IF(AND($C67="Part-Time",$P67=""),"Part-time: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IF(AE67=0,"",IF(AG67=0,IF($C67="Full-Time","FT",IF(AND($C67="Part-Time",OR($P67="",N($P67)&gt;=PT_MinHours)),"PT","None")),IF(AK67="Full-Time","FT",IF(AND(AK67="Part-Time",OR($P67="",N($P67)&gt;=PT_MinHours)),"PT","None"))))</f>
        <v/>
      </c>
      <c r="AO67" s="12" t="str">
        <f aca="false">IF(AE67=0,"",IF(AG67&lt;2,"",IF(AL67="Full-Time","FT",IF(AND(AL67="Part-Time",OR($P67="",N($P67)&gt;=PT_MinHours)),"PT","None"))))</f>
        <v/>
      </c>
      <c r="AP67" s="12" t="str">
        <f aca="false">IF(AE67=0,"",IF(AG67&lt;3,"",IF(AM67="Full-Time","FT",IF(AND(AM67="Part-Time",OR($P67="",N($P67)&gt;=PT_MinHours)),"PT","None"))))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IF(OR(AE68=0,$D68=""),"",DATE(YEAR(AsOfDate)+IF(DATE(YEAR(AsOfDate),MONTH($D68),DAY($D68))&lt;=AsOfDate,1,0),MONTH($D68),DAY($D68)))</f>
        <v/>
      </c>
      <c r="F68" s="16"/>
      <c r="G68" s="16"/>
      <c r="H68" s="16"/>
      <c r="I68" s="16"/>
      <c r="J68" s="16"/>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7"/>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"&amp;IF(AND($C68="Part-Time",$P68&lt;&gt;"",N($P68)&lt;PT_MinHours),"under "&amp;PT_MinHours&amp;" hrs",$C68)),IF(O68&gt;0,"Yes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IF(AE68=0,"",X68-N(U68))</f>
        <v/>
      </c>
      <c r="Z68" s="12" t="str">
        <f aca="false">IF(AE68=0,"",IF(Y68&gt;0,"Yes","No"))</f>
        <v/>
      </c>
      <c r="AA68" s="12" t="str">
        <f aca="false">IF(AE68=0,"",IF(NOT(LH_Ready),"Paste Leave History export",IF(Y68&gt;0,"ACCRUE "&amp;TEXT(Y68,"0.##")&amp;" hrs ("&amp;TEXT(Y68/HoursPerDay,"0.##")&amp;" days)"&amp;IF(BA68=0," - no Bonus Leave line in EH yet",""),IF(Y68&lt;0,"CHECK - EH accrued "&amp;TEXT(-Y68,"0.##")&amp;" hrs more than policy",IF(AND(O68&gt;0,BA68=0),"CHECK - policy says "&amp;TEXT(N68,"0.##")&amp;" hrs to date but no Bonus Leave in EH",IF(O68&gt;0,"OK","-"))))))</f>
        <v/>
      </c>
      <c r="AB68" s="13" t="str">
        <f aca="false">IF(OR(AE68=0,T68=""),"",AY68*HoursPerDay-T68)</f>
        <v/>
      </c>
      <c r="AC68" s="12" t="str">
        <f aca="false">IF(AE68=0,"",BA68)</f>
        <v/>
      </c>
      <c r="AD68" s="12" t="str">
        <f aca="false">IF(AE68=0,"",TRIM(IF(AND(AG68&gt;=1,IF(AG68&gt;=3,AM68,IF(AG68=2,AL68,AK68))&lt;&gt;$C68),"EmploymentType does not match latest start date ("&amp;IF(AG68&gt;=3,AM68,IF(AG68=2,AL68,AK68))&amp;"). ","")&amp;IF(AND(AG68&gt;=1,AH68&lt;&gt;$F68),"Earliest type date should equal StartDate. ","")&amp;IF(AND(AG68&gt;=2,AH68=AI68),"Two types start on the same date. ","")&amp;IF(AND($C68="Part-Time",$P68=""),"Part-time: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IF(AE68=0,"",IF(AG68=0,IF($C68="Full-Time","FT",IF(AND($C68="Part-Time",OR($P68="",N($P68)&gt;=PT_MinHours)),"PT","None")),IF(AK68="Full-Time","FT",IF(AND(AK68="Part-Time",OR($P68="",N($P68)&gt;=PT_MinHours)),"PT","None"))))</f>
        <v/>
      </c>
      <c r="AO68" s="12" t="str">
        <f aca="false">IF(AE68=0,"",IF(AG68&lt;2,"",IF(AL68="Full-Time","FT",IF(AND(AL68="Part-Time",OR($P68="",N($P68)&gt;=PT_MinHours)),"PT","None"))))</f>
        <v/>
      </c>
      <c r="AP68" s="12" t="str">
        <f aca="false">IF(AE68=0,"",IF(AG68&lt;3,"",IF(AM68="Full-Time","FT",IF(AND(AM68="Part-Time",OR($P68="",N($P68)&gt;=PT_MinHours)),"PT","None"))))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IF(OR(AE69=0,$D69=""),"",DATE(YEAR(AsOfDate)+IF(DATE(YEAR(AsOfDate),MONTH($D69),DAY($D69))&lt;=AsOfDate,1,0),MONTH($D69),DAY($D69)))</f>
        <v/>
      </c>
      <c r="F69" s="16"/>
      <c r="G69" s="16"/>
      <c r="H69" s="16"/>
      <c r="I69" s="16"/>
      <c r="J69" s="16"/>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7"/>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"&amp;IF(AND($C69="Part-Time",$P69&lt;&gt;"",N($P69)&lt;PT_MinHours),"under "&amp;PT_MinHours&amp;" hrs",$C69)),IF(O69&gt;0,"Yes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IF(AE69=0,"",X69-N(U69))</f>
        <v/>
      </c>
      <c r="Z69" s="12" t="str">
        <f aca="false">IF(AE69=0,"",IF(Y69&gt;0,"Yes","No"))</f>
        <v/>
      </c>
      <c r="AA69" s="12" t="str">
        <f aca="false">IF(AE69=0,"",IF(NOT(LH_Ready),"Paste Leave History export",IF(Y69&gt;0,"ACCRUE "&amp;TEXT(Y69,"0.##")&amp;" hrs ("&amp;TEXT(Y69/HoursPerDay,"0.##")&amp;" days)"&amp;IF(BA69=0," - no Bonus Leave line in EH yet",""),IF(Y69&lt;0,"CHECK - EH accrued "&amp;TEXT(-Y69,"0.##")&amp;" hrs more than policy",IF(AND(O69&gt;0,BA69=0),"CHECK - policy says "&amp;TEXT(N69,"0.##")&amp;" hrs to date but no Bonus Leave in EH",IF(O69&gt;0,"OK","-"))))))</f>
        <v/>
      </c>
      <c r="AB69" s="13" t="str">
        <f aca="false">IF(OR(AE69=0,T69=""),"",AY69*HoursPerDay-T69)</f>
        <v/>
      </c>
      <c r="AC69" s="12" t="str">
        <f aca="false">IF(AE69=0,"",BA69)</f>
        <v/>
      </c>
      <c r="AD69" s="12" t="str">
        <f aca="false">IF(AE69=0,"",TRIM(IF(AND(AG69&gt;=1,IF(AG69&gt;=3,AM69,IF(AG69=2,AL69,AK69))&lt;&gt;$C69),"EmploymentType does not match latest start date ("&amp;IF(AG69&gt;=3,AM69,IF(AG69=2,AL69,AK69))&amp;"). ","")&amp;IF(AND(AG69&gt;=1,AH69&lt;&gt;$F69),"Earliest type date should equal StartDate. ","")&amp;IF(AND(AG69&gt;=2,AH69=AI69),"Two types start on the same date. ","")&amp;IF(AND($C69="Part-Time",$P69=""),"Part-time: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IF(AE69=0,"",IF(AG69=0,IF($C69="Full-Time","FT",IF(AND($C69="Part-Time",OR($P69="",N($P69)&gt;=PT_MinHours)),"PT","None")),IF(AK69="Full-Time","FT",IF(AND(AK69="Part-Time",OR($P69="",N($P69)&gt;=PT_MinHours)),"PT","None"))))</f>
        <v/>
      </c>
      <c r="AO69" s="12" t="str">
        <f aca="false">IF(AE69=0,"",IF(AG69&lt;2,"",IF(AL69="Full-Time","FT",IF(AND(AL69="Part-Time",OR($P69="",N($P69)&gt;=PT_MinHours)),"PT","None"))))</f>
        <v/>
      </c>
      <c r="AP69" s="12" t="str">
        <f aca="false">IF(AE69=0,"",IF(AG69&lt;3,"",IF(AM69="Full-Time","FT",IF(AND(AM69="Part-Time",OR($P69="",N($P69)&gt;=PT_MinHours)),"PT","None"))))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IF(OR(AE70=0,$D70=""),"",DATE(YEAR(AsOfDate)+IF(DATE(YEAR(AsOfDate),MONTH($D70),DAY($D70))&lt;=AsOfDate,1,0),MONTH($D70),DAY($D70)))</f>
        <v/>
      </c>
      <c r="F70" s="16"/>
      <c r="G70" s="16"/>
      <c r="H70" s="16"/>
      <c r="I70" s="16"/>
      <c r="J70" s="16"/>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7"/>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"&amp;IF(AND($C70="Part-Time",$P70&lt;&gt;"",N($P70)&lt;PT_MinHours),"under "&amp;PT_MinHours&amp;" hrs",$C70)),IF(O70&gt;0,"Yes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IF(AE70=0,"",X70-N(U70))</f>
        <v/>
      </c>
      <c r="Z70" s="12" t="str">
        <f aca="false">IF(AE70=0,"",IF(Y70&gt;0,"Yes","No"))</f>
        <v/>
      </c>
      <c r="AA70" s="12" t="str">
        <f aca="false">IF(AE70=0,"",IF(NOT(LH_Ready),"Paste Leave History export",IF(Y70&gt;0,"ACCRUE "&amp;TEXT(Y70,"0.##")&amp;" hrs ("&amp;TEXT(Y70/HoursPerDay,"0.##")&amp;" days)"&amp;IF(BA70=0," - no Bonus Leave line in EH yet",""),IF(Y70&lt;0,"CHECK - EH accrued "&amp;TEXT(-Y70,"0.##")&amp;" hrs more than policy",IF(AND(O70&gt;0,BA70=0),"CHECK - policy says "&amp;TEXT(N70,"0.##")&amp;" hrs to date but no Bonus Leave in EH",IF(O70&gt;0,"OK","-"))))))</f>
        <v/>
      </c>
      <c r="AB70" s="13" t="str">
        <f aca="false">IF(OR(AE70=0,T70=""),"",AY70*HoursPerDay-T70)</f>
        <v/>
      </c>
      <c r="AC70" s="12" t="str">
        <f aca="false">IF(AE70=0,"",BA70)</f>
        <v/>
      </c>
      <c r="AD70" s="12" t="str">
        <f aca="false">IF(AE70=0,"",TRIM(IF(AND(AG70&gt;=1,IF(AG70&gt;=3,AM70,IF(AG70=2,AL70,AK70))&lt;&gt;$C70),"EmploymentType does not match latest start date ("&amp;IF(AG70&gt;=3,AM70,IF(AG70=2,AL70,AK70))&amp;"). ","")&amp;IF(AND(AG70&gt;=1,AH70&lt;&gt;$F70),"Earliest type date should equal StartDate. ","")&amp;IF(AND(AG70&gt;=2,AH70=AI70),"Two types start on the same date. ","")&amp;IF(AND($C70="Part-Time",$P70=""),"Part-time: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IF(AE70=0,"",IF(AG70=0,IF($C70="Full-Time","FT",IF(AND($C70="Part-Time",OR($P70="",N($P70)&gt;=PT_MinHours)),"PT","None")),IF(AK70="Full-Time","FT",IF(AND(AK70="Part-Time",OR($P70="",N($P70)&gt;=PT_MinHours)),"PT","None"))))</f>
        <v/>
      </c>
      <c r="AO70" s="12" t="str">
        <f aca="false">IF(AE70=0,"",IF(AG70&lt;2,"",IF(AL70="Full-Time","FT",IF(AND(AL70="Part-Time",OR($P70="",N($P70)&gt;=PT_MinHours)),"PT","None"))))</f>
        <v/>
      </c>
      <c r="AP70" s="12" t="str">
        <f aca="false">IF(AE70=0,"",IF(AG70&lt;3,"",IF(AM70="Full-Time","FT",IF(AND(AM70="Part-Time",OR($P70="",N($P70)&gt;=PT_MinHours)),"PT","None"))))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IF(OR(AE71=0,$D71=""),"",DATE(YEAR(AsOfDate)+IF(DATE(YEAR(AsOfDate),MONTH($D71),DAY($D71))&lt;=AsOfDate,1,0),MONTH($D71),DAY($D71)))</f>
        <v/>
      </c>
      <c r="F71" s="16"/>
      <c r="G71" s="16"/>
      <c r="H71" s="16"/>
      <c r="I71" s="16"/>
      <c r="J71" s="16"/>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7"/>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"&amp;IF(AND($C71="Part-Time",$P71&lt;&gt;"",N($P71)&lt;PT_MinHours),"under "&amp;PT_MinHours&amp;" hrs",$C71)),IF(O71&gt;0,"Yes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IF(AE71=0,"",X71-N(U71))</f>
        <v/>
      </c>
      <c r="Z71" s="12" t="str">
        <f aca="false">IF(AE71=0,"",IF(Y71&gt;0,"Yes","No"))</f>
        <v/>
      </c>
      <c r="AA71" s="12" t="str">
        <f aca="false">IF(AE71=0,"",IF(NOT(LH_Ready),"Paste Leave History export",IF(Y71&gt;0,"ACCRUE "&amp;TEXT(Y71,"0.##")&amp;" hrs ("&amp;TEXT(Y71/HoursPerDay,"0.##")&amp;" days)"&amp;IF(BA71=0," - no Bonus Leave line in EH yet",""),IF(Y71&lt;0,"CHECK - EH accrued "&amp;TEXT(-Y71,"0.##")&amp;" hrs more than policy",IF(AND(O71&gt;0,BA71=0),"CHECK - policy says "&amp;TEXT(N71,"0.##")&amp;" hrs to date but no Bonus Leave in EH",IF(O71&gt;0,"OK","-"))))))</f>
        <v/>
      </c>
      <c r="AB71" s="13" t="str">
        <f aca="false">IF(OR(AE71=0,T71=""),"",AY71*HoursPerDay-T71)</f>
        <v/>
      </c>
      <c r="AC71" s="12" t="str">
        <f aca="false">IF(AE71=0,"",BA71)</f>
        <v/>
      </c>
      <c r="AD71" s="12" t="str">
        <f aca="false">IF(AE71=0,"",TRIM(IF(AND(AG71&gt;=1,IF(AG71&gt;=3,AM71,IF(AG71=2,AL71,AK71))&lt;&gt;$C71),"EmploymentType does not match latest start date ("&amp;IF(AG71&gt;=3,AM71,IF(AG71=2,AL71,AK71))&amp;"). ","")&amp;IF(AND(AG71&gt;=1,AH71&lt;&gt;$F71),"Earliest type date should equal StartDate. ","")&amp;IF(AND(AG71&gt;=2,AH71=AI71),"Two types start on the same date. ","")&amp;IF(AND($C71="Part-Time",$P71=""),"Part-time: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IF(AE71=0,"",IF(AG71=0,IF($C71="Full-Time","FT",IF(AND($C71="Part-Time",OR($P71="",N($P71)&gt;=PT_MinHours)),"PT","None")),IF(AK71="Full-Time","FT",IF(AND(AK71="Part-Time",OR($P71="",N($P71)&gt;=PT_MinHours)),"PT","None"))))</f>
        <v/>
      </c>
      <c r="AO71" s="12" t="str">
        <f aca="false">IF(AE71=0,"",IF(AG71&lt;2,"",IF(AL71="Full-Time","FT",IF(AND(AL71="Part-Time",OR($P71="",N($P71)&gt;=PT_MinHours)),"PT","None"))))</f>
        <v/>
      </c>
      <c r="AP71" s="12" t="str">
        <f aca="false">IF(AE71=0,"",IF(AG71&lt;3,"",IF(AM71="Full-Time","FT",IF(AND(AM71="Part-Time",OR($P71="",N($P71)&gt;=PT_MinHours)),"PT","None"))))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IF(OR(AE72=0,$D72=""),"",DATE(YEAR(AsOfDate)+IF(DATE(YEAR(AsOfDate),MONTH($D72),DAY($D72))&lt;=AsOfDate,1,0),MONTH($D72),DAY($D72)))</f>
        <v/>
      </c>
      <c r="F72" s="16"/>
      <c r="G72" s="16"/>
      <c r="H72" s="16"/>
      <c r="I72" s="16"/>
      <c r="J72" s="16"/>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7"/>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"&amp;IF(AND($C72="Part-Time",$P72&lt;&gt;"",N($P72)&lt;PT_MinHours),"under "&amp;PT_MinHours&amp;" hrs",$C72)),IF(O72&gt;0,"Yes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IF(AE72=0,"",X72-N(U72))</f>
        <v/>
      </c>
      <c r="Z72" s="12" t="str">
        <f aca="false">IF(AE72=0,"",IF(Y72&gt;0,"Yes","No"))</f>
        <v/>
      </c>
      <c r="AA72" s="12" t="str">
        <f aca="false">IF(AE72=0,"",IF(NOT(LH_Ready),"Paste Leave History export",IF(Y72&gt;0,"ACCRUE "&amp;TEXT(Y72,"0.##")&amp;" hrs ("&amp;TEXT(Y72/HoursPerDay,"0.##")&amp;" days)"&amp;IF(BA72=0," - no Bonus Leave line in EH yet",""),IF(Y72&lt;0,"CHECK - EH accrued "&amp;TEXT(-Y72,"0.##")&amp;" hrs more than policy",IF(AND(O72&gt;0,BA72=0),"CHECK - policy says "&amp;TEXT(N72,"0.##")&amp;" hrs to date but no Bonus Leave in EH",IF(O72&gt;0,"OK","-"))))))</f>
        <v/>
      </c>
      <c r="AB72" s="13" t="str">
        <f aca="false">IF(OR(AE72=0,T72=""),"",AY72*HoursPerDay-T72)</f>
        <v/>
      </c>
      <c r="AC72" s="12" t="str">
        <f aca="false">IF(AE72=0,"",BA72)</f>
        <v/>
      </c>
      <c r="AD72" s="12" t="str">
        <f aca="false">IF(AE72=0,"",TRIM(IF(AND(AG72&gt;=1,IF(AG72&gt;=3,AM72,IF(AG72=2,AL72,AK72))&lt;&gt;$C72),"EmploymentType does not match latest start date ("&amp;IF(AG72&gt;=3,AM72,IF(AG72=2,AL72,AK72))&amp;"). ","")&amp;IF(AND(AG72&gt;=1,AH72&lt;&gt;$F72),"Earliest type date should equal StartDate. ","")&amp;IF(AND(AG72&gt;=2,AH72=AI72),"Two types start on the same date. ","")&amp;IF(AND($C72="Part-Time",$P72=""),"Part-time: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IF(AE72=0,"",IF(AG72=0,IF($C72="Full-Time","FT",IF(AND($C72="Part-Time",OR($P72="",N($P72)&gt;=PT_MinHours)),"PT","None")),IF(AK72="Full-Time","FT",IF(AND(AK72="Part-Time",OR($P72="",N($P72)&gt;=PT_MinHours)),"PT","None"))))</f>
        <v/>
      </c>
      <c r="AO72" s="12" t="str">
        <f aca="false">IF(AE72=0,"",IF(AG72&lt;2,"",IF(AL72="Full-Time","FT",IF(AND(AL72="Part-Time",OR($P72="",N($P72)&gt;=PT_MinHours)),"PT","None"))))</f>
        <v/>
      </c>
      <c r="AP72" s="12" t="str">
        <f aca="false">IF(AE72=0,"",IF(AG72&lt;3,"",IF(AM72="Full-Time","FT",IF(AND(AM72="Part-Time",OR($P72="",N($P72)&gt;=PT_MinHours)),"PT","None"))))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IF(OR(AE73=0,$D73=""),"",DATE(YEAR(AsOfDate)+IF(DATE(YEAR(AsOfDate),MONTH($D73),DAY($D73))&lt;=AsOfDate,1,0),MONTH($D73),DAY($D73)))</f>
        <v/>
      </c>
      <c r="F73" s="16"/>
      <c r="G73" s="16"/>
      <c r="H73" s="16"/>
      <c r="I73" s="16"/>
      <c r="J73" s="16"/>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7"/>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"&amp;IF(AND($C73="Part-Time",$P73&lt;&gt;"",N($P73)&lt;PT_MinHours),"under "&amp;PT_MinHours&amp;" hrs",$C73)),IF(O73&gt;0,"Yes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IF(AE73=0,"",X73-N(U73))</f>
        <v/>
      </c>
      <c r="Z73" s="12" t="str">
        <f aca="false">IF(AE73=0,"",IF(Y73&gt;0,"Yes","No"))</f>
        <v/>
      </c>
      <c r="AA73" s="12" t="str">
        <f aca="false">IF(AE73=0,"",IF(NOT(LH_Ready),"Paste Leave History export",IF(Y73&gt;0,"ACCRUE "&amp;TEXT(Y73,"0.##")&amp;" hrs ("&amp;TEXT(Y73/HoursPerDay,"0.##")&amp;" days)"&amp;IF(BA73=0," - no Bonus Leave line in EH yet",""),IF(Y73&lt;0,"CHECK - EH accrued "&amp;TEXT(-Y73,"0.##")&amp;" hrs more than policy",IF(AND(O73&gt;0,BA73=0),"CHECK - policy says "&amp;TEXT(N73,"0.##")&amp;" hrs to date but no Bonus Leave in EH",IF(O73&gt;0,"OK","-"))))))</f>
        <v/>
      </c>
      <c r="AB73" s="13" t="str">
        <f aca="false">IF(OR(AE73=0,T73=""),"",AY73*HoursPerDay-T73)</f>
        <v/>
      </c>
      <c r="AC73" s="12" t="str">
        <f aca="false">IF(AE73=0,"",BA73)</f>
        <v/>
      </c>
      <c r="AD73" s="12" t="str">
        <f aca="false">IF(AE73=0,"",TRIM(IF(AND(AG73&gt;=1,IF(AG73&gt;=3,AM73,IF(AG73=2,AL73,AK73))&lt;&gt;$C73),"EmploymentType does not match latest start date ("&amp;IF(AG73&gt;=3,AM73,IF(AG73=2,AL73,AK73))&amp;"). ","")&amp;IF(AND(AG73&gt;=1,AH73&lt;&gt;$F73),"Earliest type date should equal StartDate. ","")&amp;IF(AND(AG73&gt;=2,AH73=AI73),"Two types start on the same date. ","")&amp;IF(AND($C73="Part-Time",$P73=""),"Part-time: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IF(AE73=0,"",IF(AG73=0,IF($C73="Full-Time","FT",IF(AND($C73="Part-Time",OR($P73="",N($P73)&gt;=PT_MinHours)),"PT","None")),IF(AK73="Full-Time","FT",IF(AND(AK73="Part-Time",OR($P73="",N($P73)&gt;=PT_MinHours)),"PT","None"))))</f>
        <v/>
      </c>
      <c r="AO73" s="12" t="str">
        <f aca="false">IF(AE73=0,"",IF(AG73&lt;2,"",IF(AL73="Full-Time","FT",IF(AND(AL73="Part-Time",OR($P73="",N($P73)&gt;=PT_MinHours)),"PT","None"))))</f>
        <v/>
      </c>
      <c r="AP73" s="12" t="str">
        <f aca="false">IF(AE73=0,"",IF(AG73&lt;3,"",IF(AM73="Full-Time","FT",IF(AND(AM73="Part-Time",OR($P73="",N($P73)&gt;=PT_MinHours)),"PT","None"))))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IF(OR(AE74=0,$D74=""),"",DATE(YEAR(AsOfDate)+IF(DATE(YEAR(AsOfDate),MONTH($D74),DAY($D74))&lt;=AsOfDate,1,0),MONTH($D74),DAY($D74)))</f>
        <v/>
      </c>
      <c r="F74" s="16"/>
      <c r="G74" s="16"/>
      <c r="H74" s="16"/>
      <c r="I74" s="16"/>
      <c r="J74" s="16"/>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7"/>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"&amp;IF(AND($C74="Part-Time",$P74&lt;&gt;"",N($P74)&lt;PT_MinHours),"under "&amp;PT_MinHours&amp;" hrs",$C74)),IF(O74&gt;0,"Yes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IF(AE74=0,"",X74-N(U74))</f>
        <v/>
      </c>
      <c r="Z74" s="12" t="str">
        <f aca="false">IF(AE74=0,"",IF(Y74&gt;0,"Yes","No"))</f>
        <v/>
      </c>
      <c r="AA74" s="12" t="str">
        <f aca="false">IF(AE74=0,"",IF(NOT(LH_Ready),"Paste Leave History export",IF(Y74&gt;0,"ACCRUE "&amp;TEXT(Y74,"0.##")&amp;" hrs ("&amp;TEXT(Y74/HoursPerDay,"0.##")&amp;" days)"&amp;IF(BA74=0," - no Bonus Leave line in EH yet",""),IF(Y74&lt;0,"CHECK - EH accrued "&amp;TEXT(-Y74,"0.##")&amp;" hrs more than policy",IF(AND(O74&gt;0,BA74=0),"CHECK - policy says "&amp;TEXT(N74,"0.##")&amp;" hrs to date but no Bonus Leave in EH",IF(O74&gt;0,"OK","-"))))))</f>
        <v/>
      </c>
      <c r="AB74" s="13" t="str">
        <f aca="false">IF(OR(AE74=0,T74=""),"",AY74*HoursPerDay-T74)</f>
        <v/>
      </c>
      <c r="AC74" s="12" t="str">
        <f aca="false">IF(AE74=0,"",BA74)</f>
        <v/>
      </c>
      <c r="AD74" s="12" t="str">
        <f aca="false">IF(AE74=0,"",TRIM(IF(AND(AG74&gt;=1,IF(AG74&gt;=3,AM74,IF(AG74=2,AL74,AK74))&lt;&gt;$C74),"EmploymentType does not match latest start date ("&amp;IF(AG74&gt;=3,AM74,IF(AG74=2,AL74,AK74))&amp;"). ","")&amp;IF(AND(AG74&gt;=1,AH74&lt;&gt;$F74),"Earliest type date should equal StartDate. ","")&amp;IF(AND(AG74&gt;=2,AH74=AI74),"Two types start on the same date. ","")&amp;IF(AND($C74="Part-Time",$P74=""),"Part-time: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IF(AE74=0,"",IF(AG74=0,IF($C74="Full-Time","FT",IF(AND($C74="Part-Time",OR($P74="",N($P74)&gt;=PT_MinHours)),"PT","None")),IF(AK74="Full-Time","FT",IF(AND(AK74="Part-Time",OR($P74="",N($P74)&gt;=PT_MinHours)),"PT","None"))))</f>
        <v/>
      </c>
      <c r="AO74" s="12" t="str">
        <f aca="false">IF(AE74=0,"",IF(AG74&lt;2,"",IF(AL74="Full-Time","FT",IF(AND(AL74="Part-Time",OR($P74="",N($P74)&gt;=PT_MinHours)),"PT","None"))))</f>
        <v/>
      </c>
      <c r="AP74" s="12" t="str">
        <f aca="false">IF(AE74=0,"",IF(AG74&lt;3,"",IF(AM74="Full-Time","FT",IF(AND(AM74="Part-Time",OR($P74="",N($P74)&gt;=PT_MinHours)),"PT","None"))))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IF(OR(AE75=0,$D75=""),"",DATE(YEAR(AsOfDate)+IF(DATE(YEAR(AsOfDate),MONTH($D75),DAY($D75))&lt;=AsOfDate,1,0),MONTH($D75),DAY($D75)))</f>
        <v/>
      </c>
      <c r="F75" s="16"/>
      <c r="G75" s="16"/>
      <c r="H75" s="16"/>
      <c r="I75" s="16"/>
      <c r="J75" s="16"/>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7"/>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"&amp;IF(AND($C75="Part-Time",$P75&lt;&gt;"",N($P75)&lt;PT_MinHours),"under "&amp;PT_MinHours&amp;" hrs",$C75)),IF(O75&gt;0,"Yes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IF(AE75=0,"",X75-N(U75))</f>
        <v/>
      </c>
      <c r="Z75" s="12" t="str">
        <f aca="false">IF(AE75=0,"",IF(Y75&gt;0,"Yes","No"))</f>
        <v/>
      </c>
      <c r="AA75" s="12" t="str">
        <f aca="false">IF(AE75=0,"",IF(NOT(LH_Ready),"Paste Leave History export",IF(Y75&gt;0,"ACCRUE "&amp;TEXT(Y75,"0.##")&amp;" hrs ("&amp;TEXT(Y75/HoursPerDay,"0.##")&amp;" days)"&amp;IF(BA75=0," - no Bonus Leave line in EH yet",""),IF(Y75&lt;0,"CHECK - EH accrued "&amp;TEXT(-Y75,"0.##")&amp;" hrs more than policy",IF(AND(O75&gt;0,BA75=0),"CHECK - policy says "&amp;TEXT(N75,"0.##")&amp;" hrs to date but no Bonus Leave in EH",IF(O75&gt;0,"OK","-"))))))</f>
        <v/>
      </c>
      <c r="AB75" s="13" t="str">
        <f aca="false">IF(OR(AE75=0,T75=""),"",AY75*HoursPerDay-T75)</f>
        <v/>
      </c>
      <c r="AC75" s="12" t="str">
        <f aca="false">IF(AE75=0,"",BA75)</f>
        <v/>
      </c>
      <c r="AD75" s="12" t="str">
        <f aca="false">IF(AE75=0,"",TRIM(IF(AND(AG75&gt;=1,IF(AG75&gt;=3,AM75,IF(AG75=2,AL75,AK75))&lt;&gt;$C75),"EmploymentType does not match latest start date ("&amp;IF(AG75&gt;=3,AM75,IF(AG75=2,AL75,AK75))&amp;"). ","")&amp;IF(AND(AG75&gt;=1,AH75&lt;&gt;$F75),"Earliest type date should equal StartDate. ","")&amp;IF(AND(AG75&gt;=2,AH75=AI75),"Two types start on the same date. ","")&amp;IF(AND($C75="Part-Time",$P75=""),"Part-time: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IF(AE75=0,"",IF(AG75=0,IF($C75="Full-Time","FT",IF(AND($C75="Part-Time",OR($P75="",N($P75)&gt;=PT_MinHours)),"PT","None")),IF(AK75="Full-Time","FT",IF(AND(AK75="Part-Time",OR($P75="",N($P75)&gt;=PT_MinHours)),"PT","None"))))</f>
        <v/>
      </c>
      <c r="AO75" s="12" t="str">
        <f aca="false">IF(AE75=0,"",IF(AG75&lt;2,"",IF(AL75="Full-Time","FT",IF(AND(AL75="Part-Time",OR($P75="",N($P75)&gt;=PT_MinHours)),"PT","None"))))</f>
        <v/>
      </c>
      <c r="AP75" s="12" t="str">
        <f aca="false">IF(AE75=0,"",IF(AG75&lt;3,"",IF(AM75="Full-Time","FT",IF(AND(AM75="Part-Time",OR($P75="",N($P75)&gt;=PT_MinHours)),"PT","None"))))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IF(OR(AE76=0,$D76=""),"",DATE(YEAR(AsOfDate)+IF(DATE(YEAR(AsOfDate),MONTH($D76),DAY($D76))&lt;=AsOfDate,1,0),MONTH($D76),DAY($D76)))</f>
        <v/>
      </c>
      <c r="F76" s="16"/>
      <c r="G76" s="16"/>
      <c r="H76" s="16"/>
      <c r="I76" s="16"/>
      <c r="J76" s="16"/>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7"/>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"&amp;IF(AND($C76="Part-Time",$P76&lt;&gt;"",N($P76)&lt;PT_MinHours),"under "&amp;PT_MinHours&amp;" hrs",$C76)),IF(O76&gt;0,"Yes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IF(AE76=0,"",X76-N(U76))</f>
        <v/>
      </c>
      <c r="Z76" s="12" t="str">
        <f aca="false">IF(AE76=0,"",IF(Y76&gt;0,"Yes","No"))</f>
        <v/>
      </c>
      <c r="AA76" s="12" t="str">
        <f aca="false">IF(AE76=0,"",IF(NOT(LH_Ready),"Paste Leave History export",IF(Y76&gt;0,"ACCRUE "&amp;TEXT(Y76,"0.##")&amp;" hrs ("&amp;TEXT(Y76/HoursPerDay,"0.##")&amp;" days)"&amp;IF(BA76=0," - no Bonus Leave line in EH yet",""),IF(Y76&lt;0,"CHECK - EH accrued "&amp;TEXT(-Y76,"0.##")&amp;" hrs more than policy",IF(AND(O76&gt;0,BA76=0),"CHECK - policy says "&amp;TEXT(N76,"0.##")&amp;" hrs to date but no Bonus Leave in EH",IF(O76&gt;0,"OK","-"))))))</f>
        <v/>
      </c>
      <c r="AB76" s="13" t="str">
        <f aca="false">IF(OR(AE76=0,T76=""),"",AY76*HoursPerDay-T76)</f>
        <v/>
      </c>
      <c r="AC76" s="12" t="str">
        <f aca="false">IF(AE76=0,"",BA76)</f>
        <v/>
      </c>
      <c r="AD76" s="12" t="str">
        <f aca="false">IF(AE76=0,"",TRIM(IF(AND(AG76&gt;=1,IF(AG76&gt;=3,AM76,IF(AG76=2,AL76,AK76))&lt;&gt;$C76),"EmploymentType does not match latest start date ("&amp;IF(AG76&gt;=3,AM76,IF(AG76=2,AL76,AK76))&amp;"). ","")&amp;IF(AND(AG76&gt;=1,AH76&lt;&gt;$F76),"Earliest type date should equal StartDate. ","")&amp;IF(AND(AG76&gt;=2,AH76=AI76),"Two types start on the same date. ","")&amp;IF(AND($C76="Part-Time",$P76=""),"Part-time: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IF(AE76=0,"",IF(AG76=0,IF($C76="Full-Time","FT",IF(AND($C76="Part-Time",OR($P76="",N($P76)&gt;=PT_MinHours)),"PT","None")),IF(AK76="Full-Time","FT",IF(AND(AK76="Part-Time",OR($P76="",N($P76)&gt;=PT_MinHours)),"PT","None"))))</f>
        <v/>
      </c>
      <c r="AO76" s="12" t="str">
        <f aca="false">IF(AE76=0,"",IF(AG76&lt;2,"",IF(AL76="Full-Time","FT",IF(AND(AL76="Part-Time",OR($P76="",N($P76)&gt;=PT_MinHours)),"PT","None"))))</f>
        <v/>
      </c>
      <c r="AP76" s="12" t="str">
        <f aca="false">IF(AE76=0,"",IF(AG76&lt;3,"",IF(AM76="Full-Time","FT",IF(AND(AM76="Part-Time",OR($P76="",N($P76)&gt;=PT_MinHours)),"PT","None"))))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IF(OR(AE77=0,$D77=""),"",DATE(YEAR(AsOfDate)+IF(DATE(YEAR(AsOfDate),MONTH($D77),DAY($D77))&lt;=AsOfDate,1,0),MONTH($D77),DAY($D77)))</f>
        <v/>
      </c>
      <c r="F77" s="16"/>
      <c r="G77" s="16"/>
      <c r="H77" s="16"/>
      <c r="I77" s="16"/>
      <c r="J77" s="16"/>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7"/>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"&amp;IF(AND($C77="Part-Time",$P77&lt;&gt;"",N($P77)&lt;PT_MinHours),"under "&amp;PT_MinHours&amp;" hrs",$C77)),IF(O77&gt;0,"Yes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IF(AE77=0,"",X77-N(U77))</f>
        <v/>
      </c>
      <c r="Z77" s="12" t="str">
        <f aca="false">IF(AE77=0,"",IF(Y77&gt;0,"Yes","No"))</f>
        <v/>
      </c>
      <c r="AA77" s="12" t="str">
        <f aca="false">IF(AE77=0,"",IF(NOT(LH_Ready),"Paste Leave History export",IF(Y77&gt;0,"ACCRUE "&amp;TEXT(Y77,"0.##")&amp;" hrs ("&amp;TEXT(Y77/HoursPerDay,"0.##")&amp;" days)"&amp;IF(BA77=0," - no Bonus Leave line in EH yet",""),IF(Y77&lt;0,"CHECK - EH accrued "&amp;TEXT(-Y77,"0.##")&amp;" hrs more than policy",IF(AND(O77&gt;0,BA77=0),"CHECK - policy says "&amp;TEXT(N77,"0.##")&amp;" hrs to date but no Bonus Leave in EH",IF(O77&gt;0,"OK","-"))))))</f>
        <v/>
      </c>
      <c r="AB77" s="13" t="str">
        <f aca="false">IF(OR(AE77=0,T77=""),"",AY77*HoursPerDay-T77)</f>
        <v/>
      </c>
      <c r="AC77" s="12" t="str">
        <f aca="false">IF(AE77=0,"",BA77)</f>
        <v/>
      </c>
      <c r="AD77" s="12" t="str">
        <f aca="false">IF(AE77=0,"",TRIM(IF(AND(AG77&gt;=1,IF(AG77&gt;=3,AM77,IF(AG77=2,AL77,AK77))&lt;&gt;$C77),"EmploymentType does not match latest start date ("&amp;IF(AG77&gt;=3,AM77,IF(AG77=2,AL77,AK77))&amp;"). ","")&amp;IF(AND(AG77&gt;=1,AH77&lt;&gt;$F77),"Earliest type date should equal StartDate. ","")&amp;IF(AND(AG77&gt;=2,AH77=AI77),"Two types start on the same date. ","")&amp;IF(AND($C77="Part-Time",$P77=""),"Part-time: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IF(AE77=0,"",IF(AG77=0,IF($C77="Full-Time","FT",IF(AND($C77="Part-Time",OR($P77="",N($P77)&gt;=PT_MinHours)),"PT","None")),IF(AK77="Full-Time","FT",IF(AND(AK77="Part-Time",OR($P77="",N($P77)&gt;=PT_MinHours)),"PT","None"))))</f>
        <v/>
      </c>
      <c r="AO77" s="12" t="str">
        <f aca="false">IF(AE77=0,"",IF(AG77&lt;2,"",IF(AL77="Full-Time","FT",IF(AND(AL77="Part-Time",OR($P77="",N($P77)&gt;=PT_MinHours)),"PT","None"))))</f>
        <v/>
      </c>
      <c r="AP77" s="12" t="str">
        <f aca="false">IF(AE77=0,"",IF(AG77&lt;3,"",IF(AM77="Full-Time","FT",IF(AND(AM77="Part-Time",OR($P77="",N($P77)&gt;=PT_MinHours)),"PT","None"))))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IF(OR(AE78=0,$D78=""),"",DATE(YEAR(AsOfDate)+IF(DATE(YEAR(AsOfDate),MONTH($D78),DAY($D78))&lt;=AsOfDate,1,0),MONTH($D78),DAY($D78)))</f>
        <v/>
      </c>
      <c r="F78" s="16"/>
      <c r="G78" s="16"/>
      <c r="H78" s="16"/>
      <c r="I78" s="16"/>
      <c r="J78" s="16"/>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7"/>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"&amp;IF(AND($C78="Part-Time",$P78&lt;&gt;"",N($P78)&lt;PT_MinHours),"under "&amp;PT_MinHours&amp;" hrs",$C78)),IF(O78&gt;0,"Yes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IF(AE78=0,"",X78-N(U78))</f>
        <v/>
      </c>
      <c r="Z78" s="12" t="str">
        <f aca="false">IF(AE78=0,"",IF(Y78&gt;0,"Yes","No"))</f>
        <v/>
      </c>
      <c r="AA78" s="12" t="str">
        <f aca="false">IF(AE78=0,"",IF(NOT(LH_Ready),"Paste Leave History export",IF(Y78&gt;0,"ACCRUE "&amp;TEXT(Y78,"0.##")&amp;" hrs ("&amp;TEXT(Y78/HoursPerDay,"0.##")&amp;" days)"&amp;IF(BA78=0," - no Bonus Leave line in EH yet",""),IF(Y78&lt;0,"CHECK - EH accrued "&amp;TEXT(-Y78,"0.##")&amp;" hrs more than policy",IF(AND(O78&gt;0,BA78=0),"CHECK - policy says "&amp;TEXT(N78,"0.##")&amp;" hrs to date but no Bonus Leave in EH",IF(O78&gt;0,"OK","-"))))))</f>
        <v/>
      </c>
      <c r="AB78" s="13" t="str">
        <f aca="false">IF(OR(AE78=0,T78=""),"",AY78*HoursPerDay-T78)</f>
        <v/>
      </c>
      <c r="AC78" s="12" t="str">
        <f aca="false">IF(AE78=0,"",BA78)</f>
        <v/>
      </c>
      <c r="AD78" s="12" t="str">
        <f aca="false">IF(AE78=0,"",TRIM(IF(AND(AG78&gt;=1,IF(AG78&gt;=3,AM78,IF(AG78=2,AL78,AK78))&lt;&gt;$C78),"EmploymentType does not match latest start date ("&amp;IF(AG78&gt;=3,AM78,IF(AG78=2,AL78,AK78))&amp;"). ","")&amp;IF(AND(AG78&gt;=1,AH78&lt;&gt;$F78),"Earliest type date should equal StartDate. ","")&amp;IF(AND(AG78&gt;=2,AH78=AI78),"Two types start on the same date. ","")&amp;IF(AND($C78="Part-Time",$P78=""),"Part-time: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IF(AE78=0,"",IF(AG78=0,IF($C78="Full-Time","FT",IF(AND($C78="Part-Time",OR($P78="",N($P78)&gt;=PT_MinHours)),"PT","None")),IF(AK78="Full-Time","FT",IF(AND(AK78="Part-Time",OR($P78="",N($P78)&gt;=PT_MinHours)),"PT","None"))))</f>
        <v/>
      </c>
      <c r="AO78" s="12" t="str">
        <f aca="false">IF(AE78=0,"",IF(AG78&lt;2,"",IF(AL78="Full-Time","FT",IF(AND(AL78="Part-Time",OR($P78="",N($P78)&gt;=PT_MinHours)),"PT","None"))))</f>
        <v/>
      </c>
      <c r="AP78" s="12" t="str">
        <f aca="false">IF(AE78=0,"",IF(AG78&lt;3,"",IF(AM78="Full-Time","FT",IF(AND(AM78="Part-Time",OR($P78="",N($P78)&gt;=PT_MinHours)),"PT","None"))))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IF(OR(AE79=0,$D79=""),"",DATE(YEAR(AsOfDate)+IF(DATE(YEAR(AsOfDate),MONTH($D79),DAY($D79))&lt;=AsOfDate,1,0),MONTH($D79),DAY($D79)))</f>
        <v/>
      </c>
      <c r="F79" s="16"/>
      <c r="G79" s="16"/>
      <c r="H79" s="16"/>
      <c r="I79" s="16"/>
      <c r="J79" s="16"/>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7"/>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"&amp;IF(AND($C79="Part-Time",$P79&lt;&gt;"",N($P79)&lt;PT_MinHours),"under "&amp;PT_MinHours&amp;" hrs",$C79)),IF(O79&gt;0,"Yes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IF(AE79=0,"",X79-N(U79))</f>
        <v/>
      </c>
      <c r="Z79" s="12" t="str">
        <f aca="false">IF(AE79=0,"",IF(Y79&gt;0,"Yes","No"))</f>
        <v/>
      </c>
      <c r="AA79" s="12" t="str">
        <f aca="false">IF(AE79=0,"",IF(NOT(LH_Ready),"Paste Leave History export",IF(Y79&gt;0,"ACCRUE "&amp;TEXT(Y79,"0.##")&amp;" hrs ("&amp;TEXT(Y79/HoursPerDay,"0.##")&amp;" days)"&amp;IF(BA79=0," - no Bonus Leave line in EH yet",""),IF(Y79&lt;0,"CHECK - EH accrued "&amp;TEXT(-Y79,"0.##")&amp;" hrs more than policy",IF(AND(O79&gt;0,BA79=0),"CHECK - policy says "&amp;TEXT(N79,"0.##")&amp;" hrs to date but no Bonus Leave in EH",IF(O79&gt;0,"OK","-"))))))</f>
        <v/>
      </c>
      <c r="AB79" s="13" t="str">
        <f aca="false">IF(OR(AE79=0,T79=""),"",AY79*HoursPerDay-T79)</f>
        <v/>
      </c>
      <c r="AC79" s="12" t="str">
        <f aca="false">IF(AE79=0,"",BA79)</f>
        <v/>
      </c>
      <c r="AD79" s="12" t="str">
        <f aca="false">IF(AE79=0,"",TRIM(IF(AND(AG79&gt;=1,IF(AG79&gt;=3,AM79,IF(AG79=2,AL79,AK79))&lt;&gt;$C79),"EmploymentType does not match latest start date ("&amp;IF(AG79&gt;=3,AM79,IF(AG79=2,AL79,AK79))&amp;"). ","")&amp;IF(AND(AG79&gt;=1,AH79&lt;&gt;$F79),"Earliest type date should equal StartDate. ","")&amp;IF(AND(AG79&gt;=2,AH79=AI79),"Two types start on the same date. ","")&amp;IF(AND($C79="Part-Time",$P79=""),"Part-time: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IF(AE79=0,"",IF(AG79=0,IF($C79="Full-Time","FT",IF(AND($C79="Part-Time",OR($P79="",N($P79)&gt;=PT_MinHours)),"PT","None")),IF(AK79="Full-Time","FT",IF(AND(AK79="Part-Time",OR($P79="",N($P79)&gt;=PT_MinHours)),"PT","None"))))</f>
        <v/>
      </c>
      <c r="AO79" s="12" t="str">
        <f aca="false">IF(AE79=0,"",IF(AG79&lt;2,"",IF(AL79="Full-Time","FT",IF(AND(AL79="Part-Time",OR($P79="",N($P79)&gt;=PT_MinHours)),"PT","None"))))</f>
        <v/>
      </c>
      <c r="AP79" s="12" t="str">
        <f aca="false">IF(AE79=0,"",IF(AG79&lt;3,"",IF(AM79="Full-Time","FT",IF(AND(AM79="Part-Time",OR($P79="",N($P79)&gt;=PT_MinHours)),"PT","None"))))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IF(OR(AE80=0,$D80=""),"",DATE(YEAR(AsOfDate)+IF(DATE(YEAR(AsOfDate),MONTH($D80),DAY($D80))&lt;=AsOfDate,1,0),MONTH($D80),DAY($D80)))</f>
        <v/>
      </c>
      <c r="F80" s="16"/>
      <c r="G80" s="16"/>
      <c r="H80" s="16"/>
      <c r="I80" s="16"/>
      <c r="J80" s="16"/>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7"/>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"&amp;IF(AND($C80="Part-Time",$P80&lt;&gt;"",N($P80)&lt;PT_MinHours),"under "&amp;PT_MinHours&amp;" hrs",$C80)),IF(O80&gt;0,"Yes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IF(AE80=0,"",X80-N(U80))</f>
        <v/>
      </c>
      <c r="Z80" s="12" t="str">
        <f aca="false">IF(AE80=0,"",IF(Y80&gt;0,"Yes","No"))</f>
        <v/>
      </c>
      <c r="AA80" s="12" t="str">
        <f aca="false">IF(AE80=0,"",IF(NOT(LH_Ready),"Paste Leave History export",IF(Y80&gt;0,"ACCRUE "&amp;TEXT(Y80,"0.##")&amp;" hrs ("&amp;TEXT(Y80/HoursPerDay,"0.##")&amp;" days)"&amp;IF(BA80=0," - no Bonus Leave line in EH yet",""),IF(Y80&lt;0,"CHECK - EH accrued "&amp;TEXT(-Y80,"0.##")&amp;" hrs more than policy",IF(AND(O80&gt;0,BA80=0),"CHECK - policy says "&amp;TEXT(N80,"0.##")&amp;" hrs to date but no Bonus Leave in EH",IF(O80&gt;0,"OK","-"))))))</f>
        <v/>
      </c>
      <c r="AB80" s="13" t="str">
        <f aca="false">IF(OR(AE80=0,T80=""),"",AY80*HoursPerDay-T80)</f>
        <v/>
      </c>
      <c r="AC80" s="12" t="str">
        <f aca="false">IF(AE80=0,"",BA80)</f>
        <v/>
      </c>
      <c r="AD80" s="12" t="str">
        <f aca="false">IF(AE80=0,"",TRIM(IF(AND(AG80&gt;=1,IF(AG80&gt;=3,AM80,IF(AG80=2,AL80,AK80))&lt;&gt;$C80),"EmploymentType does not match latest start date ("&amp;IF(AG80&gt;=3,AM80,IF(AG80=2,AL80,AK80))&amp;"). ","")&amp;IF(AND(AG80&gt;=1,AH80&lt;&gt;$F80),"Earliest type date should equal StartDate. ","")&amp;IF(AND(AG80&gt;=2,AH80=AI80),"Two types start on the same date. ","")&amp;IF(AND($C80="Part-Time",$P80=""),"Part-time: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IF(AE80=0,"",IF(AG80=0,IF($C80="Full-Time","FT",IF(AND($C80="Part-Time",OR($P80="",N($P80)&gt;=PT_MinHours)),"PT","None")),IF(AK80="Full-Time","FT",IF(AND(AK80="Part-Time",OR($P80="",N($P80)&gt;=PT_MinHours)),"PT","None"))))</f>
        <v/>
      </c>
      <c r="AO80" s="12" t="str">
        <f aca="false">IF(AE80=0,"",IF(AG80&lt;2,"",IF(AL80="Full-Time","FT",IF(AND(AL80="Part-Time",OR($P80="",N($P80)&gt;=PT_MinHours)),"PT","None"))))</f>
        <v/>
      </c>
      <c r="AP80" s="12" t="str">
        <f aca="false">IF(AE80=0,"",IF(AG80&lt;3,"",IF(AM80="Full-Time","FT",IF(AND(AM80="Part-Time",OR($P80="",N($P80)&gt;=PT_MinHours)),"PT","None"))))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IF(OR(AE81=0,$D81=""),"",DATE(YEAR(AsOfDate)+IF(DATE(YEAR(AsOfDate),MONTH($D81),DAY($D81))&lt;=AsOfDate,1,0),MONTH($D81),DAY($D81)))</f>
        <v/>
      </c>
      <c r="F81" s="16"/>
      <c r="G81" s="16"/>
      <c r="H81" s="16"/>
      <c r="I81" s="16"/>
      <c r="J81" s="16"/>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7"/>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"&amp;IF(AND($C81="Part-Time",$P81&lt;&gt;"",N($P81)&lt;PT_MinHours),"under "&amp;PT_MinHours&amp;" hrs",$C81)),IF(O81&gt;0,"Yes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IF(AE81=0,"",X81-N(U81))</f>
        <v/>
      </c>
      <c r="Z81" s="12" t="str">
        <f aca="false">IF(AE81=0,"",IF(Y81&gt;0,"Yes","No"))</f>
        <v/>
      </c>
      <c r="AA81" s="12" t="str">
        <f aca="false">IF(AE81=0,"",IF(NOT(LH_Ready),"Paste Leave History export",IF(Y81&gt;0,"ACCRUE "&amp;TEXT(Y81,"0.##")&amp;" hrs ("&amp;TEXT(Y81/HoursPerDay,"0.##")&amp;" days)"&amp;IF(BA81=0," - no Bonus Leave line in EH yet",""),IF(Y81&lt;0,"CHECK - EH accrued "&amp;TEXT(-Y81,"0.##")&amp;" hrs more than policy",IF(AND(O81&gt;0,BA81=0),"CHECK - policy says "&amp;TEXT(N81,"0.##")&amp;" hrs to date but no Bonus Leave in EH",IF(O81&gt;0,"OK","-"))))))</f>
        <v/>
      </c>
      <c r="AB81" s="13" t="str">
        <f aca="false">IF(OR(AE81=0,T81=""),"",AY81*HoursPerDay-T81)</f>
        <v/>
      </c>
      <c r="AC81" s="12" t="str">
        <f aca="false">IF(AE81=0,"",BA81)</f>
        <v/>
      </c>
      <c r="AD81" s="12" t="str">
        <f aca="false">IF(AE81=0,"",TRIM(IF(AND(AG81&gt;=1,IF(AG81&gt;=3,AM81,IF(AG81=2,AL81,AK81))&lt;&gt;$C81),"EmploymentType does not match latest start date ("&amp;IF(AG81&gt;=3,AM81,IF(AG81=2,AL81,AK81))&amp;"). ","")&amp;IF(AND(AG81&gt;=1,AH81&lt;&gt;$F81),"Earliest type date should equal StartDate. ","")&amp;IF(AND(AG81&gt;=2,AH81=AI81),"Two types start on the same date. ","")&amp;IF(AND($C81="Part-Time",$P81=""),"Part-time: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IF(AE81=0,"",IF(AG81=0,IF($C81="Full-Time","FT",IF(AND($C81="Part-Time",OR($P81="",N($P81)&gt;=PT_MinHours)),"PT","None")),IF(AK81="Full-Time","FT",IF(AND(AK81="Part-Time",OR($P81="",N($P81)&gt;=PT_MinHours)),"PT","None"))))</f>
        <v/>
      </c>
      <c r="AO81" s="12" t="str">
        <f aca="false">IF(AE81=0,"",IF(AG81&lt;2,"",IF(AL81="Full-Time","FT",IF(AND(AL81="Part-Time",OR($P81="",N($P81)&gt;=PT_MinHours)),"PT","None"))))</f>
        <v/>
      </c>
      <c r="AP81" s="12" t="str">
        <f aca="false">IF(AE81=0,"",IF(AG81&lt;3,"",IF(AM81="Full-Time","FT",IF(AND(AM81="Part-Time",OR($P81="",N($P81)&gt;=PT_MinHours)),"PT","None"))))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IF(OR(AE82=0,$D82=""),"",DATE(YEAR(AsOfDate)+IF(DATE(YEAR(AsOfDate),MONTH($D82),DAY($D82))&lt;=AsOfDate,1,0),MONTH($D82),DAY($D82)))</f>
        <v/>
      </c>
      <c r="F82" s="16"/>
      <c r="G82" s="16"/>
      <c r="H82" s="16"/>
      <c r="I82" s="16"/>
      <c r="J82" s="16"/>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7"/>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"&amp;IF(AND($C82="Part-Time",$P82&lt;&gt;"",N($P82)&lt;PT_MinHours),"under "&amp;PT_MinHours&amp;" hrs",$C82)),IF(O82&gt;0,"Yes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IF(AE82=0,"",X82-N(U82))</f>
        <v/>
      </c>
      <c r="Z82" s="12" t="str">
        <f aca="false">IF(AE82=0,"",IF(Y82&gt;0,"Yes","No"))</f>
        <v/>
      </c>
      <c r="AA82" s="12" t="str">
        <f aca="false">IF(AE82=0,"",IF(NOT(LH_Ready),"Paste Leave History export",IF(Y82&gt;0,"ACCRUE "&amp;TEXT(Y82,"0.##")&amp;" hrs ("&amp;TEXT(Y82/HoursPerDay,"0.##")&amp;" days)"&amp;IF(BA82=0," - no Bonus Leave line in EH yet",""),IF(Y82&lt;0,"CHECK - EH accrued "&amp;TEXT(-Y82,"0.##")&amp;" hrs more than policy",IF(AND(O82&gt;0,BA82=0),"CHECK - policy says "&amp;TEXT(N82,"0.##")&amp;" hrs to date but no Bonus Leave in EH",IF(O82&gt;0,"OK","-"))))))</f>
        <v/>
      </c>
      <c r="AB82" s="13" t="str">
        <f aca="false">IF(OR(AE82=0,T82=""),"",AY82*HoursPerDay-T82)</f>
        <v/>
      </c>
      <c r="AC82" s="12" t="str">
        <f aca="false">IF(AE82=0,"",BA82)</f>
        <v/>
      </c>
      <c r="AD82" s="12" t="str">
        <f aca="false">IF(AE82=0,"",TRIM(IF(AND(AG82&gt;=1,IF(AG82&gt;=3,AM82,IF(AG82=2,AL82,AK82))&lt;&gt;$C82),"EmploymentType does not match latest start date ("&amp;IF(AG82&gt;=3,AM82,IF(AG82=2,AL82,AK82))&amp;"). ","")&amp;IF(AND(AG82&gt;=1,AH82&lt;&gt;$F82),"Earliest type date should equal StartDate. ","")&amp;IF(AND(AG82&gt;=2,AH82=AI82),"Two types start on the same date. ","")&amp;IF(AND($C82="Part-Time",$P82=""),"Part-time: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IF(AE82=0,"",IF(AG82=0,IF($C82="Full-Time","FT",IF(AND($C82="Part-Time",OR($P82="",N($P82)&gt;=PT_MinHours)),"PT","None")),IF(AK82="Full-Time","FT",IF(AND(AK82="Part-Time",OR($P82="",N($P82)&gt;=PT_MinHours)),"PT","None"))))</f>
        <v/>
      </c>
      <c r="AO82" s="12" t="str">
        <f aca="false">IF(AE82=0,"",IF(AG82&lt;2,"",IF(AL82="Full-Time","FT",IF(AND(AL82="Part-Time",OR($P82="",N($P82)&gt;=PT_MinHours)),"PT","None"))))</f>
        <v/>
      </c>
      <c r="AP82" s="12" t="str">
        <f aca="false">IF(AE82=0,"",IF(AG82&lt;3,"",IF(AM82="Full-Time","FT",IF(AND(AM82="Part-Time",OR($P82="",N($P82)&gt;=PT_MinHours)),"PT","None"))))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IF(OR(AE83=0,$D83=""),"",DATE(YEAR(AsOfDate)+IF(DATE(YEAR(AsOfDate),MONTH($D83),DAY($D83))&lt;=AsOfDate,1,0),MONTH($D83),DAY($D83)))</f>
        <v/>
      </c>
      <c r="F83" s="16"/>
      <c r="G83" s="16"/>
      <c r="H83" s="16"/>
      <c r="I83" s="16"/>
      <c r="J83" s="16"/>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7"/>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"&amp;IF(AND($C83="Part-Time",$P83&lt;&gt;"",N($P83)&lt;PT_MinHours),"under "&amp;PT_MinHours&amp;" hrs",$C83)),IF(O83&gt;0,"Yes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IF(AE83=0,"",X83-N(U83))</f>
        <v/>
      </c>
      <c r="Z83" s="12" t="str">
        <f aca="false">IF(AE83=0,"",IF(Y83&gt;0,"Yes","No"))</f>
        <v/>
      </c>
      <c r="AA83" s="12" t="str">
        <f aca="false">IF(AE83=0,"",IF(NOT(LH_Ready),"Paste Leave History export",IF(Y83&gt;0,"ACCRUE "&amp;TEXT(Y83,"0.##")&amp;" hrs ("&amp;TEXT(Y83/HoursPerDay,"0.##")&amp;" days)"&amp;IF(BA83=0," - no Bonus Leave line in EH yet",""),IF(Y83&lt;0,"CHECK - EH accrued "&amp;TEXT(-Y83,"0.##")&amp;" hrs more than policy",IF(AND(O83&gt;0,BA83=0),"CHECK - policy says "&amp;TEXT(N83,"0.##")&amp;" hrs to date but no Bonus Leave in EH",IF(O83&gt;0,"OK","-"))))))</f>
        <v/>
      </c>
      <c r="AB83" s="13" t="str">
        <f aca="false">IF(OR(AE83=0,T83=""),"",AY83*HoursPerDay-T83)</f>
        <v/>
      </c>
      <c r="AC83" s="12" t="str">
        <f aca="false">IF(AE83=0,"",BA83)</f>
        <v/>
      </c>
      <c r="AD83" s="12" t="str">
        <f aca="false">IF(AE83=0,"",TRIM(IF(AND(AG83&gt;=1,IF(AG83&gt;=3,AM83,IF(AG83=2,AL83,AK83))&lt;&gt;$C83),"EmploymentType does not match latest start date ("&amp;IF(AG83&gt;=3,AM83,IF(AG83=2,AL83,AK83))&amp;"). ","")&amp;IF(AND(AG83&gt;=1,AH83&lt;&gt;$F83),"Earliest type date should equal StartDate. ","")&amp;IF(AND(AG83&gt;=2,AH83=AI83),"Two types start on the same date. ","")&amp;IF(AND($C83="Part-Time",$P83=""),"Part-time: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IF(AE83=0,"",IF(AG83=0,IF($C83="Full-Time","FT",IF(AND($C83="Part-Time",OR($P83="",N($P83)&gt;=PT_MinHours)),"PT","None")),IF(AK83="Full-Time","FT",IF(AND(AK83="Part-Time",OR($P83="",N($P83)&gt;=PT_MinHours)),"PT","None"))))</f>
        <v/>
      </c>
      <c r="AO83" s="12" t="str">
        <f aca="false">IF(AE83=0,"",IF(AG83&lt;2,"",IF(AL83="Full-Time","FT",IF(AND(AL83="Part-Time",OR($P83="",N($P83)&gt;=PT_MinHours)),"PT","None"))))</f>
        <v/>
      </c>
      <c r="AP83" s="12" t="str">
        <f aca="false">IF(AE83=0,"",IF(AG83&lt;3,"",IF(AM83="Full-Time","FT",IF(AND(AM83="Part-Time",OR($P83="",N($P83)&gt;=PT_MinHours)),"PT","None"))))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IF(OR(AE84=0,$D84=""),"",DATE(YEAR(AsOfDate)+IF(DATE(YEAR(AsOfDate),MONTH($D84),DAY($D84))&lt;=AsOfDate,1,0),MONTH($D84),DAY($D84)))</f>
        <v/>
      </c>
      <c r="F84" s="16"/>
      <c r="G84" s="16"/>
      <c r="H84" s="16"/>
      <c r="I84" s="16"/>
      <c r="J84" s="16"/>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7"/>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"&amp;IF(AND($C84="Part-Time",$P84&lt;&gt;"",N($P84)&lt;PT_MinHours),"under "&amp;PT_MinHours&amp;" hrs",$C84)),IF(O84&gt;0,"Yes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IF(AE84=0,"",X84-N(U84))</f>
        <v/>
      </c>
      <c r="Z84" s="12" t="str">
        <f aca="false">IF(AE84=0,"",IF(Y84&gt;0,"Yes","No"))</f>
        <v/>
      </c>
      <c r="AA84" s="12" t="str">
        <f aca="false">IF(AE84=0,"",IF(NOT(LH_Ready),"Paste Leave History export",IF(Y84&gt;0,"ACCRUE "&amp;TEXT(Y84,"0.##")&amp;" hrs ("&amp;TEXT(Y84/HoursPerDay,"0.##")&amp;" days)"&amp;IF(BA84=0," - no Bonus Leave line in EH yet",""),IF(Y84&lt;0,"CHECK - EH accrued "&amp;TEXT(-Y84,"0.##")&amp;" hrs more than policy",IF(AND(O84&gt;0,BA84=0),"CHECK - policy says "&amp;TEXT(N84,"0.##")&amp;" hrs to date but no Bonus Leave in EH",IF(O84&gt;0,"OK","-"))))))</f>
        <v/>
      </c>
      <c r="AB84" s="13" t="str">
        <f aca="false">IF(OR(AE84=0,T84=""),"",AY84*HoursPerDay-T84)</f>
        <v/>
      </c>
      <c r="AC84" s="12" t="str">
        <f aca="false">IF(AE84=0,"",BA84)</f>
        <v/>
      </c>
      <c r="AD84" s="12" t="str">
        <f aca="false">IF(AE84=0,"",TRIM(IF(AND(AG84&gt;=1,IF(AG84&gt;=3,AM84,IF(AG84=2,AL84,AK84))&lt;&gt;$C84),"EmploymentType does not match latest start date ("&amp;IF(AG84&gt;=3,AM84,IF(AG84=2,AL84,AK84))&amp;"). ","")&amp;IF(AND(AG84&gt;=1,AH84&lt;&gt;$F84),"Earliest type date should equal StartDate. ","")&amp;IF(AND(AG84&gt;=2,AH84=AI84),"Two types start on the same date. ","")&amp;IF(AND($C84="Part-Time",$P84=""),"Part-time: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IF(AE84=0,"",IF(AG84=0,IF($C84="Full-Time","FT",IF(AND($C84="Part-Time",OR($P84="",N($P84)&gt;=PT_MinHours)),"PT","None")),IF(AK84="Full-Time","FT",IF(AND(AK84="Part-Time",OR($P84="",N($P84)&gt;=PT_MinHours)),"PT","None"))))</f>
        <v/>
      </c>
      <c r="AO84" s="12" t="str">
        <f aca="false">IF(AE84=0,"",IF(AG84&lt;2,"",IF(AL84="Full-Time","FT",IF(AND(AL84="Part-Time",OR($P84="",N($P84)&gt;=PT_MinHours)),"PT","None"))))</f>
        <v/>
      </c>
      <c r="AP84" s="12" t="str">
        <f aca="false">IF(AE84=0,"",IF(AG84&lt;3,"",IF(AM84="Full-Time","FT",IF(AND(AM84="Part-Time",OR($P84="",N($P84)&gt;=PT_MinHours)),"PT","None"))))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IF(OR(AE85=0,$D85=""),"",DATE(YEAR(AsOfDate)+IF(DATE(YEAR(AsOfDate),MONTH($D85),DAY($D85))&lt;=AsOfDate,1,0),MONTH($D85),DAY($D85)))</f>
        <v/>
      </c>
      <c r="F85" s="16"/>
      <c r="G85" s="16"/>
      <c r="H85" s="16"/>
      <c r="I85" s="16"/>
      <c r="J85" s="16"/>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7"/>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"&amp;IF(AND($C85="Part-Time",$P85&lt;&gt;"",N($P85)&lt;PT_MinHours),"under "&amp;PT_MinHours&amp;" hrs",$C85)),IF(O85&gt;0,"Yes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IF(AE85=0,"",X85-N(U85))</f>
        <v/>
      </c>
      <c r="Z85" s="12" t="str">
        <f aca="false">IF(AE85=0,"",IF(Y85&gt;0,"Yes","No"))</f>
        <v/>
      </c>
      <c r="AA85" s="12" t="str">
        <f aca="false">IF(AE85=0,"",IF(NOT(LH_Ready),"Paste Leave History export",IF(Y85&gt;0,"ACCRUE "&amp;TEXT(Y85,"0.##")&amp;" hrs ("&amp;TEXT(Y85/HoursPerDay,"0.##")&amp;" days)"&amp;IF(BA85=0," - no Bonus Leave line in EH yet",""),IF(Y85&lt;0,"CHECK - EH accrued "&amp;TEXT(-Y85,"0.##")&amp;" hrs more than policy",IF(AND(O85&gt;0,BA85=0),"CHECK - policy says "&amp;TEXT(N85,"0.##")&amp;" hrs to date but no Bonus Leave in EH",IF(O85&gt;0,"OK","-"))))))</f>
        <v/>
      </c>
      <c r="AB85" s="13" t="str">
        <f aca="false">IF(OR(AE85=0,T85=""),"",AY85*HoursPerDay-T85)</f>
        <v/>
      </c>
      <c r="AC85" s="12" t="str">
        <f aca="false">IF(AE85=0,"",BA85)</f>
        <v/>
      </c>
      <c r="AD85" s="12" t="str">
        <f aca="false">IF(AE85=0,"",TRIM(IF(AND(AG85&gt;=1,IF(AG85&gt;=3,AM85,IF(AG85=2,AL85,AK85))&lt;&gt;$C85),"EmploymentType does not match latest start date ("&amp;IF(AG85&gt;=3,AM85,IF(AG85=2,AL85,AK85))&amp;"). ","")&amp;IF(AND(AG85&gt;=1,AH85&lt;&gt;$F85),"Earliest type date should equal StartDate. ","")&amp;IF(AND(AG85&gt;=2,AH85=AI85),"Two types start on the same date. ","")&amp;IF(AND($C85="Part-Time",$P85=""),"Part-time: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IF(AE85=0,"",IF(AG85=0,IF($C85="Full-Time","FT",IF(AND($C85="Part-Time",OR($P85="",N($P85)&gt;=PT_MinHours)),"PT","None")),IF(AK85="Full-Time","FT",IF(AND(AK85="Part-Time",OR($P85="",N($P85)&gt;=PT_MinHours)),"PT","None"))))</f>
        <v/>
      </c>
      <c r="AO85" s="12" t="str">
        <f aca="false">IF(AE85=0,"",IF(AG85&lt;2,"",IF(AL85="Full-Time","FT",IF(AND(AL85="Part-Time",OR($P85="",N($P85)&gt;=PT_MinHours)),"PT","None"))))</f>
        <v/>
      </c>
      <c r="AP85" s="12" t="str">
        <f aca="false">IF(AE85=0,"",IF(AG85&lt;3,"",IF(AM85="Full-Time","FT",IF(AND(AM85="Part-Time",OR($P85="",N($P85)&gt;=PT_MinHours)),"PT","None"))))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IF(OR(AE86=0,$D86=""),"",DATE(YEAR(AsOfDate)+IF(DATE(YEAR(AsOfDate),MONTH($D86),DAY($D86))&lt;=AsOfDate,1,0),MONTH($D86),DAY($D86)))</f>
        <v/>
      </c>
      <c r="F86" s="16"/>
      <c r="G86" s="16"/>
      <c r="H86" s="16"/>
      <c r="I86" s="16"/>
      <c r="J86" s="16"/>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7"/>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"&amp;IF(AND($C86="Part-Time",$P86&lt;&gt;"",N($P86)&lt;PT_MinHours),"under "&amp;PT_MinHours&amp;" hrs",$C86)),IF(O86&gt;0,"Yes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IF(AE86=0,"",X86-N(U86))</f>
        <v/>
      </c>
      <c r="Z86" s="12" t="str">
        <f aca="false">IF(AE86=0,"",IF(Y86&gt;0,"Yes","No"))</f>
        <v/>
      </c>
      <c r="AA86" s="12" t="str">
        <f aca="false">IF(AE86=0,"",IF(NOT(LH_Ready),"Paste Leave History export",IF(Y86&gt;0,"ACCRUE "&amp;TEXT(Y86,"0.##")&amp;" hrs ("&amp;TEXT(Y86/HoursPerDay,"0.##")&amp;" days)"&amp;IF(BA86=0," - no Bonus Leave line in EH yet",""),IF(Y86&lt;0,"CHECK - EH accrued "&amp;TEXT(-Y86,"0.##")&amp;" hrs more than policy",IF(AND(O86&gt;0,BA86=0),"CHECK - policy says "&amp;TEXT(N86,"0.##")&amp;" hrs to date but no Bonus Leave in EH",IF(O86&gt;0,"OK","-"))))))</f>
        <v/>
      </c>
      <c r="AB86" s="13" t="str">
        <f aca="false">IF(OR(AE86=0,T86=""),"",AY86*HoursPerDay-T86)</f>
        <v/>
      </c>
      <c r="AC86" s="12" t="str">
        <f aca="false">IF(AE86=0,"",BA86)</f>
        <v/>
      </c>
      <c r="AD86" s="12" t="str">
        <f aca="false">IF(AE86=0,"",TRIM(IF(AND(AG86&gt;=1,IF(AG86&gt;=3,AM86,IF(AG86=2,AL86,AK86))&lt;&gt;$C86),"EmploymentType does not match latest start date ("&amp;IF(AG86&gt;=3,AM86,IF(AG86=2,AL86,AK86))&amp;"). ","")&amp;IF(AND(AG86&gt;=1,AH86&lt;&gt;$F86),"Earliest type date should equal StartDate. ","")&amp;IF(AND(AG86&gt;=2,AH86=AI86),"Two types start on the same date. ","")&amp;IF(AND($C86="Part-Time",$P86=""),"Part-time: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IF(AE86=0,"",IF(AG86=0,IF($C86="Full-Time","FT",IF(AND($C86="Part-Time",OR($P86="",N($P86)&gt;=PT_MinHours)),"PT","None")),IF(AK86="Full-Time","FT",IF(AND(AK86="Part-Time",OR($P86="",N($P86)&gt;=PT_MinHours)),"PT","None"))))</f>
        <v/>
      </c>
      <c r="AO86" s="12" t="str">
        <f aca="false">IF(AE86=0,"",IF(AG86&lt;2,"",IF(AL86="Full-Time","FT",IF(AND(AL86="Part-Time",OR($P86="",N($P86)&gt;=PT_MinHours)),"PT","None"))))</f>
        <v/>
      </c>
      <c r="AP86" s="12" t="str">
        <f aca="false">IF(AE86=0,"",IF(AG86&lt;3,"",IF(AM86="Full-Time","FT",IF(AND(AM86="Part-Time",OR($P86="",N($P86)&gt;=PT_MinHours)),"PT","None"))))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IF(OR(AE87=0,$D87=""),"",DATE(YEAR(AsOfDate)+IF(DATE(YEAR(AsOfDate),MONTH($D87),DAY($D87))&lt;=AsOfDate,1,0),MONTH($D87),DAY($D87)))</f>
        <v/>
      </c>
      <c r="F87" s="16"/>
      <c r="G87" s="16"/>
      <c r="H87" s="16"/>
      <c r="I87" s="16"/>
      <c r="J87" s="16"/>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7"/>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"&amp;IF(AND($C87="Part-Time",$P87&lt;&gt;"",N($P87)&lt;PT_MinHours),"under "&amp;PT_MinHours&amp;" hrs",$C87)),IF(O87&gt;0,"Yes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IF(AE87=0,"",X87-N(U87))</f>
        <v/>
      </c>
      <c r="Z87" s="12" t="str">
        <f aca="false">IF(AE87=0,"",IF(Y87&gt;0,"Yes","No"))</f>
        <v/>
      </c>
      <c r="AA87" s="12" t="str">
        <f aca="false">IF(AE87=0,"",IF(NOT(LH_Ready),"Paste Leave History export",IF(Y87&gt;0,"ACCRUE "&amp;TEXT(Y87,"0.##")&amp;" hrs ("&amp;TEXT(Y87/HoursPerDay,"0.##")&amp;" days)"&amp;IF(BA87=0," - no Bonus Leave line in EH yet",""),IF(Y87&lt;0,"CHECK - EH accrued "&amp;TEXT(-Y87,"0.##")&amp;" hrs more than policy",IF(AND(O87&gt;0,BA87=0),"CHECK - policy says "&amp;TEXT(N87,"0.##")&amp;" hrs to date but no Bonus Leave in EH",IF(O87&gt;0,"OK","-"))))))</f>
        <v/>
      </c>
      <c r="AB87" s="13" t="str">
        <f aca="false">IF(OR(AE87=0,T87=""),"",AY87*HoursPerDay-T87)</f>
        <v/>
      </c>
      <c r="AC87" s="12" t="str">
        <f aca="false">IF(AE87=0,"",BA87)</f>
        <v/>
      </c>
      <c r="AD87" s="12" t="str">
        <f aca="false">IF(AE87=0,"",TRIM(IF(AND(AG87&gt;=1,IF(AG87&gt;=3,AM87,IF(AG87=2,AL87,AK87))&lt;&gt;$C87),"EmploymentType does not match latest start date ("&amp;IF(AG87&gt;=3,AM87,IF(AG87=2,AL87,AK87))&amp;"). ","")&amp;IF(AND(AG87&gt;=1,AH87&lt;&gt;$F87),"Earliest type date should equal StartDate. ","")&amp;IF(AND(AG87&gt;=2,AH87=AI87),"Two types start on the same date. ","")&amp;IF(AND($C87="Part-Time",$P87=""),"Part-time: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IF(AE87=0,"",IF(AG87=0,IF($C87="Full-Time","FT",IF(AND($C87="Part-Time",OR($P87="",N($P87)&gt;=PT_MinHours)),"PT","None")),IF(AK87="Full-Time","FT",IF(AND(AK87="Part-Time",OR($P87="",N($P87)&gt;=PT_MinHours)),"PT","None"))))</f>
        <v/>
      </c>
      <c r="AO87" s="12" t="str">
        <f aca="false">IF(AE87=0,"",IF(AG87&lt;2,"",IF(AL87="Full-Time","FT",IF(AND(AL87="Part-Time",OR($P87="",N($P87)&gt;=PT_MinHours)),"PT","None"))))</f>
        <v/>
      </c>
      <c r="AP87" s="12" t="str">
        <f aca="false">IF(AE87=0,"",IF(AG87&lt;3,"",IF(AM87="Full-Time","FT",IF(AND(AM87="Part-Time",OR($P87="",N($P87)&gt;=PT_MinHours)),"PT","None"))))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IF(OR(AE88=0,$D88=""),"",DATE(YEAR(AsOfDate)+IF(DATE(YEAR(AsOfDate),MONTH($D88),DAY($D88))&lt;=AsOfDate,1,0),MONTH($D88),DAY($D88)))</f>
        <v/>
      </c>
      <c r="F88" s="16"/>
      <c r="G88" s="16"/>
      <c r="H88" s="16"/>
      <c r="I88" s="16"/>
      <c r="J88" s="16"/>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7"/>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"&amp;IF(AND($C88="Part-Time",$P88&lt;&gt;"",N($P88)&lt;PT_MinHours),"under "&amp;PT_MinHours&amp;" hrs",$C88)),IF(O88&gt;0,"Yes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IF(AE88=0,"",X88-N(U88))</f>
        <v/>
      </c>
      <c r="Z88" s="12" t="str">
        <f aca="false">IF(AE88=0,"",IF(Y88&gt;0,"Yes","No"))</f>
        <v/>
      </c>
      <c r="AA88" s="12" t="str">
        <f aca="false">IF(AE88=0,"",IF(NOT(LH_Ready),"Paste Leave History export",IF(Y88&gt;0,"ACCRUE "&amp;TEXT(Y88,"0.##")&amp;" hrs ("&amp;TEXT(Y88/HoursPerDay,"0.##")&amp;" days)"&amp;IF(BA88=0," - no Bonus Leave line in EH yet",""),IF(Y88&lt;0,"CHECK - EH accrued "&amp;TEXT(-Y88,"0.##")&amp;" hrs more than policy",IF(AND(O88&gt;0,BA88=0),"CHECK - policy says "&amp;TEXT(N88,"0.##")&amp;" hrs to date but no Bonus Leave in EH",IF(O88&gt;0,"OK","-"))))))</f>
        <v/>
      </c>
      <c r="AB88" s="13" t="str">
        <f aca="false">IF(OR(AE88=0,T88=""),"",AY88*HoursPerDay-T88)</f>
        <v/>
      </c>
      <c r="AC88" s="12" t="str">
        <f aca="false">IF(AE88=0,"",BA88)</f>
        <v/>
      </c>
      <c r="AD88" s="12" t="str">
        <f aca="false">IF(AE88=0,"",TRIM(IF(AND(AG88&gt;=1,IF(AG88&gt;=3,AM88,IF(AG88=2,AL88,AK88))&lt;&gt;$C88),"EmploymentType does not match latest start date ("&amp;IF(AG88&gt;=3,AM88,IF(AG88=2,AL88,AK88))&amp;"). ","")&amp;IF(AND(AG88&gt;=1,AH88&lt;&gt;$F88),"Earliest type date should equal StartDate. ","")&amp;IF(AND(AG88&gt;=2,AH88=AI88),"Two types start on the same date. ","")&amp;IF(AND($C88="Part-Time",$P88=""),"Part-time: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IF(AE88=0,"",IF(AG88=0,IF($C88="Full-Time","FT",IF(AND($C88="Part-Time",OR($P88="",N($P88)&gt;=PT_MinHours)),"PT","None")),IF(AK88="Full-Time","FT",IF(AND(AK88="Part-Time",OR($P88="",N($P88)&gt;=PT_MinHours)),"PT","None"))))</f>
        <v/>
      </c>
      <c r="AO88" s="12" t="str">
        <f aca="false">IF(AE88=0,"",IF(AG88&lt;2,"",IF(AL88="Full-Time","FT",IF(AND(AL88="Part-Time",OR($P88="",N($P88)&gt;=PT_MinHours)),"PT","None"))))</f>
        <v/>
      </c>
      <c r="AP88" s="12" t="str">
        <f aca="false">IF(AE88=0,"",IF(AG88&lt;3,"",IF(AM88="Full-Time","FT",IF(AND(AM88="Part-Time",OR($P88="",N($P88)&gt;=PT_MinHours)),"PT","None"))))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IF(OR(AE89=0,$D89=""),"",DATE(YEAR(AsOfDate)+IF(DATE(YEAR(AsOfDate),MONTH($D89),DAY($D89))&lt;=AsOfDate,1,0),MONTH($D89),DAY($D89)))</f>
        <v/>
      </c>
      <c r="F89" s="16"/>
      <c r="G89" s="16"/>
      <c r="H89" s="16"/>
      <c r="I89" s="16"/>
      <c r="J89" s="16"/>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7"/>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"&amp;IF(AND($C89="Part-Time",$P89&lt;&gt;"",N($P89)&lt;PT_MinHours),"under "&amp;PT_MinHours&amp;" hrs",$C89)),IF(O89&gt;0,"Yes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IF(AE89=0,"",X89-N(U89))</f>
        <v/>
      </c>
      <c r="Z89" s="12" t="str">
        <f aca="false">IF(AE89=0,"",IF(Y89&gt;0,"Yes","No"))</f>
        <v/>
      </c>
      <c r="AA89" s="12" t="str">
        <f aca="false">IF(AE89=0,"",IF(NOT(LH_Ready),"Paste Leave History export",IF(Y89&gt;0,"ACCRUE "&amp;TEXT(Y89,"0.##")&amp;" hrs ("&amp;TEXT(Y89/HoursPerDay,"0.##")&amp;" days)"&amp;IF(BA89=0," - no Bonus Leave line in EH yet",""),IF(Y89&lt;0,"CHECK - EH accrued "&amp;TEXT(-Y89,"0.##")&amp;" hrs more than policy",IF(AND(O89&gt;0,BA89=0),"CHECK - policy says "&amp;TEXT(N89,"0.##")&amp;" hrs to date but no Bonus Leave in EH",IF(O89&gt;0,"OK","-"))))))</f>
        <v/>
      </c>
      <c r="AB89" s="13" t="str">
        <f aca="false">IF(OR(AE89=0,T89=""),"",AY89*HoursPerDay-T89)</f>
        <v/>
      </c>
      <c r="AC89" s="12" t="str">
        <f aca="false">IF(AE89=0,"",BA89)</f>
        <v/>
      </c>
      <c r="AD89" s="12" t="str">
        <f aca="false">IF(AE89=0,"",TRIM(IF(AND(AG89&gt;=1,IF(AG89&gt;=3,AM89,IF(AG89=2,AL89,AK89))&lt;&gt;$C89),"EmploymentType does not match latest start date ("&amp;IF(AG89&gt;=3,AM89,IF(AG89=2,AL89,AK89))&amp;"). ","")&amp;IF(AND(AG89&gt;=1,AH89&lt;&gt;$F89),"Earliest type date should equal StartDate. ","")&amp;IF(AND(AG89&gt;=2,AH89=AI89),"Two types start on the same date. ","")&amp;IF(AND($C89="Part-Time",$P89=""),"Part-time: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IF(AE89=0,"",IF(AG89=0,IF($C89="Full-Time","FT",IF(AND($C89="Part-Time",OR($P89="",N($P89)&gt;=PT_MinHours)),"PT","None")),IF(AK89="Full-Time","FT",IF(AND(AK89="Part-Time",OR($P89="",N($P89)&gt;=PT_MinHours)),"PT","None"))))</f>
        <v/>
      </c>
      <c r="AO89" s="12" t="str">
        <f aca="false">IF(AE89=0,"",IF(AG89&lt;2,"",IF(AL89="Full-Time","FT",IF(AND(AL89="Part-Time",OR($P89="",N($P89)&gt;=PT_MinHours)),"PT","None"))))</f>
        <v/>
      </c>
      <c r="AP89" s="12" t="str">
        <f aca="false">IF(AE89=0,"",IF(AG89&lt;3,"",IF(AM89="Full-Time","FT",IF(AND(AM89="Part-Time",OR($P89="",N($P89)&gt;=PT_MinHours)),"PT","None"))))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IF(OR(AE90=0,$D90=""),"",DATE(YEAR(AsOfDate)+IF(DATE(YEAR(AsOfDate),MONTH($D90),DAY($D90))&lt;=AsOfDate,1,0),MONTH($D90),DAY($D90)))</f>
        <v/>
      </c>
      <c r="F90" s="16"/>
      <c r="G90" s="16"/>
      <c r="H90" s="16"/>
      <c r="I90" s="16"/>
      <c r="J90" s="16"/>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7"/>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"&amp;IF(AND($C90="Part-Time",$P90&lt;&gt;"",N($P90)&lt;PT_MinHours),"under "&amp;PT_MinHours&amp;" hrs",$C90)),IF(O90&gt;0,"Yes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IF(AE90=0,"",X90-N(U90))</f>
        <v/>
      </c>
      <c r="Z90" s="12" t="str">
        <f aca="false">IF(AE90=0,"",IF(Y90&gt;0,"Yes","No"))</f>
        <v/>
      </c>
      <c r="AA90" s="12" t="str">
        <f aca="false">IF(AE90=0,"",IF(NOT(LH_Ready),"Paste Leave History export",IF(Y90&gt;0,"ACCRUE "&amp;TEXT(Y90,"0.##")&amp;" hrs ("&amp;TEXT(Y90/HoursPerDay,"0.##")&amp;" days)"&amp;IF(BA90=0," - no Bonus Leave line in EH yet",""),IF(Y90&lt;0,"CHECK - EH accrued "&amp;TEXT(-Y90,"0.##")&amp;" hrs more than policy",IF(AND(O90&gt;0,BA90=0),"CHECK - policy says "&amp;TEXT(N90,"0.##")&amp;" hrs to date but no Bonus Leave in EH",IF(O90&gt;0,"OK","-"))))))</f>
        <v/>
      </c>
      <c r="AB90" s="13" t="str">
        <f aca="false">IF(OR(AE90=0,T90=""),"",AY90*HoursPerDay-T90)</f>
        <v/>
      </c>
      <c r="AC90" s="12" t="str">
        <f aca="false">IF(AE90=0,"",BA90)</f>
        <v/>
      </c>
      <c r="AD90" s="12" t="str">
        <f aca="false">IF(AE90=0,"",TRIM(IF(AND(AG90&gt;=1,IF(AG90&gt;=3,AM90,IF(AG90=2,AL90,AK90))&lt;&gt;$C90),"EmploymentType does not match latest start date ("&amp;IF(AG90&gt;=3,AM90,IF(AG90=2,AL90,AK90))&amp;"). ","")&amp;IF(AND(AG90&gt;=1,AH90&lt;&gt;$F90),"Earliest type date should equal StartDate. ","")&amp;IF(AND(AG90&gt;=2,AH90=AI90),"Two types start on the same date. ","")&amp;IF(AND($C90="Part-Time",$P90=""),"Part-time: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IF(AE90=0,"",IF(AG90=0,IF($C90="Full-Time","FT",IF(AND($C90="Part-Time",OR($P90="",N($P90)&gt;=PT_MinHours)),"PT","None")),IF(AK90="Full-Time","FT",IF(AND(AK90="Part-Time",OR($P90="",N($P90)&gt;=PT_MinHours)),"PT","None"))))</f>
        <v/>
      </c>
      <c r="AO90" s="12" t="str">
        <f aca="false">IF(AE90=0,"",IF(AG90&lt;2,"",IF(AL90="Full-Time","FT",IF(AND(AL90="Part-Time",OR($P90="",N($P90)&gt;=PT_MinHours)),"PT","None"))))</f>
        <v/>
      </c>
      <c r="AP90" s="12" t="str">
        <f aca="false">IF(AE90=0,"",IF(AG90&lt;3,"",IF(AM90="Full-Time","FT",IF(AND(AM90="Part-Time",OR($P90="",N($P90)&gt;=PT_MinHours)),"PT","None"))))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IF(OR(AE91=0,$D91=""),"",DATE(YEAR(AsOfDate)+IF(DATE(YEAR(AsOfDate),MONTH($D91),DAY($D91))&lt;=AsOfDate,1,0),MONTH($D91),DAY($D91)))</f>
        <v/>
      </c>
      <c r="F91" s="16"/>
      <c r="G91" s="16"/>
      <c r="H91" s="16"/>
      <c r="I91" s="16"/>
      <c r="J91" s="16"/>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7"/>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"&amp;IF(AND($C91="Part-Time",$P91&lt;&gt;"",N($P91)&lt;PT_MinHours),"under "&amp;PT_MinHours&amp;" hrs",$C91)),IF(O91&gt;0,"Yes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IF(AE91=0,"",X91-N(U91))</f>
        <v/>
      </c>
      <c r="Z91" s="12" t="str">
        <f aca="false">IF(AE91=0,"",IF(Y91&gt;0,"Yes","No"))</f>
        <v/>
      </c>
      <c r="AA91" s="12" t="str">
        <f aca="false">IF(AE91=0,"",IF(NOT(LH_Ready),"Paste Leave History export",IF(Y91&gt;0,"ACCRUE "&amp;TEXT(Y91,"0.##")&amp;" hrs ("&amp;TEXT(Y91/HoursPerDay,"0.##")&amp;" days)"&amp;IF(BA91=0," - no Bonus Leave line in EH yet",""),IF(Y91&lt;0,"CHECK - EH accrued "&amp;TEXT(-Y91,"0.##")&amp;" hrs more than policy",IF(AND(O91&gt;0,BA91=0),"CHECK - policy says "&amp;TEXT(N91,"0.##")&amp;" hrs to date but no Bonus Leave in EH",IF(O91&gt;0,"OK","-"))))))</f>
        <v/>
      </c>
      <c r="AB91" s="13" t="str">
        <f aca="false">IF(OR(AE91=0,T91=""),"",AY91*HoursPerDay-T91)</f>
        <v/>
      </c>
      <c r="AC91" s="12" t="str">
        <f aca="false">IF(AE91=0,"",BA91)</f>
        <v/>
      </c>
      <c r="AD91" s="12" t="str">
        <f aca="false">IF(AE91=0,"",TRIM(IF(AND(AG91&gt;=1,IF(AG91&gt;=3,AM91,IF(AG91=2,AL91,AK91))&lt;&gt;$C91),"EmploymentType does not match latest start date ("&amp;IF(AG91&gt;=3,AM91,IF(AG91=2,AL91,AK91))&amp;"). ","")&amp;IF(AND(AG91&gt;=1,AH91&lt;&gt;$F91),"Earliest type date should equal StartDate. ","")&amp;IF(AND(AG91&gt;=2,AH91=AI91),"Two types start on the same date. ","")&amp;IF(AND($C91="Part-Time",$P91=""),"Part-time: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IF(AE91=0,"",IF(AG91=0,IF($C91="Full-Time","FT",IF(AND($C91="Part-Time",OR($P91="",N($P91)&gt;=PT_MinHours)),"PT","None")),IF(AK91="Full-Time","FT",IF(AND(AK91="Part-Time",OR($P91="",N($P91)&gt;=PT_MinHours)),"PT","None"))))</f>
        <v/>
      </c>
      <c r="AO91" s="12" t="str">
        <f aca="false">IF(AE91=0,"",IF(AG91&lt;2,"",IF(AL91="Full-Time","FT",IF(AND(AL91="Part-Time",OR($P91="",N($P91)&gt;=PT_MinHours)),"PT","None"))))</f>
        <v/>
      </c>
      <c r="AP91" s="12" t="str">
        <f aca="false">IF(AE91=0,"",IF(AG91&lt;3,"",IF(AM91="Full-Time","FT",IF(AND(AM91="Part-Time",OR($P91="",N($P91)&gt;=PT_MinHours)),"PT","None"))))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IF(OR(AE92=0,$D92=""),"",DATE(YEAR(AsOfDate)+IF(DATE(YEAR(AsOfDate),MONTH($D92),DAY($D92))&lt;=AsOfDate,1,0),MONTH($D92),DAY($D92)))</f>
        <v/>
      </c>
      <c r="F92" s="16"/>
      <c r="G92" s="16"/>
      <c r="H92" s="16"/>
      <c r="I92" s="16"/>
      <c r="J92" s="16"/>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7"/>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"&amp;IF(AND($C92="Part-Time",$P92&lt;&gt;"",N($P92)&lt;PT_MinHours),"under "&amp;PT_MinHours&amp;" hrs",$C92)),IF(O92&gt;0,"Yes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IF(AE92=0,"",X92-N(U92))</f>
        <v/>
      </c>
      <c r="Z92" s="12" t="str">
        <f aca="false">IF(AE92=0,"",IF(Y92&gt;0,"Yes","No"))</f>
        <v/>
      </c>
      <c r="AA92" s="12" t="str">
        <f aca="false">IF(AE92=0,"",IF(NOT(LH_Ready),"Paste Leave History export",IF(Y92&gt;0,"ACCRUE "&amp;TEXT(Y92,"0.##")&amp;" hrs ("&amp;TEXT(Y92/HoursPerDay,"0.##")&amp;" days)"&amp;IF(BA92=0," - no Bonus Leave line in EH yet",""),IF(Y92&lt;0,"CHECK - EH accrued "&amp;TEXT(-Y92,"0.##")&amp;" hrs more than policy",IF(AND(O92&gt;0,BA92=0),"CHECK - policy says "&amp;TEXT(N92,"0.##")&amp;" hrs to date but no Bonus Leave in EH",IF(O92&gt;0,"OK","-"))))))</f>
        <v/>
      </c>
      <c r="AB92" s="13" t="str">
        <f aca="false">IF(OR(AE92=0,T92=""),"",AY92*HoursPerDay-T92)</f>
        <v/>
      </c>
      <c r="AC92" s="12" t="str">
        <f aca="false">IF(AE92=0,"",BA92)</f>
        <v/>
      </c>
      <c r="AD92" s="12" t="str">
        <f aca="false">IF(AE92=0,"",TRIM(IF(AND(AG92&gt;=1,IF(AG92&gt;=3,AM92,IF(AG92=2,AL92,AK92))&lt;&gt;$C92),"EmploymentType does not match latest start date ("&amp;IF(AG92&gt;=3,AM92,IF(AG92=2,AL92,AK92))&amp;"). ","")&amp;IF(AND(AG92&gt;=1,AH92&lt;&gt;$F92),"Earliest type date should equal StartDate. ","")&amp;IF(AND(AG92&gt;=2,AH92=AI92),"Two types start on the same date. ","")&amp;IF(AND($C92="Part-Time",$P92=""),"Part-time: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IF(AE92=0,"",IF(AG92=0,IF($C92="Full-Time","FT",IF(AND($C92="Part-Time",OR($P92="",N($P92)&gt;=PT_MinHours)),"PT","None")),IF(AK92="Full-Time","FT",IF(AND(AK92="Part-Time",OR($P92="",N($P92)&gt;=PT_MinHours)),"PT","None"))))</f>
        <v/>
      </c>
      <c r="AO92" s="12" t="str">
        <f aca="false">IF(AE92=0,"",IF(AG92&lt;2,"",IF(AL92="Full-Time","FT",IF(AND(AL92="Part-Time",OR($P92="",N($P92)&gt;=PT_MinHours)),"PT","None"))))</f>
        <v/>
      </c>
      <c r="AP92" s="12" t="str">
        <f aca="false">IF(AE92=0,"",IF(AG92&lt;3,"",IF(AM92="Full-Time","FT",IF(AND(AM92="Part-Time",OR($P92="",N($P92)&gt;=PT_MinHours)),"PT","None"))))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IF(OR(AE93=0,$D93=""),"",DATE(YEAR(AsOfDate)+IF(DATE(YEAR(AsOfDate),MONTH($D93),DAY($D93))&lt;=AsOfDate,1,0),MONTH($D93),DAY($D93)))</f>
        <v/>
      </c>
      <c r="F93" s="16"/>
      <c r="G93" s="16"/>
      <c r="H93" s="16"/>
      <c r="I93" s="16"/>
      <c r="J93" s="16"/>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7"/>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"&amp;IF(AND($C93="Part-Time",$P93&lt;&gt;"",N($P93)&lt;PT_MinHours),"under "&amp;PT_MinHours&amp;" hrs",$C93)),IF(O93&gt;0,"Yes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IF(AE93=0,"",X93-N(U93))</f>
        <v/>
      </c>
      <c r="Z93" s="12" t="str">
        <f aca="false">IF(AE93=0,"",IF(Y93&gt;0,"Yes","No"))</f>
        <v/>
      </c>
      <c r="AA93" s="12" t="str">
        <f aca="false">IF(AE93=0,"",IF(NOT(LH_Ready),"Paste Leave History export",IF(Y93&gt;0,"ACCRUE "&amp;TEXT(Y93,"0.##")&amp;" hrs ("&amp;TEXT(Y93/HoursPerDay,"0.##")&amp;" days)"&amp;IF(BA93=0," - no Bonus Leave line in EH yet",""),IF(Y93&lt;0,"CHECK - EH accrued "&amp;TEXT(-Y93,"0.##")&amp;" hrs more than policy",IF(AND(O93&gt;0,BA93=0),"CHECK - policy says "&amp;TEXT(N93,"0.##")&amp;" hrs to date but no Bonus Leave in EH",IF(O93&gt;0,"OK","-"))))))</f>
        <v/>
      </c>
      <c r="AB93" s="13" t="str">
        <f aca="false">IF(OR(AE93=0,T93=""),"",AY93*HoursPerDay-T93)</f>
        <v/>
      </c>
      <c r="AC93" s="12" t="str">
        <f aca="false">IF(AE93=0,"",BA93)</f>
        <v/>
      </c>
      <c r="AD93" s="12" t="str">
        <f aca="false">IF(AE93=0,"",TRIM(IF(AND(AG93&gt;=1,IF(AG93&gt;=3,AM93,IF(AG93=2,AL93,AK93))&lt;&gt;$C93),"EmploymentType does not match latest start date ("&amp;IF(AG93&gt;=3,AM93,IF(AG93=2,AL93,AK93))&amp;"). ","")&amp;IF(AND(AG93&gt;=1,AH93&lt;&gt;$F93),"Earliest type date should equal StartDate. ","")&amp;IF(AND(AG93&gt;=2,AH93=AI93),"Two types start on the same date. ","")&amp;IF(AND($C93="Part-Time",$P93=""),"Part-time: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IF(AE93=0,"",IF(AG93=0,IF($C93="Full-Time","FT",IF(AND($C93="Part-Time",OR($P93="",N($P93)&gt;=PT_MinHours)),"PT","None")),IF(AK93="Full-Time","FT",IF(AND(AK93="Part-Time",OR($P93="",N($P93)&gt;=PT_MinHours)),"PT","None"))))</f>
        <v/>
      </c>
      <c r="AO93" s="12" t="str">
        <f aca="false">IF(AE93=0,"",IF(AG93&lt;2,"",IF(AL93="Full-Time","FT",IF(AND(AL93="Part-Time",OR($P93="",N($P93)&gt;=PT_MinHours)),"PT","None"))))</f>
        <v/>
      </c>
      <c r="AP93" s="12" t="str">
        <f aca="false">IF(AE93=0,"",IF(AG93&lt;3,"",IF(AM93="Full-Time","FT",IF(AND(AM93="Part-Time",OR($P93="",N($P93)&gt;=PT_MinHours)),"PT","None"))))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IF(OR(AE94=0,$D94=""),"",DATE(YEAR(AsOfDate)+IF(DATE(YEAR(AsOfDate),MONTH($D94),DAY($D94))&lt;=AsOfDate,1,0),MONTH($D94),DAY($D94)))</f>
        <v/>
      </c>
      <c r="F94" s="16"/>
      <c r="G94" s="16"/>
      <c r="H94" s="16"/>
      <c r="I94" s="16"/>
      <c r="J94" s="16"/>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7"/>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"&amp;IF(AND($C94="Part-Time",$P94&lt;&gt;"",N($P94)&lt;PT_MinHours),"under "&amp;PT_MinHours&amp;" hrs",$C94)),IF(O94&gt;0,"Yes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IF(AE94=0,"",X94-N(U94))</f>
        <v/>
      </c>
      <c r="Z94" s="12" t="str">
        <f aca="false">IF(AE94=0,"",IF(Y94&gt;0,"Yes","No"))</f>
        <v/>
      </c>
      <c r="AA94" s="12" t="str">
        <f aca="false">IF(AE94=0,"",IF(NOT(LH_Ready),"Paste Leave History export",IF(Y94&gt;0,"ACCRUE "&amp;TEXT(Y94,"0.##")&amp;" hrs ("&amp;TEXT(Y94/HoursPerDay,"0.##")&amp;" days)"&amp;IF(BA94=0," - no Bonus Leave line in EH yet",""),IF(Y94&lt;0,"CHECK - EH accrued "&amp;TEXT(-Y94,"0.##")&amp;" hrs more than policy",IF(AND(O94&gt;0,BA94=0),"CHECK - policy says "&amp;TEXT(N94,"0.##")&amp;" hrs to date but no Bonus Leave in EH",IF(O94&gt;0,"OK","-"))))))</f>
        <v/>
      </c>
      <c r="AB94" s="13" t="str">
        <f aca="false">IF(OR(AE94=0,T94=""),"",AY94*HoursPerDay-T94)</f>
        <v/>
      </c>
      <c r="AC94" s="12" t="str">
        <f aca="false">IF(AE94=0,"",BA94)</f>
        <v/>
      </c>
      <c r="AD94" s="12" t="str">
        <f aca="false">IF(AE94=0,"",TRIM(IF(AND(AG94&gt;=1,IF(AG94&gt;=3,AM94,IF(AG94=2,AL94,AK94))&lt;&gt;$C94),"EmploymentType does not match latest start date ("&amp;IF(AG94&gt;=3,AM94,IF(AG94=2,AL94,AK94))&amp;"). ","")&amp;IF(AND(AG94&gt;=1,AH94&lt;&gt;$F94),"Earliest type date should equal StartDate. ","")&amp;IF(AND(AG94&gt;=2,AH94=AI94),"Two types start on the same date. ","")&amp;IF(AND($C94="Part-Time",$P94=""),"Part-time: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IF(AE94=0,"",IF(AG94=0,IF($C94="Full-Time","FT",IF(AND($C94="Part-Time",OR($P94="",N($P94)&gt;=PT_MinHours)),"PT","None")),IF(AK94="Full-Time","FT",IF(AND(AK94="Part-Time",OR($P94="",N($P94)&gt;=PT_MinHours)),"PT","None"))))</f>
        <v/>
      </c>
      <c r="AO94" s="12" t="str">
        <f aca="false">IF(AE94=0,"",IF(AG94&lt;2,"",IF(AL94="Full-Time","FT",IF(AND(AL94="Part-Time",OR($P94="",N($P94)&gt;=PT_MinHours)),"PT","None"))))</f>
        <v/>
      </c>
      <c r="AP94" s="12" t="str">
        <f aca="false">IF(AE94=0,"",IF(AG94&lt;3,"",IF(AM94="Full-Time","FT",IF(AND(AM94="Part-Time",OR($P94="",N($P94)&gt;=PT_MinHours)),"PT","None"))))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IF(OR(AE95=0,$D95=""),"",DATE(YEAR(AsOfDate)+IF(DATE(YEAR(AsOfDate),MONTH($D95),DAY($D95))&lt;=AsOfDate,1,0),MONTH($D95),DAY($D95)))</f>
        <v/>
      </c>
      <c r="F95" s="16"/>
      <c r="G95" s="16"/>
      <c r="H95" s="16"/>
      <c r="I95" s="16"/>
      <c r="J95" s="16"/>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7"/>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"&amp;IF(AND($C95="Part-Time",$P95&lt;&gt;"",N($P95)&lt;PT_MinHours),"under "&amp;PT_MinHours&amp;" hrs",$C95)),IF(O95&gt;0,"Yes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IF(AE95=0,"",X95-N(U95))</f>
        <v/>
      </c>
      <c r="Z95" s="12" t="str">
        <f aca="false">IF(AE95=0,"",IF(Y95&gt;0,"Yes","No"))</f>
        <v/>
      </c>
      <c r="AA95" s="12" t="str">
        <f aca="false">IF(AE95=0,"",IF(NOT(LH_Ready),"Paste Leave History export",IF(Y95&gt;0,"ACCRUE "&amp;TEXT(Y95,"0.##")&amp;" hrs ("&amp;TEXT(Y95/HoursPerDay,"0.##")&amp;" days)"&amp;IF(BA95=0," - no Bonus Leave line in EH yet",""),IF(Y95&lt;0,"CHECK - EH accrued "&amp;TEXT(-Y95,"0.##")&amp;" hrs more than policy",IF(AND(O95&gt;0,BA95=0),"CHECK - policy says "&amp;TEXT(N95,"0.##")&amp;" hrs to date but no Bonus Leave in EH",IF(O95&gt;0,"OK","-"))))))</f>
        <v/>
      </c>
      <c r="AB95" s="13" t="str">
        <f aca="false">IF(OR(AE95=0,T95=""),"",AY95*HoursPerDay-T95)</f>
        <v/>
      </c>
      <c r="AC95" s="12" t="str">
        <f aca="false">IF(AE95=0,"",BA95)</f>
        <v/>
      </c>
      <c r="AD95" s="12" t="str">
        <f aca="false">IF(AE95=0,"",TRIM(IF(AND(AG95&gt;=1,IF(AG95&gt;=3,AM95,IF(AG95=2,AL95,AK95))&lt;&gt;$C95),"EmploymentType does not match latest start date ("&amp;IF(AG95&gt;=3,AM95,IF(AG95=2,AL95,AK95))&amp;"). ","")&amp;IF(AND(AG95&gt;=1,AH95&lt;&gt;$F95),"Earliest type date should equal StartDate. ","")&amp;IF(AND(AG95&gt;=2,AH95=AI95),"Two types start on the same date. ","")&amp;IF(AND($C95="Part-Time",$P95=""),"Part-time: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IF(AE95=0,"",IF(AG95=0,IF($C95="Full-Time","FT",IF(AND($C95="Part-Time",OR($P95="",N($P95)&gt;=PT_MinHours)),"PT","None")),IF(AK95="Full-Time","FT",IF(AND(AK95="Part-Time",OR($P95="",N($P95)&gt;=PT_MinHours)),"PT","None"))))</f>
        <v/>
      </c>
      <c r="AO95" s="12" t="str">
        <f aca="false">IF(AE95=0,"",IF(AG95&lt;2,"",IF(AL95="Full-Time","FT",IF(AND(AL95="Part-Time",OR($P95="",N($P95)&gt;=PT_MinHours)),"PT","None"))))</f>
        <v/>
      </c>
      <c r="AP95" s="12" t="str">
        <f aca="false">IF(AE95=0,"",IF(AG95&lt;3,"",IF(AM95="Full-Time","FT",IF(AND(AM95="Part-Time",OR($P95="",N($P95)&gt;=PT_MinHours)),"PT","None"))))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IF(OR(AE96=0,$D96=""),"",DATE(YEAR(AsOfDate)+IF(DATE(YEAR(AsOfDate),MONTH($D96),DAY($D96))&lt;=AsOfDate,1,0),MONTH($D96),DAY($D96)))</f>
        <v/>
      </c>
      <c r="F96" s="16"/>
      <c r="G96" s="16"/>
      <c r="H96" s="16"/>
      <c r="I96" s="16"/>
      <c r="J96" s="16"/>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7"/>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"&amp;IF(AND($C96="Part-Time",$P96&lt;&gt;"",N($P96)&lt;PT_MinHours),"under "&amp;PT_MinHours&amp;" hrs",$C96)),IF(O96&gt;0,"Yes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IF(AE96=0,"",X96-N(U96))</f>
        <v/>
      </c>
      <c r="Z96" s="12" t="str">
        <f aca="false">IF(AE96=0,"",IF(Y96&gt;0,"Yes","No"))</f>
        <v/>
      </c>
      <c r="AA96" s="12" t="str">
        <f aca="false">IF(AE96=0,"",IF(NOT(LH_Ready),"Paste Leave History export",IF(Y96&gt;0,"ACCRUE "&amp;TEXT(Y96,"0.##")&amp;" hrs ("&amp;TEXT(Y96/HoursPerDay,"0.##")&amp;" days)"&amp;IF(BA96=0," - no Bonus Leave line in EH yet",""),IF(Y96&lt;0,"CHECK - EH accrued "&amp;TEXT(-Y96,"0.##")&amp;" hrs more than policy",IF(AND(O96&gt;0,BA96=0),"CHECK - policy says "&amp;TEXT(N96,"0.##")&amp;" hrs to date but no Bonus Leave in EH",IF(O96&gt;0,"OK","-"))))))</f>
        <v/>
      </c>
      <c r="AB96" s="13" t="str">
        <f aca="false">IF(OR(AE96=0,T96=""),"",AY96*HoursPerDay-T96)</f>
        <v/>
      </c>
      <c r="AC96" s="12" t="str">
        <f aca="false">IF(AE96=0,"",BA96)</f>
        <v/>
      </c>
      <c r="AD96" s="12" t="str">
        <f aca="false">IF(AE96=0,"",TRIM(IF(AND(AG96&gt;=1,IF(AG96&gt;=3,AM96,IF(AG96=2,AL96,AK96))&lt;&gt;$C96),"EmploymentType does not match latest start date ("&amp;IF(AG96&gt;=3,AM96,IF(AG96=2,AL96,AK96))&amp;"). ","")&amp;IF(AND(AG96&gt;=1,AH96&lt;&gt;$F96),"Earliest type date should equal StartDate. ","")&amp;IF(AND(AG96&gt;=2,AH96=AI96),"Two types start on the same date. ","")&amp;IF(AND($C96="Part-Time",$P96=""),"Part-time: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IF(AE96=0,"",IF(AG96=0,IF($C96="Full-Time","FT",IF(AND($C96="Part-Time",OR($P96="",N($P96)&gt;=PT_MinHours)),"PT","None")),IF(AK96="Full-Time","FT",IF(AND(AK96="Part-Time",OR($P96="",N($P96)&gt;=PT_MinHours)),"PT","None"))))</f>
        <v/>
      </c>
      <c r="AO96" s="12" t="str">
        <f aca="false">IF(AE96=0,"",IF(AG96&lt;2,"",IF(AL96="Full-Time","FT",IF(AND(AL96="Part-Time",OR($P96="",N($P96)&gt;=PT_MinHours)),"PT","None"))))</f>
        <v/>
      </c>
      <c r="AP96" s="12" t="str">
        <f aca="false">IF(AE96=0,"",IF(AG96&lt;3,"",IF(AM96="Full-Time","FT",IF(AND(AM96="Part-Time",OR($P96="",N($P96)&gt;=PT_MinHours)),"PT","None"))))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IF(OR(AE97=0,$D97=""),"",DATE(YEAR(AsOfDate)+IF(DATE(YEAR(AsOfDate),MONTH($D97),DAY($D97))&lt;=AsOfDate,1,0),MONTH($D97),DAY($D97)))</f>
        <v/>
      </c>
      <c r="F97" s="16"/>
      <c r="G97" s="16"/>
      <c r="H97" s="16"/>
      <c r="I97" s="16"/>
      <c r="J97" s="16"/>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7"/>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"&amp;IF(AND($C97="Part-Time",$P97&lt;&gt;"",N($P97)&lt;PT_MinHours),"under "&amp;PT_MinHours&amp;" hrs",$C97)),IF(O97&gt;0,"Yes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IF(AE97=0,"",X97-N(U97))</f>
        <v/>
      </c>
      <c r="Z97" s="12" t="str">
        <f aca="false">IF(AE97=0,"",IF(Y97&gt;0,"Yes","No"))</f>
        <v/>
      </c>
      <c r="AA97" s="12" t="str">
        <f aca="false">IF(AE97=0,"",IF(NOT(LH_Ready),"Paste Leave History export",IF(Y97&gt;0,"ACCRUE "&amp;TEXT(Y97,"0.##")&amp;" hrs ("&amp;TEXT(Y97/HoursPerDay,"0.##")&amp;" days)"&amp;IF(BA97=0," - no Bonus Leave line in EH yet",""),IF(Y97&lt;0,"CHECK - EH accrued "&amp;TEXT(-Y97,"0.##")&amp;" hrs more than policy",IF(AND(O97&gt;0,BA97=0),"CHECK - policy says "&amp;TEXT(N97,"0.##")&amp;" hrs to date but no Bonus Leave in EH",IF(O97&gt;0,"OK","-"))))))</f>
        <v/>
      </c>
      <c r="AB97" s="13" t="str">
        <f aca="false">IF(OR(AE97=0,T97=""),"",AY97*HoursPerDay-T97)</f>
        <v/>
      </c>
      <c r="AC97" s="12" t="str">
        <f aca="false">IF(AE97=0,"",BA97)</f>
        <v/>
      </c>
      <c r="AD97" s="12" t="str">
        <f aca="false">IF(AE97=0,"",TRIM(IF(AND(AG97&gt;=1,IF(AG97&gt;=3,AM97,IF(AG97=2,AL97,AK97))&lt;&gt;$C97),"EmploymentType does not match latest start date ("&amp;IF(AG97&gt;=3,AM97,IF(AG97=2,AL97,AK97))&amp;"). ","")&amp;IF(AND(AG97&gt;=1,AH97&lt;&gt;$F97),"Earliest type date should equal StartDate. ","")&amp;IF(AND(AG97&gt;=2,AH97=AI97),"Two types start on the same date. ","")&amp;IF(AND($C97="Part-Time",$P97=""),"Part-time: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IF(AE97=0,"",IF(AG97=0,IF($C97="Full-Time","FT",IF(AND($C97="Part-Time",OR($P97="",N($P97)&gt;=PT_MinHours)),"PT","None")),IF(AK97="Full-Time","FT",IF(AND(AK97="Part-Time",OR($P97="",N($P97)&gt;=PT_MinHours)),"PT","None"))))</f>
        <v/>
      </c>
      <c r="AO97" s="12" t="str">
        <f aca="false">IF(AE97=0,"",IF(AG97&lt;2,"",IF(AL97="Full-Time","FT",IF(AND(AL97="Part-Time",OR($P97="",N($P97)&gt;=PT_MinHours)),"PT","None"))))</f>
        <v/>
      </c>
      <c r="AP97" s="12" t="str">
        <f aca="false">IF(AE97=0,"",IF(AG97&lt;3,"",IF(AM97="Full-Time","FT",IF(AND(AM97="Part-Time",OR($P97="",N($P97)&gt;=PT_MinHours)),"PT","None"))))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IF(OR(AE98=0,$D98=""),"",DATE(YEAR(AsOfDate)+IF(DATE(YEAR(AsOfDate),MONTH($D98),DAY($D98))&lt;=AsOfDate,1,0),MONTH($D98),DAY($D98)))</f>
        <v/>
      </c>
      <c r="F98" s="16"/>
      <c r="G98" s="16"/>
      <c r="H98" s="16"/>
      <c r="I98" s="16"/>
      <c r="J98" s="16"/>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7"/>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"&amp;IF(AND($C98="Part-Time",$P98&lt;&gt;"",N($P98)&lt;PT_MinHours),"under "&amp;PT_MinHours&amp;" hrs",$C98)),IF(O98&gt;0,"Yes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IF(AE98=0,"",X98-N(U98))</f>
        <v/>
      </c>
      <c r="Z98" s="12" t="str">
        <f aca="false">IF(AE98=0,"",IF(Y98&gt;0,"Yes","No"))</f>
        <v/>
      </c>
      <c r="AA98" s="12" t="str">
        <f aca="false">IF(AE98=0,"",IF(NOT(LH_Ready),"Paste Leave History export",IF(Y98&gt;0,"ACCRUE "&amp;TEXT(Y98,"0.##")&amp;" hrs ("&amp;TEXT(Y98/HoursPerDay,"0.##")&amp;" days)"&amp;IF(BA98=0," - no Bonus Leave line in EH yet",""),IF(Y98&lt;0,"CHECK - EH accrued "&amp;TEXT(-Y98,"0.##")&amp;" hrs more than policy",IF(AND(O98&gt;0,BA98=0),"CHECK - policy says "&amp;TEXT(N98,"0.##")&amp;" hrs to date but no Bonus Leave in EH",IF(O98&gt;0,"OK","-"))))))</f>
        <v/>
      </c>
      <c r="AB98" s="13" t="str">
        <f aca="false">IF(OR(AE98=0,T98=""),"",AY98*HoursPerDay-T98)</f>
        <v/>
      </c>
      <c r="AC98" s="12" t="str">
        <f aca="false">IF(AE98=0,"",BA98)</f>
        <v/>
      </c>
      <c r="AD98" s="12" t="str">
        <f aca="false">IF(AE98=0,"",TRIM(IF(AND(AG98&gt;=1,IF(AG98&gt;=3,AM98,IF(AG98=2,AL98,AK98))&lt;&gt;$C98),"EmploymentType does not match latest start date ("&amp;IF(AG98&gt;=3,AM98,IF(AG98=2,AL98,AK98))&amp;"). ","")&amp;IF(AND(AG98&gt;=1,AH98&lt;&gt;$F98),"Earliest type date should equal StartDate. ","")&amp;IF(AND(AG98&gt;=2,AH98=AI98),"Two types start on the same date. ","")&amp;IF(AND($C98="Part-Time",$P98=""),"Part-time: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IF(AE98=0,"",IF(AG98=0,IF($C98="Full-Time","FT",IF(AND($C98="Part-Time",OR($P98="",N($P98)&gt;=PT_MinHours)),"PT","None")),IF(AK98="Full-Time","FT",IF(AND(AK98="Part-Time",OR($P98="",N($P98)&gt;=PT_MinHours)),"PT","None"))))</f>
        <v/>
      </c>
      <c r="AO98" s="12" t="str">
        <f aca="false">IF(AE98=0,"",IF(AG98&lt;2,"",IF(AL98="Full-Time","FT",IF(AND(AL98="Part-Time",OR($P98="",N($P98)&gt;=PT_MinHours)),"PT","None"))))</f>
        <v/>
      </c>
      <c r="AP98" s="12" t="str">
        <f aca="false">IF(AE98=0,"",IF(AG98&lt;3,"",IF(AM98="Full-Time","FT",IF(AND(AM98="Part-Time",OR($P98="",N($P98)&gt;=PT_MinHours)),"PT","None"))))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IF(OR(AE99=0,$D99=""),"",DATE(YEAR(AsOfDate)+IF(DATE(YEAR(AsOfDate),MONTH($D99),DAY($D99))&lt;=AsOfDate,1,0),MONTH($D99),DAY($D99)))</f>
        <v/>
      </c>
      <c r="F99" s="16"/>
      <c r="G99" s="16"/>
      <c r="H99" s="16"/>
      <c r="I99" s="16"/>
      <c r="J99" s="16"/>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7"/>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"&amp;IF(AND($C99="Part-Time",$P99&lt;&gt;"",N($P99)&lt;PT_MinHours),"under "&amp;PT_MinHours&amp;" hrs",$C99)),IF(O99&gt;0,"Yes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IF(AE99=0,"",X99-N(U99))</f>
        <v/>
      </c>
      <c r="Z99" s="12" t="str">
        <f aca="false">IF(AE99=0,"",IF(Y99&gt;0,"Yes","No"))</f>
        <v/>
      </c>
      <c r="AA99" s="12" t="str">
        <f aca="false">IF(AE99=0,"",IF(NOT(LH_Ready),"Paste Leave History export",IF(Y99&gt;0,"ACCRUE "&amp;TEXT(Y99,"0.##")&amp;" hrs ("&amp;TEXT(Y99/HoursPerDay,"0.##")&amp;" days)"&amp;IF(BA99=0," - no Bonus Leave line in EH yet",""),IF(Y99&lt;0,"CHECK - EH accrued "&amp;TEXT(-Y99,"0.##")&amp;" hrs more than policy",IF(AND(O99&gt;0,BA99=0),"CHECK - policy says "&amp;TEXT(N99,"0.##")&amp;" hrs to date but no Bonus Leave in EH",IF(O99&gt;0,"OK","-"))))))</f>
        <v/>
      </c>
      <c r="AB99" s="13" t="str">
        <f aca="false">IF(OR(AE99=0,T99=""),"",AY99*HoursPerDay-T99)</f>
        <v/>
      </c>
      <c r="AC99" s="12" t="str">
        <f aca="false">IF(AE99=0,"",BA99)</f>
        <v/>
      </c>
      <c r="AD99" s="12" t="str">
        <f aca="false">IF(AE99=0,"",TRIM(IF(AND(AG99&gt;=1,IF(AG99&gt;=3,AM99,IF(AG99=2,AL99,AK99))&lt;&gt;$C99),"EmploymentType does not match latest start date ("&amp;IF(AG99&gt;=3,AM99,IF(AG99=2,AL99,AK99))&amp;"). ","")&amp;IF(AND(AG99&gt;=1,AH99&lt;&gt;$F99),"Earliest type date should equal StartDate. ","")&amp;IF(AND(AG99&gt;=2,AH99=AI99),"Two types start on the same date. ","")&amp;IF(AND($C99="Part-Time",$P99=""),"Part-time: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IF(AE99=0,"",IF(AG99=0,IF($C99="Full-Time","FT",IF(AND($C99="Part-Time",OR($P99="",N($P99)&gt;=PT_MinHours)),"PT","None")),IF(AK99="Full-Time","FT",IF(AND(AK99="Part-Time",OR($P99="",N($P99)&gt;=PT_MinHours)),"PT","None"))))</f>
        <v/>
      </c>
      <c r="AO99" s="12" t="str">
        <f aca="false">IF(AE99=0,"",IF(AG99&lt;2,"",IF(AL99="Full-Time","FT",IF(AND(AL99="Part-Time",OR($P99="",N($P99)&gt;=PT_MinHours)),"PT","None"))))</f>
        <v/>
      </c>
      <c r="AP99" s="12" t="str">
        <f aca="false">IF(AE99=0,"",IF(AG99&lt;3,"",IF(AM99="Full-Time","FT",IF(AND(AM99="Part-Time",OR($P99="",N($P99)&gt;=PT_MinHours)),"PT","None"))))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IF(OR(AE100=0,$D100=""),"",DATE(YEAR(AsOfDate)+IF(DATE(YEAR(AsOfDate),MONTH($D100),DAY($D100))&lt;=AsOfDate,1,0),MONTH($D100),DAY($D100)))</f>
        <v/>
      </c>
      <c r="F100" s="16"/>
      <c r="G100" s="16"/>
      <c r="H100" s="16"/>
      <c r="I100" s="16"/>
      <c r="J100" s="16"/>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7"/>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"&amp;IF(AND($C100="Part-Time",$P100&lt;&gt;"",N($P100)&lt;PT_MinHours),"under "&amp;PT_MinHours&amp;" hrs",$C100)),IF(O100&gt;0,"Yes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IF(AE100=0,"",X100-N(U100))</f>
        <v/>
      </c>
      <c r="Z100" s="12" t="str">
        <f aca="false">IF(AE100=0,"",IF(Y100&gt;0,"Yes","No"))</f>
        <v/>
      </c>
      <c r="AA100" s="12" t="str">
        <f aca="false">IF(AE100=0,"",IF(NOT(LH_Ready),"Paste Leave History export",IF(Y100&gt;0,"ACCRUE "&amp;TEXT(Y100,"0.##")&amp;" hrs ("&amp;TEXT(Y100/HoursPerDay,"0.##")&amp;" days)"&amp;IF(BA100=0," - no Bonus Leave line in EH yet",""),IF(Y100&lt;0,"CHECK - EH accrued "&amp;TEXT(-Y100,"0.##")&amp;" hrs more than policy",IF(AND(O100&gt;0,BA100=0),"CHECK - policy says "&amp;TEXT(N100,"0.##")&amp;" hrs to date but no Bonus Leave in EH",IF(O100&gt;0,"OK","-"))))))</f>
        <v/>
      </c>
      <c r="AB100" s="13" t="str">
        <f aca="false">IF(OR(AE100=0,T100=""),"",AY100*HoursPerDay-T100)</f>
        <v/>
      </c>
      <c r="AC100" s="12" t="str">
        <f aca="false">IF(AE100=0,"",BA100)</f>
        <v/>
      </c>
      <c r="AD100" s="12" t="str">
        <f aca="false">IF(AE100=0,"",TRIM(IF(AND(AG100&gt;=1,IF(AG100&gt;=3,AM100,IF(AG100=2,AL100,AK100))&lt;&gt;$C100),"EmploymentType does not match latest start date ("&amp;IF(AG100&gt;=3,AM100,IF(AG100=2,AL100,AK100))&amp;"). ","")&amp;IF(AND(AG100&gt;=1,AH100&lt;&gt;$F100),"Earliest type date should equal StartDate. ","")&amp;IF(AND(AG100&gt;=2,AH100=AI100),"Two types start on the same date. ","")&amp;IF(AND($C100="Part-Time",$P100=""),"Part-time: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IF(AE100=0,"",IF(AG100=0,IF($C100="Full-Time","FT",IF(AND($C100="Part-Time",OR($P100="",N($P100)&gt;=PT_MinHours)),"PT","None")),IF(AK100="Full-Time","FT",IF(AND(AK100="Part-Time",OR($P100="",N($P100)&gt;=PT_MinHours)),"PT","None"))))</f>
        <v/>
      </c>
      <c r="AO100" s="12" t="str">
        <f aca="false">IF(AE100=0,"",IF(AG100&lt;2,"",IF(AL100="Full-Time","FT",IF(AND(AL100="Part-Time",OR($P100="",N($P100)&gt;=PT_MinHours)),"PT","None"))))</f>
        <v/>
      </c>
      <c r="AP100" s="12" t="str">
        <f aca="false">IF(AE100=0,"",IF(AG100&lt;3,"",IF(AM100="Full-Time","FT",IF(AND(AM100="Part-Time",OR($P100="",N($P100)&gt;=PT_MinHours)),"PT","None"))))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IF(OR(AE101=0,$D101=""),"",DATE(YEAR(AsOfDate)+IF(DATE(YEAR(AsOfDate),MONTH($D101),DAY($D101))&lt;=AsOfDate,1,0),MONTH($D101),DAY($D101)))</f>
        <v/>
      </c>
      <c r="F101" s="16"/>
      <c r="G101" s="16"/>
      <c r="H101" s="16"/>
      <c r="I101" s="16"/>
      <c r="J101" s="16"/>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7"/>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"&amp;IF(AND($C101="Part-Time",$P101&lt;&gt;"",N($P101)&lt;PT_MinHours),"under "&amp;PT_MinHours&amp;" hrs",$C101)),IF(O101&gt;0,"Yes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IF(AE101=0,"",X101-N(U101))</f>
        <v/>
      </c>
      <c r="Z101" s="12" t="str">
        <f aca="false">IF(AE101=0,"",IF(Y101&gt;0,"Yes","No"))</f>
        <v/>
      </c>
      <c r="AA101" s="12" t="str">
        <f aca="false">IF(AE101=0,"",IF(NOT(LH_Ready),"Paste Leave History export",IF(Y101&gt;0,"ACCRUE "&amp;TEXT(Y101,"0.##")&amp;" hrs ("&amp;TEXT(Y101/HoursPerDay,"0.##")&amp;" days)"&amp;IF(BA101=0," - no Bonus Leave line in EH yet",""),IF(Y101&lt;0,"CHECK - EH accrued "&amp;TEXT(-Y101,"0.##")&amp;" hrs more than policy",IF(AND(O101&gt;0,BA101=0),"CHECK - policy says "&amp;TEXT(N101,"0.##")&amp;" hrs to date but no Bonus Leave in EH",IF(O101&gt;0,"OK","-"))))))</f>
        <v/>
      </c>
      <c r="AB101" s="13" t="str">
        <f aca="false">IF(OR(AE101=0,T101=""),"",AY101*HoursPerDay-T101)</f>
        <v/>
      </c>
      <c r="AC101" s="12" t="str">
        <f aca="false">IF(AE101=0,"",BA101)</f>
        <v/>
      </c>
      <c r="AD101" s="12" t="str">
        <f aca="false">IF(AE101=0,"",TRIM(IF(AND(AG101&gt;=1,IF(AG101&gt;=3,AM101,IF(AG101=2,AL101,AK101))&lt;&gt;$C101),"EmploymentType does not match latest start date ("&amp;IF(AG101&gt;=3,AM101,IF(AG101=2,AL101,AK101))&amp;"). ","")&amp;IF(AND(AG101&gt;=1,AH101&lt;&gt;$F101),"Earliest type date should equal StartDate. ","")&amp;IF(AND(AG101&gt;=2,AH101=AI101),"Two types start on the same date. ","")&amp;IF(AND($C101="Part-Time",$P101=""),"Part-time: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IF(AE101=0,"",IF(AG101=0,IF($C101="Full-Time","FT",IF(AND($C101="Part-Time",OR($P101="",N($P101)&gt;=PT_MinHours)),"PT","None")),IF(AK101="Full-Time","FT",IF(AND(AK101="Part-Time",OR($P101="",N($P101)&gt;=PT_MinHours)),"PT","None"))))</f>
        <v/>
      </c>
      <c r="AO101" s="12" t="str">
        <f aca="false">IF(AE101=0,"",IF(AG101&lt;2,"",IF(AL101="Full-Time","FT",IF(AND(AL101="Part-Time",OR($P101="",N($P101)&gt;=PT_MinHours)),"PT","None"))))</f>
        <v/>
      </c>
      <c r="AP101" s="12" t="str">
        <f aca="false">IF(AE101=0,"",IF(AG101&lt;3,"",IF(AM101="Full-Time","FT",IF(AND(AM101="Part-Time",OR($P101="",N($P101)&gt;=PT_MinHours)),"PT","None"))))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IF(OR(AE102=0,$D102=""),"",DATE(YEAR(AsOfDate)+IF(DATE(YEAR(AsOfDate),MONTH($D102),DAY($D102))&lt;=AsOfDate,1,0),MONTH($D102),DAY($D102)))</f>
        <v/>
      </c>
      <c r="F102" s="16"/>
      <c r="G102" s="16"/>
      <c r="H102" s="16"/>
      <c r="I102" s="16"/>
      <c r="J102" s="16"/>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7"/>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"&amp;IF(AND($C102="Part-Time",$P102&lt;&gt;"",N($P102)&lt;PT_MinHours),"under "&amp;PT_MinHours&amp;" hrs",$C102)),IF(O102&gt;0,"Yes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IF(AE102=0,"",X102-N(U102))</f>
        <v/>
      </c>
      <c r="Z102" s="12" t="str">
        <f aca="false">IF(AE102=0,"",IF(Y102&gt;0,"Yes","No"))</f>
        <v/>
      </c>
      <c r="AA102" s="12" t="str">
        <f aca="false">IF(AE102=0,"",IF(NOT(LH_Ready),"Paste Leave History export",IF(Y102&gt;0,"ACCRUE "&amp;TEXT(Y102,"0.##")&amp;" hrs ("&amp;TEXT(Y102/HoursPerDay,"0.##")&amp;" days)"&amp;IF(BA102=0," - no Bonus Leave line in EH yet",""),IF(Y102&lt;0,"CHECK - EH accrued "&amp;TEXT(-Y102,"0.##")&amp;" hrs more than policy",IF(AND(O102&gt;0,BA102=0),"CHECK - policy says "&amp;TEXT(N102,"0.##")&amp;" hrs to date but no Bonus Leave in EH",IF(O102&gt;0,"OK","-"))))))</f>
        <v/>
      </c>
      <c r="AB102" s="13" t="str">
        <f aca="false">IF(OR(AE102=0,T102=""),"",AY102*HoursPerDay-T102)</f>
        <v/>
      </c>
      <c r="AC102" s="12" t="str">
        <f aca="false">IF(AE102=0,"",BA102)</f>
        <v/>
      </c>
      <c r="AD102" s="12" t="str">
        <f aca="false">IF(AE102=0,"",TRIM(IF(AND(AG102&gt;=1,IF(AG102&gt;=3,AM102,IF(AG102=2,AL102,AK102))&lt;&gt;$C102),"EmploymentType does not match latest start date ("&amp;IF(AG102&gt;=3,AM102,IF(AG102=2,AL102,AK102))&amp;"). ","")&amp;IF(AND(AG102&gt;=1,AH102&lt;&gt;$F102),"Earliest type date should equal StartDate. ","")&amp;IF(AND(AG102&gt;=2,AH102=AI102),"Two types start on the same date. ","")&amp;IF(AND($C102="Part-Time",$P102=""),"Part-time: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IF(AE102=0,"",IF(AG102=0,IF($C102="Full-Time","FT",IF(AND($C102="Part-Time",OR($P102="",N($P102)&gt;=PT_MinHours)),"PT","None")),IF(AK102="Full-Time","FT",IF(AND(AK102="Part-Time",OR($P102="",N($P102)&gt;=PT_MinHours)),"PT","None"))))</f>
        <v/>
      </c>
      <c r="AO102" s="12" t="str">
        <f aca="false">IF(AE102=0,"",IF(AG102&lt;2,"",IF(AL102="Full-Time","FT",IF(AND(AL102="Part-Time",OR($P102="",N($P102)&gt;=PT_MinHours)),"PT","None"))))</f>
        <v/>
      </c>
      <c r="AP102" s="12" t="str">
        <f aca="false">IF(AE102=0,"",IF(AG102&lt;3,"",IF(AM102="Full-Time","FT",IF(AND(AM102="Part-Time",OR($P102="",N($P102)&gt;=PT_MinHours)),"PT","None"))))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IF(OR(AE103=0,$D103=""),"",DATE(YEAR(AsOfDate)+IF(DATE(YEAR(AsOfDate),MONTH($D103),DAY($D103))&lt;=AsOfDate,1,0),MONTH($D103),DAY($D103)))</f>
        <v/>
      </c>
      <c r="F103" s="16"/>
      <c r="G103" s="16"/>
      <c r="H103" s="16"/>
      <c r="I103" s="16"/>
      <c r="J103" s="16"/>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7"/>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"&amp;IF(AND($C103="Part-Time",$P103&lt;&gt;"",N($P103)&lt;PT_MinHours),"under "&amp;PT_MinHours&amp;" hrs",$C103)),IF(O103&gt;0,"Yes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IF(AE103=0,"",X103-N(U103))</f>
        <v/>
      </c>
      <c r="Z103" s="12" t="str">
        <f aca="false">IF(AE103=0,"",IF(Y103&gt;0,"Yes","No"))</f>
        <v/>
      </c>
      <c r="AA103" s="12" t="str">
        <f aca="false">IF(AE103=0,"",IF(NOT(LH_Ready),"Paste Leave History export",IF(Y103&gt;0,"ACCRUE "&amp;TEXT(Y103,"0.##")&amp;" hrs ("&amp;TEXT(Y103/HoursPerDay,"0.##")&amp;" days)"&amp;IF(BA103=0," - no Bonus Leave line in EH yet",""),IF(Y103&lt;0,"CHECK - EH accrued "&amp;TEXT(-Y103,"0.##")&amp;" hrs more than policy",IF(AND(O103&gt;0,BA103=0),"CHECK - policy says "&amp;TEXT(N103,"0.##")&amp;" hrs to date but no Bonus Leave in EH",IF(O103&gt;0,"OK","-"))))))</f>
        <v/>
      </c>
      <c r="AB103" s="13" t="str">
        <f aca="false">IF(OR(AE103=0,T103=""),"",AY103*HoursPerDay-T103)</f>
        <v/>
      </c>
      <c r="AC103" s="12" t="str">
        <f aca="false">IF(AE103=0,"",BA103)</f>
        <v/>
      </c>
      <c r="AD103" s="12" t="str">
        <f aca="false">IF(AE103=0,"",TRIM(IF(AND(AG103&gt;=1,IF(AG103&gt;=3,AM103,IF(AG103=2,AL103,AK103))&lt;&gt;$C103),"EmploymentType does not match latest start date ("&amp;IF(AG103&gt;=3,AM103,IF(AG103=2,AL103,AK103))&amp;"). ","")&amp;IF(AND(AG103&gt;=1,AH103&lt;&gt;$F103),"Earliest type date should equal StartDate. ","")&amp;IF(AND(AG103&gt;=2,AH103=AI103),"Two types start on the same date. ","")&amp;IF(AND($C103="Part-Time",$P103=""),"Part-time: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IF(AE103=0,"",IF(AG103=0,IF($C103="Full-Time","FT",IF(AND($C103="Part-Time",OR($P103="",N($P103)&gt;=PT_MinHours)),"PT","None")),IF(AK103="Full-Time","FT",IF(AND(AK103="Part-Time",OR($P103="",N($P103)&gt;=PT_MinHours)),"PT","None"))))</f>
        <v/>
      </c>
      <c r="AO103" s="12" t="str">
        <f aca="false">IF(AE103=0,"",IF(AG103&lt;2,"",IF(AL103="Full-Time","FT",IF(AND(AL103="Part-Time",OR($P103="",N($P103)&gt;=PT_MinHours)),"PT","None"))))</f>
        <v/>
      </c>
      <c r="AP103" s="12" t="str">
        <f aca="false">IF(AE103=0,"",IF(AG103&lt;3,"",IF(AM103="Full-Time","FT",IF(AND(AM103="Part-Time",OR($P103="",N($P103)&gt;=PT_MinHours)),"PT","None"))))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IF(OR(AE104=0,$D104=""),"",DATE(YEAR(AsOfDate)+IF(DATE(YEAR(AsOfDate),MONTH($D104),DAY($D104))&lt;=AsOfDate,1,0),MONTH($D104),DAY($D104)))</f>
        <v/>
      </c>
      <c r="F104" s="16"/>
      <c r="G104" s="16"/>
      <c r="H104" s="16"/>
      <c r="I104" s="16"/>
      <c r="J104" s="16"/>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7"/>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"&amp;IF(AND($C104="Part-Time",$P104&lt;&gt;"",N($P104)&lt;PT_MinHours),"under "&amp;PT_MinHours&amp;" hrs",$C104)),IF(O104&gt;0,"Yes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IF(AE104=0,"",X104-N(U104))</f>
        <v/>
      </c>
      <c r="Z104" s="12" t="str">
        <f aca="false">IF(AE104=0,"",IF(Y104&gt;0,"Yes","No"))</f>
        <v/>
      </c>
      <c r="AA104" s="12" t="str">
        <f aca="false">IF(AE104=0,"",IF(NOT(LH_Ready),"Paste Leave History export",IF(Y104&gt;0,"ACCRUE "&amp;TEXT(Y104,"0.##")&amp;" hrs ("&amp;TEXT(Y104/HoursPerDay,"0.##")&amp;" days)"&amp;IF(BA104=0," - no Bonus Leave line in EH yet",""),IF(Y104&lt;0,"CHECK - EH accrued "&amp;TEXT(-Y104,"0.##")&amp;" hrs more than policy",IF(AND(O104&gt;0,BA104=0),"CHECK - policy says "&amp;TEXT(N104,"0.##")&amp;" hrs to date but no Bonus Leave in EH",IF(O104&gt;0,"OK","-"))))))</f>
        <v/>
      </c>
      <c r="AB104" s="13" t="str">
        <f aca="false">IF(OR(AE104=0,T104=""),"",AY104*HoursPerDay-T104)</f>
        <v/>
      </c>
      <c r="AC104" s="12" t="str">
        <f aca="false">IF(AE104=0,"",BA104)</f>
        <v/>
      </c>
      <c r="AD104" s="12" t="str">
        <f aca="false">IF(AE104=0,"",TRIM(IF(AND(AG104&gt;=1,IF(AG104&gt;=3,AM104,IF(AG104=2,AL104,AK104))&lt;&gt;$C104),"EmploymentType does not match latest start date ("&amp;IF(AG104&gt;=3,AM104,IF(AG104=2,AL104,AK104))&amp;"). ","")&amp;IF(AND(AG104&gt;=1,AH104&lt;&gt;$F104),"Earliest type date should equal StartDate. ","")&amp;IF(AND(AG104&gt;=2,AH104=AI104),"Two types start on the same date. ","")&amp;IF(AND($C104="Part-Time",$P104=""),"Part-time: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IF(AE104=0,"",IF(AG104=0,IF($C104="Full-Time","FT",IF(AND($C104="Part-Time",OR($P104="",N($P104)&gt;=PT_MinHours)),"PT","None")),IF(AK104="Full-Time","FT",IF(AND(AK104="Part-Time",OR($P104="",N($P104)&gt;=PT_MinHours)),"PT","None"))))</f>
        <v/>
      </c>
      <c r="AO104" s="12" t="str">
        <f aca="false">IF(AE104=0,"",IF(AG104&lt;2,"",IF(AL104="Full-Time","FT",IF(AND(AL104="Part-Time",OR($P104="",N($P104)&gt;=PT_MinHours)),"PT","None"))))</f>
        <v/>
      </c>
      <c r="AP104" s="12" t="str">
        <f aca="false">IF(AE104=0,"",IF(AG104&lt;3,"",IF(AM104="Full-Time","FT",IF(AND(AM104="Part-Time",OR($P104="",N($P104)&gt;=PT_MinHours)),"PT","None"))))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IF(OR(AE105=0,$D105=""),"",DATE(YEAR(AsOfDate)+IF(DATE(YEAR(AsOfDate),MONTH($D105),DAY($D105))&lt;=AsOfDate,1,0),MONTH($D105),DAY($D105)))</f>
        <v/>
      </c>
      <c r="F105" s="16"/>
      <c r="G105" s="16"/>
      <c r="H105" s="16"/>
      <c r="I105" s="16"/>
      <c r="J105" s="16"/>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7"/>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"&amp;IF(AND($C105="Part-Time",$P105&lt;&gt;"",N($P105)&lt;PT_MinHours),"under "&amp;PT_MinHours&amp;" hrs",$C105)),IF(O105&gt;0,"Yes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IF(AE105=0,"",X105-N(U105))</f>
        <v/>
      </c>
      <c r="Z105" s="12" t="str">
        <f aca="false">IF(AE105=0,"",IF(Y105&gt;0,"Yes","No"))</f>
        <v/>
      </c>
      <c r="AA105" s="12" t="str">
        <f aca="false">IF(AE105=0,"",IF(NOT(LH_Ready),"Paste Leave History export",IF(Y105&gt;0,"ACCRUE "&amp;TEXT(Y105,"0.##")&amp;" hrs ("&amp;TEXT(Y105/HoursPerDay,"0.##")&amp;" days)"&amp;IF(BA105=0," - no Bonus Leave line in EH yet",""),IF(Y105&lt;0,"CHECK - EH accrued "&amp;TEXT(-Y105,"0.##")&amp;" hrs more than policy",IF(AND(O105&gt;0,BA105=0),"CHECK - policy says "&amp;TEXT(N105,"0.##")&amp;" hrs to date but no Bonus Leave in EH",IF(O105&gt;0,"OK","-"))))))</f>
        <v/>
      </c>
      <c r="AB105" s="13" t="str">
        <f aca="false">IF(OR(AE105=0,T105=""),"",AY105*HoursPerDay-T105)</f>
        <v/>
      </c>
      <c r="AC105" s="12" t="str">
        <f aca="false">IF(AE105=0,"",BA105)</f>
        <v/>
      </c>
      <c r="AD105" s="12" t="str">
        <f aca="false">IF(AE105=0,"",TRIM(IF(AND(AG105&gt;=1,IF(AG105&gt;=3,AM105,IF(AG105=2,AL105,AK105))&lt;&gt;$C105),"EmploymentType does not match latest start date ("&amp;IF(AG105&gt;=3,AM105,IF(AG105=2,AL105,AK105))&amp;"). ","")&amp;IF(AND(AG105&gt;=1,AH105&lt;&gt;$F105),"Earliest type date should equal StartDate. ","")&amp;IF(AND(AG105&gt;=2,AH105=AI105),"Two types start on the same date. ","")&amp;IF(AND($C105="Part-Time",$P105=""),"Part-time: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IF(AE105=0,"",IF(AG105=0,IF($C105="Full-Time","FT",IF(AND($C105="Part-Time",OR($P105="",N($P105)&gt;=PT_MinHours)),"PT","None")),IF(AK105="Full-Time","FT",IF(AND(AK105="Part-Time",OR($P105="",N($P105)&gt;=PT_MinHours)),"PT","None"))))</f>
        <v/>
      </c>
      <c r="AO105" s="12" t="str">
        <f aca="false">IF(AE105=0,"",IF(AG105&lt;2,"",IF(AL105="Full-Time","FT",IF(AND(AL105="Part-Time",OR($P105="",N($P105)&gt;=PT_MinHours)),"PT","None"))))</f>
        <v/>
      </c>
      <c r="AP105" s="12" t="str">
        <f aca="false">IF(AE105=0,"",IF(AG105&lt;3,"",IF(AM105="Full-Time","FT",IF(AND(AM105="Part-Time",OR($P105="",N($P105)&gt;=PT_MinHours)),"PT","None"))))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IF(OR(AE106=0,$D106=""),"",DATE(YEAR(AsOfDate)+IF(DATE(YEAR(AsOfDate),MONTH($D106),DAY($D106))&lt;=AsOfDate,1,0),MONTH($D106),DAY($D106)))</f>
        <v/>
      </c>
      <c r="F106" s="16"/>
      <c r="G106" s="16"/>
      <c r="H106" s="16"/>
      <c r="I106" s="16"/>
      <c r="J106" s="16"/>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7"/>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"&amp;IF(AND($C106="Part-Time",$P106&lt;&gt;"",N($P106)&lt;PT_MinHours),"under "&amp;PT_MinHours&amp;" hrs",$C106)),IF(O106&gt;0,"Yes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IF(AE106=0,"",X106-N(U106))</f>
        <v/>
      </c>
      <c r="Z106" s="12" t="str">
        <f aca="false">IF(AE106=0,"",IF(Y106&gt;0,"Yes","No"))</f>
        <v/>
      </c>
      <c r="AA106" s="12" t="str">
        <f aca="false">IF(AE106=0,"",IF(NOT(LH_Ready),"Paste Leave History export",IF(Y106&gt;0,"ACCRUE "&amp;TEXT(Y106,"0.##")&amp;" hrs ("&amp;TEXT(Y106/HoursPerDay,"0.##")&amp;" days)"&amp;IF(BA106=0," - no Bonus Leave line in EH yet",""),IF(Y106&lt;0,"CHECK - EH accrued "&amp;TEXT(-Y106,"0.##")&amp;" hrs more than policy",IF(AND(O106&gt;0,BA106=0),"CHECK - policy says "&amp;TEXT(N106,"0.##")&amp;" hrs to date but no Bonus Leave in EH",IF(O106&gt;0,"OK","-"))))))</f>
        <v/>
      </c>
      <c r="AB106" s="13" t="str">
        <f aca="false">IF(OR(AE106=0,T106=""),"",AY106*HoursPerDay-T106)</f>
        <v/>
      </c>
      <c r="AC106" s="12" t="str">
        <f aca="false">IF(AE106=0,"",BA106)</f>
        <v/>
      </c>
      <c r="AD106" s="12" t="str">
        <f aca="false">IF(AE106=0,"",TRIM(IF(AND(AG106&gt;=1,IF(AG106&gt;=3,AM106,IF(AG106=2,AL106,AK106))&lt;&gt;$C106),"EmploymentType does not match latest start date ("&amp;IF(AG106&gt;=3,AM106,IF(AG106=2,AL106,AK106))&amp;"). ","")&amp;IF(AND(AG106&gt;=1,AH106&lt;&gt;$F106),"Earliest type date should equal StartDate. ","")&amp;IF(AND(AG106&gt;=2,AH106=AI106),"Two types start on the same date. ","")&amp;IF(AND($C106="Part-Time",$P106=""),"Part-time: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IF(AE106=0,"",IF(AG106=0,IF($C106="Full-Time","FT",IF(AND($C106="Part-Time",OR($P106="",N($P106)&gt;=PT_MinHours)),"PT","None")),IF(AK106="Full-Time","FT",IF(AND(AK106="Part-Time",OR($P106="",N($P106)&gt;=PT_MinHours)),"PT","None"))))</f>
        <v/>
      </c>
      <c r="AO106" s="12" t="str">
        <f aca="false">IF(AE106=0,"",IF(AG106&lt;2,"",IF(AL106="Full-Time","FT",IF(AND(AL106="Part-Time",OR($P106="",N($P106)&gt;=PT_MinHours)),"PT","None"))))</f>
        <v/>
      </c>
      <c r="AP106" s="12" t="str">
        <f aca="false">IF(AE106=0,"",IF(AG106&lt;3,"",IF(AM106="Full-Time","FT",IF(AND(AM106="Part-Time",OR($P106="",N($P106)&gt;=PT_MinHours)),"PT","None"))))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IF(OR(AE107=0,$D107=""),"",DATE(YEAR(AsOfDate)+IF(DATE(YEAR(AsOfDate),MONTH($D107),DAY($D107))&lt;=AsOfDate,1,0),MONTH($D107),DAY($D107)))</f>
        <v/>
      </c>
      <c r="F107" s="16"/>
      <c r="G107" s="16"/>
      <c r="H107" s="16"/>
      <c r="I107" s="16"/>
      <c r="J107" s="16"/>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7"/>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"&amp;IF(AND($C107="Part-Time",$P107&lt;&gt;"",N($P107)&lt;PT_MinHours),"under "&amp;PT_MinHours&amp;" hrs",$C107)),IF(O107&gt;0,"Yes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IF(AE107=0,"",X107-N(U107))</f>
        <v/>
      </c>
      <c r="Z107" s="12" t="str">
        <f aca="false">IF(AE107=0,"",IF(Y107&gt;0,"Yes","No"))</f>
        <v/>
      </c>
      <c r="AA107" s="12" t="str">
        <f aca="false">IF(AE107=0,"",IF(NOT(LH_Ready),"Paste Leave History export",IF(Y107&gt;0,"ACCRUE "&amp;TEXT(Y107,"0.##")&amp;" hrs ("&amp;TEXT(Y107/HoursPerDay,"0.##")&amp;" days)"&amp;IF(BA107=0," - no Bonus Leave line in EH yet",""),IF(Y107&lt;0,"CHECK - EH accrued "&amp;TEXT(-Y107,"0.##")&amp;" hrs more than policy",IF(AND(O107&gt;0,BA107=0),"CHECK - policy says "&amp;TEXT(N107,"0.##")&amp;" hrs to date but no Bonus Leave in EH",IF(O107&gt;0,"OK","-"))))))</f>
        <v/>
      </c>
      <c r="AB107" s="13" t="str">
        <f aca="false">IF(OR(AE107=0,T107=""),"",AY107*HoursPerDay-T107)</f>
        <v/>
      </c>
      <c r="AC107" s="12" t="str">
        <f aca="false">IF(AE107=0,"",BA107)</f>
        <v/>
      </c>
      <c r="AD107" s="12" t="str">
        <f aca="false">IF(AE107=0,"",TRIM(IF(AND(AG107&gt;=1,IF(AG107&gt;=3,AM107,IF(AG107=2,AL107,AK107))&lt;&gt;$C107),"EmploymentType does not match latest start date ("&amp;IF(AG107&gt;=3,AM107,IF(AG107=2,AL107,AK107))&amp;"). ","")&amp;IF(AND(AG107&gt;=1,AH107&lt;&gt;$F107),"Earliest type date should equal StartDate. ","")&amp;IF(AND(AG107&gt;=2,AH107=AI107),"Two types start on the same date. ","")&amp;IF(AND($C107="Part-Time",$P107=""),"Part-time: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IF(AE107=0,"",IF(AG107=0,IF($C107="Full-Time","FT",IF(AND($C107="Part-Time",OR($P107="",N($P107)&gt;=PT_MinHours)),"PT","None")),IF(AK107="Full-Time","FT",IF(AND(AK107="Part-Time",OR($P107="",N($P107)&gt;=PT_MinHours)),"PT","None"))))</f>
        <v/>
      </c>
      <c r="AO107" s="12" t="str">
        <f aca="false">IF(AE107=0,"",IF(AG107&lt;2,"",IF(AL107="Full-Time","FT",IF(AND(AL107="Part-Time",OR($P107="",N($P107)&gt;=PT_MinHours)),"PT","None"))))</f>
        <v/>
      </c>
      <c r="AP107" s="12" t="str">
        <f aca="false">IF(AE107=0,"",IF(AG107&lt;3,"",IF(AM107="Full-Time","FT",IF(AND(AM107="Part-Time",OR($P107="",N($P107)&gt;=PT_MinHours)),"PT","None"))))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IF(OR(AE108=0,$D108=""),"",DATE(YEAR(AsOfDate)+IF(DATE(YEAR(AsOfDate),MONTH($D108),DAY($D108))&lt;=AsOfDate,1,0),MONTH($D108),DAY($D108)))</f>
        <v/>
      </c>
      <c r="F108" s="16"/>
      <c r="G108" s="16"/>
      <c r="H108" s="16"/>
      <c r="I108" s="16"/>
      <c r="J108" s="16"/>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7"/>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"&amp;IF(AND($C108="Part-Time",$P108&lt;&gt;"",N($P108)&lt;PT_MinHours),"under "&amp;PT_MinHours&amp;" hrs",$C108)),IF(O108&gt;0,"Yes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IF(AE108=0,"",X108-N(U108))</f>
        <v/>
      </c>
      <c r="Z108" s="12" t="str">
        <f aca="false">IF(AE108=0,"",IF(Y108&gt;0,"Yes","No"))</f>
        <v/>
      </c>
      <c r="AA108" s="12" t="str">
        <f aca="false">IF(AE108=0,"",IF(NOT(LH_Ready),"Paste Leave History export",IF(Y108&gt;0,"ACCRUE "&amp;TEXT(Y108,"0.##")&amp;" hrs ("&amp;TEXT(Y108/HoursPerDay,"0.##")&amp;" days)"&amp;IF(BA108=0," - no Bonus Leave line in EH yet",""),IF(Y108&lt;0,"CHECK - EH accrued "&amp;TEXT(-Y108,"0.##")&amp;" hrs more than policy",IF(AND(O108&gt;0,BA108=0),"CHECK - policy says "&amp;TEXT(N108,"0.##")&amp;" hrs to date but no Bonus Leave in EH",IF(O108&gt;0,"OK","-"))))))</f>
        <v/>
      </c>
      <c r="AB108" s="13" t="str">
        <f aca="false">IF(OR(AE108=0,T108=""),"",AY108*HoursPerDay-T108)</f>
        <v/>
      </c>
      <c r="AC108" s="12" t="str">
        <f aca="false">IF(AE108=0,"",BA108)</f>
        <v/>
      </c>
      <c r="AD108" s="12" t="str">
        <f aca="false">IF(AE108=0,"",TRIM(IF(AND(AG108&gt;=1,IF(AG108&gt;=3,AM108,IF(AG108=2,AL108,AK108))&lt;&gt;$C108),"EmploymentType does not match latest start date ("&amp;IF(AG108&gt;=3,AM108,IF(AG108=2,AL108,AK108))&amp;"). ","")&amp;IF(AND(AG108&gt;=1,AH108&lt;&gt;$F108),"Earliest type date should equal StartDate. ","")&amp;IF(AND(AG108&gt;=2,AH108=AI108),"Two types start on the same date. ","")&amp;IF(AND($C108="Part-Time",$P108=""),"Part-time: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IF(AE108=0,"",IF(AG108=0,IF($C108="Full-Time","FT",IF(AND($C108="Part-Time",OR($P108="",N($P108)&gt;=PT_MinHours)),"PT","None")),IF(AK108="Full-Time","FT",IF(AND(AK108="Part-Time",OR($P108="",N($P108)&gt;=PT_MinHours)),"PT","None"))))</f>
        <v/>
      </c>
      <c r="AO108" s="12" t="str">
        <f aca="false">IF(AE108=0,"",IF(AG108&lt;2,"",IF(AL108="Full-Time","FT",IF(AND(AL108="Part-Time",OR($P108="",N($P108)&gt;=PT_MinHours)),"PT","None"))))</f>
        <v/>
      </c>
      <c r="AP108" s="12" t="str">
        <f aca="false">IF(AE108=0,"",IF(AG108&lt;3,"",IF(AM108="Full-Time","FT",IF(AND(AM108="Part-Time",OR($P108="",N($P108)&gt;=PT_MinHours)),"PT","None"))))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IF(OR(AE109=0,$D109=""),"",DATE(YEAR(AsOfDate)+IF(DATE(YEAR(AsOfDate),MONTH($D109),DAY($D109))&lt;=AsOfDate,1,0),MONTH($D109),DAY($D109)))</f>
        <v/>
      </c>
      <c r="F109" s="16"/>
      <c r="G109" s="16"/>
      <c r="H109" s="16"/>
      <c r="I109" s="16"/>
      <c r="J109" s="16"/>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7"/>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"&amp;IF(AND($C109="Part-Time",$P109&lt;&gt;"",N($P109)&lt;PT_MinHours),"under "&amp;PT_MinHours&amp;" hrs",$C109)),IF(O109&gt;0,"Yes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IF(AE109=0,"",X109-N(U109))</f>
        <v/>
      </c>
      <c r="Z109" s="12" t="str">
        <f aca="false">IF(AE109=0,"",IF(Y109&gt;0,"Yes","No"))</f>
        <v/>
      </c>
      <c r="AA109" s="12" t="str">
        <f aca="false">IF(AE109=0,"",IF(NOT(LH_Ready),"Paste Leave History export",IF(Y109&gt;0,"ACCRUE "&amp;TEXT(Y109,"0.##")&amp;" hrs ("&amp;TEXT(Y109/HoursPerDay,"0.##")&amp;" days)"&amp;IF(BA109=0," - no Bonus Leave line in EH yet",""),IF(Y109&lt;0,"CHECK - EH accrued "&amp;TEXT(-Y109,"0.##")&amp;" hrs more than policy",IF(AND(O109&gt;0,BA109=0),"CHECK - policy says "&amp;TEXT(N109,"0.##")&amp;" hrs to date but no Bonus Leave in EH",IF(O109&gt;0,"OK","-"))))))</f>
        <v/>
      </c>
      <c r="AB109" s="13" t="str">
        <f aca="false">IF(OR(AE109=0,T109=""),"",AY109*HoursPerDay-T109)</f>
        <v/>
      </c>
      <c r="AC109" s="12" t="str">
        <f aca="false">IF(AE109=0,"",BA109)</f>
        <v/>
      </c>
      <c r="AD109" s="12" t="str">
        <f aca="false">IF(AE109=0,"",TRIM(IF(AND(AG109&gt;=1,IF(AG109&gt;=3,AM109,IF(AG109=2,AL109,AK109))&lt;&gt;$C109),"EmploymentType does not match latest start date ("&amp;IF(AG109&gt;=3,AM109,IF(AG109=2,AL109,AK109))&amp;"). ","")&amp;IF(AND(AG109&gt;=1,AH109&lt;&gt;$F109),"Earliest type date should equal StartDate. ","")&amp;IF(AND(AG109&gt;=2,AH109=AI109),"Two types start on the same date. ","")&amp;IF(AND($C109="Part-Time",$P109=""),"Part-time: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IF(AE109=0,"",IF(AG109=0,IF($C109="Full-Time","FT",IF(AND($C109="Part-Time",OR($P109="",N($P109)&gt;=PT_MinHours)),"PT","None")),IF(AK109="Full-Time","FT",IF(AND(AK109="Part-Time",OR($P109="",N($P109)&gt;=PT_MinHours)),"PT","None"))))</f>
        <v/>
      </c>
      <c r="AO109" s="12" t="str">
        <f aca="false">IF(AE109=0,"",IF(AG109&lt;2,"",IF(AL109="Full-Time","FT",IF(AND(AL109="Part-Time",OR($P109="",N($P109)&gt;=PT_MinHours)),"PT","None"))))</f>
        <v/>
      </c>
      <c r="AP109" s="12" t="str">
        <f aca="false">IF(AE109=0,"",IF(AG109&lt;3,"",IF(AM109="Full-Time","FT",IF(AND(AM109="Part-Time",OR($P109="",N($P109)&gt;=PT_MinHours)),"PT","None"))))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IF(OR(AE110=0,$D110=""),"",DATE(YEAR(AsOfDate)+IF(DATE(YEAR(AsOfDate),MONTH($D110),DAY($D110))&lt;=AsOfDate,1,0),MONTH($D110),DAY($D110)))</f>
        <v/>
      </c>
      <c r="F110" s="16"/>
      <c r="G110" s="16"/>
      <c r="H110" s="16"/>
      <c r="I110" s="16"/>
      <c r="J110" s="16"/>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7"/>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"&amp;IF(AND($C110="Part-Time",$P110&lt;&gt;"",N($P110)&lt;PT_MinHours),"under "&amp;PT_MinHours&amp;" hrs",$C110)),IF(O110&gt;0,"Yes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IF(AE110=0,"",X110-N(U110))</f>
        <v/>
      </c>
      <c r="Z110" s="12" t="str">
        <f aca="false">IF(AE110=0,"",IF(Y110&gt;0,"Yes","No"))</f>
        <v/>
      </c>
      <c r="AA110" s="12" t="str">
        <f aca="false">IF(AE110=0,"",IF(NOT(LH_Ready),"Paste Leave History export",IF(Y110&gt;0,"ACCRUE "&amp;TEXT(Y110,"0.##")&amp;" hrs ("&amp;TEXT(Y110/HoursPerDay,"0.##")&amp;" days)"&amp;IF(BA110=0," - no Bonus Leave line in EH yet",""),IF(Y110&lt;0,"CHECK - EH accrued "&amp;TEXT(-Y110,"0.##")&amp;" hrs more than policy",IF(AND(O110&gt;0,BA110=0),"CHECK - policy says "&amp;TEXT(N110,"0.##")&amp;" hrs to date but no Bonus Leave in EH",IF(O110&gt;0,"OK","-"))))))</f>
        <v/>
      </c>
      <c r="AB110" s="13" t="str">
        <f aca="false">IF(OR(AE110=0,T110=""),"",AY110*HoursPerDay-T110)</f>
        <v/>
      </c>
      <c r="AC110" s="12" t="str">
        <f aca="false">IF(AE110=0,"",BA110)</f>
        <v/>
      </c>
      <c r="AD110" s="12" t="str">
        <f aca="false">IF(AE110=0,"",TRIM(IF(AND(AG110&gt;=1,IF(AG110&gt;=3,AM110,IF(AG110=2,AL110,AK110))&lt;&gt;$C110),"EmploymentType does not match latest start date ("&amp;IF(AG110&gt;=3,AM110,IF(AG110=2,AL110,AK110))&amp;"). ","")&amp;IF(AND(AG110&gt;=1,AH110&lt;&gt;$F110),"Earliest type date should equal StartDate. ","")&amp;IF(AND(AG110&gt;=2,AH110=AI110),"Two types start on the same date. ","")&amp;IF(AND($C110="Part-Time",$P110=""),"Part-time: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IF(AE110=0,"",IF(AG110=0,IF($C110="Full-Time","FT",IF(AND($C110="Part-Time",OR($P110="",N($P110)&gt;=PT_MinHours)),"PT","None")),IF(AK110="Full-Time","FT",IF(AND(AK110="Part-Time",OR($P110="",N($P110)&gt;=PT_MinHours)),"PT","None"))))</f>
        <v/>
      </c>
      <c r="AO110" s="12" t="str">
        <f aca="false">IF(AE110=0,"",IF(AG110&lt;2,"",IF(AL110="Full-Time","FT",IF(AND(AL110="Part-Time",OR($P110="",N($P110)&gt;=PT_MinHours)),"PT","None"))))</f>
        <v/>
      </c>
      <c r="AP110" s="12" t="str">
        <f aca="false">IF(AE110=0,"",IF(AG110&lt;3,"",IF(AM110="Full-Time","FT",IF(AND(AM110="Part-Time",OR($P110="",N($P110)&gt;=PT_MinHours)),"PT","None"))))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IF(OR(AE111=0,$D111=""),"",DATE(YEAR(AsOfDate)+IF(DATE(YEAR(AsOfDate),MONTH($D111),DAY($D111))&lt;=AsOfDate,1,0),MONTH($D111),DAY($D111)))</f>
        <v/>
      </c>
      <c r="F111" s="16"/>
      <c r="G111" s="16"/>
      <c r="H111" s="16"/>
      <c r="I111" s="16"/>
      <c r="J111" s="16"/>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7"/>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"&amp;IF(AND($C111="Part-Time",$P111&lt;&gt;"",N($P111)&lt;PT_MinHours),"under "&amp;PT_MinHours&amp;" hrs",$C111)),IF(O111&gt;0,"Yes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IF(AE111=0,"",X111-N(U111))</f>
        <v/>
      </c>
      <c r="Z111" s="12" t="str">
        <f aca="false">IF(AE111=0,"",IF(Y111&gt;0,"Yes","No"))</f>
        <v/>
      </c>
      <c r="AA111" s="12" t="str">
        <f aca="false">IF(AE111=0,"",IF(NOT(LH_Ready),"Paste Leave History export",IF(Y111&gt;0,"ACCRUE "&amp;TEXT(Y111,"0.##")&amp;" hrs ("&amp;TEXT(Y111/HoursPerDay,"0.##")&amp;" days)"&amp;IF(BA111=0," - no Bonus Leave line in EH yet",""),IF(Y111&lt;0,"CHECK - EH accrued "&amp;TEXT(-Y111,"0.##")&amp;" hrs more than policy",IF(AND(O111&gt;0,BA111=0),"CHECK - policy says "&amp;TEXT(N111,"0.##")&amp;" hrs to date but no Bonus Leave in EH",IF(O111&gt;0,"OK","-"))))))</f>
        <v/>
      </c>
      <c r="AB111" s="13" t="str">
        <f aca="false">IF(OR(AE111=0,T111=""),"",AY111*HoursPerDay-T111)</f>
        <v/>
      </c>
      <c r="AC111" s="12" t="str">
        <f aca="false">IF(AE111=0,"",BA111)</f>
        <v/>
      </c>
      <c r="AD111" s="12" t="str">
        <f aca="false">IF(AE111=0,"",TRIM(IF(AND(AG111&gt;=1,IF(AG111&gt;=3,AM111,IF(AG111=2,AL111,AK111))&lt;&gt;$C111),"EmploymentType does not match latest start date ("&amp;IF(AG111&gt;=3,AM111,IF(AG111=2,AL111,AK111))&amp;"). ","")&amp;IF(AND(AG111&gt;=1,AH111&lt;&gt;$F111),"Earliest type date should equal StartDate. ","")&amp;IF(AND(AG111&gt;=2,AH111=AI111),"Two types start on the same date. ","")&amp;IF(AND($C111="Part-Time",$P111=""),"Part-time: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IF(AE111=0,"",IF(AG111=0,IF($C111="Full-Time","FT",IF(AND($C111="Part-Time",OR($P111="",N($P111)&gt;=PT_MinHours)),"PT","None")),IF(AK111="Full-Time","FT",IF(AND(AK111="Part-Time",OR($P111="",N($P111)&gt;=PT_MinHours)),"PT","None"))))</f>
        <v/>
      </c>
      <c r="AO111" s="12" t="str">
        <f aca="false">IF(AE111=0,"",IF(AG111&lt;2,"",IF(AL111="Full-Time","FT",IF(AND(AL111="Part-Time",OR($P111="",N($P111)&gt;=PT_MinHours)),"PT","None"))))</f>
        <v/>
      </c>
      <c r="AP111" s="12" t="str">
        <f aca="false">IF(AE111=0,"",IF(AG111&lt;3,"",IF(AM111="Full-Time","FT",IF(AND(AM111="Part-Time",OR($P111="",N($P111)&gt;=PT_MinHours)),"PT","None"))))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IF(OR(AE112=0,$D112=""),"",DATE(YEAR(AsOfDate)+IF(DATE(YEAR(AsOfDate),MONTH($D112),DAY($D112))&lt;=AsOfDate,1,0),MONTH($D112),DAY($D112)))</f>
        <v/>
      </c>
      <c r="F112" s="16"/>
      <c r="G112" s="16"/>
      <c r="H112" s="16"/>
      <c r="I112" s="16"/>
      <c r="J112" s="16"/>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7"/>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"&amp;IF(AND($C112="Part-Time",$P112&lt;&gt;"",N($P112)&lt;PT_MinHours),"under "&amp;PT_MinHours&amp;" hrs",$C112)),IF(O112&gt;0,"Yes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IF(AE112=0,"",X112-N(U112))</f>
        <v/>
      </c>
      <c r="Z112" s="12" t="str">
        <f aca="false">IF(AE112=0,"",IF(Y112&gt;0,"Yes","No"))</f>
        <v/>
      </c>
      <c r="AA112" s="12" t="str">
        <f aca="false">IF(AE112=0,"",IF(NOT(LH_Ready),"Paste Leave History export",IF(Y112&gt;0,"ACCRUE "&amp;TEXT(Y112,"0.##")&amp;" hrs ("&amp;TEXT(Y112/HoursPerDay,"0.##")&amp;" days)"&amp;IF(BA112=0," - no Bonus Leave line in EH yet",""),IF(Y112&lt;0,"CHECK - EH accrued "&amp;TEXT(-Y112,"0.##")&amp;" hrs more than policy",IF(AND(O112&gt;0,BA112=0),"CHECK - policy says "&amp;TEXT(N112,"0.##")&amp;" hrs to date but no Bonus Leave in EH",IF(O112&gt;0,"OK","-"))))))</f>
        <v/>
      </c>
      <c r="AB112" s="13" t="str">
        <f aca="false">IF(OR(AE112=0,T112=""),"",AY112*HoursPerDay-T112)</f>
        <v/>
      </c>
      <c r="AC112" s="12" t="str">
        <f aca="false">IF(AE112=0,"",BA112)</f>
        <v/>
      </c>
      <c r="AD112" s="12" t="str">
        <f aca="false">IF(AE112=0,"",TRIM(IF(AND(AG112&gt;=1,IF(AG112&gt;=3,AM112,IF(AG112=2,AL112,AK112))&lt;&gt;$C112),"EmploymentType does not match latest start date ("&amp;IF(AG112&gt;=3,AM112,IF(AG112=2,AL112,AK112))&amp;"). ","")&amp;IF(AND(AG112&gt;=1,AH112&lt;&gt;$F112),"Earliest type date should equal StartDate. ","")&amp;IF(AND(AG112&gt;=2,AH112=AI112),"Two types start on the same date. ","")&amp;IF(AND($C112="Part-Time",$P112=""),"Part-time: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IF(AE112=0,"",IF(AG112=0,IF($C112="Full-Time","FT",IF(AND($C112="Part-Time",OR($P112="",N($P112)&gt;=PT_MinHours)),"PT","None")),IF(AK112="Full-Time","FT",IF(AND(AK112="Part-Time",OR($P112="",N($P112)&gt;=PT_MinHours)),"PT","None"))))</f>
        <v/>
      </c>
      <c r="AO112" s="12" t="str">
        <f aca="false">IF(AE112=0,"",IF(AG112&lt;2,"",IF(AL112="Full-Time","FT",IF(AND(AL112="Part-Time",OR($P112="",N($P112)&gt;=PT_MinHours)),"PT","None"))))</f>
        <v/>
      </c>
      <c r="AP112" s="12" t="str">
        <f aca="false">IF(AE112=0,"",IF(AG112&lt;3,"",IF(AM112="Full-Time","FT",IF(AND(AM112="Part-Time",OR($P112="",N($P112)&gt;=PT_MinHours)),"PT","None"))))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IF(OR(AE113=0,$D113=""),"",DATE(YEAR(AsOfDate)+IF(DATE(YEAR(AsOfDate),MONTH($D113),DAY($D113))&lt;=AsOfDate,1,0),MONTH($D113),DAY($D113)))</f>
        <v/>
      </c>
      <c r="F113" s="16"/>
      <c r="G113" s="16"/>
      <c r="H113" s="16"/>
      <c r="I113" s="16"/>
      <c r="J113" s="16"/>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7"/>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"&amp;IF(AND($C113="Part-Time",$P113&lt;&gt;"",N($P113)&lt;PT_MinHours),"under "&amp;PT_MinHours&amp;" hrs",$C113)),IF(O113&gt;0,"Yes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IF(AE113=0,"",X113-N(U113))</f>
        <v/>
      </c>
      <c r="Z113" s="12" t="str">
        <f aca="false">IF(AE113=0,"",IF(Y113&gt;0,"Yes","No"))</f>
        <v/>
      </c>
      <c r="AA113" s="12" t="str">
        <f aca="false">IF(AE113=0,"",IF(NOT(LH_Ready),"Paste Leave History export",IF(Y113&gt;0,"ACCRUE "&amp;TEXT(Y113,"0.##")&amp;" hrs ("&amp;TEXT(Y113/HoursPerDay,"0.##")&amp;" days)"&amp;IF(BA113=0," - no Bonus Leave line in EH yet",""),IF(Y113&lt;0,"CHECK - EH accrued "&amp;TEXT(-Y113,"0.##")&amp;" hrs more than policy",IF(AND(O113&gt;0,BA113=0),"CHECK - policy says "&amp;TEXT(N113,"0.##")&amp;" hrs to date but no Bonus Leave in EH",IF(O113&gt;0,"OK","-"))))))</f>
        <v/>
      </c>
      <c r="AB113" s="13" t="str">
        <f aca="false">IF(OR(AE113=0,T113=""),"",AY113*HoursPerDay-T113)</f>
        <v/>
      </c>
      <c r="AC113" s="12" t="str">
        <f aca="false">IF(AE113=0,"",BA113)</f>
        <v/>
      </c>
      <c r="AD113" s="12" t="str">
        <f aca="false">IF(AE113=0,"",TRIM(IF(AND(AG113&gt;=1,IF(AG113&gt;=3,AM113,IF(AG113=2,AL113,AK113))&lt;&gt;$C113),"EmploymentType does not match latest start date ("&amp;IF(AG113&gt;=3,AM113,IF(AG113=2,AL113,AK113))&amp;"). ","")&amp;IF(AND(AG113&gt;=1,AH113&lt;&gt;$F113),"Earliest type date should equal StartDate. ","")&amp;IF(AND(AG113&gt;=2,AH113=AI113),"Two types start on the same date. ","")&amp;IF(AND($C113="Part-Time",$P113=""),"Part-time: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IF(AE113=0,"",IF(AG113=0,IF($C113="Full-Time","FT",IF(AND($C113="Part-Time",OR($P113="",N($P113)&gt;=PT_MinHours)),"PT","None")),IF(AK113="Full-Time","FT",IF(AND(AK113="Part-Time",OR($P113="",N($P113)&gt;=PT_MinHours)),"PT","None"))))</f>
        <v/>
      </c>
      <c r="AO113" s="12" t="str">
        <f aca="false">IF(AE113=0,"",IF(AG113&lt;2,"",IF(AL113="Full-Time","FT",IF(AND(AL113="Part-Time",OR($P113="",N($P113)&gt;=PT_MinHours)),"PT","None"))))</f>
        <v/>
      </c>
      <c r="AP113" s="12" t="str">
        <f aca="false">IF(AE113=0,"",IF(AG113&lt;3,"",IF(AM113="Full-Time","FT",IF(AND(AM113="Part-Time",OR($P113="",N($P113)&gt;=PT_MinHours)),"PT","None"))))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IF(OR(AE114=0,$D114=""),"",DATE(YEAR(AsOfDate)+IF(DATE(YEAR(AsOfDate),MONTH($D114),DAY($D114))&lt;=AsOfDate,1,0),MONTH($D114),DAY($D114)))</f>
        <v/>
      </c>
      <c r="F114" s="16"/>
      <c r="G114" s="16"/>
      <c r="H114" s="16"/>
      <c r="I114" s="16"/>
      <c r="J114" s="16"/>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7"/>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"&amp;IF(AND($C114="Part-Time",$P114&lt;&gt;"",N($P114)&lt;PT_MinHours),"under "&amp;PT_MinHours&amp;" hrs",$C114)),IF(O114&gt;0,"Yes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IF(AE114=0,"",X114-N(U114))</f>
        <v/>
      </c>
      <c r="Z114" s="12" t="str">
        <f aca="false">IF(AE114=0,"",IF(Y114&gt;0,"Yes","No"))</f>
        <v/>
      </c>
      <c r="AA114" s="12" t="str">
        <f aca="false">IF(AE114=0,"",IF(NOT(LH_Ready),"Paste Leave History export",IF(Y114&gt;0,"ACCRUE "&amp;TEXT(Y114,"0.##")&amp;" hrs ("&amp;TEXT(Y114/HoursPerDay,"0.##")&amp;" days)"&amp;IF(BA114=0," - no Bonus Leave line in EH yet",""),IF(Y114&lt;0,"CHECK - EH accrued "&amp;TEXT(-Y114,"0.##")&amp;" hrs more than policy",IF(AND(O114&gt;0,BA114=0),"CHECK - policy says "&amp;TEXT(N114,"0.##")&amp;" hrs to date but no Bonus Leave in EH",IF(O114&gt;0,"OK","-"))))))</f>
        <v/>
      </c>
      <c r="AB114" s="13" t="str">
        <f aca="false">IF(OR(AE114=0,T114=""),"",AY114*HoursPerDay-T114)</f>
        <v/>
      </c>
      <c r="AC114" s="12" t="str">
        <f aca="false">IF(AE114=0,"",BA114)</f>
        <v/>
      </c>
      <c r="AD114" s="12" t="str">
        <f aca="false">IF(AE114=0,"",TRIM(IF(AND(AG114&gt;=1,IF(AG114&gt;=3,AM114,IF(AG114=2,AL114,AK114))&lt;&gt;$C114),"EmploymentType does not match latest start date ("&amp;IF(AG114&gt;=3,AM114,IF(AG114=2,AL114,AK114))&amp;"). ","")&amp;IF(AND(AG114&gt;=1,AH114&lt;&gt;$F114),"Earliest type date should equal StartDate. ","")&amp;IF(AND(AG114&gt;=2,AH114=AI114),"Two types start on the same date. ","")&amp;IF(AND($C114="Part-Time",$P114=""),"Part-time: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IF(AE114=0,"",IF(AG114=0,IF($C114="Full-Time","FT",IF(AND($C114="Part-Time",OR($P114="",N($P114)&gt;=PT_MinHours)),"PT","None")),IF(AK114="Full-Time","FT",IF(AND(AK114="Part-Time",OR($P114="",N($P114)&gt;=PT_MinHours)),"PT","None"))))</f>
        <v/>
      </c>
      <c r="AO114" s="12" t="str">
        <f aca="false">IF(AE114=0,"",IF(AG114&lt;2,"",IF(AL114="Full-Time","FT",IF(AND(AL114="Part-Time",OR($P114="",N($P114)&gt;=PT_MinHours)),"PT","None"))))</f>
        <v/>
      </c>
      <c r="AP114" s="12" t="str">
        <f aca="false">IF(AE114=0,"",IF(AG114&lt;3,"",IF(AM114="Full-Time","FT",IF(AND(AM114="Part-Time",OR($P114="",N($P114)&gt;=PT_MinHours)),"PT","None"))))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IF(OR(AE115=0,$D115=""),"",DATE(YEAR(AsOfDate)+IF(DATE(YEAR(AsOfDate),MONTH($D115),DAY($D115))&lt;=AsOfDate,1,0),MONTH($D115),DAY($D115)))</f>
        <v/>
      </c>
      <c r="F115" s="16"/>
      <c r="G115" s="16"/>
      <c r="H115" s="16"/>
      <c r="I115" s="16"/>
      <c r="J115" s="16"/>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7"/>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"&amp;IF(AND($C115="Part-Time",$P115&lt;&gt;"",N($P115)&lt;PT_MinHours),"under "&amp;PT_MinHours&amp;" hrs",$C115)),IF(O115&gt;0,"Yes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IF(AE115=0,"",X115-N(U115))</f>
        <v/>
      </c>
      <c r="Z115" s="12" t="str">
        <f aca="false">IF(AE115=0,"",IF(Y115&gt;0,"Yes","No"))</f>
        <v/>
      </c>
      <c r="AA115" s="12" t="str">
        <f aca="false">IF(AE115=0,"",IF(NOT(LH_Ready),"Paste Leave History export",IF(Y115&gt;0,"ACCRUE "&amp;TEXT(Y115,"0.##")&amp;" hrs ("&amp;TEXT(Y115/HoursPerDay,"0.##")&amp;" days)"&amp;IF(BA115=0," - no Bonus Leave line in EH yet",""),IF(Y115&lt;0,"CHECK - EH accrued "&amp;TEXT(-Y115,"0.##")&amp;" hrs more than policy",IF(AND(O115&gt;0,BA115=0),"CHECK - policy says "&amp;TEXT(N115,"0.##")&amp;" hrs to date but no Bonus Leave in EH",IF(O115&gt;0,"OK","-"))))))</f>
        <v/>
      </c>
      <c r="AB115" s="13" t="str">
        <f aca="false">IF(OR(AE115=0,T115=""),"",AY115*HoursPerDay-T115)</f>
        <v/>
      </c>
      <c r="AC115" s="12" t="str">
        <f aca="false">IF(AE115=0,"",BA115)</f>
        <v/>
      </c>
      <c r="AD115" s="12" t="str">
        <f aca="false">IF(AE115=0,"",TRIM(IF(AND(AG115&gt;=1,IF(AG115&gt;=3,AM115,IF(AG115=2,AL115,AK115))&lt;&gt;$C115),"EmploymentType does not match latest start date ("&amp;IF(AG115&gt;=3,AM115,IF(AG115=2,AL115,AK115))&amp;"). ","")&amp;IF(AND(AG115&gt;=1,AH115&lt;&gt;$F115),"Earliest type date should equal StartDate. ","")&amp;IF(AND(AG115&gt;=2,AH115=AI115),"Two types start on the same date. ","")&amp;IF(AND($C115="Part-Time",$P115=""),"Part-time: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IF(AE115=0,"",IF(AG115=0,IF($C115="Full-Time","FT",IF(AND($C115="Part-Time",OR($P115="",N($P115)&gt;=PT_MinHours)),"PT","None")),IF(AK115="Full-Time","FT",IF(AND(AK115="Part-Time",OR($P115="",N($P115)&gt;=PT_MinHours)),"PT","None"))))</f>
        <v/>
      </c>
      <c r="AO115" s="12" t="str">
        <f aca="false">IF(AE115=0,"",IF(AG115&lt;2,"",IF(AL115="Full-Time","FT",IF(AND(AL115="Part-Time",OR($P115="",N($P115)&gt;=PT_MinHours)),"PT","None"))))</f>
        <v/>
      </c>
      <c r="AP115" s="12" t="str">
        <f aca="false">IF(AE115=0,"",IF(AG115&lt;3,"",IF(AM115="Full-Time","FT",IF(AND(AM115="Part-Time",OR($P115="",N($P115)&gt;=PT_MinHours)),"PT","None"))))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IF(OR(AE116=0,$D116=""),"",DATE(YEAR(AsOfDate)+IF(DATE(YEAR(AsOfDate),MONTH($D116),DAY($D116))&lt;=AsOfDate,1,0),MONTH($D116),DAY($D116)))</f>
        <v/>
      </c>
      <c r="F116" s="16"/>
      <c r="G116" s="16"/>
      <c r="H116" s="16"/>
      <c r="I116" s="16"/>
      <c r="J116" s="16"/>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7"/>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"&amp;IF(AND($C116="Part-Time",$P116&lt;&gt;"",N($P116)&lt;PT_MinHours),"under "&amp;PT_MinHours&amp;" hrs",$C116)),IF(O116&gt;0,"Yes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IF(AE116=0,"",X116-N(U116))</f>
        <v/>
      </c>
      <c r="Z116" s="12" t="str">
        <f aca="false">IF(AE116=0,"",IF(Y116&gt;0,"Yes","No"))</f>
        <v/>
      </c>
      <c r="AA116" s="12" t="str">
        <f aca="false">IF(AE116=0,"",IF(NOT(LH_Ready),"Paste Leave History export",IF(Y116&gt;0,"ACCRUE "&amp;TEXT(Y116,"0.##")&amp;" hrs ("&amp;TEXT(Y116/HoursPerDay,"0.##")&amp;" days)"&amp;IF(BA116=0," - no Bonus Leave line in EH yet",""),IF(Y116&lt;0,"CHECK - EH accrued "&amp;TEXT(-Y116,"0.##")&amp;" hrs more than policy",IF(AND(O116&gt;0,BA116=0),"CHECK - policy says "&amp;TEXT(N116,"0.##")&amp;" hrs to date but no Bonus Leave in EH",IF(O116&gt;0,"OK","-"))))))</f>
        <v/>
      </c>
      <c r="AB116" s="13" t="str">
        <f aca="false">IF(OR(AE116=0,T116=""),"",AY116*HoursPerDay-T116)</f>
        <v/>
      </c>
      <c r="AC116" s="12" t="str">
        <f aca="false">IF(AE116=0,"",BA116)</f>
        <v/>
      </c>
      <c r="AD116" s="12" t="str">
        <f aca="false">IF(AE116=0,"",TRIM(IF(AND(AG116&gt;=1,IF(AG116&gt;=3,AM116,IF(AG116=2,AL116,AK116))&lt;&gt;$C116),"EmploymentType does not match latest start date ("&amp;IF(AG116&gt;=3,AM116,IF(AG116=2,AL116,AK116))&amp;"). ","")&amp;IF(AND(AG116&gt;=1,AH116&lt;&gt;$F116),"Earliest type date should equal StartDate. ","")&amp;IF(AND(AG116&gt;=2,AH116=AI116),"Two types start on the same date. ","")&amp;IF(AND($C116="Part-Time",$P116=""),"Part-time: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IF(AE116=0,"",IF(AG116=0,IF($C116="Full-Time","FT",IF(AND($C116="Part-Time",OR($P116="",N($P116)&gt;=PT_MinHours)),"PT","None")),IF(AK116="Full-Time","FT",IF(AND(AK116="Part-Time",OR($P116="",N($P116)&gt;=PT_MinHours)),"PT","None"))))</f>
        <v/>
      </c>
      <c r="AO116" s="12" t="str">
        <f aca="false">IF(AE116=0,"",IF(AG116&lt;2,"",IF(AL116="Full-Time","FT",IF(AND(AL116="Part-Time",OR($P116="",N($P116)&gt;=PT_MinHours)),"PT","None"))))</f>
        <v/>
      </c>
      <c r="AP116" s="12" t="str">
        <f aca="false">IF(AE116=0,"",IF(AG116&lt;3,"",IF(AM116="Full-Time","FT",IF(AND(AM116="Part-Time",OR($P116="",N($P116)&gt;=PT_MinHours)),"PT","None"))))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IF(OR(AE117=0,$D117=""),"",DATE(YEAR(AsOfDate)+IF(DATE(YEAR(AsOfDate),MONTH($D117),DAY($D117))&lt;=AsOfDate,1,0),MONTH($D117),DAY($D117)))</f>
        <v/>
      </c>
      <c r="F117" s="16"/>
      <c r="G117" s="16"/>
      <c r="H117" s="16"/>
      <c r="I117" s="16"/>
      <c r="J117" s="16"/>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7"/>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"&amp;IF(AND($C117="Part-Time",$P117&lt;&gt;"",N($P117)&lt;PT_MinHours),"under "&amp;PT_MinHours&amp;" hrs",$C117)),IF(O117&gt;0,"Yes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IF(AE117=0,"",X117-N(U117))</f>
        <v/>
      </c>
      <c r="Z117" s="12" t="str">
        <f aca="false">IF(AE117=0,"",IF(Y117&gt;0,"Yes","No"))</f>
        <v/>
      </c>
      <c r="AA117" s="12" t="str">
        <f aca="false">IF(AE117=0,"",IF(NOT(LH_Ready),"Paste Leave History export",IF(Y117&gt;0,"ACCRUE "&amp;TEXT(Y117,"0.##")&amp;" hrs ("&amp;TEXT(Y117/HoursPerDay,"0.##")&amp;" days)"&amp;IF(BA117=0," - no Bonus Leave line in EH yet",""),IF(Y117&lt;0,"CHECK - EH accrued "&amp;TEXT(-Y117,"0.##")&amp;" hrs more than policy",IF(AND(O117&gt;0,BA117=0),"CHECK - policy says "&amp;TEXT(N117,"0.##")&amp;" hrs to date but no Bonus Leave in EH",IF(O117&gt;0,"OK","-"))))))</f>
        <v/>
      </c>
      <c r="AB117" s="13" t="str">
        <f aca="false">IF(OR(AE117=0,T117=""),"",AY117*HoursPerDay-T117)</f>
        <v/>
      </c>
      <c r="AC117" s="12" t="str">
        <f aca="false">IF(AE117=0,"",BA117)</f>
        <v/>
      </c>
      <c r="AD117" s="12" t="str">
        <f aca="false">IF(AE117=0,"",TRIM(IF(AND(AG117&gt;=1,IF(AG117&gt;=3,AM117,IF(AG117=2,AL117,AK117))&lt;&gt;$C117),"EmploymentType does not match latest start date ("&amp;IF(AG117&gt;=3,AM117,IF(AG117=2,AL117,AK117))&amp;"). ","")&amp;IF(AND(AG117&gt;=1,AH117&lt;&gt;$F117),"Earliest type date should equal StartDate. ","")&amp;IF(AND(AG117&gt;=2,AH117=AI117),"Two types start on the same date. ","")&amp;IF(AND($C117="Part-Time",$P117=""),"Part-time: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IF(AE117=0,"",IF(AG117=0,IF($C117="Full-Time","FT",IF(AND($C117="Part-Time",OR($P117="",N($P117)&gt;=PT_MinHours)),"PT","None")),IF(AK117="Full-Time","FT",IF(AND(AK117="Part-Time",OR($P117="",N($P117)&gt;=PT_MinHours)),"PT","None"))))</f>
        <v/>
      </c>
      <c r="AO117" s="12" t="str">
        <f aca="false">IF(AE117=0,"",IF(AG117&lt;2,"",IF(AL117="Full-Time","FT",IF(AND(AL117="Part-Time",OR($P117="",N($P117)&gt;=PT_MinHours)),"PT","None"))))</f>
        <v/>
      </c>
      <c r="AP117" s="12" t="str">
        <f aca="false">IF(AE117=0,"",IF(AG117&lt;3,"",IF(AM117="Full-Time","FT",IF(AND(AM117="Part-Time",OR($P117="",N($P117)&gt;=PT_MinHours)),"PT","None"))))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IF(OR(AE118=0,$D118=""),"",DATE(YEAR(AsOfDate)+IF(DATE(YEAR(AsOfDate),MONTH($D118),DAY($D118))&lt;=AsOfDate,1,0),MONTH($D118),DAY($D118)))</f>
        <v/>
      </c>
      <c r="F118" s="16"/>
      <c r="G118" s="16"/>
      <c r="H118" s="16"/>
      <c r="I118" s="16"/>
      <c r="J118" s="16"/>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7"/>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"&amp;IF(AND($C118="Part-Time",$P118&lt;&gt;"",N($P118)&lt;PT_MinHours),"under "&amp;PT_MinHours&amp;" hrs",$C118)),IF(O118&gt;0,"Yes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IF(AE118=0,"",X118-N(U118))</f>
        <v/>
      </c>
      <c r="Z118" s="12" t="str">
        <f aca="false">IF(AE118=0,"",IF(Y118&gt;0,"Yes","No"))</f>
        <v/>
      </c>
      <c r="AA118" s="12" t="str">
        <f aca="false">IF(AE118=0,"",IF(NOT(LH_Ready),"Paste Leave History export",IF(Y118&gt;0,"ACCRUE "&amp;TEXT(Y118,"0.##")&amp;" hrs ("&amp;TEXT(Y118/HoursPerDay,"0.##")&amp;" days)"&amp;IF(BA118=0," - no Bonus Leave line in EH yet",""),IF(Y118&lt;0,"CHECK - EH accrued "&amp;TEXT(-Y118,"0.##")&amp;" hrs more than policy",IF(AND(O118&gt;0,BA118=0),"CHECK - policy says "&amp;TEXT(N118,"0.##")&amp;" hrs to date but no Bonus Leave in EH",IF(O118&gt;0,"OK","-"))))))</f>
        <v/>
      </c>
      <c r="AB118" s="13" t="str">
        <f aca="false">IF(OR(AE118=0,T118=""),"",AY118*HoursPerDay-T118)</f>
        <v/>
      </c>
      <c r="AC118" s="12" t="str">
        <f aca="false">IF(AE118=0,"",BA118)</f>
        <v/>
      </c>
      <c r="AD118" s="12" t="str">
        <f aca="false">IF(AE118=0,"",TRIM(IF(AND(AG118&gt;=1,IF(AG118&gt;=3,AM118,IF(AG118=2,AL118,AK118))&lt;&gt;$C118),"EmploymentType does not match latest start date ("&amp;IF(AG118&gt;=3,AM118,IF(AG118=2,AL118,AK118))&amp;"). ","")&amp;IF(AND(AG118&gt;=1,AH118&lt;&gt;$F118),"Earliest type date should equal StartDate. ","")&amp;IF(AND(AG118&gt;=2,AH118=AI118),"Two types start on the same date. ","")&amp;IF(AND($C118="Part-Time",$P118=""),"Part-time: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IF(AE118=0,"",IF(AG118=0,IF($C118="Full-Time","FT",IF(AND($C118="Part-Time",OR($P118="",N($P118)&gt;=PT_MinHours)),"PT","None")),IF(AK118="Full-Time","FT",IF(AND(AK118="Part-Time",OR($P118="",N($P118)&gt;=PT_MinHours)),"PT","None"))))</f>
        <v/>
      </c>
      <c r="AO118" s="12" t="str">
        <f aca="false">IF(AE118=0,"",IF(AG118&lt;2,"",IF(AL118="Full-Time","FT",IF(AND(AL118="Part-Time",OR($P118="",N($P118)&gt;=PT_MinHours)),"PT","None"))))</f>
        <v/>
      </c>
      <c r="AP118" s="12" t="str">
        <f aca="false">IF(AE118=0,"",IF(AG118&lt;3,"",IF(AM118="Full-Time","FT",IF(AND(AM118="Part-Time",OR($P118="",N($P118)&gt;=PT_MinHours)),"PT","None"))))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IF(OR(AE119=0,$D119=""),"",DATE(YEAR(AsOfDate)+IF(DATE(YEAR(AsOfDate),MONTH($D119),DAY($D119))&lt;=AsOfDate,1,0),MONTH($D119),DAY($D119)))</f>
        <v/>
      </c>
      <c r="F119" s="16"/>
      <c r="G119" s="16"/>
      <c r="H119" s="16"/>
      <c r="I119" s="16"/>
      <c r="J119" s="16"/>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7"/>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"&amp;IF(AND($C119="Part-Time",$P119&lt;&gt;"",N($P119)&lt;PT_MinHours),"under "&amp;PT_MinHours&amp;" hrs",$C119)),IF(O119&gt;0,"Yes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IF(AE119=0,"",X119-N(U119))</f>
        <v/>
      </c>
      <c r="Z119" s="12" t="str">
        <f aca="false">IF(AE119=0,"",IF(Y119&gt;0,"Yes","No"))</f>
        <v/>
      </c>
      <c r="AA119" s="12" t="str">
        <f aca="false">IF(AE119=0,"",IF(NOT(LH_Ready),"Paste Leave History export",IF(Y119&gt;0,"ACCRUE "&amp;TEXT(Y119,"0.##")&amp;" hrs ("&amp;TEXT(Y119/HoursPerDay,"0.##")&amp;" days)"&amp;IF(BA119=0," - no Bonus Leave line in EH yet",""),IF(Y119&lt;0,"CHECK - EH accrued "&amp;TEXT(-Y119,"0.##")&amp;" hrs more than policy",IF(AND(O119&gt;0,BA119=0),"CHECK - policy says "&amp;TEXT(N119,"0.##")&amp;" hrs to date but no Bonus Leave in EH",IF(O119&gt;0,"OK","-"))))))</f>
        <v/>
      </c>
      <c r="AB119" s="13" t="str">
        <f aca="false">IF(OR(AE119=0,T119=""),"",AY119*HoursPerDay-T119)</f>
        <v/>
      </c>
      <c r="AC119" s="12" t="str">
        <f aca="false">IF(AE119=0,"",BA119)</f>
        <v/>
      </c>
      <c r="AD119" s="12" t="str">
        <f aca="false">IF(AE119=0,"",TRIM(IF(AND(AG119&gt;=1,IF(AG119&gt;=3,AM119,IF(AG119=2,AL119,AK119))&lt;&gt;$C119),"EmploymentType does not match latest start date ("&amp;IF(AG119&gt;=3,AM119,IF(AG119=2,AL119,AK119))&amp;"). ","")&amp;IF(AND(AG119&gt;=1,AH119&lt;&gt;$F119),"Earliest type date should equal StartDate. ","")&amp;IF(AND(AG119&gt;=2,AH119=AI119),"Two types start on the same date. ","")&amp;IF(AND($C119="Part-Time",$P119=""),"Part-time: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IF(AE119=0,"",IF(AG119=0,IF($C119="Full-Time","FT",IF(AND($C119="Part-Time",OR($P119="",N($P119)&gt;=PT_MinHours)),"PT","None")),IF(AK119="Full-Time","FT",IF(AND(AK119="Part-Time",OR($P119="",N($P119)&gt;=PT_MinHours)),"PT","None"))))</f>
        <v/>
      </c>
      <c r="AO119" s="12" t="str">
        <f aca="false">IF(AE119=0,"",IF(AG119&lt;2,"",IF(AL119="Full-Time","FT",IF(AND(AL119="Part-Time",OR($P119="",N($P119)&gt;=PT_MinHours)),"PT","None"))))</f>
        <v/>
      </c>
      <c r="AP119" s="12" t="str">
        <f aca="false">IF(AE119=0,"",IF(AG119&lt;3,"",IF(AM119="Full-Time","FT",IF(AND(AM119="Part-Time",OR($P119="",N($P119)&gt;=PT_MinHours)),"PT","None"))))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IF(OR(AE120=0,$D120=""),"",DATE(YEAR(AsOfDate)+IF(DATE(YEAR(AsOfDate),MONTH($D120),DAY($D120))&lt;=AsOfDate,1,0),MONTH($D120),DAY($D120)))</f>
        <v/>
      </c>
      <c r="F120" s="16"/>
      <c r="G120" s="16"/>
      <c r="H120" s="16"/>
      <c r="I120" s="16"/>
      <c r="J120" s="16"/>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7"/>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"&amp;IF(AND($C120="Part-Time",$P120&lt;&gt;"",N($P120)&lt;PT_MinHours),"under "&amp;PT_MinHours&amp;" hrs",$C120)),IF(O120&gt;0,"Yes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IF(AE120=0,"",X120-N(U120))</f>
        <v/>
      </c>
      <c r="Z120" s="12" t="str">
        <f aca="false">IF(AE120=0,"",IF(Y120&gt;0,"Yes","No"))</f>
        <v/>
      </c>
      <c r="AA120" s="12" t="str">
        <f aca="false">IF(AE120=0,"",IF(NOT(LH_Ready),"Paste Leave History export",IF(Y120&gt;0,"ACCRUE "&amp;TEXT(Y120,"0.##")&amp;" hrs ("&amp;TEXT(Y120/HoursPerDay,"0.##")&amp;" days)"&amp;IF(BA120=0," - no Bonus Leave line in EH yet",""),IF(Y120&lt;0,"CHECK - EH accrued "&amp;TEXT(-Y120,"0.##")&amp;" hrs more than policy",IF(AND(O120&gt;0,BA120=0),"CHECK - policy says "&amp;TEXT(N120,"0.##")&amp;" hrs to date but no Bonus Leave in EH",IF(O120&gt;0,"OK","-"))))))</f>
        <v/>
      </c>
      <c r="AB120" s="13" t="str">
        <f aca="false">IF(OR(AE120=0,T120=""),"",AY120*HoursPerDay-T120)</f>
        <v/>
      </c>
      <c r="AC120" s="12" t="str">
        <f aca="false">IF(AE120=0,"",BA120)</f>
        <v/>
      </c>
      <c r="AD120" s="12" t="str">
        <f aca="false">IF(AE120=0,"",TRIM(IF(AND(AG120&gt;=1,IF(AG120&gt;=3,AM120,IF(AG120=2,AL120,AK120))&lt;&gt;$C120),"EmploymentType does not match latest start date ("&amp;IF(AG120&gt;=3,AM120,IF(AG120=2,AL120,AK120))&amp;"). ","")&amp;IF(AND(AG120&gt;=1,AH120&lt;&gt;$F120),"Earliest type date should equal StartDate. ","")&amp;IF(AND(AG120&gt;=2,AH120=AI120),"Two types start on the same date. ","")&amp;IF(AND($C120="Part-Time",$P120=""),"Part-time: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IF(AE120=0,"",IF(AG120=0,IF($C120="Full-Time","FT",IF(AND($C120="Part-Time",OR($P120="",N($P120)&gt;=PT_MinHours)),"PT","None")),IF(AK120="Full-Time","FT",IF(AND(AK120="Part-Time",OR($P120="",N($P120)&gt;=PT_MinHours)),"PT","None"))))</f>
        <v/>
      </c>
      <c r="AO120" s="12" t="str">
        <f aca="false">IF(AE120=0,"",IF(AG120&lt;2,"",IF(AL120="Full-Time","FT",IF(AND(AL120="Part-Time",OR($P120="",N($P120)&gt;=PT_MinHours)),"PT","None"))))</f>
        <v/>
      </c>
      <c r="AP120" s="12" t="str">
        <f aca="false">IF(AE120=0,"",IF(AG120&lt;3,"",IF(AM120="Full-Time","FT",IF(AND(AM120="Part-Time",OR($P120="",N($P120)&gt;=PT_MinHours)),"PT","None"))))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IF(OR(AE121=0,$D121=""),"",DATE(YEAR(AsOfDate)+IF(DATE(YEAR(AsOfDate),MONTH($D121),DAY($D121))&lt;=AsOfDate,1,0),MONTH($D121),DAY($D121)))</f>
        <v/>
      </c>
      <c r="F121" s="16"/>
      <c r="G121" s="16"/>
      <c r="H121" s="16"/>
      <c r="I121" s="16"/>
      <c r="J121" s="16"/>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7"/>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"&amp;IF(AND($C121="Part-Time",$P121&lt;&gt;"",N($P121)&lt;PT_MinHours),"under "&amp;PT_MinHours&amp;" hrs",$C121)),IF(O121&gt;0,"Yes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IF(AE121=0,"",X121-N(U121))</f>
        <v/>
      </c>
      <c r="Z121" s="12" t="str">
        <f aca="false">IF(AE121=0,"",IF(Y121&gt;0,"Yes","No"))</f>
        <v/>
      </c>
      <c r="AA121" s="12" t="str">
        <f aca="false">IF(AE121=0,"",IF(NOT(LH_Ready),"Paste Leave History export",IF(Y121&gt;0,"ACCRUE "&amp;TEXT(Y121,"0.##")&amp;" hrs ("&amp;TEXT(Y121/HoursPerDay,"0.##")&amp;" days)"&amp;IF(BA121=0," - no Bonus Leave line in EH yet",""),IF(Y121&lt;0,"CHECK - EH accrued "&amp;TEXT(-Y121,"0.##")&amp;" hrs more than policy",IF(AND(O121&gt;0,BA121=0),"CHECK - policy says "&amp;TEXT(N121,"0.##")&amp;" hrs to date but no Bonus Leave in EH",IF(O121&gt;0,"OK","-"))))))</f>
        <v/>
      </c>
      <c r="AB121" s="13" t="str">
        <f aca="false">IF(OR(AE121=0,T121=""),"",AY121*HoursPerDay-T121)</f>
        <v/>
      </c>
      <c r="AC121" s="12" t="str">
        <f aca="false">IF(AE121=0,"",BA121)</f>
        <v/>
      </c>
      <c r="AD121" s="12" t="str">
        <f aca="false">IF(AE121=0,"",TRIM(IF(AND(AG121&gt;=1,IF(AG121&gt;=3,AM121,IF(AG121=2,AL121,AK121))&lt;&gt;$C121),"EmploymentType does not match latest start date ("&amp;IF(AG121&gt;=3,AM121,IF(AG121=2,AL121,AK121))&amp;"). ","")&amp;IF(AND(AG121&gt;=1,AH121&lt;&gt;$F121),"Earliest type date should equal StartDate. ","")&amp;IF(AND(AG121&gt;=2,AH121=AI121),"Two types start on the same date. ","")&amp;IF(AND($C121="Part-Time",$P121=""),"Part-time: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IF(AE121=0,"",IF(AG121=0,IF($C121="Full-Time","FT",IF(AND($C121="Part-Time",OR($P121="",N($P121)&gt;=PT_MinHours)),"PT","None")),IF(AK121="Full-Time","FT",IF(AND(AK121="Part-Time",OR($P121="",N($P121)&gt;=PT_MinHours)),"PT","None"))))</f>
        <v/>
      </c>
      <c r="AO121" s="12" t="str">
        <f aca="false">IF(AE121=0,"",IF(AG121&lt;2,"",IF(AL121="Full-Time","FT",IF(AND(AL121="Part-Time",OR($P121="",N($P121)&gt;=PT_MinHours)),"PT","None"))))</f>
        <v/>
      </c>
      <c r="AP121" s="12" t="str">
        <f aca="false">IF(AE121=0,"",IF(AG121&lt;3,"",IF(AM121="Full-Time","FT",IF(AND(AM121="Part-Time",OR($P121="",N($P121)&gt;=PT_MinHours)),"PT","None"))))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IF(OR(AE122=0,$D122=""),"",DATE(YEAR(AsOfDate)+IF(DATE(YEAR(AsOfDate),MONTH($D122),DAY($D122))&lt;=AsOfDate,1,0),MONTH($D122),DAY($D122)))</f>
        <v/>
      </c>
      <c r="F122" s="16"/>
      <c r="G122" s="16"/>
      <c r="H122" s="16"/>
      <c r="I122" s="16"/>
      <c r="J122" s="16"/>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7"/>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"&amp;IF(AND($C122="Part-Time",$P122&lt;&gt;"",N($P122)&lt;PT_MinHours),"under "&amp;PT_MinHours&amp;" hrs",$C122)),IF(O122&gt;0,"Yes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IF(AE122=0,"",X122-N(U122))</f>
        <v/>
      </c>
      <c r="Z122" s="12" t="str">
        <f aca="false">IF(AE122=0,"",IF(Y122&gt;0,"Yes","No"))</f>
        <v/>
      </c>
      <c r="AA122" s="12" t="str">
        <f aca="false">IF(AE122=0,"",IF(NOT(LH_Ready),"Paste Leave History export",IF(Y122&gt;0,"ACCRUE "&amp;TEXT(Y122,"0.##")&amp;" hrs ("&amp;TEXT(Y122/HoursPerDay,"0.##")&amp;" days)"&amp;IF(BA122=0," - no Bonus Leave line in EH yet",""),IF(Y122&lt;0,"CHECK - EH accrued "&amp;TEXT(-Y122,"0.##")&amp;" hrs more than policy",IF(AND(O122&gt;0,BA122=0),"CHECK - policy says "&amp;TEXT(N122,"0.##")&amp;" hrs to date but no Bonus Leave in EH",IF(O122&gt;0,"OK","-"))))))</f>
        <v/>
      </c>
      <c r="AB122" s="13" t="str">
        <f aca="false">IF(OR(AE122=0,T122=""),"",AY122*HoursPerDay-T122)</f>
        <v/>
      </c>
      <c r="AC122" s="12" t="str">
        <f aca="false">IF(AE122=0,"",BA122)</f>
        <v/>
      </c>
      <c r="AD122" s="12" t="str">
        <f aca="false">IF(AE122=0,"",TRIM(IF(AND(AG122&gt;=1,IF(AG122&gt;=3,AM122,IF(AG122=2,AL122,AK122))&lt;&gt;$C122),"EmploymentType does not match latest start date ("&amp;IF(AG122&gt;=3,AM122,IF(AG122=2,AL122,AK122))&amp;"). ","")&amp;IF(AND(AG122&gt;=1,AH122&lt;&gt;$F122),"Earliest type date should equal StartDate. ","")&amp;IF(AND(AG122&gt;=2,AH122=AI122),"Two types start on the same date. ","")&amp;IF(AND($C122="Part-Time",$P122=""),"Part-time: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IF(AE122=0,"",IF(AG122=0,IF($C122="Full-Time","FT",IF(AND($C122="Part-Time",OR($P122="",N($P122)&gt;=PT_MinHours)),"PT","None")),IF(AK122="Full-Time","FT",IF(AND(AK122="Part-Time",OR($P122="",N($P122)&gt;=PT_MinHours)),"PT","None"))))</f>
        <v/>
      </c>
      <c r="AO122" s="12" t="str">
        <f aca="false">IF(AE122=0,"",IF(AG122&lt;2,"",IF(AL122="Full-Time","FT",IF(AND(AL122="Part-Time",OR($P122="",N($P122)&gt;=PT_MinHours)),"PT","None"))))</f>
        <v/>
      </c>
      <c r="AP122" s="12" t="str">
        <f aca="false">IF(AE122=0,"",IF(AG122&lt;3,"",IF(AM122="Full-Time","FT",IF(AND(AM122="Part-Time",OR($P122="",N($P122)&gt;=PT_MinHours)),"PT","None"))))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IF(OR(AE123=0,$D123=""),"",DATE(YEAR(AsOfDate)+IF(DATE(YEAR(AsOfDate),MONTH($D123),DAY($D123))&lt;=AsOfDate,1,0),MONTH($D123),DAY($D123)))</f>
        <v/>
      </c>
      <c r="F123" s="16"/>
      <c r="G123" s="16"/>
      <c r="H123" s="16"/>
      <c r="I123" s="16"/>
      <c r="J123" s="16"/>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7"/>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"&amp;IF(AND($C123="Part-Time",$P123&lt;&gt;"",N($P123)&lt;PT_MinHours),"under "&amp;PT_MinHours&amp;" hrs",$C123)),IF(O123&gt;0,"Yes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IF(AE123=0,"",X123-N(U123))</f>
        <v/>
      </c>
      <c r="Z123" s="12" t="str">
        <f aca="false">IF(AE123=0,"",IF(Y123&gt;0,"Yes","No"))</f>
        <v/>
      </c>
      <c r="AA123" s="12" t="str">
        <f aca="false">IF(AE123=0,"",IF(NOT(LH_Ready),"Paste Leave History export",IF(Y123&gt;0,"ACCRUE "&amp;TEXT(Y123,"0.##")&amp;" hrs ("&amp;TEXT(Y123/HoursPerDay,"0.##")&amp;" days)"&amp;IF(BA123=0," - no Bonus Leave line in EH yet",""),IF(Y123&lt;0,"CHECK - EH accrued "&amp;TEXT(-Y123,"0.##")&amp;" hrs more than policy",IF(AND(O123&gt;0,BA123=0),"CHECK - policy says "&amp;TEXT(N123,"0.##")&amp;" hrs to date but no Bonus Leave in EH",IF(O123&gt;0,"OK","-"))))))</f>
        <v/>
      </c>
      <c r="AB123" s="13" t="str">
        <f aca="false">IF(OR(AE123=0,T123=""),"",AY123*HoursPerDay-T123)</f>
        <v/>
      </c>
      <c r="AC123" s="12" t="str">
        <f aca="false">IF(AE123=0,"",BA123)</f>
        <v/>
      </c>
      <c r="AD123" s="12" t="str">
        <f aca="false">IF(AE123=0,"",TRIM(IF(AND(AG123&gt;=1,IF(AG123&gt;=3,AM123,IF(AG123=2,AL123,AK123))&lt;&gt;$C123),"EmploymentType does not match latest start date ("&amp;IF(AG123&gt;=3,AM123,IF(AG123=2,AL123,AK123))&amp;"). ","")&amp;IF(AND(AG123&gt;=1,AH123&lt;&gt;$F123),"Earliest type date should equal StartDate. ","")&amp;IF(AND(AG123&gt;=2,AH123=AI123),"Two types start on the same date. ","")&amp;IF(AND($C123="Part-Time",$P123=""),"Part-time: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IF(AE123=0,"",IF(AG123=0,IF($C123="Full-Time","FT",IF(AND($C123="Part-Time",OR($P123="",N($P123)&gt;=PT_MinHours)),"PT","None")),IF(AK123="Full-Time","FT",IF(AND(AK123="Part-Time",OR($P123="",N($P123)&gt;=PT_MinHours)),"PT","None"))))</f>
        <v/>
      </c>
      <c r="AO123" s="12" t="str">
        <f aca="false">IF(AE123=0,"",IF(AG123&lt;2,"",IF(AL123="Full-Time","FT",IF(AND(AL123="Part-Time",OR($P123="",N($P123)&gt;=PT_MinHours)),"PT","None"))))</f>
        <v/>
      </c>
      <c r="AP123" s="12" t="str">
        <f aca="false">IF(AE123=0,"",IF(AG123&lt;3,"",IF(AM123="Full-Time","FT",IF(AND(AM123="Part-Time",OR($P123="",N($P123)&gt;=PT_MinHours)),"PT","None"))))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IF(OR(AE124=0,$D124=""),"",DATE(YEAR(AsOfDate)+IF(DATE(YEAR(AsOfDate),MONTH($D124),DAY($D124))&lt;=AsOfDate,1,0),MONTH($D124),DAY($D124)))</f>
        <v/>
      </c>
      <c r="F124" s="16"/>
      <c r="G124" s="16"/>
      <c r="H124" s="16"/>
      <c r="I124" s="16"/>
      <c r="J124" s="16"/>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7"/>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"&amp;IF(AND($C124="Part-Time",$P124&lt;&gt;"",N($P124)&lt;PT_MinHours),"under "&amp;PT_MinHours&amp;" hrs",$C124)),IF(O124&gt;0,"Yes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IF(AE124=0,"",X124-N(U124))</f>
        <v/>
      </c>
      <c r="Z124" s="12" t="str">
        <f aca="false">IF(AE124=0,"",IF(Y124&gt;0,"Yes","No"))</f>
        <v/>
      </c>
      <c r="AA124" s="12" t="str">
        <f aca="false">IF(AE124=0,"",IF(NOT(LH_Ready),"Paste Leave History export",IF(Y124&gt;0,"ACCRUE "&amp;TEXT(Y124,"0.##")&amp;" hrs ("&amp;TEXT(Y124/HoursPerDay,"0.##")&amp;" days)"&amp;IF(BA124=0," - no Bonus Leave line in EH yet",""),IF(Y124&lt;0,"CHECK - EH accrued "&amp;TEXT(-Y124,"0.##")&amp;" hrs more than policy",IF(AND(O124&gt;0,BA124=0),"CHECK - policy says "&amp;TEXT(N124,"0.##")&amp;" hrs to date but no Bonus Leave in EH",IF(O124&gt;0,"OK","-"))))))</f>
        <v/>
      </c>
      <c r="AB124" s="13" t="str">
        <f aca="false">IF(OR(AE124=0,T124=""),"",AY124*HoursPerDay-T124)</f>
        <v/>
      </c>
      <c r="AC124" s="12" t="str">
        <f aca="false">IF(AE124=0,"",BA124)</f>
        <v/>
      </c>
      <c r="AD124" s="12" t="str">
        <f aca="false">IF(AE124=0,"",TRIM(IF(AND(AG124&gt;=1,IF(AG124&gt;=3,AM124,IF(AG124=2,AL124,AK124))&lt;&gt;$C124),"EmploymentType does not match latest start date ("&amp;IF(AG124&gt;=3,AM124,IF(AG124=2,AL124,AK124))&amp;"). ","")&amp;IF(AND(AG124&gt;=1,AH124&lt;&gt;$F124),"Earliest type date should equal StartDate. ","")&amp;IF(AND(AG124&gt;=2,AH124=AI124),"Two types start on the same date. ","")&amp;IF(AND($C124="Part-Time",$P124=""),"Part-time: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IF(AE124=0,"",IF(AG124=0,IF($C124="Full-Time","FT",IF(AND($C124="Part-Time",OR($P124="",N($P124)&gt;=PT_MinHours)),"PT","None")),IF(AK124="Full-Time","FT",IF(AND(AK124="Part-Time",OR($P124="",N($P124)&gt;=PT_MinHours)),"PT","None"))))</f>
        <v/>
      </c>
      <c r="AO124" s="12" t="str">
        <f aca="false">IF(AE124=0,"",IF(AG124&lt;2,"",IF(AL124="Full-Time","FT",IF(AND(AL124="Part-Time",OR($P124="",N($P124)&gt;=PT_MinHours)),"PT","None"))))</f>
        <v/>
      </c>
      <c r="AP124" s="12" t="str">
        <f aca="false">IF(AE124=0,"",IF(AG124&lt;3,"",IF(AM124="Full-Time","FT",IF(AND(AM124="Part-Time",OR($P124="",N($P124)&gt;=PT_MinHours)),"PT","None"))))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IF(OR(AE125=0,$D125=""),"",DATE(YEAR(AsOfDate)+IF(DATE(YEAR(AsOfDate),MONTH($D125),DAY($D125))&lt;=AsOfDate,1,0),MONTH($D125),DAY($D125)))</f>
        <v/>
      </c>
      <c r="F125" s="16"/>
      <c r="G125" s="16"/>
      <c r="H125" s="16"/>
      <c r="I125" s="16"/>
      <c r="J125" s="16"/>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7"/>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"&amp;IF(AND($C125="Part-Time",$P125&lt;&gt;"",N($P125)&lt;PT_MinHours),"under "&amp;PT_MinHours&amp;" hrs",$C125)),IF(O125&gt;0,"Yes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IF(AE125=0,"",X125-N(U125))</f>
        <v/>
      </c>
      <c r="Z125" s="12" t="str">
        <f aca="false">IF(AE125=0,"",IF(Y125&gt;0,"Yes","No"))</f>
        <v/>
      </c>
      <c r="AA125" s="12" t="str">
        <f aca="false">IF(AE125=0,"",IF(NOT(LH_Ready),"Paste Leave History export",IF(Y125&gt;0,"ACCRUE "&amp;TEXT(Y125,"0.##")&amp;" hrs ("&amp;TEXT(Y125/HoursPerDay,"0.##")&amp;" days)"&amp;IF(BA125=0," - no Bonus Leave line in EH yet",""),IF(Y125&lt;0,"CHECK - EH accrued "&amp;TEXT(-Y125,"0.##")&amp;" hrs more than policy",IF(AND(O125&gt;0,BA125=0),"CHECK - policy says "&amp;TEXT(N125,"0.##")&amp;" hrs to date but no Bonus Leave in EH",IF(O125&gt;0,"OK","-"))))))</f>
        <v/>
      </c>
      <c r="AB125" s="13" t="str">
        <f aca="false">IF(OR(AE125=0,T125=""),"",AY125*HoursPerDay-T125)</f>
        <v/>
      </c>
      <c r="AC125" s="12" t="str">
        <f aca="false">IF(AE125=0,"",BA125)</f>
        <v/>
      </c>
      <c r="AD125" s="12" t="str">
        <f aca="false">IF(AE125=0,"",TRIM(IF(AND(AG125&gt;=1,IF(AG125&gt;=3,AM125,IF(AG125=2,AL125,AK125))&lt;&gt;$C125),"EmploymentType does not match latest start date ("&amp;IF(AG125&gt;=3,AM125,IF(AG125=2,AL125,AK125))&amp;"). ","")&amp;IF(AND(AG125&gt;=1,AH125&lt;&gt;$F125),"Earliest type date should equal StartDate. ","")&amp;IF(AND(AG125&gt;=2,AH125=AI125),"Two types start on the same date. ","")&amp;IF(AND($C125="Part-Time",$P125=""),"Part-time: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IF(AE125=0,"",IF(AG125=0,IF($C125="Full-Time","FT",IF(AND($C125="Part-Time",OR($P125="",N($P125)&gt;=PT_MinHours)),"PT","None")),IF(AK125="Full-Time","FT",IF(AND(AK125="Part-Time",OR($P125="",N($P125)&gt;=PT_MinHours)),"PT","None"))))</f>
        <v/>
      </c>
      <c r="AO125" s="12" t="str">
        <f aca="false">IF(AE125=0,"",IF(AG125&lt;2,"",IF(AL125="Full-Time","FT",IF(AND(AL125="Part-Time",OR($P125="",N($P125)&gt;=PT_MinHours)),"PT","None"))))</f>
        <v/>
      </c>
      <c r="AP125" s="12" t="str">
        <f aca="false">IF(AE125=0,"",IF(AG125&lt;3,"",IF(AM125="Full-Time","FT",IF(AND(AM125="Part-Time",OR($P125="",N($P125)&gt;=PT_MinHours)),"PT","None"))))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IF(OR(AE126=0,$D126=""),"",DATE(YEAR(AsOfDate)+IF(DATE(YEAR(AsOfDate),MONTH($D126),DAY($D126))&lt;=AsOfDate,1,0),MONTH($D126),DAY($D126)))</f>
        <v/>
      </c>
      <c r="F126" s="16"/>
      <c r="G126" s="16"/>
      <c r="H126" s="16"/>
      <c r="I126" s="16"/>
      <c r="J126" s="16"/>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7"/>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"&amp;IF(AND($C126="Part-Time",$P126&lt;&gt;"",N($P126)&lt;PT_MinHours),"under "&amp;PT_MinHours&amp;" hrs",$C126)),IF(O126&gt;0,"Yes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IF(AE126=0,"",X126-N(U126))</f>
        <v/>
      </c>
      <c r="Z126" s="12" t="str">
        <f aca="false">IF(AE126=0,"",IF(Y126&gt;0,"Yes","No"))</f>
        <v/>
      </c>
      <c r="AA126" s="12" t="str">
        <f aca="false">IF(AE126=0,"",IF(NOT(LH_Ready),"Paste Leave History export",IF(Y126&gt;0,"ACCRUE "&amp;TEXT(Y126,"0.##")&amp;" hrs ("&amp;TEXT(Y126/HoursPerDay,"0.##")&amp;" days)"&amp;IF(BA126=0," - no Bonus Leave line in EH yet",""),IF(Y126&lt;0,"CHECK - EH accrued "&amp;TEXT(-Y126,"0.##")&amp;" hrs more than policy",IF(AND(O126&gt;0,BA126=0),"CHECK - policy says "&amp;TEXT(N126,"0.##")&amp;" hrs to date but no Bonus Leave in EH",IF(O126&gt;0,"OK","-"))))))</f>
        <v/>
      </c>
      <c r="AB126" s="13" t="str">
        <f aca="false">IF(OR(AE126=0,T126=""),"",AY126*HoursPerDay-T126)</f>
        <v/>
      </c>
      <c r="AC126" s="12" t="str">
        <f aca="false">IF(AE126=0,"",BA126)</f>
        <v/>
      </c>
      <c r="AD126" s="12" t="str">
        <f aca="false">IF(AE126=0,"",TRIM(IF(AND(AG126&gt;=1,IF(AG126&gt;=3,AM126,IF(AG126=2,AL126,AK126))&lt;&gt;$C126),"EmploymentType does not match latest start date ("&amp;IF(AG126&gt;=3,AM126,IF(AG126=2,AL126,AK126))&amp;"). ","")&amp;IF(AND(AG126&gt;=1,AH126&lt;&gt;$F126),"Earliest type date should equal StartDate. ","")&amp;IF(AND(AG126&gt;=2,AH126=AI126),"Two types start on the same date. ","")&amp;IF(AND($C126="Part-Time",$P126=""),"Part-time: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IF(AE126=0,"",IF(AG126=0,IF($C126="Full-Time","FT",IF(AND($C126="Part-Time",OR($P126="",N($P126)&gt;=PT_MinHours)),"PT","None")),IF(AK126="Full-Time","FT",IF(AND(AK126="Part-Time",OR($P126="",N($P126)&gt;=PT_MinHours)),"PT","None"))))</f>
        <v/>
      </c>
      <c r="AO126" s="12" t="str">
        <f aca="false">IF(AE126=0,"",IF(AG126&lt;2,"",IF(AL126="Full-Time","FT",IF(AND(AL126="Part-Time",OR($P126="",N($P126)&gt;=PT_MinHours)),"PT","None"))))</f>
        <v/>
      </c>
      <c r="AP126" s="12" t="str">
        <f aca="false">IF(AE126=0,"",IF(AG126&lt;3,"",IF(AM126="Full-Time","FT",IF(AND(AM126="Part-Time",OR($P126="",N($P126)&gt;=PT_MinHours)),"PT","None"))))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IF(OR(AE127=0,$D127=""),"",DATE(YEAR(AsOfDate)+IF(DATE(YEAR(AsOfDate),MONTH($D127),DAY($D127))&lt;=AsOfDate,1,0),MONTH($D127),DAY($D127)))</f>
        <v/>
      </c>
      <c r="F127" s="16"/>
      <c r="G127" s="16"/>
      <c r="H127" s="16"/>
      <c r="I127" s="16"/>
      <c r="J127" s="16"/>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7"/>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"&amp;IF(AND($C127="Part-Time",$P127&lt;&gt;"",N($P127)&lt;PT_MinHours),"under "&amp;PT_MinHours&amp;" hrs",$C127)),IF(O127&gt;0,"Yes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IF(AE127=0,"",X127-N(U127))</f>
        <v/>
      </c>
      <c r="Z127" s="12" t="str">
        <f aca="false">IF(AE127=0,"",IF(Y127&gt;0,"Yes","No"))</f>
        <v/>
      </c>
      <c r="AA127" s="12" t="str">
        <f aca="false">IF(AE127=0,"",IF(NOT(LH_Ready),"Paste Leave History export",IF(Y127&gt;0,"ACCRUE "&amp;TEXT(Y127,"0.##")&amp;" hrs ("&amp;TEXT(Y127/HoursPerDay,"0.##")&amp;" days)"&amp;IF(BA127=0," - no Bonus Leave line in EH yet",""),IF(Y127&lt;0,"CHECK - EH accrued "&amp;TEXT(-Y127,"0.##")&amp;" hrs more than policy",IF(AND(O127&gt;0,BA127=0),"CHECK - policy says "&amp;TEXT(N127,"0.##")&amp;" hrs to date but no Bonus Leave in EH",IF(O127&gt;0,"OK","-"))))))</f>
        <v/>
      </c>
      <c r="AB127" s="13" t="str">
        <f aca="false">IF(OR(AE127=0,T127=""),"",AY127*HoursPerDay-T127)</f>
        <v/>
      </c>
      <c r="AC127" s="12" t="str">
        <f aca="false">IF(AE127=0,"",BA127)</f>
        <v/>
      </c>
      <c r="AD127" s="12" t="str">
        <f aca="false">IF(AE127=0,"",TRIM(IF(AND(AG127&gt;=1,IF(AG127&gt;=3,AM127,IF(AG127=2,AL127,AK127))&lt;&gt;$C127),"EmploymentType does not match latest start date ("&amp;IF(AG127&gt;=3,AM127,IF(AG127=2,AL127,AK127))&amp;"). ","")&amp;IF(AND(AG127&gt;=1,AH127&lt;&gt;$F127),"Earliest type date should equal StartDate. ","")&amp;IF(AND(AG127&gt;=2,AH127=AI127),"Two types start on the same date. ","")&amp;IF(AND($C127="Part-Time",$P127=""),"Part-time: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IF(AE127=0,"",IF(AG127=0,IF($C127="Full-Time","FT",IF(AND($C127="Part-Time",OR($P127="",N($P127)&gt;=PT_MinHours)),"PT","None")),IF(AK127="Full-Time","FT",IF(AND(AK127="Part-Time",OR($P127="",N($P127)&gt;=PT_MinHours)),"PT","None"))))</f>
        <v/>
      </c>
      <c r="AO127" s="12" t="str">
        <f aca="false">IF(AE127=0,"",IF(AG127&lt;2,"",IF(AL127="Full-Time","FT",IF(AND(AL127="Part-Time",OR($P127="",N($P127)&gt;=PT_MinHours)),"PT","None"))))</f>
        <v/>
      </c>
      <c r="AP127" s="12" t="str">
        <f aca="false">IF(AE127=0,"",IF(AG127&lt;3,"",IF(AM127="Full-Time","FT",IF(AND(AM127="Part-Time",OR($P127="",N($P127)&gt;=PT_MinHours)),"PT","None"))))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IF(OR(AE128=0,$D128=""),"",DATE(YEAR(AsOfDate)+IF(DATE(YEAR(AsOfDate),MONTH($D128),DAY($D128))&lt;=AsOfDate,1,0),MONTH($D128),DAY($D128)))</f>
        <v/>
      </c>
      <c r="F128" s="16"/>
      <c r="G128" s="16"/>
      <c r="H128" s="16"/>
      <c r="I128" s="16"/>
      <c r="J128" s="16"/>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7"/>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"&amp;IF(AND($C128="Part-Time",$P128&lt;&gt;"",N($P128)&lt;PT_MinHours),"under "&amp;PT_MinHours&amp;" hrs",$C128)),IF(O128&gt;0,"Yes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IF(AE128=0,"",X128-N(U128))</f>
        <v/>
      </c>
      <c r="Z128" s="12" t="str">
        <f aca="false">IF(AE128=0,"",IF(Y128&gt;0,"Yes","No"))</f>
        <v/>
      </c>
      <c r="AA128" s="12" t="str">
        <f aca="false">IF(AE128=0,"",IF(NOT(LH_Ready),"Paste Leave History export",IF(Y128&gt;0,"ACCRUE "&amp;TEXT(Y128,"0.##")&amp;" hrs ("&amp;TEXT(Y128/HoursPerDay,"0.##")&amp;" days)"&amp;IF(BA128=0," - no Bonus Leave line in EH yet",""),IF(Y128&lt;0,"CHECK - EH accrued "&amp;TEXT(-Y128,"0.##")&amp;" hrs more than policy",IF(AND(O128&gt;0,BA128=0),"CHECK - policy says "&amp;TEXT(N128,"0.##")&amp;" hrs to date but no Bonus Leave in EH",IF(O128&gt;0,"OK","-"))))))</f>
        <v/>
      </c>
      <c r="AB128" s="13" t="str">
        <f aca="false">IF(OR(AE128=0,T128=""),"",AY128*HoursPerDay-T128)</f>
        <v/>
      </c>
      <c r="AC128" s="12" t="str">
        <f aca="false">IF(AE128=0,"",BA128)</f>
        <v/>
      </c>
      <c r="AD128" s="12" t="str">
        <f aca="false">IF(AE128=0,"",TRIM(IF(AND(AG128&gt;=1,IF(AG128&gt;=3,AM128,IF(AG128=2,AL128,AK128))&lt;&gt;$C128),"EmploymentType does not match latest start date ("&amp;IF(AG128&gt;=3,AM128,IF(AG128=2,AL128,AK128))&amp;"). ","")&amp;IF(AND(AG128&gt;=1,AH128&lt;&gt;$F128),"Earliest type date should equal StartDate. ","")&amp;IF(AND(AG128&gt;=2,AH128=AI128),"Two types start on the same date. ","")&amp;IF(AND($C128="Part-Time",$P128=""),"Part-time: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IF(AE128=0,"",IF(AG128=0,IF($C128="Full-Time","FT",IF(AND($C128="Part-Time",OR($P128="",N($P128)&gt;=PT_MinHours)),"PT","None")),IF(AK128="Full-Time","FT",IF(AND(AK128="Part-Time",OR($P128="",N($P128)&gt;=PT_MinHours)),"PT","None"))))</f>
        <v/>
      </c>
      <c r="AO128" s="12" t="str">
        <f aca="false">IF(AE128=0,"",IF(AG128&lt;2,"",IF(AL128="Full-Time","FT",IF(AND(AL128="Part-Time",OR($P128="",N($P128)&gt;=PT_MinHours)),"PT","None"))))</f>
        <v/>
      </c>
      <c r="AP128" s="12" t="str">
        <f aca="false">IF(AE128=0,"",IF(AG128&lt;3,"",IF(AM128="Full-Time","FT",IF(AND(AM128="Part-Time",OR($P128="",N($P128)&gt;=PT_MinHours)),"PT","None"))))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IF(OR(AE129=0,$D129=""),"",DATE(YEAR(AsOfDate)+IF(DATE(YEAR(AsOfDate),MONTH($D129),DAY($D129))&lt;=AsOfDate,1,0),MONTH($D129),DAY($D129)))</f>
        <v/>
      </c>
      <c r="F129" s="16"/>
      <c r="G129" s="16"/>
      <c r="H129" s="16"/>
      <c r="I129" s="16"/>
      <c r="J129" s="16"/>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7"/>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"&amp;IF(AND($C129="Part-Time",$P129&lt;&gt;"",N($P129)&lt;PT_MinHours),"under "&amp;PT_MinHours&amp;" hrs",$C129)),IF(O129&gt;0,"Yes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IF(AE129=0,"",X129-N(U129))</f>
        <v/>
      </c>
      <c r="Z129" s="12" t="str">
        <f aca="false">IF(AE129=0,"",IF(Y129&gt;0,"Yes","No"))</f>
        <v/>
      </c>
      <c r="AA129" s="12" t="str">
        <f aca="false">IF(AE129=0,"",IF(NOT(LH_Ready),"Paste Leave History export",IF(Y129&gt;0,"ACCRUE "&amp;TEXT(Y129,"0.##")&amp;" hrs ("&amp;TEXT(Y129/HoursPerDay,"0.##")&amp;" days)"&amp;IF(BA129=0," - no Bonus Leave line in EH yet",""),IF(Y129&lt;0,"CHECK - EH accrued "&amp;TEXT(-Y129,"0.##")&amp;" hrs more than policy",IF(AND(O129&gt;0,BA129=0),"CHECK - policy says "&amp;TEXT(N129,"0.##")&amp;" hrs to date but no Bonus Leave in EH",IF(O129&gt;0,"OK","-"))))))</f>
        <v/>
      </c>
      <c r="AB129" s="13" t="str">
        <f aca="false">IF(OR(AE129=0,T129=""),"",AY129*HoursPerDay-T129)</f>
        <v/>
      </c>
      <c r="AC129" s="12" t="str">
        <f aca="false">IF(AE129=0,"",BA129)</f>
        <v/>
      </c>
      <c r="AD129" s="12" t="str">
        <f aca="false">IF(AE129=0,"",TRIM(IF(AND(AG129&gt;=1,IF(AG129&gt;=3,AM129,IF(AG129=2,AL129,AK129))&lt;&gt;$C129),"EmploymentType does not match latest start date ("&amp;IF(AG129&gt;=3,AM129,IF(AG129=2,AL129,AK129))&amp;"). ","")&amp;IF(AND(AG129&gt;=1,AH129&lt;&gt;$F129),"Earliest type date should equal StartDate. ","")&amp;IF(AND(AG129&gt;=2,AH129=AI129),"Two types start on the same date. ","")&amp;IF(AND($C129="Part-Time",$P129=""),"Part-time: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IF(AE129=0,"",IF(AG129=0,IF($C129="Full-Time","FT",IF(AND($C129="Part-Time",OR($P129="",N($P129)&gt;=PT_MinHours)),"PT","None")),IF(AK129="Full-Time","FT",IF(AND(AK129="Part-Time",OR($P129="",N($P129)&gt;=PT_MinHours)),"PT","None"))))</f>
        <v/>
      </c>
      <c r="AO129" s="12" t="str">
        <f aca="false">IF(AE129=0,"",IF(AG129&lt;2,"",IF(AL129="Full-Time","FT",IF(AND(AL129="Part-Time",OR($P129="",N($P129)&gt;=PT_MinHours)),"PT","None"))))</f>
        <v/>
      </c>
      <c r="AP129" s="12" t="str">
        <f aca="false">IF(AE129=0,"",IF(AG129&lt;3,"",IF(AM129="Full-Time","FT",IF(AND(AM129="Part-Time",OR($P129="",N($P129)&gt;=PT_MinHours)),"PT","None"))))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IF(OR(AE130=0,$D130=""),"",DATE(YEAR(AsOfDate)+IF(DATE(YEAR(AsOfDate),MONTH($D130),DAY($D130))&lt;=AsOfDate,1,0),MONTH($D130),DAY($D130)))</f>
        <v/>
      </c>
      <c r="F130" s="16"/>
      <c r="G130" s="16"/>
      <c r="H130" s="16"/>
      <c r="I130" s="16"/>
      <c r="J130" s="16"/>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7"/>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"&amp;IF(AND($C130="Part-Time",$P130&lt;&gt;"",N($P130)&lt;PT_MinHours),"under "&amp;PT_MinHours&amp;" hrs",$C130)),IF(O130&gt;0,"Yes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IF(AE130=0,"",X130-N(U130))</f>
        <v/>
      </c>
      <c r="Z130" s="12" t="str">
        <f aca="false">IF(AE130=0,"",IF(Y130&gt;0,"Yes","No"))</f>
        <v/>
      </c>
      <c r="AA130" s="12" t="str">
        <f aca="false">IF(AE130=0,"",IF(NOT(LH_Ready),"Paste Leave History export",IF(Y130&gt;0,"ACCRUE "&amp;TEXT(Y130,"0.##")&amp;" hrs ("&amp;TEXT(Y130/HoursPerDay,"0.##")&amp;" days)"&amp;IF(BA130=0," - no Bonus Leave line in EH yet",""),IF(Y130&lt;0,"CHECK - EH accrued "&amp;TEXT(-Y130,"0.##")&amp;" hrs more than policy",IF(AND(O130&gt;0,BA130=0),"CHECK - policy says "&amp;TEXT(N130,"0.##")&amp;" hrs to date but no Bonus Leave in EH",IF(O130&gt;0,"OK","-"))))))</f>
        <v/>
      </c>
      <c r="AB130" s="13" t="str">
        <f aca="false">IF(OR(AE130=0,T130=""),"",AY130*HoursPerDay-T130)</f>
        <v/>
      </c>
      <c r="AC130" s="12" t="str">
        <f aca="false">IF(AE130=0,"",BA130)</f>
        <v/>
      </c>
      <c r="AD130" s="12" t="str">
        <f aca="false">IF(AE130=0,"",TRIM(IF(AND(AG130&gt;=1,IF(AG130&gt;=3,AM130,IF(AG130=2,AL130,AK130))&lt;&gt;$C130),"EmploymentType does not match latest start date ("&amp;IF(AG130&gt;=3,AM130,IF(AG130=2,AL130,AK130))&amp;"). ","")&amp;IF(AND(AG130&gt;=1,AH130&lt;&gt;$F130),"Earliest type date should equal StartDate. ","")&amp;IF(AND(AG130&gt;=2,AH130=AI130),"Two types start on the same date. ","")&amp;IF(AND($C130="Part-Time",$P130=""),"Part-time: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IF(AE130=0,"",IF(AG130=0,IF($C130="Full-Time","FT",IF(AND($C130="Part-Time",OR($P130="",N($P130)&gt;=PT_MinHours)),"PT","None")),IF(AK130="Full-Time","FT",IF(AND(AK130="Part-Time",OR($P130="",N($P130)&gt;=PT_MinHours)),"PT","None"))))</f>
        <v/>
      </c>
      <c r="AO130" s="12" t="str">
        <f aca="false">IF(AE130=0,"",IF(AG130&lt;2,"",IF(AL130="Full-Time","FT",IF(AND(AL130="Part-Time",OR($P130="",N($P130)&gt;=PT_MinHours)),"PT","None"))))</f>
        <v/>
      </c>
      <c r="AP130" s="12" t="str">
        <f aca="false">IF(AE130=0,"",IF(AG130&lt;3,"",IF(AM130="Full-Time","FT",IF(AND(AM130="Part-Time",OR($P130="",N($P130)&gt;=PT_MinHours)),"PT","None"))))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IF(OR(AE131=0,$D131=""),"",DATE(YEAR(AsOfDate)+IF(DATE(YEAR(AsOfDate),MONTH($D131),DAY($D131))&lt;=AsOfDate,1,0),MONTH($D131),DAY($D131)))</f>
        <v/>
      </c>
      <c r="F131" s="16"/>
      <c r="G131" s="16"/>
      <c r="H131" s="16"/>
      <c r="I131" s="16"/>
      <c r="J131" s="16"/>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7"/>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"&amp;IF(AND($C131="Part-Time",$P131&lt;&gt;"",N($P131)&lt;PT_MinHours),"under "&amp;PT_MinHours&amp;" hrs",$C131)),IF(O131&gt;0,"Yes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IF(AE131=0,"",X131-N(U131))</f>
        <v/>
      </c>
      <c r="Z131" s="12" t="str">
        <f aca="false">IF(AE131=0,"",IF(Y131&gt;0,"Yes","No"))</f>
        <v/>
      </c>
      <c r="AA131" s="12" t="str">
        <f aca="false">IF(AE131=0,"",IF(NOT(LH_Ready),"Paste Leave History export",IF(Y131&gt;0,"ACCRUE "&amp;TEXT(Y131,"0.##")&amp;" hrs ("&amp;TEXT(Y131/HoursPerDay,"0.##")&amp;" days)"&amp;IF(BA131=0," - no Bonus Leave line in EH yet",""),IF(Y131&lt;0,"CHECK - EH accrued "&amp;TEXT(-Y131,"0.##")&amp;" hrs more than policy",IF(AND(O131&gt;0,BA131=0),"CHECK - policy says "&amp;TEXT(N131,"0.##")&amp;" hrs to date but no Bonus Leave in EH",IF(O131&gt;0,"OK","-"))))))</f>
        <v/>
      </c>
      <c r="AB131" s="13" t="str">
        <f aca="false">IF(OR(AE131=0,T131=""),"",AY131*HoursPerDay-T131)</f>
        <v/>
      </c>
      <c r="AC131" s="12" t="str">
        <f aca="false">IF(AE131=0,"",BA131)</f>
        <v/>
      </c>
      <c r="AD131" s="12" t="str">
        <f aca="false">IF(AE131=0,"",TRIM(IF(AND(AG131&gt;=1,IF(AG131&gt;=3,AM131,IF(AG131=2,AL131,AK131))&lt;&gt;$C131),"EmploymentType does not match latest start date ("&amp;IF(AG131&gt;=3,AM131,IF(AG131=2,AL131,AK131))&amp;"). ","")&amp;IF(AND(AG131&gt;=1,AH131&lt;&gt;$F131),"Earliest type date should equal StartDate. ","")&amp;IF(AND(AG131&gt;=2,AH131=AI131),"Two types start on the same date. ","")&amp;IF(AND($C131="Part-Time",$P131=""),"Part-time: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IF(AE131=0,"",IF(AG131=0,IF($C131="Full-Time","FT",IF(AND($C131="Part-Time",OR($P131="",N($P131)&gt;=PT_MinHours)),"PT","None")),IF(AK131="Full-Time","FT",IF(AND(AK131="Part-Time",OR($P131="",N($P131)&gt;=PT_MinHours)),"PT","None"))))</f>
        <v/>
      </c>
      <c r="AO131" s="12" t="str">
        <f aca="false">IF(AE131=0,"",IF(AG131&lt;2,"",IF(AL131="Full-Time","FT",IF(AND(AL131="Part-Time",OR($P131="",N($P131)&gt;=PT_MinHours)),"PT","None"))))</f>
        <v/>
      </c>
      <c r="AP131" s="12" t="str">
        <f aca="false">IF(AE131=0,"",IF(AG131&lt;3,"",IF(AM131="Full-Time","FT",IF(AND(AM131="Part-Time",OR($P131="",N($P131)&gt;=PT_MinHours)),"PT","None"))))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IF(OR(AE132=0,$D132=""),"",DATE(YEAR(AsOfDate)+IF(DATE(YEAR(AsOfDate),MONTH($D132),DAY($D132))&lt;=AsOfDate,1,0),MONTH($D132),DAY($D132)))</f>
        <v/>
      </c>
      <c r="F132" s="16"/>
      <c r="G132" s="16"/>
      <c r="H132" s="16"/>
      <c r="I132" s="16"/>
      <c r="J132" s="16"/>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7"/>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"&amp;IF(AND($C132="Part-Time",$P132&lt;&gt;"",N($P132)&lt;PT_MinHours),"under "&amp;PT_MinHours&amp;" hrs",$C132)),IF(O132&gt;0,"Yes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IF(AE132=0,"",X132-N(U132))</f>
        <v/>
      </c>
      <c r="Z132" s="12" t="str">
        <f aca="false">IF(AE132=0,"",IF(Y132&gt;0,"Yes","No"))</f>
        <v/>
      </c>
      <c r="AA132" s="12" t="str">
        <f aca="false">IF(AE132=0,"",IF(NOT(LH_Ready),"Paste Leave History export",IF(Y132&gt;0,"ACCRUE "&amp;TEXT(Y132,"0.##")&amp;" hrs ("&amp;TEXT(Y132/HoursPerDay,"0.##")&amp;" days)"&amp;IF(BA132=0," - no Bonus Leave line in EH yet",""),IF(Y132&lt;0,"CHECK - EH accrued "&amp;TEXT(-Y132,"0.##")&amp;" hrs more than policy",IF(AND(O132&gt;0,BA132=0),"CHECK - policy says "&amp;TEXT(N132,"0.##")&amp;" hrs to date but no Bonus Leave in EH",IF(O132&gt;0,"OK","-"))))))</f>
        <v/>
      </c>
      <c r="AB132" s="13" t="str">
        <f aca="false">IF(OR(AE132=0,T132=""),"",AY132*HoursPerDay-T132)</f>
        <v/>
      </c>
      <c r="AC132" s="12" t="str">
        <f aca="false">IF(AE132=0,"",BA132)</f>
        <v/>
      </c>
      <c r="AD132" s="12" t="str">
        <f aca="false">IF(AE132=0,"",TRIM(IF(AND(AG132&gt;=1,IF(AG132&gt;=3,AM132,IF(AG132=2,AL132,AK132))&lt;&gt;$C132),"EmploymentType does not match latest start date ("&amp;IF(AG132&gt;=3,AM132,IF(AG132=2,AL132,AK132))&amp;"). ","")&amp;IF(AND(AG132&gt;=1,AH132&lt;&gt;$F132),"Earliest type date should equal StartDate. ","")&amp;IF(AND(AG132&gt;=2,AH132=AI132),"Two types start on the same date. ","")&amp;IF(AND($C132="Part-Time",$P132=""),"Part-time: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IF(AE132=0,"",IF(AG132=0,IF($C132="Full-Time","FT",IF(AND($C132="Part-Time",OR($P132="",N($P132)&gt;=PT_MinHours)),"PT","None")),IF(AK132="Full-Time","FT",IF(AND(AK132="Part-Time",OR($P132="",N($P132)&gt;=PT_MinHours)),"PT","None"))))</f>
        <v/>
      </c>
      <c r="AO132" s="12" t="str">
        <f aca="false">IF(AE132=0,"",IF(AG132&lt;2,"",IF(AL132="Full-Time","FT",IF(AND(AL132="Part-Time",OR($P132="",N($P132)&gt;=PT_MinHours)),"PT","None"))))</f>
        <v/>
      </c>
      <c r="AP132" s="12" t="str">
        <f aca="false">IF(AE132=0,"",IF(AG132&lt;3,"",IF(AM132="Full-Time","FT",IF(AND(AM132="Part-Time",OR($P132="",N($P132)&gt;=PT_MinHours)),"PT","None"))))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IF(OR(AE133=0,$D133=""),"",DATE(YEAR(AsOfDate)+IF(DATE(YEAR(AsOfDate),MONTH($D133),DAY($D133))&lt;=AsOfDate,1,0),MONTH($D133),DAY($D133)))</f>
        <v/>
      </c>
      <c r="F133" s="16"/>
      <c r="G133" s="16"/>
      <c r="H133" s="16"/>
      <c r="I133" s="16"/>
      <c r="J133" s="16"/>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7"/>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"&amp;IF(AND($C133="Part-Time",$P133&lt;&gt;"",N($P133)&lt;PT_MinHours),"under "&amp;PT_MinHours&amp;" hrs",$C133)),IF(O133&gt;0,"Yes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IF(AE133=0,"",X133-N(U133))</f>
        <v/>
      </c>
      <c r="Z133" s="12" t="str">
        <f aca="false">IF(AE133=0,"",IF(Y133&gt;0,"Yes","No"))</f>
        <v/>
      </c>
      <c r="AA133" s="12" t="str">
        <f aca="false">IF(AE133=0,"",IF(NOT(LH_Ready),"Paste Leave History export",IF(Y133&gt;0,"ACCRUE "&amp;TEXT(Y133,"0.##")&amp;" hrs ("&amp;TEXT(Y133/HoursPerDay,"0.##")&amp;" days)"&amp;IF(BA133=0," - no Bonus Leave line in EH yet",""),IF(Y133&lt;0,"CHECK - EH accrued "&amp;TEXT(-Y133,"0.##")&amp;" hrs more than policy",IF(AND(O133&gt;0,BA133=0),"CHECK - policy says "&amp;TEXT(N133,"0.##")&amp;" hrs to date but no Bonus Leave in EH",IF(O133&gt;0,"OK","-"))))))</f>
        <v/>
      </c>
      <c r="AB133" s="13" t="str">
        <f aca="false">IF(OR(AE133=0,T133=""),"",AY133*HoursPerDay-T133)</f>
        <v/>
      </c>
      <c r="AC133" s="12" t="str">
        <f aca="false">IF(AE133=0,"",BA133)</f>
        <v/>
      </c>
      <c r="AD133" s="12" t="str">
        <f aca="false">IF(AE133=0,"",TRIM(IF(AND(AG133&gt;=1,IF(AG133&gt;=3,AM133,IF(AG133=2,AL133,AK133))&lt;&gt;$C133),"EmploymentType does not match latest start date ("&amp;IF(AG133&gt;=3,AM133,IF(AG133=2,AL133,AK133))&amp;"). ","")&amp;IF(AND(AG133&gt;=1,AH133&lt;&gt;$F133),"Earliest type date should equal StartDate. ","")&amp;IF(AND(AG133&gt;=2,AH133=AI133),"Two types start on the same date. ","")&amp;IF(AND($C133="Part-Time",$P133=""),"Part-time: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IF(AE133=0,"",IF(AG133=0,IF($C133="Full-Time","FT",IF(AND($C133="Part-Time",OR($P133="",N($P133)&gt;=PT_MinHours)),"PT","None")),IF(AK133="Full-Time","FT",IF(AND(AK133="Part-Time",OR($P133="",N($P133)&gt;=PT_MinHours)),"PT","None"))))</f>
        <v/>
      </c>
      <c r="AO133" s="12" t="str">
        <f aca="false">IF(AE133=0,"",IF(AG133&lt;2,"",IF(AL133="Full-Time","FT",IF(AND(AL133="Part-Time",OR($P133="",N($P133)&gt;=PT_MinHours)),"PT","None"))))</f>
        <v/>
      </c>
      <c r="AP133" s="12" t="str">
        <f aca="false">IF(AE133=0,"",IF(AG133&lt;3,"",IF(AM133="Full-Time","FT",IF(AND(AM133="Part-Time",OR($P133="",N($P133)&gt;=PT_MinHours)),"PT","None"))))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IF(OR(AE134=0,$D134=""),"",DATE(YEAR(AsOfDate)+IF(DATE(YEAR(AsOfDate),MONTH($D134),DAY($D134))&lt;=AsOfDate,1,0),MONTH($D134),DAY($D134)))</f>
        <v/>
      </c>
      <c r="F134" s="16"/>
      <c r="G134" s="16"/>
      <c r="H134" s="16"/>
      <c r="I134" s="16"/>
      <c r="J134" s="16"/>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7"/>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"&amp;IF(AND($C134="Part-Time",$P134&lt;&gt;"",N($P134)&lt;PT_MinHours),"under "&amp;PT_MinHours&amp;" hrs",$C134)),IF(O134&gt;0,"Yes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IF(AE134=0,"",X134-N(U134))</f>
        <v/>
      </c>
      <c r="Z134" s="12" t="str">
        <f aca="false">IF(AE134=0,"",IF(Y134&gt;0,"Yes","No"))</f>
        <v/>
      </c>
      <c r="AA134" s="12" t="str">
        <f aca="false">IF(AE134=0,"",IF(NOT(LH_Ready),"Paste Leave History export",IF(Y134&gt;0,"ACCRUE "&amp;TEXT(Y134,"0.##")&amp;" hrs ("&amp;TEXT(Y134/HoursPerDay,"0.##")&amp;" days)"&amp;IF(BA134=0," - no Bonus Leave line in EH yet",""),IF(Y134&lt;0,"CHECK - EH accrued "&amp;TEXT(-Y134,"0.##")&amp;" hrs more than policy",IF(AND(O134&gt;0,BA134=0),"CHECK - policy says "&amp;TEXT(N134,"0.##")&amp;" hrs to date but no Bonus Leave in EH",IF(O134&gt;0,"OK","-"))))))</f>
        <v/>
      </c>
      <c r="AB134" s="13" t="str">
        <f aca="false">IF(OR(AE134=0,T134=""),"",AY134*HoursPerDay-T134)</f>
        <v/>
      </c>
      <c r="AC134" s="12" t="str">
        <f aca="false">IF(AE134=0,"",BA134)</f>
        <v/>
      </c>
      <c r="AD134" s="12" t="str">
        <f aca="false">IF(AE134=0,"",TRIM(IF(AND(AG134&gt;=1,IF(AG134&gt;=3,AM134,IF(AG134=2,AL134,AK134))&lt;&gt;$C134),"EmploymentType does not match latest start date ("&amp;IF(AG134&gt;=3,AM134,IF(AG134=2,AL134,AK134))&amp;"). ","")&amp;IF(AND(AG134&gt;=1,AH134&lt;&gt;$F134),"Earliest type date should equal StartDate. ","")&amp;IF(AND(AG134&gt;=2,AH134=AI134),"Two types start on the same date. ","")&amp;IF(AND($C134="Part-Time",$P134=""),"Part-time: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IF(AE134=0,"",IF(AG134=0,IF($C134="Full-Time","FT",IF(AND($C134="Part-Time",OR($P134="",N($P134)&gt;=PT_MinHours)),"PT","None")),IF(AK134="Full-Time","FT",IF(AND(AK134="Part-Time",OR($P134="",N($P134)&gt;=PT_MinHours)),"PT","None"))))</f>
        <v/>
      </c>
      <c r="AO134" s="12" t="str">
        <f aca="false">IF(AE134=0,"",IF(AG134&lt;2,"",IF(AL134="Full-Time","FT",IF(AND(AL134="Part-Time",OR($P134="",N($P134)&gt;=PT_MinHours)),"PT","None"))))</f>
        <v/>
      </c>
      <c r="AP134" s="12" t="str">
        <f aca="false">IF(AE134=0,"",IF(AG134&lt;3,"",IF(AM134="Full-Time","FT",IF(AND(AM134="Part-Time",OR($P134="",N($P134)&gt;=PT_MinHours)),"PT","None"))))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IF(OR(AE135=0,$D135=""),"",DATE(YEAR(AsOfDate)+IF(DATE(YEAR(AsOfDate),MONTH($D135),DAY($D135))&lt;=AsOfDate,1,0),MONTH($D135),DAY($D135)))</f>
        <v/>
      </c>
      <c r="F135" s="16"/>
      <c r="G135" s="16"/>
      <c r="H135" s="16"/>
      <c r="I135" s="16"/>
      <c r="J135" s="16"/>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7"/>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"&amp;IF(AND($C135="Part-Time",$P135&lt;&gt;"",N($P135)&lt;PT_MinHours),"under "&amp;PT_MinHours&amp;" hrs",$C135)),IF(O135&gt;0,"Yes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IF(AE135=0,"",X135-N(U135))</f>
        <v/>
      </c>
      <c r="Z135" s="12" t="str">
        <f aca="false">IF(AE135=0,"",IF(Y135&gt;0,"Yes","No"))</f>
        <v/>
      </c>
      <c r="AA135" s="12" t="str">
        <f aca="false">IF(AE135=0,"",IF(NOT(LH_Ready),"Paste Leave History export",IF(Y135&gt;0,"ACCRUE "&amp;TEXT(Y135,"0.##")&amp;" hrs ("&amp;TEXT(Y135/HoursPerDay,"0.##")&amp;" days)"&amp;IF(BA135=0," - no Bonus Leave line in EH yet",""),IF(Y135&lt;0,"CHECK - EH accrued "&amp;TEXT(-Y135,"0.##")&amp;" hrs more than policy",IF(AND(O135&gt;0,BA135=0),"CHECK - policy says "&amp;TEXT(N135,"0.##")&amp;" hrs to date but no Bonus Leave in EH",IF(O135&gt;0,"OK","-"))))))</f>
        <v/>
      </c>
      <c r="AB135" s="13" t="str">
        <f aca="false">IF(OR(AE135=0,T135=""),"",AY135*HoursPerDay-T135)</f>
        <v/>
      </c>
      <c r="AC135" s="12" t="str">
        <f aca="false">IF(AE135=0,"",BA135)</f>
        <v/>
      </c>
      <c r="AD135" s="12" t="str">
        <f aca="false">IF(AE135=0,"",TRIM(IF(AND(AG135&gt;=1,IF(AG135&gt;=3,AM135,IF(AG135=2,AL135,AK135))&lt;&gt;$C135),"EmploymentType does not match latest start date ("&amp;IF(AG135&gt;=3,AM135,IF(AG135=2,AL135,AK135))&amp;"). ","")&amp;IF(AND(AG135&gt;=1,AH135&lt;&gt;$F135),"Earliest type date should equal StartDate. ","")&amp;IF(AND(AG135&gt;=2,AH135=AI135),"Two types start on the same date. ","")&amp;IF(AND($C135="Part-Time",$P135=""),"Part-time: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IF(AE135=0,"",IF(AG135=0,IF($C135="Full-Time","FT",IF(AND($C135="Part-Time",OR($P135="",N($P135)&gt;=PT_MinHours)),"PT","None")),IF(AK135="Full-Time","FT",IF(AND(AK135="Part-Time",OR($P135="",N($P135)&gt;=PT_MinHours)),"PT","None"))))</f>
        <v/>
      </c>
      <c r="AO135" s="12" t="str">
        <f aca="false">IF(AE135=0,"",IF(AG135&lt;2,"",IF(AL135="Full-Time","FT",IF(AND(AL135="Part-Time",OR($P135="",N($P135)&gt;=PT_MinHours)),"PT","None"))))</f>
        <v/>
      </c>
      <c r="AP135" s="12" t="str">
        <f aca="false">IF(AE135=0,"",IF(AG135&lt;3,"",IF(AM135="Full-Time","FT",IF(AND(AM135="Part-Time",OR($P135="",N($P135)&gt;=PT_MinHours)),"PT","None"))))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IF(OR(AE136=0,$D136=""),"",DATE(YEAR(AsOfDate)+IF(DATE(YEAR(AsOfDate),MONTH($D136),DAY($D136))&lt;=AsOfDate,1,0),MONTH($D136),DAY($D136)))</f>
        <v/>
      </c>
      <c r="F136" s="16"/>
      <c r="G136" s="16"/>
      <c r="H136" s="16"/>
      <c r="I136" s="16"/>
      <c r="J136" s="16"/>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7"/>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"&amp;IF(AND($C136="Part-Time",$P136&lt;&gt;"",N($P136)&lt;PT_MinHours),"under "&amp;PT_MinHours&amp;" hrs",$C136)),IF(O136&gt;0,"Yes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IF(AE136=0,"",X136-N(U136))</f>
        <v/>
      </c>
      <c r="Z136" s="12" t="str">
        <f aca="false">IF(AE136=0,"",IF(Y136&gt;0,"Yes","No"))</f>
        <v/>
      </c>
      <c r="AA136" s="12" t="str">
        <f aca="false">IF(AE136=0,"",IF(NOT(LH_Ready),"Paste Leave History export",IF(Y136&gt;0,"ACCRUE "&amp;TEXT(Y136,"0.##")&amp;" hrs ("&amp;TEXT(Y136/HoursPerDay,"0.##")&amp;" days)"&amp;IF(BA136=0," - no Bonus Leave line in EH yet",""),IF(Y136&lt;0,"CHECK - EH accrued "&amp;TEXT(-Y136,"0.##")&amp;" hrs more than policy",IF(AND(O136&gt;0,BA136=0),"CHECK - policy says "&amp;TEXT(N136,"0.##")&amp;" hrs to date but no Bonus Leave in EH",IF(O136&gt;0,"OK","-"))))))</f>
        <v/>
      </c>
      <c r="AB136" s="13" t="str">
        <f aca="false">IF(OR(AE136=0,T136=""),"",AY136*HoursPerDay-T136)</f>
        <v/>
      </c>
      <c r="AC136" s="12" t="str">
        <f aca="false">IF(AE136=0,"",BA136)</f>
        <v/>
      </c>
      <c r="AD136" s="12" t="str">
        <f aca="false">IF(AE136=0,"",TRIM(IF(AND(AG136&gt;=1,IF(AG136&gt;=3,AM136,IF(AG136=2,AL136,AK136))&lt;&gt;$C136),"EmploymentType does not match latest start date ("&amp;IF(AG136&gt;=3,AM136,IF(AG136=2,AL136,AK136))&amp;"). ","")&amp;IF(AND(AG136&gt;=1,AH136&lt;&gt;$F136),"Earliest type date should equal StartDate. ","")&amp;IF(AND(AG136&gt;=2,AH136=AI136),"Two types start on the same date. ","")&amp;IF(AND($C136="Part-Time",$P136=""),"Part-time: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IF(AE136=0,"",IF(AG136=0,IF($C136="Full-Time","FT",IF(AND($C136="Part-Time",OR($P136="",N($P136)&gt;=PT_MinHours)),"PT","None")),IF(AK136="Full-Time","FT",IF(AND(AK136="Part-Time",OR($P136="",N($P136)&gt;=PT_MinHours)),"PT","None"))))</f>
        <v/>
      </c>
      <c r="AO136" s="12" t="str">
        <f aca="false">IF(AE136=0,"",IF(AG136&lt;2,"",IF(AL136="Full-Time","FT",IF(AND(AL136="Part-Time",OR($P136="",N($P136)&gt;=PT_MinHours)),"PT","None"))))</f>
        <v/>
      </c>
      <c r="AP136" s="12" t="str">
        <f aca="false">IF(AE136=0,"",IF(AG136&lt;3,"",IF(AM136="Full-Time","FT",IF(AND(AM136="Part-Time",OR($P136="",N($P136)&gt;=PT_MinHours)),"PT","None"))))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IF(OR(AE137=0,$D137=""),"",DATE(YEAR(AsOfDate)+IF(DATE(YEAR(AsOfDate),MONTH($D137),DAY($D137))&lt;=AsOfDate,1,0),MONTH($D137),DAY($D137)))</f>
        <v/>
      </c>
      <c r="F137" s="16"/>
      <c r="G137" s="16"/>
      <c r="H137" s="16"/>
      <c r="I137" s="16"/>
      <c r="J137" s="16"/>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7"/>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"&amp;IF(AND($C137="Part-Time",$P137&lt;&gt;"",N($P137)&lt;PT_MinHours),"under "&amp;PT_MinHours&amp;" hrs",$C137)),IF(O137&gt;0,"Yes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IF(AE137=0,"",X137-N(U137))</f>
        <v/>
      </c>
      <c r="Z137" s="12" t="str">
        <f aca="false">IF(AE137=0,"",IF(Y137&gt;0,"Yes","No"))</f>
        <v/>
      </c>
      <c r="AA137" s="12" t="str">
        <f aca="false">IF(AE137=0,"",IF(NOT(LH_Ready),"Paste Leave History export",IF(Y137&gt;0,"ACCRUE "&amp;TEXT(Y137,"0.##")&amp;" hrs ("&amp;TEXT(Y137/HoursPerDay,"0.##")&amp;" days)"&amp;IF(BA137=0," - no Bonus Leave line in EH yet",""),IF(Y137&lt;0,"CHECK - EH accrued "&amp;TEXT(-Y137,"0.##")&amp;" hrs more than policy",IF(AND(O137&gt;0,BA137=0),"CHECK - policy says "&amp;TEXT(N137,"0.##")&amp;" hrs to date but no Bonus Leave in EH",IF(O137&gt;0,"OK","-"))))))</f>
        <v/>
      </c>
      <c r="AB137" s="13" t="str">
        <f aca="false">IF(OR(AE137=0,T137=""),"",AY137*HoursPerDay-T137)</f>
        <v/>
      </c>
      <c r="AC137" s="12" t="str">
        <f aca="false">IF(AE137=0,"",BA137)</f>
        <v/>
      </c>
      <c r="AD137" s="12" t="str">
        <f aca="false">IF(AE137=0,"",TRIM(IF(AND(AG137&gt;=1,IF(AG137&gt;=3,AM137,IF(AG137=2,AL137,AK137))&lt;&gt;$C137),"EmploymentType does not match latest start date ("&amp;IF(AG137&gt;=3,AM137,IF(AG137=2,AL137,AK137))&amp;"). ","")&amp;IF(AND(AG137&gt;=1,AH137&lt;&gt;$F137),"Earliest type date should equal StartDate. ","")&amp;IF(AND(AG137&gt;=2,AH137=AI137),"Two types start on the same date. ","")&amp;IF(AND($C137="Part-Time",$P137=""),"Part-time: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IF(AE137=0,"",IF(AG137=0,IF($C137="Full-Time","FT",IF(AND($C137="Part-Time",OR($P137="",N($P137)&gt;=PT_MinHours)),"PT","None")),IF(AK137="Full-Time","FT",IF(AND(AK137="Part-Time",OR($P137="",N($P137)&gt;=PT_MinHours)),"PT","None"))))</f>
        <v/>
      </c>
      <c r="AO137" s="12" t="str">
        <f aca="false">IF(AE137=0,"",IF(AG137&lt;2,"",IF(AL137="Full-Time","FT",IF(AND(AL137="Part-Time",OR($P137="",N($P137)&gt;=PT_MinHours)),"PT","None"))))</f>
        <v/>
      </c>
      <c r="AP137" s="12" t="str">
        <f aca="false">IF(AE137=0,"",IF(AG137&lt;3,"",IF(AM137="Full-Time","FT",IF(AND(AM137="Part-Time",OR($P137="",N($P137)&gt;=PT_MinHours)),"PT","None"))))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IF(OR(AE138=0,$D138=""),"",DATE(YEAR(AsOfDate)+IF(DATE(YEAR(AsOfDate),MONTH($D138),DAY($D138))&lt;=AsOfDate,1,0),MONTH($D138),DAY($D138)))</f>
        <v/>
      </c>
      <c r="F138" s="16"/>
      <c r="G138" s="16"/>
      <c r="H138" s="16"/>
      <c r="I138" s="16"/>
      <c r="J138" s="16"/>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7"/>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"&amp;IF(AND($C138="Part-Time",$P138&lt;&gt;"",N($P138)&lt;PT_MinHours),"under "&amp;PT_MinHours&amp;" hrs",$C138)),IF(O138&gt;0,"Yes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IF(AE138=0,"",X138-N(U138))</f>
        <v/>
      </c>
      <c r="Z138" s="12" t="str">
        <f aca="false">IF(AE138=0,"",IF(Y138&gt;0,"Yes","No"))</f>
        <v/>
      </c>
      <c r="AA138" s="12" t="str">
        <f aca="false">IF(AE138=0,"",IF(NOT(LH_Ready),"Paste Leave History export",IF(Y138&gt;0,"ACCRUE "&amp;TEXT(Y138,"0.##")&amp;" hrs ("&amp;TEXT(Y138/HoursPerDay,"0.##")&amp;" days)"&amp;IF(BA138=0," - no Bonus Leave line in EH yet",""),IF(Y138&lt;0,"CHECK - EH accrued "&amp;TEXT(-Y138,"0.##")&amp;" hrs more than policy",IF(AND(O138&gt;0,BA138=0),"CHECK - policy says "&amp;TEXT(N138,"0.##")&amp;" hrs to date but no Bonus Leave in EH",IF(O138&gt;0,"OK","-"))))))</f>
        <v/>
      </c>
      <c r="AB138" s="13" t="str">
        <f aca="false">IF(OR(AE138=0,T138=""),"",AY138*HoursPerDay-T138)</f>
        <v/>
      </c>
      <c r="AC138" s="12" t="str">
        <f aca="false">IF(AE138=0,"",BA138)</f>
        <v/>
      </c>
      <c r="AD138" s="12" t="str">
        <f aca="false">IF(AE138=0,"",TRIM(IF(AND(AG138&gt;=1,IF(AG138&gt;=3,AM138,IF(AG138=2,AL138,AK138))&lt;&gt;$C138),"EmploymentType does not match latest start date ("&amp;IF(AG138&gt;=3,AM138,IF(AG138=2,AL138,AK138))&amp;"). ","")&amp;IF(AND(AG138&gt;=1,AH138&lt;&gt;$F138),"Earliest type date should equal StartDate. ","")&amp;IF(AND(AG138&gt;=2,AH138=AI138),"Two types start on the same date. ","")&amp;IF(AND($C138="Part-Time",$P138=""),"Part-time: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IF(AE138=0,"",IF(AG138=0,IF($C138="Full-Time","FT",IF(AND($C138="Part-Time",OR($P138="",N($P138)&gt;=PT_MinHours)),"PT","None")),IF(AK138="Full-Time","FT",IF(AND(AK138="Part-Time",OR($P138="",N($P138)&gt;=PT_MinHours)),"PT","None"))))</f>
        <v/>
      </c>
      <c r="AO138" s="12" t="str">
        <f aca="false">IF(AE138=0,"",IF(AG138&lt;2,"",IF(AL138="Full-Time","FT",IF(AND(AL138="Part-Time",OR($P138="",N($P138)&gt;=PT_MinHours)),"PT","None"))))</f>
        <v/>
      </c>
      <c r="AP138" s="12" t="str">
        <f aca="false">IF(AE138=0,"",IF(AG138&lt;3,"",IF(AM138="Full-Time","FT",IF(AND(AM138="Part-Time",OR($P138="",N($P138)&gt;=PT_MinHours)),"PT","None"))))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IF(OR(AE139=0,$D139=""),"",DATE(YEAR(AsOfDate)+IF(DATE(YEAR(AsOfDate),MONTH($D139),DAY($D139))&lt;=AsOfDate,1,0),MONTH($D139),DAY($D139)))</f>
        <v/>
      </c>
      <c r="F139" s="16"/>
      <c r="G139" s="16"/>
      <c r="H139" s="16"/>
      <c r="I139" s="16"/>
      <c r="J139" s="16"/>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7"/>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"&amp;IF(AND($C139="Part-Time",$P139&lt;&gt;"",N($P139)&lt;PT_MinHours),"under "&amp;PT_MinHours&amp;" hrs",$C139)),IF(O139&gt;0,"Yes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IF(AE139=0,"",X139-N(U139))</f>
        <v/>
      </c>
      <c r="Z139" s="12" t="str">
        <f aca="false">IF(AE139=0,"",IF(Y139&gt;0,"Yes","No"))</f>
        <v/>
      </c>
      <c r="AA139" s="12" t="str">
        <f aca="false">IF(AE139=0,"",IF(NOT(LH_Ready),"Paste Leave History export",IF(Y139&gt;0,"ACCRUE "&amp;TEXT(Y139,"0.##")&amp;" hrs ("&amp;TEXT(Y139/HoursPerDay,"0.##")&amp;" days)"&amp;IF(BA139=0," - no Bonus Leave line in EH yet",""),IF(Y139&lt;0,"CHECK - EH accrued "&amp;TEXT(-Y139,"0.##")&amp;" hrs more than policy",IF(AND(O139&gt;0,BA139=0),"CHECK - policy says "&amp;TEXT(N139,"0.##")&amp;" hrs to date but no Bonus Leave in EH",IF(O139&gt;0,"OK","-"))))))</f>
        <v/>
      </c>
      <c r="AB139" s="13" t="str">
        <f aca="false">IF(OR(AE139=0,T139=""),"",AY139*HoursPerDay-T139)</f>
        <v/>
      </c>
      <c r="AC139" s="12" t="str">
        <f aca="false">IF(AE139=0,"",BA139)</f>
        <v/>
      </c>
      <c r="AD139" s="12" t="str">
        <f aca="false">IF(AE139=0,"",TRIM(IF(AND(AG139&gt;=1,IF(AG139&gt;=3,AM139,IF(AG139=2,AL139,AK139))&lt;&gt;$C139),"EmploymentType does not match latest start date ("&amp;IF(AG139&gt;=3,AM139,IF(AG139=2,AL139,AK139))&amp;"). ","")&amp;IF(AND(AG139&gt;=1,AH139&lt;&gt;$F139),"Earliest type date should equal StartDate. ","")&amp;IF(AND(AG139&gt;=2,AH139=AI139),"Two types start on the same date. ","")&amp;IF(AND($C139="Part-Time",$P139=""),"Part-time: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IF(AE139=0,"",IF(AG139=0,IF($C139="Full-Time","FT",IF(AND($C139="Part-Time",OR($P139="",N($P139)&gt;=PT_MinHours)),"PT","None")),IF(AK139="Full-Time","FT",IF(AND(AK139="Part-Time",OR($P139="",N($P139)&gt;=PT_MinHours)),"PT","None"))))</f>
        <v/>
      </c>
      <c r="AO139" s="12" t="str">
        <f aca="false">IF(AE139=0,"",IF(AG139&lt;2,"",IF(AL139="Full-Time","FT",IF(AND(AL139="Part-Time",OR($P139="",N($P139)&gt;=PT_MinHours)),"PT","None"))))</f>
        <v/>
      </c>
      <c r="AP139" s="12" t="str">
        <f aca="false">IF(AE139=0,"",IF(AG139&lt;3,"",IF(AM139="Full-Time","FT",IF(AND(AM139="Part-Time",OR($P139="",N($P139)&gt;=PT_MinHours)),"PT","None"))))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IF(OR(AE140=0,$D140=""),"",DATE(YEAR(AsOfDate)+IF(DATE(YEAR(AsOfDate),MONTH($D140),DAY($D140))&lt;=AsOfDate,1,0),MONTH($D140),DAY($D140)))</f>
        <v/>
      </c>
      <c r="F140" s="16"/>
      <c r="G140" s="16"/>
      <c r="H140" s="16"/>
      <c r="I140" s="16"/>
      <c r="J140" s="16"/>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7"/>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"&amp;IF(AND($C140="Part-Time",$P140&lt;&gt;"",N($P140)&lt;PT_MinHours),"under "&amp;PT_MinHours&amp;" hrs",$C140)),IF(O140&gt;0,"Yes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IF(AE140=0,"",X140-N(U140))</f>
        <v/>
      </c>
      <c r="Z140" s="12" t="str">
        <f aca="false">IF(AE140=0,"",IF(Y140&gt;0,"Yes","No"))</f>
        <v/>
      </c>
      <c r="AA140" s="12" t="str">
        <f aca="false">IF(AE140=0,"",IF(NOT(LH_Ready),"Paste Leave History export",IF(Y140&gt;0,"ACCRUE "&amp;TEXT(Y140,"0.##")&amp;" hrs ("&amp;TEXT(Y140/HoursPerDay,"0.##")&amp;" days)"&amp;IF(BA140=0," - no Bonus Leave line in EH yet",""),IF(Y140&lt;0,"CHECK - EH accrued "&amp;TEXT(-Y140,"0.##")&amp;" hrs more than policy",IF(AND(O140&gt;0,BA140=0),"CHECK - policy says "&amp;TEXT(N140,"0.##")&amp;" hrs to date but no Bonus Leave in EH",IF(O140&gt;0,"OK","-"))))))</f>
        <v/>
      </c>
      <c r="AB140" s="13" t="str">
        <f aca="false">IF(OR(AE140=0,T140=""),"",AY140*HoursPerDay-T140)</f>
        <v/>
      </c>
      <c r="AC140" s="12" t="str">
        <f aca="false">IF(AE140=0,"",BA140)</f>
        <v/>
      </c>
      <c r="AD140" s="12" t="str">
        <f aca="false">IF(AE140=0,"",TRIM(IF(AND(AG140&gt;=1,IF(AG140&gt;=3,AM140,IF(AG140=2,AL140,AK140))&lt;&gt;$C140),"EmploymentType does not match latest start date ("&amp;IF(AG140&gt;=3,AM140,IF(AG140=2,AL140,AK140))&amp;"). ","")&amp;IF(AND(AG140&gt;=1,AH140&lt;&gt;$F140),"Earliest type date should equal StartDate. ","")&amp;IF(AND(AG140&gt;=2,AH140=AI140),"Two types start on the same date. ","")&amp;IF(AND($C140="Part-Time",$P140=""),"Part-time: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IF(AE140=0,"",IF(AG140=0,IF($C140="Full-Time","FT",IF(AND($C140="Part-Time",OR($P140="",N($P140)&gt;=PT_MinHours)),"PT","None")),IF(AK140="Full-Time","FT",IF(AND(AK140="Part-Time",OR($P140="",N($P140)&gt;=PT_MinHours)),"PT","None"))))</f>
        <v/>
      </c>
      <c r="AO140" s="12" t="str">
        <f aca="false">IF(AE140=0,"",IF(AG140&lt;2,"",IF(AL140="Full-Time","FT",IF(AND(AL140="Part-Time",OR($P140="",N($P140)&gt;=PT_MinHours)),"PT","None"))))</f>
        <v/>
      </c>
      <c r="AP140" s="12" t="str">
        <f aca="false">IF(AE140=0,"",IF(AG140&lt;3,"",IF(AM140="Full-Time","FT",IF(AND(AM140="Part-Time",OR($P140="",N($P140)&gt;=PT_MinHours)),"PT","None"))))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IF(OR(AE141=0,$D141=""),"",DATE(YEAR(AsOfDate)+IF(DATE(YEAR(AsOfDate),MONTH($D141),DAY($D141))&lt;=AsOfDate,1,0),MONTH($D141),DAY($D141)))</f>
        <v/>
      </c>
      <c r="F141" s="16"/>
      <c r="G141" s="16"/>
      <c r="H141" s="16"/>
      <c r="I141" s="16"/>
      <c r="J141" s="16"/>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7"/>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"&amp;IF(AND($C141="Part-Time",$P141&lt;&gt;"",N($P141)&lt;PT_MinHours),"under "&amp;PT_MinHours&amp;" hrs",$C141)),IF(O141&gt;0,"Yes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IF(AE141=0,"",X141-N(U141))</f>
        <v/>
      </c>
      <c r="Z141" s="12" t="str">
        <f aca="false">IF(AE141=0,"",IF(Y141&gt;0,"Yes","No"))</f>
        <v/>
      </c>
      <c r="AA141" s="12" t="str">
        <f aca="false">IF(AE141=0,"",IF(NOT(LH_Ready),"Paste Leave History export",IF(Y141&gt;0,"ACCRUE "&amp;TEXT(Y141,"0.##")&amp;" hrs ("&amp;TEXT(Y141/HoursPerDay,"0.##")&amp;" days)"&amp;IF(BA141=0," - no Bonus Leave line in EH yet",""),IF(Y141&lt;0,"CHECK - EH accrued "&amp;TEXT(-Y141,"0.##")&amp;" hrs more than policy",IF(AND(O141&gt;0,BA141=0),"CHECK - policy says "&amp;TEXT(N141,"0.##")&amp;" hrs to date but no Bonus Leave in EH",IF(O141&gt;0,"OK","-"))))))</f>
        <v/>
      </c>
      <c r="AB141" s="13" t="str">
        <f aca="false">IF(OR(AE141=0,T141=""),"",AY141*HoursPerDay-T141)</f>
        <v/>
      </c>
      <c r="AC141" s="12" t="str">
        <f aca="false">IF(AE141=0,"",BA141)</f>
        <v/>
      </c>
      <c r="AD141" s="12" t="str">
        <f aca="false">IF(AE141=0,"",TRIM(IF(AND(AG141&gt;=1,IF(AG141&gt;=3,AM141,IF(AG141=2,AL141,AK141))&lt;&gt;$C141),"EmploymentType does not match latest start date ("&amp;IF(AG141&gt;=3,AM141,IF(AG141=2,AL141,AK141))&amp;"). ","")&amp;IF(AND(AG141&gt;=1,AH141&lt;&gt;$F141),"Earliest type date should equal StartDate. ","")&amp;IF(AND(AG141&gt;=2,AH141=AI141),"Two types start on the same date. ","")&amp;IF(AND($C141="Part-Time",$P141=""),"Part-time: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IF(AE141=0,"",IF(AG141=0,IF($C141="Full-Time","FT",IF(AND($C141="Part-Time",OR($P141="",N($P141)&gt;=PT_MinHours)),"PT","None")),IF(AK141="Full-Time","FT",IF(AND(AK141="Part-Time",OR($P141="",N($P141)&gt;=PT_MinHours)),"PT","None"))))</f>
        <v/>
      </c>
      <c r="AO141" s="12" t="str">
        <f aca="false">IF(AE141=0,"",IF(AG141&lt;2,"",IF(AL141="Full-Time","FT",IF(AND(AL141="Part-Time",OR($P141="",N($P141)&gt;=PT_MinHours)),"PT","None"))))</f>
        <v/>
      </c>
      <c r="AP141" s="12" t="str">
        <f aca="false">IF(AE141=0,"",IF(AG141&lt;3,"",IF(AM141="Full-Time","FT",IF(AND(AM141="Part-Time",OR($P141="",N($P141)&gt;=PT_MinHours)),"PT","None"))))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IF(OR(AE142=0,$D142=""),"",DATE(YEAR(AsOfDate)+IF(DATE(YEAR(AsOfDate),MONTH($D142),DAY($D142))&lt;=AsOfDate,1,0),MONTH($D142),DAY($D142)))</f>
        <v/>
      </c>
      <c r="F142" s="16"/>
      <c r="G142" s="16"/>
      <c r="H142" s="16"/>
      <c r="I142" s="16"/>
      <c r="J142" s="16"/>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7"/>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"&amp;IF(AND($C142="Part-Time",$P142&lt;&gt;"",N($P142)&lt;PT_MinHours),"under "&amp;PT_MinHours&amp;" hrs",$C142)),IF(O142&gt;0,"Yes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IF(AE142=0,"",X142-N(U142))</f>
        <v/>
      </c>
      <c r="Z142" s="12" t="str">
        <f aca="false">IF(AE142=0,"",IF(Y142&gt;0,"Yes","No"))</f>
        <v/>
      </c>
      <c r="AA142" s="12" t="str">
        <f aca="false">IF(AE142=0,"",IF(NOT(LH_Ready),"Paste Leave History export",IF(Y142&gt;0,"ACCRUE "&amp;TEXT(Y142,"0.##")&amp;" hrs ("&amp;TEXT(Y142/HoursPerDay,"0.##")&amp;" days)"&amp;IF(BA142=0," - no Bonus Leave line in EH yet",""),IF(Y142&lt;0,"CHECK - EH accrued "&amp;TEXT(-Y142,"0.##")&amp;" hrs more than policy",IF(AND(O142&gt;0,BA142=0),"CHECK - policy says "&amp;TEXT(N142,"0.##")&amp;" hrs to date but no Bonus Leave in EH",IF(O142&gt;0,"OK","-"))))))</f>
        <v/>
      </c>
      <c r="AB142" s="13" t="str">
        <f aca="false">IF(OR(AE142=0,T142=""),"",AY142*HoursPerDay-T142)</f>
        <v/>
      </c>
      <c r="AC142" s="12" t="str">
        <f aca="false">IF(AE142=0,"",BA142)</f>
        <v/>
      </c>
      <c r="AD142" s="12" t="str">
        <f aca="false">IF(AE142=0,"",TRIM(IF(AND(AG142&gt;=1,IF(AG142&gt;=3,AM142,IF(AG142=2,AL142,AK142))&lt;&gt;$C142),"EmploymentType does not match latest start date ("&amp;IF(AG142&gt;=3,AM142,IF(AG142=2,AL142,AK142))&amp;"). ","")&amp;IF(AND(AG142&gt;=1,AH142&lt;&gt;$F142),"Earliest type date should equal StartDate. ","")&amp;IF(AND(AG142&gt;=2,AH142=AI142),"Two types start on the same date. ","")&amp;IF(AND($C142="Part-Time",$P142=""),"Part-time: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IF(AE142=0,"",IF(AG142=0,IF($C142="Full-Time","FT",IF(AND($C142="Part-Time",OR($P142="",N($P142)&gt;=PT_MinHours)),"PT","None")),IF(AK142="Full-Time","FT",IF(AND(AK142="Part-Time",OR($P142="",N($P142)&gt;=PT_MinHours)),"PT","None"))))</f>
        <v/>
      </c>
      <c r="AO142" s="12" t="str">
        <f aca="false">IF(AE142=0,"",IF(AG142&lt;2,"",IF(AL142="Full-Time","FT",IF(AND(AL142="Part-Time",OR($P142="",N($P142)&gt;=PT_MinHours)),"PT","None"))))</f>
        <v/>
      </c>
      <c r="AP142" s="12" t="str">
        <f aca="false">IF(AE142=0,"",IF(AG142&lt;3,"",IF(AM142="Full-Time","FT",IF(AND(AM142="Part-Time",OR($P142="",N($P142)&gt;=PT_MinHours)),"PT","None"))))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IF(OR(AE143=0,$D143=""),"",DATE(YEAR(AsOfDate)+IF(DATE(YEAR(AsOfDate),MONTH($D143),DAY($D143))&lt;=AsOfDate,1,0),MONTH($D143),DAY($D143)))</f>
        <v/>
      </c>
      <c r="F143" s="16"/>
      <c r="G143" s="16"/>
      <c r="H143" s="16"/>
      <c r="I143" s="16"/>
      <c r="J143" s="16"/>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7"/>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"&amp;IF(AND($C143="Part-Time",$P143&lt;&gt;"",N($P143)&lt;PT_MinHours),"under "&amp;PT_MinHours&amp;" hrs",$C143)),IF(O143&gt;0,"Yes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IF(AE143=0,"",X143-N(U143))</f>
        <v/>
      </c>
      <c r="Z143" s="12" t="str">
        <f aca="false">IF(AE143=0,"",IF(Y143&gt;0,"Yes","No"))</f>
        <v/>
      </c>
      <c r="AA143" s="12" t="str">
        <f aca="false">IF(AE143=0,"",IF(NOT(LH_Ready),"Paste Leave History export",IF(Y143&gt;0,"ACCRUE "&amp;TEXT(Y143,"0.##")&amp;" hrs ("&amp;TEXT(Y143/HoursPerDay,"0.##")&amp;" days)"&amp;IF(BA143=0," - no Bonus Leave line in EH yet",""),IF(Y143&lt;0,"CHECK - EH accrued "&amp;TEXT(-Y143,"0.##")&amp;" hrs more than policy",IF(AND(O143&gt;0,BA143=0),"CHECK - policy says "&amp;TEXT(N143,"0.##")&amp;" hrs to date but no Bonus Leave in EH",IF(O143&gt;0,"OK","-"))))))</f>
        <v/>
      </c>
      <c r="AB143" s="13" t="str">
        <f aca="false">IF(OR(AE143=0,T143=""),"",AY143*HoursPerDay-T143)</f>
        <v/>
      </c>
      <c r="AC143" s="12" t="str">
        <f aca="false">IF(AE143=0,"",BA143)</f>
        <v/>
      </c>
      <c r="AD143" s="12" t="str">
        <f aca="false">IF(AE143=0,"",TRIM(IF(AND(AG143&gt;=1,IF(AG143&gt;=3,AM143,IF(AG143=2,AL143,AK143))&lt;&gt;$C143),"EmploymentType does not match latest start date ("&amp;IF(AG143&gt;=3,AM143,IF(AG143=2,AL143,AK143))&amp;"). ","")&amp;IF(AND(AG143&gt;=1,AH143&lt;&gt;$F143),"Earliest type date should equal StartDate. ","")&amp;IF(AND(AG143&gt;=2,AH143=AI143),"Two types start on the same date. ","")&amp;IF(AND($C143="Part-Time",$P143=""),"Part-time: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IF(AE143=0,"",IF(AG143=0,IF($C143="Full-Time","FT",IF(AND($C143="Part-Time",OR($P143="",N($P143)&gt;=PT_MinHours)),"PT","None")),IF(AK143="Full-Time","FT",IF(AND(AK143="Part-Time",OR($P143="",N($P143)&gt;=PT_MinHours)),"PT","None"))))</f>
        <v/>
      </c>
      <c r="AO143" s="12" t="str">
        <f aca="false">IF(AE143=0,"",IF(AG143&lt;2,"",IF(AL143="Full-Time","FT",IF(AND(AL143="Part-Time",OR($P143="",N($P143)&gt;=PT_MinHours)),"PT","None"))))</f>
        <v/>
      </c>
      <c r="AP143" s="12" t="str">
        <f aca="false">IF(AE143=0,"",IF(AG143&lt;3,"",IF(AM143="Full-Time","FT",IF(AND(AM143="Part-Time",OR($P143="",N($P143)&gt;=PT_MinHours)),"PT","None"))))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IF(OR(AE144=0,$D144=""),"",DATE(YEAR(AsOfDate)+IF(DATE(YEAR(AsOfDate),MONTH($D144),DAY($D144))&lt;=AsOfDate,1,0),MONTH($D144),DAY($D144)))</f>
        <v/>
      </c>
      <c r="F144" s="16"/>
      <c r="G144" s="16"/>
      <c r="H144" s="16"/>
      <c r="I144" s="16"/>
      <c r="J144" s="16"/>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7"/>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"&amp;IF(AND($C144="Part-Time",$P144&lt;&gt;"",N($P144)&lt;PT_MinHours),"under "&amp;PT_MinHours&amp;" hrs",$C144)),IF(O144&gt;0,"Yes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IF(AE144=0,"",X144-N(U144))</f>
        <v/>
      </c>
      <c r="Z144" s="12" t="str">
        <f aca="false">IF(AE144=0,"",IF(Y144&gt;0,"Yes","No"))</f>
        <v/>
      </c>
      <c r="AA144" s="12" t="str">
        <f aca="false">IF(AE144=0,"",IF(NOT(LH_Ready),"Paste Leave History export",IF(Y144&gt;0,"ACCRUE "&amp;TEXT(Y144,"0.##")&amp;" hrs ("&amp;TEXT(Y144/HoursPerDay,"0.##")&amp;" days)"&amp;IF(BA144=0," - no Bonus Leave line in EH yet",""),IF(Y144&lt;0,"CHECK - EH accrued "&amp;TEXT(-Y144,"0.##")&amp;" hrs more than policy",IF(AND(O144&gt;0,BA144=0),"CHECK - policy says "&amp;TEXT(N144,"0.##")&amp;" hrs to date but no Bonus Leave in EH",IF(O144&gt;0,"OK","-"))))))</f>
        <v/>
      </c>
      <c r="AB144" s="13" t="str">
        <f aca="false">IF(OR(AE144=0,T144=""),"",AY144*HoursPerDay-T144)</f>
        <v/>
      </c>
      <c r="AC144" s="12" t="str">
        <f aca="false">IF(AE144=0,"",BA144)</f>
        <v/>
      </c>
      <c r="AD144" s="12" t="str">
        <f aca="false">IF(AE144=0,"",TRIM(IF(AND(AG144&gt;=1,IF(AG144&gt;=3,AM144,IF(AG144=2,AL144,AK144))&lt;&gt;$C144),"EmploymentType does not match latest start date ("&amp;IF(AG144&gt;=3,AM144,IF(AG144=2,AL144,AK144))&amp;"). ","")&amp;IF(AND(AG144&gt;=1,AH144&lt;&gt;$F144),"Earliest type date should equal StartDate. ","")&amp;IF(AND(AG144&gt;=2,AH144=AI144),"Two types start on the same date. ","")&amp;IF(AND($C144="Part-Time",$P144=""),"Part-time: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IF(AE144=0,"",IF(AG144=0,IF($C144="Full-Time","FT",IF(AND($C144="Part-Time",OR($P144="",N($P144)&gt;=PT_MinHours)),"PT","None")),IF(AK144="Full-Time","FT",IF(AND(AK144="Part-Time",OR($P144="",N($P144)&gt;=PT_MinHours)),"PT","None"))))</f>
        <v/>
      </c>
      <c r="AO144" s="12" t="str">
        <f aca="false">IF(AE144=0,"",IF(AG144&lt;2,"",IF(AL144="Full-Time","FT",IF(AND(AL144="Part-Time",OR($P144="",N($P144)&gt;=PT_MinHours)),"PT","None"))))</f>
        <v/>
      </c>
      <c r="AP144" s="12" t="str">
        <f aca="false">IF(AE144=0,"",IF(AG144&lt;3,"",IF(AM144="Full-Time","FT",IF(AND(AM144="Part-Time",OR($P144="",N($P144)&gt;=PT_MinHours)),"PT","None"))))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IF(OR(AE145=0,$D145=""),"",DATE(YEAR(AsOfDate)+IF(DATE(YEAR(AsOfDate),MONTH($D145),DAY($D145))&lt;=AsOfDate,1,0),MONTH($D145),DAY($D145)))</f>
        <v/>
      </c>
      <c r="F145" s="16"/>
      <c r="G145" s="16"/>
      <c r="H145" s="16"/>
      <c r="I145" s="16"/>
      <c r="J145" s="16"/>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7"/>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"&amp;IF(AND($C145="Part-Time",$P145&lt;&gt;"",N($P145)&lt;PT_MinHours),"under "&amp;PT_MinHours&amp;" hrs",$C145)),IF(O145&gt;0,"Yes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IF(AE145=0,"",X145-N(U145))</f>
        <v/>
      </c>
      <c r="Z145" s="12" t="str">
        <f aca="false">IF(AE145=0,"",IF(Y145&gt;0,"Yes","No"))</f>
        <v/>
      </c>
      <c r="AA145" s="12" t="str">
        <f aca="false">IF(AE145=0,"",IF(NOT(LH_Ready),"Paste Leave History export",IF(Y145&gt;0,"ACCRUE "&amp;TEXT(Y145,"0.##")&amp;" hrs ("&amp;TEXT(Y145/HoursPerDay,"0.##")&amp;" days)"&amp;IF(BA145=0," - no Bonus Leave line in EH yet",""),IF(Y145&lt;0,"CHECK - EH accrued "&amp;TEXT(-Y145,"0.##")&amp;" hrs more than policy",IF(AND(O145&gt;0,BA145=0),"CHECK - policy says "&amp;TEXT(N145,"0.##")&amp;" hrs to date but no Bonus Leave in EH",IF(O145&gt;0,"OK","-"))))))</f>
        <v/>
      </c>
      <c r="AB145" s="13" t="str">
        <f aca="false">IF(OR(AE145=0,T145=""),"",AY145*HoursPerDay-T145)</f>
        <v/>
      </c>
      <c r="AC145" s="12" t="str">
        <f aca="false">IF(AE145=0,"",BA145)</f>
        <v/>
      </c>
      <c r="AD145" s="12" t="str">
        <f aca="false">IF(AE145=0,"",TRIM(IF(AND(AG145&gt;=1,IF(AG145&gt;=3,AM145,IF(AG145=2,AL145,AK145))&lt;&gt;$C145),"EmploymentType does not match latest start date ("&amp;IF(AG145&gt;=3,AM145,IF(AG145=2,AL145,AK145))&amp;"). ","")&amp;IF(AND(AG145&gt;=1,AH145&lt;&gt;$F145),"Earliest type date should equal StartDate. ","")&amp;IF(AND(AG145&gt;=2,AH145=AI145),"Two types start on the same date. ","")&amp;IF(AND($C145="Part-Time",$P145=""),"Part-time: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IF(AE145=0,"",IF(AG145=0,IF($C145="Full-Time","FT",IF(AND($C145="Part-Time",OR($P145="",N($P145)&gt;=PT_MinHours)),"PT","None")),IF(AK145="Full-Time","FT",IF(AND(AK145="Part-Time",OR($P145="",N($P145)&gt;=PT_MinHours)),"PT","None"))))</f>
        <v/>
      </c>
      <c r="AO145" s="12" t="str">
        <f aca="false">IF(AE145=0,"",IF(AG145&lt;2,"",IF(AL145="Full-Time","FT",IF(AND(AL145="Part-Time",OR($P145="",N($P145)&gt;=PT_MinHours)),"PT","None"))))</f>
        <v/>
      </c>
      <c r="AP145" s="12" t="str">
        <f aca="false">IF(AE145=0,"",IF(AG145&lt;3,"",IF(AM145="Full-Time","FT",IF(AND(AM145="Part-Time",OR($P145="",N($P145)&gt;=PT_MinHours)),"PT","None"))))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IF(OR(AE146=0,$D146=""),"",DATE(YEAR(AsOfDate)+IF(DATE(YEAR(AsOfDate),MONTH($D146),DAY($D146))&lt;=AsOfDate,1,0),MONTH($D146),DAY($D146)))</f>
        <v/>
      </c>
      <c r="F146" s="16"/>
      <c r="G146" s="16"/>
      <c r="H146" s="16"/>
      <c r="I146" s="16"/>
      <c r="J146" s="16"/>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7"/>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"&amp;IF(AND($C146="Part-Time",$P146&lt;&gt;"",N($P146)&lt;PT_MinHours),"under "&amp;PT_MinHours&amp;" hrs",$C146)),IF(O146&gt;0,"Yes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IF(AE146=0,"",X146-N(U146))</f>
        <v/>
      </c>
      <c r="Z146" s="12" t="str">
        <f aca="false">IF(AE146=0,"",IF(Y146&gt;0,"Yes","No"))</f>
        <v/>
      </c>
      <c r="AA146" s="12" t="str">
        <f aca="false">IF(AE146=0,"",IF(NOT(LH_Ready),"Paste Leave History export",IF(Y146&gt;0,"ACCRUE "&amp;TEXT(Y146,"0.##")&amp;" hrs ("&amp;TEXT(Y146/HoursPerDay,"0.##")&amp;" days)"&amp;IF(BA146=0," - no Bonus Leave line in EH yet",""),IF(Y146&lt;0,"CHECK - EH accrued "&amp;TEXT(-Y146,"0.##")&amp;" hrs more than policy",IF(AND(O146&gt;0,BA146=0),"CHECK - policy says "&amp;TEXT(N146,"0.##")&amp;" hrs to date but no Bonus Leave in EH",IF(O146&gt;0,"OK","-"))))))</f>
        <v/>
      </c>
      <c r="AB146" s="13" t="str">
        <f aca="false">IF(OR(AE146=0,T146=""),"",AY146*HoursPerDay-T146)</f>
        <v/>
      </c>
      <c r="AC146" s="12" t="str">
        <f aca="false">IF(AE146=0,"",BA146)</f>
        <v/>
      </c>
      <c r="AD146" s="12" t="str">
        <f aca="false">IF(AE146=0,"",TRIM(IF(AND(AG146&gt;=1,IF(AG146&gt;=3,AM146,IF(AG146=2,AL146,AK146))&lt;&gt;$C146),"EmploymentType does not match latest start date ("&amp;IF(AG146&gt;=3,AM146,IF(AG146=2,AL146,AK146))&amp;"). ","")&amp;IF(AND(AG146&gt;=1,AH146&lt;&gt;$F146),"Earliest type date should equal StartDate. ","")&amp;IF(AND(AG146&gt;=2,AH146=AI146),"Two types start on the same date. ","")&amp;IF(AND($C146="Part-Time",$P146=""),"Part-time: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IF(AE146=0,"",IF(AG146=0,IF($C146="Full-Time","FT",IF(AND($C146="Part-Time",OR($P146="",N($P146)&gt;=PT_MinHours)),"PT","None")),IF(AK146="Full-Time","FT",IF(AND(AK146="Part-Time",OR($P146="",N($P146)&gt;=PT_MinHours)),"PT","None"))))</f>
        <v/>
      </c>
      <c r="AO146" s="12" t="str">
        <f aca="false">IF(AE146=0,"",IF(AG146&lt;2,"",IF(AL146="Full-Time","FT",IF(AND(AL146="Part-Time",OR($P146="",N($P146)&gt;=PT_MinHours)),"PT","None"))))</f>
        <v/>
      </c>
      <c r="AP146" s="12" t="str">
        <f aca="false">IF(AE146=0,"",IF(AG146&lt;3,"",IF(AM146="Full-Time","FT",IF(AND(AM146="Part-Time",OR($P146="",N($P146)&gt;=PT_MinHours)),"PT","None"))))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IF(OR(AE147=0,$D147=""),"",DATE(YEAR(AsOfDate)+IF(DATE(YEAR(AsOfDate),MONTH($D147),DAY($D147))&lt;=AsOfDate,1,0),MONTH($D147),DAY($D147)))</f>
        <v/>
      </c>
      <c r="F147" s="16"/>
      <c r="G147" s="16"/>
      <c r="H147" s="16"/>
      <c r="I147" s="16"/>
      <c r="J147" s="16"/>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7"/>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"&amp;IF(AND($C147="Part-Time",$P147&lt;&gt;"",N($P147)&lt;PT_MinHours),"under "&amp;PT_MinHours&amp;" hrs",$C147)),IF(O147&gt;0,"Yes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IF(AE147=0,"",X147-N(U147))</f>
        <v/>
      </c>
      <c r="Z147" s="12" t="str">
        <f aca="false">IF(AE147=0,"",IF(Y147&gt;0,"Yes","No"))</f>
        <v/>
      </c>
      <c r="AA147" s="12" t="str">
        <f aca="false">IF(AE147=0,"",IF(NOT(LH_Ready),"Paste Leave History export",IF(Y147&gt;0,"ACCRUE "&amp;TEXT(Y147,"0.##")&amp;" hrs ("&amp;TEXT(Y147/HoursPerDay,"0.##")&amp;" days)"&amp;IF(BA147=0," - no Bonus Leave line in EH yet",""),IF(Y147&lt;0,"CHECK - EH accrued "&amp;TEXT(-Y147,"0.##")&amp;" hrs more than policy",IF(AND(O147&gt;0,BA147=0),"CHECK - policy says "&amp;TEXT(N147,"0.##")&amp;" hrs to date but no Bonus Leave in EH",IF(O147&gt;0,"OK","-"))))))</f>
        <v/>
      </c>
      <c r="AB147" s="13" t="str">
        <f aca="false">IF(OR(AE147=0,T147=""),"",AY147*HoursPerDay-T147)</f>
        <v/>
      </c>
      <c r="AC147" s="12" t="str">
        <f aca="false">IF(AE147=0,"",BA147)</f>
        <v/>
      </c>
      <c r="AD147" s="12" t="str">
        <f aca="false">IF(AE147=0,"",TRIM(IF(AND(AG147&gt;=1,IF(AG147&gt;=3,AM147,IF(AG147=2,AL147,AK147))&lt;&gt;$C147),"EmploymentType does not match latest start date ("&amp;IF(AG147&gt;=3,AM147,IF(AG147=2,AL147,AK147))&amp;"). ","")&amp;IF(AND(AG147&gt;=1,AH147&lt;&gt;$F147),"Earliest type date should equal StartDate. ","")&amp;IF(AND(AG147&gt;=2,AH147=AI147),"Two types start on the same date. ","")&amp;IF(AND($C147="Part-Time",$P147=""),"Part-time: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IF(AE147=0,"",IF(AG147=0,IF($C147="Full-Time","FT",IF(AND($C147="Part-Time",OR($P147="",N($P147)&gt;=PT_MinHours)),"PT","None")),IF(AK147="Full-Time","FT",IF(AND(AK147="Part-Time",OR($P147="",N($P147)&gt;=PT_MinHours)),"PT","None"))))</f>
        <v/>
      </c>
      <c r="AO147" s="12" t="str">
        <f aca="false">IF(AE147=0,"",IF(AG147&lt;2,"",IF(AL147="Full-Time","FT",IF(AND(AL147="Part-Time",OR($P147="",N($P147)&gt;=PT_MinHours)),"PT","None"))))</f>
        <v/>
      </c>
      <c r="AP147" s="12" t="str">
        <f aca="false">IF(AE147=0,"",IF(AG147&lt;3,"",IF(AM147="Full-Time","FT",IF(AND(AM147="Part-Time",OR($P147="",N($P147)&gt;=PT_MinHours)),"PT","None"))))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IF(OR(AE148=0,$D148=""),"",DATE(YEAR(AsOfDate)+IF(DATE(YEAR(AsOfDate),MONTH($D148),DAY($D148))&lt;=AsOfDate,1,0),MONTH($D148),DAY($D148)))</f>
        <v/>
      </c>
      <c r="F148" s="16"/>
      <c r="G148" s="16"/>
      <c r="H148" s="16"/>
      <c r="I148" s="16"/>
      <c r="J148" s="16"/>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7"/>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"&amp;IF(AND($C148="Part-Time",$P148&lt;&gt;"",N($P148)&lt;PT_MinHours),"under "&amp;PT_MinHours&amp;" hrs",$C148)),IF(O148&gt;0,"Yes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IF(AE148=0,"",X148-N(U148))</f>
        <v/>
      </c>
      <c r="Z148" s="12" t="str">
        <f aca="false">IF(AE148=0,"",IF(Y148&gt;0,"Yes","No"))</f>
        <v/>
      </c>
      <c r="AA148" s="12" t="str">
        <f aca="false">IF(AE148=0,"",IF(NOT(LH_Ready),"Paste Leave History export",IF(Y148&gt;0,"ACCRUE "&amp;TEXT(Y148,"0.##")&amp;" hrs ("&amp;TEXT(Y148/HoursPerDay,"0.##")&amp;" days)"&amp;IF(BA148=0," - no Bonus Leave line in EH yet",""),IF(Y148&lt;0,"CHECK - EH accrued "&amp;TEXT(-Y148,"0.##")&amp;" hrs more than policy",IF(AND(O148&gt;0,BA148=0),"CHECK - policy says "&amp;TEXT(N148,"0.##")&amp;" hrs to date but no Bonus Leave in EH",IF(O148&gt;0,"OK","-"))))))</f>
        <v/>
      </c>
      <c r="AB148" s="13" t="str">
        <f aca="false">IF(OR(AE148=0,T148=""),"",AY148*HoursPerDay-T148)</f>
        <v/>
      </c>
      <c r="AC148" s="12" t="str">
        <f aca="false">IF(AE148=0,"",BA148)</f>
        <v/>
      </c>
      <c r="AD148" s="12" t="str">
        <f aca="false">IF(AE148=0,"",TRIM(IF(AND(AG148&gt;=1,IF(AG148&gt;=3,AM148,IF(AG148=2,AL148,AK148))&lt;&gt;$C148),"EmploymentType does not match latest start date ("&amp;IF(AG148&gt;=3,AM148,IF(AG148=2,AL148,AK148))&amp;"). ","")&amp;IF(AND(AG148&gt;=1,AH148&lt;&gt;$F148),"Earliest type date should equal StartDate. ","")&amp;IF(AND(AG148&gt;=2,AH148=AI148),"Two types start on the same date. ","")&amp;IF(AND($C148="Part-Time",$P148=""),"Part-time: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IF(AE148=0,"",IF(AG148=0,IF($C148="Full-Time","FT",IF(AND($C148="Part-Time",OR($P148="",N($P148)&gt;=PT_MinHours)),"PT","None")),IF(AK148="Full-Time","FT",IF(AND(AK148="Part-Time",OR($P148="",N($P148)&gt;=PT_MinHours)),"PT","None"))))</f>
        <v/>
      </c>
      <c r="AO148" s="12" t="str">
        <f aca="false">IF(AE148=0,"",IF(AG148&lt;2,"",IF(AL148="Full-Time","FT",IF(AND(AL148="Part-Time",OR($P148="",N($P148)&gt;=PT_MinHours)),"PT","None"))))</f>
        <v/>
      </c>
      <c r="AP148" s="12" t="str">
        <f aca="false">IF(AE148=0,"",IF(AG148&lt;3,"",IF(AM148="Full-Time","FT",IF(AND(AM148="Part-Time",OR($P148="",N($P148)&gt;=PT_MinHours)),"PT","None"))))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IF(OR(AE149=0,$D149=""),"",DATE(YEAR(AsOfDate)+IF(DATE(YEAR(AsOfDate),MONTH($D149),DAY($D149))&lt;=AsOfDate,1,0),MONTH($D149),DAY($D149)))</f>
        <v/>
      </c>
      <c r="F149" s="16"/>
      <c r="G149" s="16"/>
      <c r="H149" s="16"/>
      <c r="I149" s="16"/>
      <c r="J149" s="16"/>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7"/>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"&amp;IF(AND($C149="Part-Time",$P149&lt;&gt;"",N($P149)&lt;PT_MinHours),"under "&amp;PT_MinHours&amp;" hrs",$C149)),IF(O149&gt;0,"Yes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IF(AE149=0,"",X149-N(U149))</f>
        <v/>
      </c>
      <c r="Z149" s="12" t="str">
        <f aca="false">IF(AE149=0,"",IF(Y149&gt;0,"Yes","No"))</f>
        <v/>
      </c>
      <c r="AA149" s="12" t="str">
        <f aca="false">IF(AE149=0,"",IF(NOT(LH_Ready),"Paste Leave History export",IF(Y149&gt;0,"ACCRUE "&amp;TEXT(Y149,"0.##")&amp;" hrs ("&amp;TEXT(Y149/HoursPerDay,"0.##")&amp;" days)"&amp;IF(BA149=0," - no Bonus Leave line in EH yet",""),IF(Y149&lt;0,"CHECK - EH accrued "&amp;TEXT(-Y149,"0.##")&amp;" hrs more than policy",IF(AND(O149&gt;0,BA149=0),"CHECK - policy says "&amp;TEXT(N149,"0.##")&amp;" hrs to date but no Bonus Leave in EH",IF(O149&gt;0,"OK","-"))))))</f>
        <v/>
      </c>
      <c r="AB149" s="13" t="str">
        <f aca="false">IF(OR(AE149=0,T149=""),"",AY149*HoursPerDay-T149)</f>
        <v/>
      </c>
      <c r="AC149" s="12" t="str">
        <f aca="false">IF(AE149=0,"",BA149)</f>
        <v/>
      </c>
      <c r="AD149" s="12" t="str">
        <f aca="false">IF(AE149=0,"",TRIM(IF(AND(AG149&gt;=1,IF(AG149&gt;=3,AM149,IF(AG149=2,AL149,AK149))&lt;&gt;$C149),"EmploymentType does not match latest start date ("&amp;IF(AG149&gt;=3,AM149,IF(AG149=2,AL149,AK149))&amp;"). ","")&amp;IF(AND(AG149&gt;=1,AH149&lt;&gt;$F149),"Earliest type date should equal StartDate. ","")&amp;IF(AND(AG149&gt;=2,AH149=AI149),"Two types start on the same date. ","")&amp;IF(AND($C149="Part-Time",$P149=""),"Part-time: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IF(AE149=0,"",IF(AG149=0,IF($C149="Full-Time","FT",IF(AND($C149="Part-Time",OR($P149="",N($P149)&gt;=PT_MinHours)),"PT","None")),IF(AK149="Full-Time","FT",IF(AND(AK149="Part-Time",OR($P149="",N($P149)&gt;=PT_MinHours)),"PT","None"))))</f>
        <v/>
      </c>
      <c r="AO149" s="12" t="str">
        <f aca="false">IF(AE149=0,"",IF(AG149&lt;2,"",IF(AL149="Full-Time","FT",IF(AND(AL149="Part-Time",OR($P149="",N($P149)&gt;=PT_MinHours)),"PT","None"))))</f>
        <v/>
      </c>
      <c r="AP149" s="12" t="str">
        <f aca="false">IF(AE149=0,"",IF(AG149&lt;3,"",IF(AM149="Full-Time","FT",IF(AND(AM149="Part-Time",OR($P149="",N($P149)&gt;=PT_MinHours)),"PT","None"))))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IF(OR(AE150=0,$D150=""),"",DATE(YEAR(AsOfDate)+IF(DATE(YEAR(AsOfDate),MONTH($D150),DAY($D150))&lt;=AsOfDate,1,0),MONTH($D150),DAY($D150)))</f>
        <v/>
      </c>
      <c r="F150" s="16"/>
      <c r="G150" s="16"/>
      <c r="H150" s="16"/>
      <c r="I150" s="16"/>
      <c r="J150" s="16"/>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7"/>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"&amp;IF(AND($C150="Part-Time",$P150&lt;&gt;"",N($P150)&lt;PT_MinHours),"under "&amp;PT_MinHours&amp;" hrs",$C150)),IF(O150&gt;0,"Yes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IF(AE150=0,"",X150-N(U150))</f>
        <v/>
      </c>
      <c r="Z150" s="12" t="str">
        <f aca="false">IF(AE150=0,"",IF(Y150&gt;0,"Yes","No"))</f>
        <v/>
      </c>
      <c r="AA150" s="12" t="str">
        <f aca="false">IF(AE150=0,"",IF(NOT(LH_Ready),"Paste Leave History export",IF(Y150&gt;0,"ACCRUE "&amp;TEXT(Y150,"0.##")&amp;" hrs ("&amp;TEXT(Y150/HoursPerDay,"0.##")&amp;" days)"&amp;IF(BA150=0," - no Bonus Leave line in EH yet",""),IF(Y150&lt;0,"CHECK - EH accrued "&amp;TEXT(-Y150,"0.##")&amp;" hrs more than policy",IF(AND(O150&gt;0,BA150=0),"CHECK - policy says "&amp;TEXT(N150,"0.##")&amp;" hrs to date but no Bonus Leave in EH",IF(O150&gt;0,"OK","-"))))))</f>
        <v/>
      </c>
      <c r="AB150" s="13" t="str">
        <f aca="false">IF(OR(AE150=0,T150=""),"",AY150*HoursPerDay-T150)</f>
        <v/>
      </c>
      <c r="AC150" s="12" t="str">
        <f aca="false">IF(AE150=0,"",BA150)</f>
        <v/>
      </c>
      <c r="AD150" s="12" t="str">
        <f aca="false">IF(AE150=0,"",TRIM(IF(AND(AG150&gt;=1,IF(AG150&gt;=3,AM150,IF(AG150=2,AL150,AK150))&lt;&gt;$C150),"EmploymentType does not match latest start date ("&amp;IF(AG150&gt;=3,AM150,IF(AG150=2,AL150,AK150))&amp;"). ","")&amp;IF(AND(AG150&gt;=1,AH150&lt;&gt;$F150),"Earliest type date should equal StartDate. ","")&amp;IF(AND(AG150&gt;=2,AH150=AI150),"Two types start on the same date. ","")&amp;IF(AND($C150="Part-Time",$P150=""),"Part-time: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IF(AE150=0,"",IF(AG150=0,IF($C150="Full-Time","FT",IF(AND($C150="Part-Time",OR($P150="",N($P150)&gt;=PT_MinHours)),"PT","None")),IF(AK150="Full-Time","FT",IF(AND(AK150="Part-Time",OR($P150="",N($P150)&gt;=PT_MinHours)),"PT","None"))))</f>
        <v/>
      </c>
      <c r="AO150" s="12" t="str">
        <f aca="false">IF(AE150=0,"",IF(AG150&lt;2,"",IF(AL150="Full-Time","FT",IF(AND(AL150="Part-Time",OR($P150="",N($P150)&gt;=PT_MinHours)),"PT","None"))))</f>
        <v/>
      </c>
      <c r="AP150" s="12" t="str">
        <f aca="false">IF(AE150=0,"",IF(AG150&lt;3,"",IF(AM150="Full-Time","FT",IF(AND(AM150="Part-Time",OR($P150="",N($P150)&gt;=PT_MinHours)),"PT","None"))))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IF(OR(AE151=0,$D151=""),"",DATE(YEAR(AsOfDate)+IF(DATE(YEAR(AsOfDate),MONTH($D151),DAY($D151))&lt;=AsOfDate,1,0),MONTH($D151),DAY($D151)))</f>
        <v/>
      </c>
      <c r="F151" s="16"/>
      <c r="G151" s="16"/>
      <c r="H151" s="16"/>
      <c r="I151" s="16"/>
      <c r="J151" s="16"/>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7"/>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"&amp;IF(AND($C151="Part-Time",$P151&lt;&gt;"",N($P151)&lt;PT_MinHours),"under "&amp;PT_MinHours&amp;" hrs",$C151)),IF(O151&gt;0,"Yes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IF(AE151=0,"",X151-N(U151))</f>
        <v/>
      </c>
      <c r="Z151" s="12" t="str">
        <f aca="false">IF(AE151=0,"",IF(Y151&gt;0,"Yes","No"))</f>
        <v/>
      </c>
      <c r="AA151" s="12" t="str">
        <f aca="false">IF(AE151=0,"",IF(NOT(LH_Ready),"Paste Leave History export",IF(Y151&gt;0,"ACCRUE "&amp;TEXT(Y151,"0.##")&amp;" hrs ("&amp;TEXT(Y151/HoursPerDay,"0.##")&amp;" days)"&amp;IF(BA151=0," - no Bonus Leave line in EH yet",""),IF(Y151&lt;0,"CHECK - EH accrued "&amp;TEXT(-Y151,"0.##")&amp;" hrs more than policy",IF(AND(O151&gt;0,BA151=0),"CHECK - policy says "&amp;TEXT(N151,"0.##")&amp;" hrs to date but no Bonus Leave in EH",IF(O151&gt;0,"OK","-"))))))</f>
        <v/>
      </c>
      <c r="AB151" s="13" t="str">
        <f aca="false">IF(OR(AE151=0,T151=""),"",AY151*HoursPerDay-T151)</f>
        <v/>
      </c>
      <c r="AC151" s="12" t="str">
        <f aca="false">IF(AE151=0,"",BA151)</f>
        <v/>
      </c>
      <c r="AD151" s="12" t="str">
        <f aca="false">IF(AE151=0,"",TRIM(IF(AND(AG151&gt;=1,IF(AG151&gt;=3,AM151,IF(AG151=2,AL151,AK151))&lt;&gt;$C151),"EmploymentType does not match latest start date ("&amp;IF(AG151&gt;=3,AM151,IF(AG151=2,AL151,AK151))&amp;"). ","")&amp;IF(AND(AG151&gt;=1,AH151&lt;&gt;$F151),"Earliest type date should equal StartDate. ","")&amp;IF(AND(AG151&gt;=2,AH151=AI151),"Two types start on the same date. ","")&amp;IF(AND($C151="Part-Time",$P151=""),"Part-time: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IF(AE151=0,"",IF(AG151=0,IF($C151="Full-Time","FT",IF(AND($C151="Part-Time",OR($P151="",N($P151)&gt;=PT_MinHours)),"PT","None")),IF(AK151="Full-Time","FT",IF(AND(AK151="Part-Time",OR($P151="",N($P151)&gt;=PT_MinHours)),"PT","None"))))</f>
        <v/>
      </c>
      <c r="AO151" s="12" t="str">
        <f aca="false">IF(AE151=0,"",IF(AG151&lt;2,"",IF(AL151="Full-Time","FT",IF(AND(AL151="Part-Time",OR($P151="",N($P151)&gt;=PT_MinHours)),"PT","None"))))</f>
        <v/>
      </c>
      <c r="AP151" s="12" t="str">
        <f aca="false">IF(AE151=0,"",IF(AG151&lt;3,"",IF(AM151="Full-Time","FT",IF(AND(AM151="Part-Time",OR($P151="",N($P151)&gt;=PT_MinHours)),"PT","None"))))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IF(OR(AE152=0,$D152=""),"",DATE(YEAR(AsOfDate)+IF(DATE(YEAR(AsOfDate),MONTH($D152),DAY($D152))&lt;=AsOfDate,1,0),MONTH($D152),DAY($D152)))</f>
        <v/>
      </c>
      <c r="F152" s="16"/>
      <c r="G152" s="16"/>
      <c r="H152" s="16"/>
      <c r="I152" s="16"/>
      <c r="J152" s="16"/>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7"/>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"&amp;IF(AND($C152="Part-Time",$P152&lt;&gt;"",N($P152)&lt;PT_MinHours),"under "&amp;PT_MinHours&amp;" hrs",$C152)),IF(O152&gt;0,"Yes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IF(AE152=0,"",X152-N(U152))</f>
        <v/>
      </c>
      <c r="Z152" s="12" t="str">
        <f aca="false">IF(AE152=0,"",IF(Y152&gt;0,"Yes","No"))</f>
        <v/>
      </c>
      <c r="AA152" s="12" t="str">
        <f aca="false">IF(AE152=0,"",IF(NOT(LH_Ready),"Paste Leave History export",IF(Y152&gt;0,"ACCRUE "&amp;TEXT(Y152,"0.##")&amp;" hrs ("&amp;TEXT(Y152/HoursPerDay,"0.##")&amp;" days)"&amp;IF(BA152=0," - no Bonus Leave line in EH yet",""),IF(Y152&lt;0,"CHECK - EH accrued "&amp;TEXT(-Y152,"0.##")&amp;" hrs more than policy",IF(AND(O152&gt;0,BA152=0),"CHECK - policy says "&amp;TEXT(N152,"0.##")&amp;" hrs to date but no Bonus Leave in EH",IF(O152&gt;0,"OK","-"))))))</f>
        <v/>
      </c>
      <c r="AB152" s="13" t="str">
        <f aca="false">IF(OR(AE152=0,T152=""),"",AY152*HoursPerDay-T152)</f>
        <v/>
      </c>
      <c r="AC152" s="12" t="str">
        <f aca="false">IF(AE152=0,"",BA152)</f>
        <v/>
      </c>
      <c r="AD152" s="12" t="str">
        <f aca="false">IF(AE152=0,"",TRIM(IF(AND(AG152&gt;=1,IF(AG152&gt;=3,AM152,IF(AG152=2,AL152,AK152))&lt;&gt;$C152),"EmploymentType does not match latest start date ("&amp;IF(AG152&gt;=3,AM152,IF(AG152=2,AL152,AK152))&amp;"). ","")&amp;IF(AND(AG152&gt;=1,AH152&lt;&gt;$F152),"Earliest type date should equal StartDate. ","")&amp;IF(AND(AG152&gt;=2,AH152=AI152),"Two types start on the same date. ","")&amp;IF(AND($C152="Part-Time",$P152=""),"Part-time: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IF(AE152=0,"",IF(AG152=0,IF($C152="Full-Time","FT",IF(AND($C152="Part-Time",OR($P152="",N($P152)&gt;=PT_MinHours)),"PT","None")),IF(AK152="Full-Time","FT",IF(AND(AK152="Part-Time",OR($P152="",N($P152)&gt;=PT_MinHours)),"PT","None"))))</f>
        <v/>
      </c>
      <c r="AO152" s="12" t="str">
        <f aca="false">IF(AE152=0,"",IF(AG152&lt;2,"",IF(AL152="Full-Time","FT",IF(AND(AL152="Part-Time",OR($P152="",N($P152)&gt;=PT_MinHours)),"PT","None"))))</f>
        <v/>
      </c>
      <c r="AP152" s="12" t="str">
        <f aca="false">IF(AE152=0,"",IF(AG152&lt;3,"",IF(AM152="Full-Time","FT",IF(AND(AM152="Part-Time",OR($P152="",N($P152)&gt;=PT_MinHours)),"PT","None"))))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IF(OR(AE153=0,$D153=""),"",DATE(YEAR(AsOfDate)+IF(DATE(YEAR(AsOfDate),MONTH($D153),DAY($D153))&lt;=AsOfDate,1,0),MONTH($D153),DAY($D153)))</f>
        <v/>
      </c>
      <c r="F153" s="16"/>
      <c r="G153" s="16"/>
      <c r="H153" s="16"/>
      <c r="I153" s="16"/>
      <c r="J153" s="16"/>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7"/>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"&amp;IF(AND($C153="Part-Time",$P153&lt;&gt;"",N($P153)&lt;PT_MinHours),"under "&amp;PT_MinHours&amp;" hrs",$C153)),IF(O153&gt;0,"Yes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IF(AE153=0,"",X153-N(U153))</f>
        <v/>
      </c>
      <c r="Z153" s="12" t="str">
        <f aca="false">IF(AE153=0,"",IF(Y153&gt;0,"Yes","No"))</f>
        <v/>
      </c>
      <c r="AA153" s="12" t="str">
        <f aca="false">IF(AE153=0,"",IF(NOT(LH_Ready),"Paste Leave History export",IF(Y153&gt;0,"ACCRUE "&amp;TEXT(Y153,"0.##")&amp;" hrs ("&amp;TEXT(Y153/HoursPerDay,"0.##")&amp;" days)"&amp;IF(BA153=0," - no Bonus Leave line in EH yet",""),IF(Y153&lt;0,"CHECK - EH accrued "&amp;TEXT(-Y153,"0.##")&amp;" hrs more than policy",IF(AND(O153&gt;0,BA153=0),"CHECK - policy says "&amp;TEXT(N153,"0.##")&amp;" hrs to date but no Bonus Leave in EH",IF(O153&gt;0,"OK","-"))))))</f>
        <v/>
      </c>
      <c r="AB153" s="13" t="str">
        <f aca="false">IF(OR(AE153=0,T153=""),"",AY153*HoursPerDay-T153)</f>
        <v/>
      </c>
      <c r="AC153" s="12" t="str">
        <f aca="false">IF(AE153=0,"",BA153)</f>
        <v/>
      </c>
      <c r="AD153" s="12" t="str">
        <f aca="false">IF(AE153=0,"",TRIM(IF(AND(AG153&gt;=1,IF(AG153&gt;=3,AM153,IF(AG153=2,AL153,AK153))&lt;&gt;$C153),"EmploymentType does not match latest start date ("&amp;IF(AG153&gt;=3,AM153,IF(AG153=2,AL153,AK153))&amp;"). ","")&amp;IF(AND(AG153&gt;=1,AH153&lt;&gt;$F153),"Earliest type date should equal StartDate. ","")&amp;IF(AND(AG153&gt;=2,AH153=AI153),"Two types start on the same date. ","")&amp;IF(AND($C153="Part-Time",$P153=""),"Part-time: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IF(AE153=0,"",IF(AG153=0,IF($C153="Full-Time","FT",IF(AND($C153="Part-Time",OR($P153="",N($P153)&gt;=PT_MinHours)),"PT","None")),IF(AK153="Full-Time","FT",IF(AND(AK153="Part-Time",OR($P153="",N($P153)&gt;=PT_MinHours)),"PT","None"))))</f>
        <v/>
      </c>
      <c r="AO153" s="12" t="str">
        <f aca="false">IF(AE153=0,"",IF(AG153&lt;2,"",IF(AL153="Full-Time","FT",IF(AND(AL153="Part-Time",OR($P153="",N($P153)&gt;=PT_MinHours)),"PT","None"))))</f>
        <v/>
      </c>
      <c r="AP153" s="12" t="str">
        <f aca="false">IF(AE153=0,"",IF(AG153&lt;3,"",IF(AM153="Full-Time","FT",IF(AND(AM153="Part-Time",OR($P153="",N($P153)&gt;=PT_MinHours)),"PT","None"))))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IF(OR(AE154=0,$D154=""),"",DATE(YEAR(AsOfDate)+IF(DATE(YEAR(AsOfDate),MONTH($D154),DAY($D154))&lt;=AsOfDate,1,0),MONTH($D154),DAY($D154)))</f>
        <v/>
      </c>
      <c r="F154" s="16"/>
      <c r="G154" s="16"/>
      <c r="H154" s="16"/>
      <c r="I154" s="16"/>
      <c r="J154" s="16"/>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7"/>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"&amp;IF(AND($C154="Part-Time",$P154&lt;&gt;"",N($P154)&lt;PT_MinHours),"under "&amp;PT_MinHours&amp;" hrs",$C154)),IF(O154&gt;0,"Yes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IF(AE154=0,"",X154-N(U154))</f>
        <v/>
      </c>
      <c r="Z154" s="12" t="str">
        <f aca="false">IF(AE154=0,"",IF(Y154&gt;0,"Yes","No"))</f>
        <v/>
      </c>
      <c r="AA154" s="12" t="str">
        <f aca="false">IF(AE154=0,"",IF(NOT(LH_Ready),"Paste Leave History export",IF(Y154&gt;0,"ACCRUE "&amp;TEXT(Y154,"0.##")&amp;" hrs ("&amp;TEXT(Y154/HoursPerDay,"0.##")&amp;" days)"&amp;IF(BA154=0," - no Bonus Leave line in EH yet",""),IF(Y154&lt;0,"CHECK - EH accrued "&amp;TEXT(-Y154,"0.##")&amp;" hrs more than policy",IF(AND(O154&gt;0,BA154=0),"CHECK - policy says "&amp;TEXT(N154,"0.##")&amp;" hrs to date but no Bonus Leave in EH",IF(O154&gt;0,"OK","-"))))))</f>
        <v/>
      </c>
      <c r="AB154" s="13" t="str">
        <f aca="false">IF(OR(AE154=0,T154=""),"",AY154*HoursPerDay-T154)</f>
        <v/>
      </c>
      <c r="AC154" s="12" t="str">
        <f aca="false">IF(AE154=0,"",BA154)</f>
        <v/>
      </c>
      <c r="AD154" s="12" t="str">
        <f aca="false">IF(AE154=0,"",TRIM(IF(AND(AG154&gt;=1,IF(AG154&gt;=3,AM154,IF(AG154=2,AL154,AK154))&lt;&gt;$C154),"EmploymentType does not match latest start date ("&amp;IF(AG154&gt;=3,AM154,IF(AG154=2,AL154,AK154))&amp;"). ","")&amp;IF(AND(AG154&gt;=1,AH154&lt;&gt;$F154),"Earliest type date should equal StartDate. ","")&amp;IF(AND(AG154&gt;=2,AH154=AI154),"Two types start on the same date. ","")&amp;IF(AND($C154="Part-Time",$P154=""),"Part-time: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IF(AE154=0,"",IF(AG154=0,IF($C154="Full-Time","FT",IF(AND($C154="Part-Time",OR($P154="",N($P154)&gt;=PT_MinHours)),"PT","None")),IF(AK154="Full-Time","FT",IF(AND(AK154="Part-Time",OR($P154="",N($P154)&gt;=PT_MinHours)),"PT","None"))))</f>
        <v/>
      </c>
      <c r="AO154" s="12" t="str">
        <f aca="false">IF(AE154=0,"",IF(AG154&lt;2,"",IF(AL154="Full-Time","FT",IF(AND(AL154="Part-Time",OR($P154="",N($P154)&gt;=PT_MinHours)),"PT","None"))))</f>
        <v/>
      </c>
      <c r="AP154" s="12" t="str">
        <f aca="false">IF(AE154=0,"",IF(AG154&lt;3,"",IF(AM154="Full-Time","FT",IF(AND(AM154="Part-Time",OR($P154="",N($P154)&gt;=PT_MinHours)),"PT","None"))))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5">
      <formula>AA5="OK"</formula>
    </cfRule>
  </conditionalFormatting>
  <conditionalFormatting sqref="Z5:Z154">
    <cfRule type="expression" priority="5" aboveAverage="0" equalAverage="0" bottom="0" percent="0" rank="0" text="" dxfId="16">
      <formula>Z5="Yes"</formula>
    </cfRule>
  </conditionalFormatting>
  <conditionalFormatting sqref="R5:R154">
    <cfRule type="expression" priority="6" aboveAverage="0" equalAverage="0" bottom="0" percent="0" rank="0" text="" dxfId="17">
      <formula>LEFT(R5,3)="Yes"</formula>
    </cfRule>
  </conditionalFormatting>
  <conditionalFormatting sqref="Q5:Q154">
    <cfRule type="expression" priority="7" aboveAverage="0" equalAverage="0" bottom="0" percent="0" rank="0" text="" dxfId="18">
      <formula>Q5&lt;&gt;""</formula>
    </cfRule>
  </conditionalFormatting>
  <conditionalFormatting sqref="AD5:AD154">
    <cfRule type="expression" priority="8"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97</v>
      </c>
      <c r="B1" s="2" t="s">
        <v>98</v>
      </c>
      <c r="C1" s="2" t="s">
        <v>99</v>
      </c>
      <c r="D1" s="2" t="s">
        <v>25</v>
      </c>
      <c r="E1" s="2" t="s">
        <v>100</v>
      </c>
      <c r="F1" s="2" t="s">
        <v>101</v>
      </c>
      <c r="G1" s="2" t="s">
        <v>102</v>
      </c>
      <c r="H1" s="2" t="s">
        <v>103</v>
      </c>
      <c r="I1" s="2" t="s">
        <v>104</v>
      </c>
      <c r="J1" s="2" t="s">
        <v>105</v>
      </c>
      <c r="K1" s="2" t="s">
        <v>106</v>
      </c>
      <c r="L1" s="2" t="s">
        <v>107</v>
      </c>
      <c r="N1" s="18" t="s">
        <v>108</v>
      </c>
    </row>
    <row r="2" customFormat="false" ht="15" hidden="false" customHeight="false" outlineLevel="0" collapsed="false">
      <c r="A2" s="19" t="n">
        <v>101</v>
      </c>
      <c r="B2" s="19"/>
      <c r="C2" s="19" t="s">
        <v>78</v>
      </c>
      <c r="D2" s="19" t="s">
        <v>79</v>
      </c>
      <c r="E2" s="19" t="s">
        <v>109</v>
      </c>
      <c r="F2" s="19" t="n">
        <v>64</v>
      </c>
      <c r="G2" s="19" t="n">
        <v>64</v>
      </c>
      <c r="H2" s="19" t="s">
        <v>110</v>
      </c>
      <c r="I2" s="19"/>
      <c r="J2" s="19" t="n">
        <v>0</v>
      </c>
      <c r="K2" s="19" t="n">
        <v>0</v>
      </c>
      <c r="L2" s="19" t="s">
        <v>111</v>
      </c>
      <c r="N2" s="20" t="s">
        <v>112</v>
      </c>
    </row>
    <row r="3" customFormat="false" ht="15" hidden="false" customHeight="false" outlineLevel="0" collapsed="false">
      <c r="A3" s="19" t="n">
        <v>101</v>
      </c>
      <c r="B3" s="19"/>
      <c r="C3" s="19" t="s">
        <v>78</v>
      </c>
      <c r="D3" s="19" t="s">
        <v>79</v>
      </c>
      <c r="E3" s="19" t="s">
        <v>109</v>
      </c>
      <c r="F3" s="19" t="n">
        <v>64</v>
      </c>
      <c r="G3" s="19" t="n">
        <v>64</v>
      </c>
      <c r="H3" s="19" t="s">
        <v>113</v>
      </c>
      <c r="I3" s="19"/>
      <c r="J3" s="19" t="n">
        <v>0</v>
      </c>
      <c r="K3" s="19" t="n">
        <v>0</v>
      </c>
      <c r="L3" s="19" t="s">
        <v>111</v>
      </c>
    </row>
    <row r="4" customFormat="false" ht="15" hidden="false" customHeight="false" outlineLevel="0" collapsed="false">
      <c r="A4" s="19" t="n">
        <v>101</v>
      </c>
      <c r="B4" s="19"/>
      <c r="C4" s="19" t="s">
        <v>78</v>
      </c>
      <c r="D4" s="19" t="s">
        <v>79</v>
      </c>
      <c r="E4" s="19" t="s">
        <v>109</v>
      </c>
      <c r="F4" s="19" t="n">
        <v>64</v>
      </c>
      <c r="G4" s="19" t="n">
        <v>64</v>
      </c>
      <c r="H4" s="19" t="s">
        <v>114</v>
      </c>
      <c r="I4" s="19"/>
      <c r="J4" s="19" t="n">
        <v>0</v>
      </c>
      <c r="K4" s="19" t="n">
        <v>0</v>
      </c>
      <c r="L4" s="19" t="s">
        <v>111</v>
      </c>
    </row>
    <row r="5" customFormat="false" ht="15" hidden="false" customHeight="false" outlineLevel="0" collapsed="false">
      <c r="A5" s="19" t="n">
        <v>101</v>
      </c>
      <c r="B5" s="19"/>
      <c r="C5" s="19" t="s">
        <v>78</v>
      </c>
      <c r="D5" s="19" t="s">
        <v>79</v>
      </c>
      <c r="E5" s="19" t="s">
        <v>109</v>
      </c>
      <c r="F5" s="19" t="n">
        <v>64</v>
      </c>
      <c r="G5" s="19" t="n">
        <v>56</v>
      </c>
      <c r="H5" s="19" t="s">
        <v>115</v>
      </c>
      <c r="I5" s="19"/>
      <c r="J5" s="19" t="n">
        <v>0</v>
      </c>
      <c r="K5" s="19" t="n">
        <v>8</v>
      </c>
      <c r="L5" s="19" t="s">
        <v>111</v>
      </c>
    </row>
    <row r="6" customFormat="false" ht="15" hidden="false" customHeight="false" outlineLevel="0" collapsed="false">
      <c r="A6" s="19" t="n">
        <v>101</v>
      </c>
      <c r="B6" s="19"/>
      <c r="C6" s="19" t="s">
        <v>78</v>
      </c>
      <c r="D6" s="19" t="s">
        <v>79</v>
      </c>
      <c r="E6" s="19" t="s">
        <v>109</v>
      </c>
      <c r="F6" s="19" t="n">
        <v>56</v>
      </c>
      <c r="G6" s="19" t="n">
        <v>56</v>
      </c>
      <c r="H6" s="19" t="s">
        <v>116</v>
      </c>
      <c r="I6" s="19"/>
      <c r="J6" s="19" t="n">
        <v>0</v>
      </c>
      <c r="K6" s="19" t="n">
        <v>0</v>
      </c>
      <c r="L6" s="19" t="s">
        <v>111</v>
      </c>
    </row>
    <row r="7" customFormat="false" ht="15" hidden="false" customHeight="false" outlineLevel="0" collapsed="false">
      <c r="A7" s="19" t="n">
        <v>101</v>
      </c>
      <c r="B7" s="19"/>
      <c r="C7" s="19" t="s">
        <v>78</v>
      </c>
      <c r="D7" s="19" t="s">
        <v>79</v>
      </c>
      <c r="E7" s="19" t="s">
        <v>109</v>
      </c>
      <c r="F7" s="19" t="n">
        <v>56</v>
      </c>
      <c r="G7" s="19" t="n">
        <v>56</v>
      </c>
      <c r="H7" s="19" t="s">
        <v>117</v>
      </c>
      <c r="I7" s="19"/>
      <c r="J7" s="19" t="n">
        <v>0</v>
      </c>
      <c r="K7" s="19" t="n">
        <v>0</v>
      </c>
      <c r="L7" s="19" t="s">
        <v>111</v>
      </c>
    </row>
    <row r="8" customFormat="false" ht="15" hidden="false" customHeight="false" outlineLevel="0" collapsed="false">
      <c r="A8" s="19" t="n">
        <v>101</v>
      </c>
      <c r="B8" s="19"/>
      <c r="C8" s="19" t="s">
        <v>78</v>
      </c>
      <c r="D8" s="19" t="s">
        <v>79</v>
      </c>
      <c r="E8" s="19" t="s">
        <v>118</v>
      </c>
      <c r="F8" s="19" t="n">
        <v>120</v>
      </c>
      <c r="G8" s="19" t="n">
        <v>120</v>
      </c>
      <c r="H8" s="19" t="s">
        <v>110</v>
      </c>
      <c r="I8" s="19"/>
      <c r="J8" s="19" t="n">
        <v>0</v>
      </c>
      <c r="K8" s="19" t="n">
        <v>0</v>
      </c>
      <c r="L8" s="19" t="s">
        <v>111</v>
      </c>
    </row>
    <row r="9" customFormat="false" ht="15" hidden="false" customHeight="false" outlineLevel="0" collapsed="false">
      <c r="A9" s="19" t="n">
        <v>101</v>
      </c>
      <c r="B9" s="19"/>
      <c r="C9" s="19" t="s">
        <v>78</v>
      </c>
      <c r="D9" s="19" t="s">
        <v>79</v>
      </c>
      <c r="E9" s="19" t="s">
        <v>118</v>
      </c>
      <c r="F9" s="19" t="n">
        <v>120</v>
      </c>
      <c r="G9" s="19" t="n">
        <v>125.84</v>
      </c>
      <c r="H9" s="19" t="s">
        <v>113</v>
      </c>
      <c r="I9" s="19"/>
      <c r="J9" s="19" t="n">
        <v>5.84</v>
      </c>
      <c r="K9" s="19" t="n">
        <v>0</v>
      </c>
      <c r="L9" s="19" t="s">
        <v>111</v>
      </c>
    </row>
    <row r="10" customFormat="false" ht="15" hidden="false" customHeight="false" outlineLevel="0" collapsed="false">
      <c r="A10" s="19" t="n">
        <v>101</v>
      </c>
      <c r="B10" s="19"/>
      <c r="C10" s="19" t="s">
        <v>78</v>
      </c>
      <c r="D10" s="19" t="s">
        <v>79</v>
      </c>
      <c r="E10" s="19" t="s">
        <v>118</v>
      </c>
      <c r="F10" s="19" t="n">
        <v>125.84</v>
      </c>
      <c r="G10" s="19" t="n">
        <v>125.84</v>
      </c>
      <c r="H10" s="19" t="s">
        <v>114</v>
      </c>
      <c r="I10" s="19"/>
      <c r="J10" s="19" t="n">
        <v>0</v>
      </c>
      <c r="K10" s="19" t="n">
        <v>0</v>
      </c>
      <c r="L10" s="19" t="s">
        <v>111</v>
      </c>
    </row>
    <row r="11" customFormat="false" ht="15" hidden="false" customHeight="false" outlineLevel="0" collapsed="false">
      <c r="A11" s="19" t="n">
        <v>101</v>
      </c>
      <c r="B11" s="19"/>
      <c r="C11" s="19" t="s">
        <v>78</v>
      </c>
      <c r="D11" s="19" t="s">
        <v>79</v>
      </c>
      <c r="E11" s="19" t="s">
        <v>118</v>
      </c>
      <c r="F11" s="19" t="n">
        <v>125.84</v>
      </c>
      <c r="G11" s="19" t="n">
        <v>125.84</v>
      </c>
      <c r="H11" s="19" t="s">
        <v>115</v>
      </c>
      <c r="I11" s="19"/>
      <c r="J11" s="19" t="n">
        <v>0</v>
      </c>
      <c r="K11" s="19" t="n">
        <v>0</v>
      </c>
      <c r="L11" s="19" t="s">
        <v>111</v>
      </c>
    </row>
    <row r="12" customFormat="false" ht="15" hidden="false" customHeight="false" outlineLevel="0" collapsed="false">
      <c r="A12" s="19" t="n">
        <v>101</v>
      </c>
      <c r="B12" s="19"/>
      <c r="C12" s="19" t="s">
        <v>78</v>
      </c>
      <c r="D12" s="19" t="s">
        <v>79</v>
      </c>
      <c r="E12" s="19" t="s">
        <v>118</v>
      </c>
      <c r="F12" s="19" t="n">
        <v>125.84</v>
      </c>
      <c r="G12" s="19" t="n">
        <v>125.84</v>
      </c>
      <c r="H12" s="19" t="s">
        <v>116</v>
      </c>
      <c r="I12" s="19"/>
      <c r="J12" s="19" t="n">
        <v>0</v>
      </c>
      <c r="K12" s="19" t="n">
        <v>0</v>
      </c>
      <c r="L12" s="19" t="s">
        <v>111</v>
      </c>
    </row>
    <row r="13" customFormat="false" ht="15" hidden="false" customHeight="false" outlineLevel="0" collapsed="false">
      <c r="A13" s="19" t="n">
        <v>101</v>
      </c>
      <c r="B13" s="19"/>
      <c r="C13" s="19" t="s">
        <v>78</v>
      </c>
      <c r="D13" s="19" t="s">
        <v>79</v>
      </c>
      <c r="E13" s="19" t="s">
        <v>118</v>
      </c>
      <c r="F13" s="19" t="n">
        <v>125.84</v>
      </c>
      <c r="G13" s="19" t="n">
        <v>125.84</v>
      </c>
      <c r="H13" s="19" t="s">
        <v>117</v>
      </c>
      <c r="I13" s="19"/>
      <c r="J13" s="19" t="n">
        <v>0</v>
      </c>
      <c r="K13" s="19" t="n">
        <v>0</v>
      </c>
      <c r="L13" s="19" t="s">
        <v>111</v>
      </c>
    </row>
    <row r="14" customFormat="false" ht="15" hidden="false" customHeight="false" outlineLevel="0" collapsed="false">
      <c r="A14" s="19" t="n">
        <v>102</v>
      </c>
      <c r="B14" s="19"/>
      <c r="C14" s="19" t="s">
        <v>81</v>
      </c>
      <c r="D14" s="19" t="s">
        <v>82</v>
      </c>
      <c r="E14" s="19" t="s">
        <v>109</v>
      </c>
      <c r="F14" s="19" t="n">
        <v>32</v>
      </c>
      <c r="G14" s="19" t="n">
        <v>32</v>
      </c>
      <c r="H14" s="19" t="s">
        <v>110</v>
      </c>
      <c r="I14" s="19"/>
      <c r="J14" s="19" t="n">
        <v>0</v>
      </c>
      <c r="K14" s="19" t="n">
        <v>0</v>
      </c>
      <c r="L14" s="19" t="s">
        <v>111</v>
      </c>
    </row>
    <row r="15" customFormat="false" ht="15" hidden="false" customHeight="false" outlineLevel="0" collapsed="false">
      <c r="A15" s="19" t="n">
        <v>102</v>
      </c>
      <c r="B15" s="19"/>
      <c r="C15" s="19" t="s">
        <v>81</v>
      </c>
      <c r="D15" s="19" t="s">
        <v>82</v>
      </c>
      <c r="E15" s="19" t="s">
        <v>109</v>
      </c>
      <c r="F15" s="19" t="n">
        <v>32</v>
      </c>
      <c r="G15" s="19" t="n">
        <v>32</v>
      </c>
      <c r="H15" s="19" t="s">
        <v>113</v>
      </c>
      <c r="I15" s="19"/>
      <c r="J15" s="19" t="n">
        <v>0</v>
      </c>
      <c r="K15" s="19" t="n">
        <v>0</v>
      </c>
      <c r="L15" s="19" t="s">
        <v>111</v>
      </c>
    </row>
    <row r="16" customFormat="false" ht="15" hidden="false" customHeight="false" outlineLevel="0" collapsed="false">
      <c r="A16" s="19" t="n">
        <v>102</v>
      </c>
      <c r="B16" s="19"/>
      <c r="C16" s="19" t="s">
        <v>81</v>
      </c>
      <c r="D16" s="19" t="s">
        <v>82</v>
      </c>
      <c r="E16" s="19" t="s">
        <v>109</v>
      </c>
      <c r="F16" s="19" t="n">
        <v>32</v>
      </c>
      <c r="G16" s="19" t="n">
        <v>32</v>
      </c>
      <c r="H16" s="19" t="s">
        <v>114</v>
      </c>
      <c r="I16" s="19"/>
      <c r="J16" s="19" t="n">
        <v>0</v>
      </c>
      <c r="K16" s="19" t="n">
        <v>0</v>
      </c>
      <c r="L16" s="19" t="s">
        <v>111</v>
      </c>
    </row>
    <row r="17" customFormat="false" ht="15" hidden="false" customHeight="false" outlineLevel="0" collapsed="false">
      <c r="A17" s="19" t="n">
        <v>102</v>
      </c>
      <c r="B17" s="19"/>
      <c r="C17" s="19" t="s">
        <v>81</v>
      </c>
      <c r="D17" s="19" t="s">
        <v>82</v>
      </c>
      <c r="E17" s="19" t="s">
        <v>109</v>
      </c>
      <c r="F17" s="19" t="n">
        <v>32</v>
      </c>
      <c r="G17" s="19" t="n">
        <v>32</v>
      </c>
      <c r="H17" s="19" t="s">
        <v>115</v>
      </c>
      <c r="I17" s="19"/>
      <c r="J17" s="19" t="n">
        <v>0</v>
      </c>
      <c r="K17" s="19" t="n">
        <v>0</v>
      </c>
      <c r="L17" s="19" t="s">
        <v>111</v>
      </c>
    </row>
    <row r="18" customFormat="false" ht="15" hidden="false" customHeight="false" outlineLevel="0" collapsed="false">
      <c r="A18" s="19" t="n">
        <v>102</v>
      </c>
      <c r="B18" s="19"/>
      <c r="C18" s="19" t="s">
        <v>81</v>
      </c>
      <c r="D18" s="19" t="s">
        <v>82</v>
      </c>
      <c r="E18" s="19" t="s">
        <v>109</v>
      </c>
      <c r="F18" s="19" t="n">
        <v>32</v>
      </c>
      <c r="G18" s="19" t="n">
        <v>32</v>
      </c>
      <c r="H18" s="19" t="s">
        <v>116</v>
      </c>
      <c r="I18" s="19"/>
      <c r="J18" s="19" t="n">
        <v>0</v>
      </c>
      <c r="K18" s="19" t="n">
        <v>0</v>
      </c>
      <c r="L18" s="19" t="s">
        <v>111</v>
      </c>
    </row>
    <row r="19" customFormat="false" ht="15" hidden="false" customHeight="false" outlineLevel="0" collapsed="false">
      <c r="A19" s="19" t="n">
        <v>102</v>
      </c>
      <c r="B19" s="19"/>
      <c r="C19" s="19" t="s">
        <v>81</v>
      </c>
      <c r="D19" s="19" t="s">
        <v>82</v>
      </c>
      <c r="E19" s="19" t="s">
        <v>109</v>
      </c>
      <c r="F19" s="19" t="n">
        <v>32</v>
      </c>
      <c r="G19" s="19" t="n">
        <v>32</v>
      </c>
      <c r="H19" s="19" t="s">
        <v>117</v>
      </c>
      <c r="I19" s="19"/>
      <c r="J19" s="19" t="n">
        <v>0</v>
      </c>
      <c r="K19" s="19" t="n">
        <v>0</v>
      </c>
      <c r="L19" s="19" t="s">
        <v>111</v>
      </c>
    </row>
    <row r="20" customFormat="false" ht="15" hidden="false" customHeight="false" outlineLevel="0" collapsed="false">
      <c r="A20" s="19" t="n">
        <v>104</v>
      </c>
      <c r="B20" s="19"/>
      <c r="C20" s="19" t="s">
        <v>87</v>
      </c>
      <c r="D20" s="19" t="s">
        <v>88</v>
      </c>
      <c r="E20" s="19" t="s">
        <v>109</v>
      </c>
      <c r="F20" s="19" t="n">
        <v>8</v>
      </c>
      <c r="G20" s="19" t="n">
        <v>8</v>
      </c>
      <c r="H20" s="19" t="s">
        <v>110</v>
      </c>
      <c r="I20" s="19"/>
      <c r="J20" s="19" t="n">
        <v>0</v>
      </c>
      <c r="K20" s="19" t="n">
        <v>0</v>
      </c>
      <c r="L20" s="19" t="s">
        <v>111</v>
      </c>
    </row>
    <row r="21" customFormat="false" ht="15" hidden="false" customHeight="false" outlineLevel="0" collapsed="false">
      <c r="A21" s="19" t="n">
        <v>104</v>
      </c>
      <c r="B21" s="19"/>
      <c r="C21" s="19" t="s">
        <v>87</v>
      </c>
      <c r="D21" s="19" t="s">
        <v>88</v>
      </c>
      <c r="E21" s="19" t="s">
        <v>109</v>
      </c>
      <c r="F21" s="19" t="n">
        <v>8</v>
      </c>
      <c r="G21" s="19" t="n">
        <v>8</v>
      </c>
      <c r="H21" s="19" t="s">
        <v>113</v>
      </c>
      <c r="I21" s="19"/>
      <c r="J21" s="19" t="n">
        <v>0</v>
      </c>
      <c r="K21" s="19" t="n">
        <v>0</v>
      </c>
      <c r="L21" s="19" t="s">
        <v>111</v>
      </c>
    </row>
    <row r="22" customFormat="false" ht="15" hidden="false" customHeight="false" outlineLevel="0" collapsed="false">
      <c r="A22" s="19" t="n">
        <v>104</v>
      </c>
      <c r="B22" s="19"/>
      <c r="C22" s="19" t="s">
        <v>87</v>
      </c>
      <c r="D22" s="19" t="s">
        <v>88</v>
      </c>
      <c r="E22" s="19" t="s">
        <v>109</v>
      </c>
      <c r="F22" s="19" t="n">
        <v>8</v>
      </c>
      <c r="G22" s="19" t="n">
        <v>0</v>
      </c>
      <c r="H22" s="19" t="s">
        <v>114</v>
      </c>
      <c r="I22" s="19"/>
      <c r="J22" s="19" t="n">
        <v>0</v>
      </c>
      <c r="K22" s="19" t="n">
        <v>8</v>
      </c>
      <c r="L22" s="19" t="s">
        <v>111</v>
      </c>
    </row>
    <row r="23" customFormat="false" ht="15" hidden="false" customHeight="false" outlineLevel="0" collapsed="false">
      <c r="A23" s="19" t="n">
        <v>104</v>
      </c>
      <c r="B23" s="19"/>
      <c r="C23" s="19" t="s">
        <v>87</v>
      </c>
      <c r="D23" s="19" t="s">
        <v>88</v>
      </c>
      <c r="E23" s="19" t="s">
        <v>109</v>
      </c>
      <c r="F23" s="19" t="n">
        <v>0</v>
      </c>
      <c r="G23" s="19" t="n">
        <v>0</v>
      </c>
      <c r="H23" s="19" t="s">
        <v>115</v>
      </c>
      <c r="I23" s="19"/>
      <c r="J23" s="19" t="n">
        <v>0</v>
      </c>
      <c r="K23" s="19" t="n">
        <v>0</v>
      </c>
      <c r="L23" s="19" t="s">
        <v>111</v>
      </c>
    </row>
    <row r="24" customFormat="false" ht="15" hidden="false" customHeight="false" outlineLevel="0" collapsed="false">
      <c r="A24" s="19" t="n">
        <v>104</v>
      </c>
      <c r="B24" s="19"/>
      <c r="C24" s="19" t="s">
        <v>87</v>
      </c>
      <c r="D24" s="19" t="s">
        <v>88</v>
      </c>
      <c r="E24" s="19" t="s">
        <v>109</v>
      </c>
      <c r="F24" s="19" t="n">
        <v>0</v>
      </c>
      <c r="G24" s="19" t="n">
        <v>0</v>
      </c>
      <c r="H24" s="19" t="s">
        <v>116</v>
      </c>
      <c r="I24" s="19"/>
      <c r="J24" s="19" t="n">
        <v>0</v>
      </c>
      <c r="K24" s="19" t="n">
        <v>0</v>
      </c>
      <c r="L24" s="19" t="s">
        <v>111</v>
      </c>
    </row>
    <row r="25" customFormat="false" ht="15" hidden="false" customHeight="false" outlineLevel="0" collapsed="false">
      <c r="A25" s="19" t="n">
        <v>104</v>
      </c>
      <c r="B25" s="19"/>
      <c r="C25" s="19" t="s">
        <v>87</v>
      </c>
      <c r="D25" s="19" t="s">
        <v>88</v>
      </c>
      <c r="E25" s="19" t="s">
        <v>109</v>
      </c>
      <c r="F25" s="19" t="n">
        <v>0</v>
      </c>
      <c r="G25" s="19" t="n">
        <v>0</v>
      </c>
      <c r="H25" s="19" t="s">
        <v>117</v>
      </c>
      <c r="I25" s="19"/>
      <c r="J25" s="19" t="n">
        <v>0</v>
      </c>
      <c r="K25" s="19" t="n">
        <v>0</v>
      </c>
      <c r="L25" s="19" t="s">
        <v>111</v>
      </c>
    </row>
    <row r="26" customFormat="false" ht="15" hidden="false" customHeight="false" outlineLevel="0" collapsed="false">
      <c r="A26" s="19" t="n">
        <v>105</v>
      </c>
      <c r="B26" s="19"/>
      <c r="C26" s="19" t="s">
        <v>89</v>
      </c>
      <c r="D26" s="19" t="s">
        <v>90</v>
      </c>
      <c r="E26" s="19" t="s">
        <v>109</v>
      </c>
      <c r="F26" s="19" t="n">
        <v>72</v>
      </c>
      <c r="G26" s="19" t="n">
        <v>72</v>
      </c>
      <c r="H26" s="19" t="s">
        <v>110</v>
      </c>
      <c r="I26" s="19"/>
      <c r="J26" s="19" t="n">
        <v>0</v>
      </c>
      <c r="K26" s="19" t="n">
        <v>0</v>
      </c>
      <c r="L26" s="19" t="s">
        <v>111</v>
      </c>
    </row>
    <row r="27" customFormat="false" ht="15" hidden="false" customHeight="false" outlineLevel="0" collapsed="false">
      <c r="A27" s="19" t="n">
        <v>105</v>
      </c>
      <c r="B27" s="19"/>
      <c r="C27" s="19" t="s">
        <v>89</v>
      </c>
      <c r="D27" s="19" t="s">
        <v>90</v>
      </c>
      <c r="E27" s="19" t="s">
        <v>109</v>
      </c>
      <c r="F27" s="19" t="n">
        <v>72</v>
      </c>
      <c r="G27" s="19" t="n">
        <v>72</v>
      </c>
      <c r="H27" s="19" t="s">
        <v>113</v>
      </c>
      <c r="I27" s="19"/>
      <c r="J27" s="19" t="n">
        <v>0</v>
      </c>
      <c r="K27" s="19" t="n">
        <v>0</v>
      </c>
      <c r="L27" s="19" t="s">
        <v>111</v>
      </c>
    </row>
    <row r="28" customFormat="false" ht="15" hidden="false" customHeight="false" outlineLevel="0" collapsed="false">
      <c r="A28" s="19" t="n">
        <v>105</v>
      </c>
      <c r="B28" s="19"/>
      <c r="C28" s="19" t="s">
        <v>89</v>
      </c>
      <c r="D28" s="19" t="s">
        <v>90</v>
      </c>
      <c r="E28" s="19" t="s">
        <v>109</v>
      </c>
      <c r="F28" s="19" t="n">
        <v>72</v>
      </c>
      <c r="G28" s="19" t="n">
        <v>72</v>
      </c>
      <c r="H28" s="19" t="s">
        <v>114</v>
      </c>
      <c r="I28" s="19"/>
      <c r="J28" s="19" t="n">
        <v>0</v>
      </c>
      <c r="K28" s="19" t="n">
        <v>0</v>
      </c>
      <c r="L28" s="19" t="s">
        <v>111</v>
      </c>
    </row>
    <row r="29" customFormat="false" ht="15" hidden="false" customHeight="false" outlineLevel="0" collapsed="false">
      <c r="A29" s="19" t="n">
        <v>105</v>
      </c>
      <c r="B29" s="19"/>
      <c r="C29" s="19" t="s">
        <v>89</v>
      </c>
      <c r="D29" s="19" t="s">
        <v>90</v>
      </c>
      <c r="E29" s="19" t="s">
        <v>109</v>
      </c>
      <c r="F29" s="19" t="n">
        <v>72</v>
      </c>
      <c r="G29" s="19" t="n">
        <v>72</v>
      </c>
      <c r="H29" s="19" t="s">
        <v>115</v>
      </c>
      <c r="I29" s="19"/>
      <c r="J29" s="19" t="n">
        <v>0</v>
      </c>
      <c r="K29" s="19" t="n">
        <v>0</v>
      </c>
      <c r="L29" s="19" t="s">
        <v>111</v>
      </c>
    </row>
    <row r="30" customFormat="false" ht="15" hidden="false" customHeight="false" outlineLevel="0" collapsed="false">
      <c r="A30" s="19" t="n">
        <v>105</v>
      </c>
      <c r="B30" s="19"/>
      <c r="C30" s="19" t="s">
        <v>89</v>
      </c>
      <c r="D30" s="19" t="s">
        <v>90</v>
      </c>
      <c r="E30" s="19" t="s">
        <v>109</v>
      </c>
      <c r="F30" s="19" t="n">
        <v>72</v>
      </c>
      <c r="G30" s="19" t="n">
        <v>80</v>
      </c>
      <c r="H30" s="19" t="s">
        <v>116</v>
      </c>
      <c r="I30" s="19"/>
      <c r="J30" s="19" t="n">
        <v>8</v>
      </c>
      <c r="K30" s="19" t="n">
        <v>0</v>
      </c>
      <c r="L30" s="19" t="s">
        <v>111</v>
      </c>
    </row>
    <row r="31" customFormat="false" ht="15" hidden="false" customHeight="false" outlineLevel="0" collapsed="false">
      <c r="A31" s="19" t="n">
        <v>105</v>
      </c>
      <c r="B31" s="19"/>
      <c r="C31" s="19" t="s">
        <v>89</v>
      </c>
      <c r="D31" s="19" t="s">
        <v>90</v>
      </c>
      <c r="E31" s="19" t="s">
        <v>109</v>
      </c>
      <c r="F31" s="19" t="n">
        <v>80</v>
      </c>
      <c r="G31" s="19" t="n">
        <v>80</v>
      </c>
      <c r="H31" s="19" t="s">
        <v>117</v>
      </c>
      <c r="I31" s="19"/>
      <c r="J31" s="19" t="n">
        <v>0</v>
      </c>
      <c r="K31" s="19" t="n">
        <v>0</v>
      </c>
      <c r="L31" s="19" t="s">
        <v>111</v>
      </c>
    </row>
    <row r="32" customFormat="false" ht="15" hidden="false" customHeight="false" outlineLevel="0" collapsed="false">
      <c r="A32" s="19" t="n">
        <v>108</v>
      </c>
      <c r="B32" s="19"/>
      <c r="C32" s="19" t="s">
        <v>95</v>
      </c>
      <c r="D32" s="19" t="s">
        <v>96</v>
      </c>
      <c r="E32" s="19" t="s">
        <v>109</v>
      </c>
      <c r="F32" s="19" t="n">
        <v>16</v>
      </c>
      <c r="G32" s="19" t="n">
        <v>16</v>
      </c>
      <c r="H32" s="19" t="s">
        <v>110</v>
      </c>
      <c r="I32" s="19"/>
      <c r="J32" s="19" t="n">
        <v>0</v>
      </c>
      <c r="K32" s="19" t="n">
        <v>0</v>
      </c>
      <c r="L32" s="19" t="s">
        <v>111</v>
      </c>
    </row>
    <row r="33" customFormat="false" ht="15" hidden="false" customHeight="false" outlineLevel="0" collapsed="false">
      <c r="A33" s="19" t="n">
        <v>108</v>
      </c>
      <c r="B33" s="19"/>
      <c r="C33" s="19" t="s">
        <v>95</v>
      </c>
      <c r="D33" s="19" t="s">
        <v>96</v>
      </c>
      <c r="E33" s="19" t="s">
        <v>109</v>
      </c>
      <c r="F33" s="19" t="n">
        <v>16</v>
      </c>
      <c r="G33" s="19" t="n">
        <v>16</v>
      </c>
      <c r="H33" s="19" t="s">
        <v>113</v>
      </c>
      <c r="I33" s="19"/>
      <c r="J33" s="19" t="n">
        <v>0</v>
      </c>
      <c r="K33" s="19" t="n">
        <v>0</v>
      </c>
      <c r="L33" s="19" t="s">
        <v>111</v>
      </c>
    </row>
    <row r="34" customFormat="false" ht="15" hidden="false" customHeight="false" outlineLevel="0" collapsed="false">
      <c r="A34" s="19" t="n">
        <v>108</v>
      </c>
      <c r="B34" s="19"/>
      <c r="C34" s="19" t="s">
        <v>95</v>
      </c>
      <c r="D34" s="19" t="s">
        <v>96</v>
      </c>
      <c r="E34" s="19" t="s">
        <v>109</v>
      </c>
      <c r="F34" s="19" t="n">
        <v>16</v>
      </c>
      <c r="G34" s="19" t="n">
        <v>16</v>
      </c>
      <c r="H34" s="19" t="s">
        <v>114</v>
      </c>
      <c r="I34" s="19"/>
      <c r="J34" s="19" t="n">
        <v>0</v>
      </c>
      <c r="K34" s="19" t="n">
        <v>0</v>
      </c>
      <c r="L34" s="19" t="s">
        <v>111</v>
      </c>
    </row>
    <row r="35" customFormat="false" ht="15" hidden="false" customHeight="false" outlineLevel="0" collapsed="false">
      <c r="A35" s="19" t="n">
        <v>108</v>
      </c>
      <c r="B35" s="19"/>
      <c r="C35" s="19" t="s">
        <v>95</v>
      </c>
      <c r="D35" s="19" t="s">
        <v>96</v>
      </c>
      <c r="E35" s="19" t="s">
        <v>109</v>
      </c>
      <c r="F35" s="19" t="n">
        <v>16</v>
      </c>
      <c r="G35" s="19" t="n">
        <v>16</v>
      </c>
      <c r="H35" s="19" t="s">
        <v>115</v>
      </c>
      <c r="I35" s="19"/>
      <c r="J35" s="19" t="n">
        <v>0</v>
      </c>
      <c r="K35" s="19" t="n">
        <v>0</v>
      </c>
      <c r="L35" s="19" t="s">
        <v>111</v>
      </c>
    </row>
    <row r="36" customFormat="false" ht="15" hidden="false" customHeight="false" outlineLevel="0" collapsed="false">
      <c r="A36" s="19" t="n">
        <v>108</v>
      </c>
      <c r="B36" s="19"/>
      <c r="C36" s="19" t="s">
        <v>95</v>
      </c>
      <c r="D36" s="19" t="s">
        <v>96</v>
      </c>
      <c r="E36" s="19" t="s">
        <v>109</v>
      </c>
      <c r="F36" s="19" t="n">
        <v>16</v>
      </c>
      <c r="G36" s="19" t="n">
        <v>16</v>
      </c>
      <c r="H36" s="19" t="s">
        <v>116</v>
      </c>
      <c r="I36" s="19"/>
      <c r="J36" s="19" t="n">
        <v>0</v>
      </c>
      <c r="K36" s="19" t="n">
        <v>0</v>
      </c>
      <c r="L36" s="19" t="s">
        <v>111</v>
      </c>
    </row>
    <row r="37" customFormat="false" ht="15" hidden="false" customHeight="false" outlineLevel="0" collapsed="false">
      <c r="A37" s="19" t="n">
        <v>108</v>
      </c>
      <c r="B37" s="19"/>
      <c r="C37" s="19" t="s">
        <v>95</v>
      </c>
      <c r="D37" s="19" t="s">
        <v>96</v>
      </c>
      <c r="E37" s="19" t="s">
        <v>109</v>
      </c>
      <c r="F37" s="19" t="n">
        <v>16</v>
      </c>
      <c r="G37" s="19" t="n">
        <v>16</v>
      </c>
      <c r="H37" s="19" t="s">
        <v>117</v>
      </c>
      <c r="I37" s="19"/>
      <c r="J37" s="19" t="n">
        <v>0</v>
      </c>
      <c r="K37" s="19" t="n">
        <v>0</v>
      </c>
      <c r="L37" s="19"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119</v>
      </c>
    </row>
    <row r="4" customFormat="false" ht="15" hidden="false" customHeight="false" outlineLevel="0" collapsed="false">
      <c r="B4" s="5" t="s">
        <v>120</v>
      </c>
      <c r="C4" s="5" t="s">
        <v>121</v>
      </c>
    </row>
    <row r="5" customFormat="false" ht="15" hidden="false" customHeight="false" outlineLevel="0" collapsed="false">
      <c r="B5" s="19" t="s">
        <v>122</v>
      </c>
      <c r="C5" s="16" t="n">
        <f aca="true">TODAY()</f>
        <v>46296</v>
      </c>
      <c r="F5" s="20" t="s">
        <v>123</v>
      </c>
    </row>
    <row r="6" customFormat="false" ht="15" hidden="false" customHeight="false" outlineLevel="0" collapsed="false">
      <c r="B6" s="19" t="s">
        <v>124</v>
      </c>
      <c r="C6" s="16" t="n">
        <v>46203</v>
      </c>
      <c r="F6" s="20" t="s">
        <v>125</v>
      </c>
    </row>
    <row r="7" customFormat="false" ht="15" hidden="false" customHeight="false" outlineLevel="0" collapsed="false">
      <c r="B7" s="19" t="s">
        <v>126</v>
      </c>
      <c r="C7" s="15" t="n">
        <v>8</v>
      </c>
      <c r="F7" s="20" t="s">
        <v>127</v>
      </c>
    </row>
    <row r="8" customFormat="false" ht="15" hidden="false" customHeight="false" outlineLevel="0" collapsed="false">
      <c r="B8" s="19" t="s">
        <v>128</v>
      </c>
      <c r="C8" s="15" t="s">
        <v>109</v>
      </c>
      <c r="F8" s="20" t="s">
        <v>129</v>
      </c>
    </row>
    <row r="9" customFormat="false" ht="15" hidden="false" customHeight="false" outlineLevel="0" collapsed="false">
      <c r="B9" s="19" t="s">
        <v>130</v>
      </c>
      <c r="C9" s="15" t="s">
        <v>111</v>
      </c>
      <c r="F9" s="20" t="s">
        <v>131</v>
      </c>
      <c r="G9" s="20" t="n">
        <f aca="false">IF(LHUnit="Days",HoursPerDay,1)</f>
        <v>1</v>
      </c>
    </row>
    <row r="11" customFormat="false" ht="15" hidden="false" customHeight="false" outlineLevel="0" collapsed="false">
      <c r="B11" s="5" t="s">
        <v>132</v>
      </c>
      <c r="C11" s="5" t="s">
        <v>133</v>
      </c>
      <c r="D11" s="5" t="s">
        <v>134</v>
      </c>
    </row>
    <row r="12" customFormat="false" ht="15" hidden="false" customHeight="false" outlineLevel="0" collapsed="false">
      <c r="B12" s="19" t="s">
        <v>135</v>
      </c>
      <c r="C12" s="15" t="s">
        <v>99</v>
      </c>
      <c r="D12" s="21" t="str">
        <f aca="false">IF(ISNUMBER(MATCH($C12,LH_Hdr,0)),"Yes","NO")</f>
        <v>Yes</v>
      </c>
      <c r="F12" s="20" t="s">
        <v>136</v>
      </c>
      <c r="G12" s="20" t="n">
        <f aca="false">IFERROR(MATCH($C12,LH_Hdr,0),0)</f>
        <v>3</v>
      </c>
    </row>
    <row r="13" customFormat="false" ht="15" hidden="false" customHeight="false" outlineLevel="0" collapsed="false">
      <c r="B13" s="19" t="s">
        <v>25</v>
      </c>
      <c r="C13" s="15" t="s">
        <v>25</v>
      </c>
      <c r="D13" s="21" t="str">
        <f aca="false">IF(ISNUMBER(MATCH($C13,LH_Hdr,0)),"Yes","NO")</f>
        <v>Yes</v>
      </c>
      <c r="G13" s="20" t="n">
        <f aca="false">IFERROR(MATCH($C13,LH_Hdr,0),0)</f>
        <v>4</v>
      </c>
    </row>
    <row r="14" customFormat="false" ht="15" hidden="false" customHeight="false" outlineLevel="0" collapsed="false">
      <c r="B14" s="19" t="s">
        <v>137</v>
      </c>
      <c r="C14" s="15" t="s">
        <v>100</v>
      </c>
      <c r="D14" s="21" t="str">
        <f aca="false">IF(ISNUMBER(MATCH($C14,LH_Hdr,0)),"Yes","NO")</f>
        <v>Yes</v>
      </c>
      <c r="G14" s="20" t="n">
        <f aca="false">IFERROR(MATCH($C14,LH_Hdr,0),0)</f>
        <v>5</v>
      </c>
    </row>
    <row r="15" customFormat="false" ht="15" hidden="false" customHeight="false" outlineLevel="0" collapsed="false">
      <c r="B15" s="19" t="s">
        <v>138</v>
      </c>
      <c r="C15" s="15" t="s">
        <v>105</v>
      </c>
      <c r="D15" s="21" t="str">
        <f aca="false">IF(ISNUMBER(MATCH($C15,LH_Hdr,0)),"Yes","NO")</f>
        <v>Yes</v>
      </c>
      <c r="G15" s="20" t="n">
        <f aca="false">IFERROR(MATCH($C15,LH_Hdr,0),0)</f>
        <v>10</v>
      </c>
    </row>
    <row r="16" customFormat="false" ht="15" hidden="false" customHeight="false" outlineLevel="0" collapsed="false">
      <c r="B16" s="19" t="s">
        <v>139</v>
      </c>
      <c r="C16" s="15" t="s">
        <v>106</v>
      </c>
      <c r="D16" s="21" t="str">
        <f aca="false">IF(ISNUMBER(MATCH($C16,LH_Hdr,0)),"Yes","NO")</f>
        <v>Yes</v>
      </c>
      <c r="G16" s="20" t="n">
        <f aca="false">IFERROR(MATCH($C16,LH_Hdr,0),0)</f>
        <v>11</v>
      </c>
    </row>
    <row r="17" customFormat="false" ht="15" hidden="false" customHeight="false" outlineLevel="0" collapsed="false">
      <c r="B17" s="19" t="s">
        <v>140</v>
      </c>
      <c r="C17" s="15" t="s">
        <v>102</v>
      </c>
      <c r="D17" s="21" t="str">
        <f aca="false">IF(ISNUMBER(MATCH($C17,LH_Hdr,0)),"Yes","NO")</f>
        <v>Yes</v>
      </c>
      <c r="G17" s="20" t="n">
        <f aca="false">IFERROR(MATCH($C17,LH_Hdr,0),0)</f>
        <v>7</v>
      </c>
    </row>
    <row r="18" customFormat="false" ht="15" hidden="false" customHeight="false" outlineLevel="0" collapsed="false">
      <c r="B18" s="2" t="s">
        <v>141</v>
      </c>
      <c r="D18" s="21" t="str">
        <f aca="false">IF(LH_Ready,"YES","NO")</f>
        <v>YES</v>
      </c>
      <c r="G18" s="22" t="b">
        <f aca="false">AND(LH_ColFirst&gt;0,LH_ColSur&gt;0,LH_ColCat&gt;0,LH_ColAcc&gt;0,LH_ColTaken&gt;0,LH_ColClose&gt;0)</f>
        <v>1</v>
      </c>
    </row>
    <row r="20" customFormat="false" ht="15" hidden="false" customHeight="false" outlineLevel="0" collapsed="false">
      <c r="B20" s="5" t="s">
        <v>142</v>
      </c>
      <c r="C20" s="5" t="s">
        <v>121</v>
      </c>
    </row>
    <row r="21" customFormat="false" ht="15" hidden="false" customHeight="false" outlineLevel="0" collapsed="false">
      <c r="B21" s="19" t="s">
        <v>143</v>
      </c>
      <c r="C21" s="15" t="n">
        <v>36</v>
      </c>
      <c r="F21" s="20" t="s">
        <v>144</v>
      </c>
    </row>
    <row r="22" customFormat="false" ht="15" hidden="false" customHeight="false" outlineLevel="0" collapsed="false">
      <c r="B22" s="19" t="s">
        <v>145</v>
      </c>
      <c r="C22" s="15" t="n">
        <v>4</v>
      </c>
      <c r="F22" s="20" t="s">
        <v>146</v>
      </c>
    </row>
    <row r="23" customFormat="false" ht="15" hidden="false" customHeight="false" outlineLevel="0" collapsed="false">
      <c r="B23" s="19" t="s">
        <v>147</v>
      </c>
      <c r="C23" s="15" t="n">
        <v>60</v>
      </c>
      <c r="F23" s="20" t="s">
        <v>148</v>
      </c>
    </row>
    <row r="24" customFormat="false" ht="15" hidden="false" customHeight="false" outlineLevel="0" collapsed="false">
      <c r="B24" s="19" t="s">
        <v>149</v>
      </c>
      <c r="C24" s="15" t="n">
        <v>2</v>
      </c>
      <c r="F24" s="20" t="s">
        <v>148</v>
      </c>
    </row>
    <row r="25" customFormat="false" ht="15" hidden="false" customHeight="false" outlineLevel="0" collapsed="false">
      <c r="B25" s="19" t="s">
        <v>150</v>
      </c>
      <c r="C25" s="15" t="n">
        <v>3</v>
      </c>
      <c r="F25" s="20" t="s">
        <v>151</v>
      </c>
    </row>
    <row r="26" customFormat="false" ht="15" hidden="false" customHeight="false" outlineLevel="0" collapsed="false">
      <c r="B26" s="19" t="s">
        <v>152</v>
      </c>
      <c r="C26" s="15" t="n">
        <v>60</v>
      </c>
      <c r="F26" s="20" t="s">
        <v>153</v>
      </c>
    </row>
    <row r="27" customFormat="false" ht="15" hidden="false" customHeight="false" outlineLevel="0" collapsed="false">
      <c r="B27" s="19" t="s">
        <v>154</v>
      </c>
      <c r="C27" s="15" t="n">
        <v>4</v>
      </c>
      <c r="F27" s="20" t="s">
        <v>155</v>
      </c>
    </row>
    <row r="28" customFormat="false" ht="15" hidden="false" customHeight="false" outlineLevel="0" collapsed="false">
      <c r="B28" s="19" t="s">
        <v>156</v>
      </c>
      <c r="C28" s="15" t="n">
        <v>24</v>
      </c>
      <c r="F28" s="20" t="s">
        <v>157</v>
      </c>
    </row>
    <row r="29" customFormat="false" ht="15" hidden="false" customHeight="false" outlineLevel="0" collapsed="false">
      <c r="B29" s="19" t="s">
        <v>158</v>
      </c>
      <c r="C29" s="12" t="n">
        <f aca="false">1+INT((FT_Y5-1-FT_First)/FT_Int1)</f>
        <v>6</v>
      </c>
    </row>
    <row r="30" customFormat="false" ht="15" hidden="false" customHeight="false" outlineLevel="0" collapsed="false">
      <c r="B30" s="19" t="s">
        <v>159</v>
      </c>
      <c r="C30" s="12" t="n">
        <f aca="false">FT_AnnivDays+INT(11/FT_Int2)</f>
        <v>5</v>
      </c>
    </row>
    <row r="33" customFormat="false" ht="15" hidden="false" customHeight="true" outlineLevel="0" collapsed="false">
      <c r="B33" s="23" t="s">
        <v>160</v>
      </c>
      <c r="C33" s="23"/>
      <c r="D33" s="23"/>
      <c r="E33" s="23"/>
      <c r="F33" s="23"/>
    </row>
    <row r="34" customFormat="false" ht="15" hidden="false" customHeight="true" outlineLevel="0" collapsed="false">
      <c r="B34" s="24" t="s">
        <v>161</v>
      </c>
      <c r="C34" s="24"/>
      <c r="D34" s="24"/>
      <c r="E34" s="24"/>
      <c r="F34" s="24"/>
    </row>
    <row r="35" customFormat="false" ht="43.5" hidden="false" customHeight="true" outlineLevel="0" collapsed="false">
      <c r="B35" s="24" t="s">
        <v>162</v>
      </c>
      <c r="C35" s="24"/>
      <c r="D35" s="24"/>
      <c r="E35" s="24"/>
      <c r="F35" s="24"/>
    </row>
    <row r="36" customFormat="false" ht="30" hidden="false" customHeight="true" outlineLevel="0" collapsed="false">
      <c r="B36" s="24" t="s">
        <v>163</v>
      </c>
      <c r="C36" s="24"/>
      <c r="D36" s="24"/>
      <c r="E36" s="24"/>
      <c r="F36" s="24"/>
    </row>
    <row r="37" customFormat="false" ht="30" hidden="false" customHeight="true" outlineLevel="0" collapsed="false">
      <c r="B37" s="24" t="s">
        <v>164</v>
      </c>
      <c r="C37" s="24"/>
      <c r="D37" s="24"/>
      <c r="E37" s="24"/>
      <c r="F37" s="24"/>
    </row>
    <row r="38" customFormat="false" ht="30" hidden="false" customHeight="true" outlineLevel="0" collapsed="false">
      <c r="B38" s="24" t="s">
        <v>165</v>
      </c>
      <c r="C38" s="24"/>
      <c r="D38" s="24"/>
      <c r="E38" s="24"/>
      <c r="F38" s="24"/>
    </row>
    <row r="39" customFormat="false" ht="43.5" hidden="false" customHeight="true" outlineLevel="0" collapsed="false">
      <c r="B39" s="24" t="s">
        <v>166</v>
      </c>
      <c r="C39" s="24"/>
      <c r="D39" s="24"/>
      <c r="E39" s="24"/>
      <c r="F39" s="24"/>
    </row>
    <row r="40" customFormat="false" ht="30" hidden="false" customHeight="true" outlineLevel="0" collapsed="false">
      <c r="B40" s="24" t="s">
        <v>167</v>
      </c>
      <c r="C40" s="24"/>
      <c r="D40" s="24"/>
      <c r="E40" s="24"/>
      <c r="F40" s="24"/>
    </row>
    <row r="41" customFormat="false" ht="30" hidden="false" customHeight="true" outlineLevel="0" collapsed="false">
      <c r="B41" s="24" t="s">
        <v>168</v>
      </c>
      <c r="C41" s="24"/>
      <c r="D41" s="24"/>
      <c r="E41" s="24"/>
      <c r="F41" s="24"/>
    </row>
    <row r="42" customFormat="false" ht="15" hidden="false" customHeight="false" outlineLevel="0" collapsed="false">
      <c r="B42" s="24"/>
      <c r="C42" s="24"/>
      <c r="D42" s="24"/>
      <c r="E42" s="24"/>
      <c r="F42" s="24"/>
    </row>
    <row r="43" customFormat="false" ht="15" hidden="false" customHeight="true" outlineLevel="0" collapsed="false">
      <c r="B43" s="23" t="s">
        <v>169</v>
      </c>
      <c r="C43" s="23"/>
      <c r="D43" s="23"/>
      <c r="E43" s="23"/>
      <c r="F43" s="23"/>
    </row>
    <row r="44" customFormat="false" ht="30" hidden="false" customHeight="true" outlineLevel="0" collapsed="false">
      <c r="B44" s="24" t="s">
        <v>170</v>
      </c>
      <c r="C44" s="24"/>
      <c r="D44" s="24"/>
      <c r="E44" s="24"/>
      <c r="F44" s="24"/>
    </row>
    <row r="45" customFormat="false" ht="15" hidden="false" customHeight="true" outlineLevel="0" collapsed="false">
      <c r="B45" s="24" t="s">
        <v>171</v>
      </c>
      <c r="C45" s="24"/>
      <c r="D45" s="24"/>
      <c r="E45" s="24"/>
      <c r="F45" s="24"/>
    </row>
    <row r="46" customFormat="false" ht="43.5" hidden="false" customHeight="true" outlineLevel="0" collapsed="false">
      <c r="B46" s="24" t="s">
        <v>172</v>
      </c>
      <c r="C46" s="24"/>
      <c r="D46" s="24"/>
      <c r="E46" s="24"/>
      <c r="F46" s="24"/>
    </row>
    <row r="47" customFormat="false" ht="15" hidden="false" customHeight="false" outlineLevel="0" collapsed="false">
      <c r="B47" s="24"/>
      <c r="C47" s="24"/>
      <c r="D47" s="24"/>
      <c r="E47" s="24"/>
      <c r="F47" s="24"/>
    </row>
    <row r="48" customFormat="false" ht="43.5" hidden="false" customHeight="true" outlineLevel="0" collapsed="false">
      <c r="B48" s="23" t="s">
        <v>173</v>
      </c>
      <c r="C48" s="23"/>
      <c r="D48" s="23"/>
      <c r="E48" s="23"/>
      <c r="F48" s="2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2026-10-01T01:31:41Z</dcterms:created>
  <dc:creator>openpyxl</dc:creator>
  <dc:description/>
  <dc:language>en-US</dc:language>
  <cp:lastModifiedBy/>
  <dcterms:modified xsi:type="dcterms:W3CDTF">2026-10-01T01:31:42Z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