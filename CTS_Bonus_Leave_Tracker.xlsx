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ff" sheetId="1" state="visible" r:id="rId3"/>
    <sheet name="Leave History" sheetId="2" state="visible" r:id="rId4"/>
    <sheet name="Settings" sheetId="3" state="visible" r:id="rId5"/>
  </sheets>
  <definedNames>
    <definedName function="false" hidden="true" localSheetId="0" name="_xlnm._FilterDatabase" vbProcedure="false">Staff!$A$4:$AD$154</definedName>
    <definedName function="false" hidden="false" name="AsOfDate" vbProcedure="false">Settings!$C$5</definedName>
    <definedName function="false" hidden="false" name="BonusCat" vbProcedure="false">Settings!$C$8</definedName>
    <definedName function="false" hidden="false" name="FT_AnnivDays" vbProcedure="false">Settings!$C$24</definedName>
    <definedName function="false" hidden="false" name="FT_First" vbProcedure="false">Settings!$C$21</definedName>
    <definedName function="false" hidden="false" name="FT_Int1" vbProcedure="false">Settings!$C$22</definedName>
    <definedName function="false" hidden="false" name="FT_Int2" vbProcedure="false">Settings!$C$25</definedName>
    <definedName function="false" hidden="false" name="FT_PerYear" vbProcedure="false">Settings!$C$30</definedName>
    <definedName function="false" hidden="false" name="FT_PreY5" vbProcedure="false">Settings!$C$29</definedName>
    <definedName function="false" hidden="false" name="FT_Y5" vbProcedure="false">Settings!$C$23</definedName>
    <definedName function="false" hidden="false" name="HoursPerDay" vbProcedure="false">Settings!$C$7</definedName>
    <definedName function="false" hidden="false" name="LHUnit" vbProcedure="false">Settings!$C$9</definedName>
    <definedName function="false" hidden="false" name="LH_ColAcc" vbProcedure="false">Settings!$G$15</definedName>
    <definedName function="false" hidden="false" name="LH_ColCat" vbProcedure="false">Settings!$G$14</definedName>
    <definedName function="false" hidden="false" name="LH_ColClose" vbProcedure="false">Settings!$G$17</definedName>
    <definedName function="false" hidden="false" name="LH_ColFirst" vbProcedure="false">Settings!$G$12</definedName>
    <definedName function="false" hidden="false" name="LH_ColSur" vbProcedure="false">Settings!$G$13</definedName>
    <definedName function="false" hidden="false" name="LH_ColTaken" vbProcedure="false">Settings!$G$16</definedName>
    <definedName function="false" hidden="false" name="LH_Data" vbProcedure="false">'Leave History'!$A$2:$AZ$3000</definedName>
    <definedName function="false" hidden="false" name="LH_Hdr" vbProcedure="false">'Leave History'!$A$1:$AZ$1</definedName>
    <definedName function="false" hidden="false" name="LH_Ready" vbProcedure="false">Settings!$G$18</definedName>
    <definedName function="false" hidden="false" name="PFYDate" vbProcedure="false">Settings!$C$6</definedName>
    <definedName function="false" hidden="false" name="PT_First" vbProcedure="false">Settings!$C$26</definedName>
    <definedName function="false" hidden="false" name="PT_Int" vbProcedure="false">Settings!$C$27</definedName>
    <definedName function="false" hidden="false" name="PT_MinHours" vbProcedure="false">Settings!$C$28</definedName>
    <definedName function="false" hidden="false" name="UnitFactor" vbProcedure="false">Settings!$G$9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<sst xmlns="http://schemas.openxmlformats.org/spreadsheetml/2006/main" count="365" uniqueCount="174">
  <si>
    <t xml:space="preserve">CTS BONUS LEAVE TRACKER</t>
  </si>
  <si>
    <t xml:space="preserve">type here</t>
  </si>
  <si>
    <t xml:space="preserve">current: Full-Time / Part-Time / Casual</t>
  </si>
  <si>
    <t xml:space="preserve">next birthday</t>
  </si>
  <si>
    <t xml:space="preserve">date part-time began</t>
  </si>
  <si>
    <t xml:space="preserve">date full-time began</t>
  </si>
  <si>
    <t xml:space="preserve">date casual began</t>
  </si>
  <si>
    <t xml:space="preserve">optional: HR-adjusted service start (unpaid leave)</t>
  </si>
  <si>
    <t xml:space="preserve">next service anniversary</t>
  </si>
  <si>
    <t xml:space="preserve">years</t>
  </si>
  <si>
    <t xml:space="preserve">service counted</t>
  </si>
  <si>
    <t xml:space="preserve">HOURS due per policy to date</t>
  </si>
  <si>
    <t xml:space="preserve">days due per policy to date</t>
  </si>
  <si>
    <t xml:space="preserve">part-timers only; blank = 24+</t>
  </si>
  <si>
    <t xml:space="preserve">from the three start dates</t>
  </si>
  <si>
    <t xml:space="preserve">date of next day</t>
  </si>
  <si>
    <t xml:space="preserve">EH balance at start of report</t>
  </si>
  <si>
    <t xml:space="preserve">posted in EH during report</t>
  </si>
  <si>
    <t xml:space="preserve">taken during report</t>
  </si>
  <si>
    <t xml:space="preserve">EH balance now</t>
  </si>
  <si>
    <t xml:space="preserve">policy accrual from report start to as-of</t>
  </si>
  <si>
    <t xml:space="preserve">due - accrued in EH</t>
  </si>
  <si>
    <t xml:space="preserve">policy hrs at report start - opening balance</t>
  </si>
  <si>
    <t xml:space="preserve">Bonus Leave rows found</t>
  </si>
  <si>
    <t xml:space="preserve">Name</t>
  </si>
  <si>
    <t xml:space="preserve">Surname</t>
  </si>
  <si>
    <t xml:space="preserve">EmploymentType</t>
  </si>
  <si>
    <t xml:space="preserve">DateOfBirth</t>
  </si>
  <si>
    <t xml:space="preserve">Birthday</t>
  </si>
  <si>
    <t xml:space="preserve">StartDate</t>
  </si>
  <si>
    <t xml:space="preserve">PTE Start</t>
  </si>
  <si>
    <t xml:space="preserve">FTE Start</t>
  </si>
  <si>
    <t xml:space="preserve">Casual Start</t>
  </si>
  <si>
    <t xml:space="preserve">AnniversaryDate</t>
  </si>
  <si>
    <t xml:space="preserve">Anniversary</t>
  </si>
  <si>
    <t xml:space="preserve">Tenure</t>
  </si>
  <si>
    <t xml:space="preserve">Tenure (Y/M/D)</t>
  </si>
  <si>
    <t xml:space="preserve">Bonus leave Accrued</t>
  </si>
  <si>
    <t xml:space="preserve">Days</t>
  </si>
  <si>
    <t xml:space="preserve">PT Hrs/Week</t>
  </si>
  <si>
    <t xml:space="preserve">Status Change</t>
  </si>
  <si>
    <t xml:space="preserve">Eligible?</t>
  </si>
  <si>
    <t xml:space="preserve">Next Accrual</t>
  </si>
  <si>
    <t xml:space="preserve">Opening Balance (hrs)</t>
  </si>
  <si>
    <t xml:space="preserve">Leave Accrued (hrs)</t>
  </si>
  <si>
    <t xml:space="preserve">Leave Taken (hrs)</t>
  </si>
  <si>
    <t xml:space="preserve">Closing Balance (hrs)</t>
  </si>
  <si>
    <t xml:space="preserve">Due per policy (hrs)</t>
  </si>
  <si>
    <t xml:space="preserve">Hours to Accrue</t>
  </si>
  <si>
    <t xml:space="preserve">Accrue?</t>
  </si>
  <si>
    <t xml:space="preserve">Action</t>
  </si>
  <si>
    <t xml:space="preserve">Opening gap vs policy (hrs)</t>
  </si>
  <si>
    <t xml:space="preserve">Rows in EH report</t>
  </si>
  <si>
    <t xml:space="preserve">Data Check</t>
  </si>
  <si>
    <t xml:space="preserve">h active</t>
  </si>
  <si>
    <t xml:space="preserve">h S</t>
  </si>
  <si>
    <t xml:space="preserve">h n dates</t>
  </si>
  <si>
    <t xml:space="preserve">h D1</t>
  </si>
  <si>
    <t xml:space="preserve">h D2</t>
  </si>
  <si>
    <t xml:space="preserve">h D3</t>
  </si>
  <si>
    <t xml:space="preserve">h T1</t>
  </si>
  <si>
    <t xml:space="preserve">h T2</t>
  </si>
  <si>
    <t xml:space="preserve">h T3</t>
  </si>
  <si>
    <t xml:space="preserve">h P1</t>
  </si>
  <si>
    <t xml:space="preserve">h P2</t>
  </si>
  <si>
    <t xml:space="preserve">h P3</t>
  </si>
  <si>
    <t xml:space="preserve">h Pc</t>
  </si>
  <si>
    <t xml:space="preserve">h M0</t>
  </si>
  <si>
    <t xml:space="preserve">h B1</t>
  </si>
  <si>
    <t xml:space="preserve">h B2</t>
  </si>
  <si>
    <t xml:space="preserve">h MP</t>
  </si>
  <si>
    <t xml:space="preserve">h B1P</t>
  </si>
  <si>
    <t xml:space="preserve">h B2P</t>
  </si>
  <si>
    <t xml:space="preserve">h daysNow</t>
  </si>
  <si>
    <t xml:space="preserve">h daysPFY</t>
  </si>
  <si>
    <t xml:space="preserve">h nextoff</t>
  </si>
  <si>
    <t xml:space="preserve">h rows</t>
  </si>
  <si>
    <t xml:space="preserve">h lastrow</t>
  </si>
  <si>
    <t xml:space="preserve">Jane</t>
  </si>
  <si>
    <t xml:space="preserve">Citizen</t>
  </si>
  <si>
    <t xml:space="preserve">Full-Time</t>
  </si>
  <si>
    <t xml:space="preserve">Tom</t>
  </si>
  <si>
    <t xml:space="preserve">Nguyen</t>
  </si>
  <si>
    <t xml:space="preserve">Part-Time</t>
  </si>
  <si>
    <t xml:space="preserve">Sam</t>
  </si>
  <si>
    <t xml:space="preserve">Lee</t>
  </si>
  <si>
    <t xml:space="preserve">Casual</t>
  </si>
  <si>
    <t xml:space="preserve">Priya</t>
  </si>
  <si>
    <t xml:space="preserve">Patel</t>
  </si>
  <si>
    <t xml:space="preserve">Liam</t>
  </si>
  <si>
    <t xml:space="preserve">Brown</t>
  </si>
  <si>
    <t xml:space="preserve">Olivia</t>
  </si>
  <si>
    <t xml:space="preserve">Smith</t>
  </si>
  <si>
    <t xml:space="preserve">Ava</t>
  </si>
  <si>
    <t xml:space="preserve">Jones</t>
  </si>
  <si>
    <t xml:space="preserve">Chris</t>
  </si>
  <si>
    <t xml:space="preserve">Taylor</t>
  </si>
  <si>
    <t xml:space="preserve">Employee Id</t>
  </si>
  <si>
    <t xml:space="preserve">External Id</t>
  </si>
  <si>
    <t xml:space="preserve">First Name</t>
  </si>
  <si>
    <t xml:space="preserve">Leave Category</t>
  </si>
  <si>
    <t xml:space="preserve">Opening Balance</t>
  </si>
  <si>
    <t xml:space="preserve">Closing Balance</t>
  </si>
  <si>
    <t xml:space="preserve">Pay Period</t>
  </si>
  <si>
    <t xml:space="preserve">Notes</t>
  </si>
  <si>
    <t xml:space="preserve">Leave Accrued</t>
  </si>
  <si>
    <t xml:space="preserve">Leave Taken</t>
  </si>
  <si>
    <t xml:space="preserve">Unit Type</t>
  </si>
  <si>
    <t xml:space="preserve">SAMPLE - clear this sheet, then paste the EH Leave History Report at A1 (headers in row 1, paste as values). Run it from 1 July (or your chosen start date) to today.</t>
  </si>
  <si>
    <t xml:space="preserve">Bonus Leave</t>
  </si>
  <si>
    <t xml:space="preserve">01/07/2026 - 14/07/2026</t>
  </si>
  <si>
    <t xml:space="preserve">Hours</t>
  </si>
  <si>
    <t xml:space="preserve">Rows must be in date order within each employee (EH's default). The latest row's Closing Balance is used as the balance now.</t>
  </si>
  <si>
    <t xml:space="preserve">15/07/2026 - 28/07/2026</t>
  </si>
  <si>
    <t xml:space="preserve">29/07/2026 - 11/08/2026</t>
  </si>
  <si>
    <t xml:space="preserve">12/08/2026 - 25/08/2026</t>
  </si>
  <si>
    <t xml:space="preserve">26/08/2026 - 08/09/2026</t>
  </si>
  <si>
    <t xml:space="preserve">09/09/2026 - 22/09/2026</t>
  </si>
  <si>
    <t xml:space="preserve">Annual Leave</t>
  </si>
  <si>
    <t xml:space="preserve">SETTINGS</t>
  </si>
  <si>
    <t xml:space="preserve">General</t>
  </si>
  <si>
    <t xml:space="preserve">Value</t>
  </si>
  <si>
    <t xml:space="preserve">As-of date</t>
  </si>
  <si>
    <t xml:space="preserve">Type a fixed date for a month-end run.</t>
  </si>
  <si>
    <t xml:space="preserve">Day BEFORE the Leave History report starts</t>
  </si>
  <si>
    <t xml:space="preserve">Report from 01/07/2026 = enter 30/06/2026. Policy accrual due is counted from the next day to the as-of date.</t>
  </si>
  <si>
    <t xml:space="preserve">Hours per Bonus Leave day</t>
  </si>
  <si>
    <t xml:space="preserve">Policy p.3</t>
  </si>
  <si>
    <t xml:space="preserve">Bonus Leave category name in EH</t>
  </si>
  <si>
    <t xml:space="preserve">Must match the Leave Category text in the export exactly.</t>
  </si>
  <si>
    <t xml:space="preserve">Unit Type in the report</t>
  </si>
  <si>
    <t xml:space="preserve">Hours or Days (the Unit Type column of the export).</t>
  </si>
  <si>
    <t xml:space="preserve">Leave History export column headers</t>
  </si>
  <si>
    <t xml:space="preserve">Header text</t>
  </si>
  <si>
    <t xml:space="preserve">Found?</t>
  </si>
  <si>
    <t xml:space="preserve">First name</t>
  </si>
  <si>
    <t xml:space="preserve">Taken from your Leave History export. Change only if EH renames a column. All six must say Yes.</t>
  </si>
  <si>
    <t xml:space="preserve">Leave category</t>
  </si>
  <si>
    <t xml:space="preserve">Leave accrued</t>
  </si>
  <si>
    <t xml:space="preserve">Leave taken</t>
  </si>
  <si>
    <t xml:space="preserve">Closing balance</t>
  </si>
  <si>
    <t xml:space="preserve">Export ready?</t>
  </si>
  <si>
    <t xml:space="preserve">Policy rules (CTS Bonus Leave Policy 2026 v1.0)</t>
  </si>
  <si>
    <t xml:space="preserve">Full-time: first day at (months)</t>
  </si>
  <si>
    <t xml:space="preserve">3 years - p.5</t>
  </si>
  <si>
    <t xml:space="preserve">Full-time: months between days, years 3-5</t>
  </si>
  <si>
    <t xml:space="preserve">1 day every 4 months - p.5</t>
  </si>
  <si>
    <t xml:space="preserve">Full-time: 5-year milestone (months)</t>
  </si>
  <si>
    <t xml:space="preserve">p.5</t>
  </si>
  <si>
    <t xml:space="preserve">Full-time: days on 5-yr and later anniversaries</t>
  </si>
  <si>
    <t xml:space="preserve">Full-time: months between days after year 5</t>
  </si>
  <si>
    <t xml:space="preserve">1 day every 3 months - p.5</t>
  </si>
  <si>
    <t xml:space="preserve">Part-time: first day at (months)</t>
  </si>
  <si>
    <t xml:space="preserve">5 years - p.5-6</t>
  </si>
  <si>
    <t xml:space="preserve">Part-time: months between days</t>
  </si>
  <si>
    <t xml:space="preserve">1 day every 4 months - p.6</t>
  </si>
  <si>
    <t xml:space="preserve">Part-time: minimum hours per week</t>
  </si>
  <si>
    <t xml:space="preserve">Under 24 hrs = not eligible - p.4</t>
  </si>
  <si>
    <t xml:space="preserve">Full-time days before 5-yr milestone (calc)</t>
  </si>
  <si>
    <t xml:space="preserve">Full-time days per year from year 6 (calc)</t>
  </si>
  <si>
    <t xml:space="preserve">HOW TO USE</t>
  </si>
  <si>
    <t xml:space="preserve">1. Staff tab: type Name, Surname, EmploymentType (current type), DateOfBirth, StartDate.</t>
  </si>
  <si>
    <t xml:space="preserve">2. PTE Start / FTE Start / Casual Start: the date each employment type began. Always fill the one for the type they started on (same as StartDate). If they later changed type, fill the date the new type began as well. The latest date is the current type. Up to two changes are handled (e.g. Casual &gt; Full-Time &gt; Part-Time). Column Q writes the change out and says whether accrual stopped, started or changed pathway.</t>
  </si>
  <si>
    <t xml:space="preserve">3. AnniversaryDate: only if HR has pushed the qualifying-service start out for unpaid or parental leave (policy p.4-5). Otherwise leave blank and StartDate is used.</t>
  </si>
  <si>
    <t xml:space="preserve">4. Bonus leave Accrued = HOURS the policy says the person should have received in total to date. Days = the same in days. Eligible? and Next Accrual show who is in the scheme and when the next day lands.</t>
  </si>
  <si>
    <t xml:space="preserve">5. Leave History tab: run the EH Leave History Report from 1 July (or any start date) to today and paste it at A1. On this tab set the day BEFORE the report start date.</t>
  </si>
  <si>
    <t xml:space="preserve">6. The red columns on Staff then read straight from the report: Opening Balance, Leave Accrued (what HR posted in EH during the report), Leave Taken, Closing Balance (balance now), Due per policy (what the policy accrues between the report start and today), Hours to Accrue (= due - accrued in EH), Accrue? and an Action.</t>
  </si>
  <si>
    <t xml:space="preserve">7. Hours to Accrue = policy accrual since the report start minus what EH shows accrued. If the person has no Bonus Leave rows in EH at all, it is the full policy hours to date (nothing was ever credited). Filter the Action column: FIX INPUT = a problem with what was typed. ACCRUE = add those hours in EH now. CHECK = EH accrued more than policy. OK = nothing to add. Not eligible / Not yet = no accrual due and why.</t>
  </si>
  <si>
    <t xml:space="preserve">8. Opening gap vs policy: policy hours at the report start minus the opening balance. Positive = either leave taken before the report start (fine) or accruals never posted (catch up). Run a longer Leave History report to see which.</t>
  </si>
  <si>
    <t xml:space="preserve">POLICY IN ONE LINE EACH</t>
  </si>
  <si>
    <t xml:space="preserve">Full-time: 1 day at 3 years, then 1 day every 4 months. At 5 years 2 days, then 1 day every 3 months (5 a year). Policy p.5, Schedule 1 p.9.</t>
  </si>
  <si>
    <t xml:space="preserve">Part-time 24+ hrs: nothing until 5 years, then 1 day every 4 months (3 a year). Policy p.5-6.</t>
  </si>
  <si>
    <t xml:space="preserve">Casual, contractor, part-time under 24 hrs: not eligible (p.3-4). No pro-rata (p.7). Status on the accrual date decides the pathway (p.7-8). 1 day = 8 hours (p.3). Qualifying service runs from StartDate regardless of type, so a casual who goes full-time after 2 years gets their first day at 3 years of service, not 3 years after going full-time.</t>
  </si>
  <si>
    <t xml:space="preserve">ASSUMPTIONS: PT Hrs/Week blank means 24+ (eligible). Staff are matched to EH on First Name + Surname, so spelling must match the export. Rows in the report are assumed to be in date order within each employee. Terminated staff forfeit the balance (p.8) - delete them from the Staff tab and zero the EH balance.</t>
  </si>
</sst>
</file>

<file path=xl/styles.xml><?xml version="1.0" encoding="utf-8"?>
<styleSheet xmlns="http://schemas.openxmlformats.org/spreadsheetml/2006/main">
  <numFmts count="5">
    <numFmt numFmtId="164" formatCode="General"/>
    <numFmt numFmtId="165" formatCode="dd/mm/yyyy"/>
    <numFmt numFmtId="166" formatCode="0.0"/>
    <numFmt numFmtId="167" formatCode="General;\-General;\-"/>
    <numFmt numFmtId="168" formatCode="General"/>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0"/>
      <name val="Arial"/>
      <family val="0"/>
      <charset val="1"/>
    </font>
    <font>
      <i val="true"/>
      <sz val="9"/>
      <color rgb="FF555555"/>
      <name val="Arial"/>
      <family val="0"/>
      <charset val="1"/>
    </font>
    <font>
      <b val="true"/>
      <sz val="10"/>
      <color rgb="FFFFFFFF"/>
      <name val="Arial"/>
      <family val="0"/>
      <charset val="1"/>
    </font>
    <font>
      <sz val="10"/>
      <color rgb="FF0000FF"/>
      <name val="Arial"/>
      <family val="0"/>
      <charset val="1"/>
    </font>
    <font>
      <sz val="10"/>
      <name val="Arial"/>
      <family val="0"/>
      <charset val="1"/>
    </font>
    <font>
      <b val="true"/>
      <sz val="10"/>
      <color rgb="FFC00000"/>
      <name val="Arial"/>
      <family val="0"/>
      <charset val="1"/>
    </font>
  </fonts>
  <fills count="9">
    <fill>
      <patternFill patternType="none"/>
    </fill>
    <fill>
      <patternFill patternType="gray125"/>
    </fill>
    <fill>
      <patternFill patternType="solid">
        <fgColor rgb="FF2E75B6"/>
        <bgColor rgb="FF0066CC"/>
      </patternFill>
    </fill>
    <fill>
      <patternFill patternType="solid">
        <fgColor rgb="FF1F4E78"/>
        <bgColor rgb="FF003366"/>
      </patternFill>
    </fill>
    <fill>
      <patternFill patternType="solid">
        <fgColor rgb="FFC00000"/>
        <bgColor rgb="FF9C0006"/>
      </patternFill>
    </fill>
    <fill>
      <patternFill patternType="solid">
        <fgColor rgb="FF7F7F7F"/>
        <bgColor rgb="FF70AD47"/>
      </patternFill>
    </fill>
    <fill>
      <patternFill patternType="solid">
        <fgColor rgb="FFE2EFDA"/>
        <bgColor rgb="FFF2F2F2"/>
      </patternFill>
    </fill>
    <fill>
      <patternFill patternType="solid">
        <fgColor rgb="FFF2F2F2"/>
        <bgColor rgb="FFE2EFDA"/>
      </patternFill>
    </fill>
    <fill>
      <patternFill patternType="solid">
        <fgColor rgb="FFFFF2CC"/>
        <bgColor rgb="FFFCE4D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true" applyProtection="false">
      <alignment horizontal="center" vertical="center" textRotation="0" wrapText="true" indent="0" shrinkToFit="false"/>
      <protection locked="true" hidden="false"/>
    </xf>
    <xf numFmtId="164" fontId="8" fillId="6" borderId="1" xfId="0" applyFont="true" applyBorder="true" applyAlignment="false" applyProtection="false">
      <alignment horizontal="general" vertical="bottom" textRotation="0" wrapText="false" indent="0" shrinkToFit="false"/>
      <protection locked="true" hidden="false"/>
    </xf>
    <xf numFmtId="165" fontId="8" fillId="6" borderId="1" xfId="0" applyFont="true" applyBorder="true" applyAlignment="false" applyProtection="false">
      <alignment horizontal="general" vertical="bottom" textRotation="0" wrapText="false" indent="0" shrinkToFit="false"/>
      <protection locked="true" hidden="false"/>
    </xf>
    <xf numFmtId="165" fontId="9" fillId="7" borderId="1" xfId="0" applyFont="true" applyBorder="true" applyAlignment="false" applyProtection="false">
      <alignment horizontal="general" vertical="bottom" textRotation="0" wrapText="false" indent="0" shrinkToFit="false"/>
      <protection locked="true" hidden="false"/>
    </xf>
    <xf numFmtId="166" fontId="9" fillId="7" borderId="1" xfId="0" applyFont="true" applyBorder="true" applyAlignment="false" applyProtection="false">
      <alignment horizontal="general" vertical="bottom" textRotation="0" wrapText="false" indent="0" shrinkToFit="false"/>
      <protection locked="true" hidden="false"/>
    </xf>
    <xf numFmtId="164" fontId="9" fillId="7" borderId="1" xfId="0" applyFont="true" applyBorder="true" applyAlignment="false" applyProtection="false">
      <alignment horizontal="general" vertical="bottom" textRotation="0" wrapText="false" indent="0" shrinkToFit="false"/>
      <protection locked="true" hidden="false"/>
    </xf>
    <xf numFmtId="167" fontId="9" fillId="7" borderId="1" xfId="0" applyFont="true" applyBorder="true" applyAlignment="false" applyProtection="false">
      <alignment horizontal="general" vertical="bottom" textRotation="0" wrapText="false" indent="0" shrinkToFit="false"/>
      <protection locked="true" hidden="false"/>
    </xf>
    <xf numFmtId="167" fontId="8" fillId="6" borderId="1" xfId="0" applyFont="true" applyBorder="true" applyAlignment="false" applyProtection="false">
      <alignment horizontal="general" vertical="bottom" textRotation="0" wrapText="false" indent="0" shrinkToFit="false"/>
      <protection locked="true" hidden="false"/>
    </xf>
    <xf numFmtId="164" fontId="8" fillId="8" borderId="1" xfId="0" applyFont="true" applyBorder="true" applyAlignment="false" applyProtection="false">
      <alignment horizontal="general" vertical="bottom" textRotation="0" wrapText="false" indent="0" shrinkToFit="false"/>
      <protection locked="true" hidden="false"/>
    </xf>
    <xf numFmtId="165" fontId="8" fillId="8" borderId="1" xfId="0" applyFont="true" applyBorder="true" applyAlignment="false" applyProtection="false">
      <alignment horizontal="general" vertical="bottom" textRotation="0" wrapText="false" indent="0" shrinkToFit="false"/>
      <protection locked="true" hidden="false"/>
    </xf>
    <xf numFmtId="167" fontId="8" fillId="8"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7" borderId="1" xfId="0" applyFont="true" applyBorder="true" applyAlignment="true" applyProtection="false">
      <alignment horizontal="center" vertical="center" textRotation="0" wrapText="tru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0">
    <dxf>
      <fill>
        <patternFill patternType="solid">
          <fgColor rgb="FF2E75B6"/>
          <bgColor rgb="FF000000"/>
        </patternFill>
      </fill>
    </dxf>
    <dxf>
      <fill>
        <patternFill patternType="solid">
          <fgColor rgb="FFE2EFDA"/>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1F4E78"/>
          <bgColor rgb="FF000000"/>
        </patternFill>
      </fill>
    </dxf>
    <dxf>
      <fill>
        <patternFill patternType="solid">
          <fgColor rgb="FFF2F2F2"/>
          <bgColor rgb="FF000000"/>
        </patternFill>
      </fill>
    </dxf>
    <dxf>
      <fill>
        <patternFill patternType="solid">
          <bgColor rgb="FF000000"/>
        </patternFill>
      </fill>
    </dxf>
    <dxf>
      <fill>
        <patternFill patternType="solid">
          <fgColor rgb="FFFFEB9C"/>
          <bgColor rgb="FF000000"/>
        </patternFill>
      </fill>
    </dxf>
    <dxf>
      <fill>
        <patternFill patternType="solid">
          <fgColor rgb="FFC6EFCE"/>
          <bgColor rgb="FF000000"/>
        </patternFill>
      </fill>
    </dxf>
    <dxf>
      <fill>
        <patternFill patternType="solid">
          <fgColor rgb="FFC00000"/>
          <bgColor rgb="FF000000"/>
        </patternFill>
      </fill>
    </dxf>
    <dxf>
      <fill>
        <patternFill patternType="solid">
          <fgColor rgb="FFFCE4D6"/>
          <bgColor rgb="FF000000"/>
        </patternFill>
      </fill>
    </dxf>
    <dxf>
      <fill>
        <patternFill patternType="solid">
          <fgColor rgb="FF006100"/>
          <bgColor rgb="FF000000"/>
        </patternFill>
      </fill>
    </dxf>
    <dxf>
      <font>
        <name val="Arial"/>
        <charset val="1"/>
        <family val="0"/>
        <b val="1"/>
        <color rgb="FFC00000"/>
        <sz val="10"/>
      </font>
      <fill>
        <patternFill>
          <bgColor rgb="FFFCE4D6"/>
        </patternFill>
      </fill>
    </dxf>
    <dxf>
      <font>
        <name val="Arial"/>
        <charset val="1"/>
        <family val="0"/>
        <b val="1"/>
        <color rgb="FF9C0006"/>
        <sz val="10"/>
      </font>
      <fill>
        <patternFill>
          <bgColor rgb="FFFFC7CE"/>
        </patternFill>
      </fill>
    </dxf>
    <dxf>
      <font>
        <name val="Arial"/>
        <charset val="1"/>
        <family val="0"/>
        <color rgb="FF006100"/>
        <sz val="10"/>
      </font>
      <fill>
        <patternFill>
          <bgColor rgb="FFC6EFCE"/>
        </patternFill>
      </fill>
    </dxf>
    <dxf>
      <fill>
        <patternFill>
          <bgColor rgb="FFFCE4D6"/>
        </patternFill>
      </fill>
    </dxf>
    <dxf>
      <fill>
        <patternFill>
          <bgColor rgb="FFC6EFCE"/>
        </patternFill>
      </fill>
    </dxf>
    <dxf>
      <fill>
        <patternFill>
          <bgColor rgb="FFFFEB9C"/>
        </patternFill>
      </fill>
    </dxf>
    <dxf>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9999FF"/>
      <rgbColor rgb="FF993366"/>
      <rgbColor rgb="FFFFF2CC"/>
      <rgbColor rgb="FFE2EFDA"/>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F2F2F2"/>
      <rgbColor rgb="FFC6EFCE"/>
      <rgbColor rgb="FFFFEB9C"/>
      <rgbColor rgb="FF99CCFF"/>
      <rgbColor rgb="FFFF99CC"/>
      <rgbColor rgb="FFCC99FF"/>
      <rgbColor rgb="FFFFC7CE"/>
      <rgbColor rgb="FF2E75B6"/>
      <rgbColor rgb="FF33CCCC"/>
      <rgbColor rgb="FF99CC00"/>
      <rgbColor rgb="FFFFC000"/>
      <rgbColor rgb="FFFF9900"/>
      <rgbColor rgb="FFFF6600"/>
      <rgbColor rgb="FF555555"/>
      <rgbColor rgb="FF70AD47"/>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BB15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2" min="1" style="0" width="12"/>
    <col collapsed="false" customWidth="true" hidden="false" outlineLevel="0" max="3" min="3" style="0" width="13"/>
    <col collapsed="false" customWidth="true" hidden="false" outlineLevel="0" max="9" min="4" style="0" width="11"/>
    <col collapsed="false" customWidth="true" hidden="false" outlineLevel="0" max="10" min="10" style="0" width="12"/>
    <col collapsed="false" customWidth="true" hidden="false" outlineLevel="0" max="11" min="11" style="0" width="11"/>
    <col collapsed="false" customWidth="true" hidden="false" outlineLevel="0" max="12" min="12" style="0" width="8"/>
    <col collapsed="false" customWidth="true" hidden="false" outlineLevel="0" max="13" min="13" style="0" width="12"/>
    <col collapsed="false" customWidth="true" hidden="false" outlineLevel="0" max="14" min="14" style="0" width="11"/>
    <col collapsed="false" customWidth="true" hidden="false" outlineLevel="0" max="15" min="15" style="0" width="7"/>
    <col collapsed="false" customWidth="true" hidden="false" outlineLevel="0" max="16" min="16" style="0" width="8"/>
    <col collapsed="false" customWidth="true" hidden="false" outlineLevel="0" max="17" min="17" style="0" width="40"/>
    <col collapsed="false" customWidth="true" hidden="false" outlineLevel="0" max="18" min="18" style="0" width="24"/>
    <col collapsed="false" customWidth="true" hidden="false" outlineLevel="0" max="19" min="19" style="0" width="11"/>
    <col collapsed="false" customWidth="true" hidden="false" outlineLevel="0" max="25" min="20" style="0" width="10"/>
    <col collapsed="false" customWidth="true" hidden="false" outlineLevel="0" max="26" min="26" style="0" width="8"/>
    <col collapsed="false" customWidth="true" hidden="false" outlineLevel="0" max="27" min="27" style="0" width="36"/>
    <col collapsed="false" customWidth="true" hidden="false" outlineLevel="0" max="28" min="28" style="0" width="10"/>
    <col collapsed="false" customWidth="true" hidden="false" outlineLevel="0" max="29" min="29" style="0" width="8"/>
    <col collapsed="false" customWidth="true" hidden="false" outlineLevel="0" max="30" min="30" style="0" width="30"/>
    <col collapsed="false" customWidth="true" hidden="true" outlineLevel="1" max="54" min="31" style="0" width="6"/>
  </cols>
  <sheetData>
    <row r="1" customFormat="false" ht="17.35" hidden="false" customHeight="false" outlineLevel="0" collapsed="false">
      <c r="A1" s="1" t="s">
        <v>0</v>
      </c>
    </row>
    <row r="2" customFormat="false" ht="15" hidden="false" customHeight="false" outlineLevel="0" collapsed="false">
      <c r="A2" s="2" t="str">
        <f aca="false">"As at "&amp;TEXT(AsOfDate,"dd/mm/yyyy")&amp;"  |  Report from "&amp;TEXT(PFYDate+1,"dd/mm/yyyy")&amp;"  |  Staff: "&amp;COUNTIF($AE$5:$AE$154,1)&amp;"  |  Accruing: "&amp;COUNTIF($R$5:$R$154,"Yes*")&amp;"  |  To accrue now: "&amp;ROUND(SUMIF($Y$5:$Y$154,"&gt;0"),2)&amp;""&amp;" hrs for "&amp;COUNTIF($Z$5:$Z$154,"Yes")&amp;" people"</f>
        <v>As at 01/10/2026  |  Report from 01/07/2026  |  Staff: 8  |  Accruing: 5  |  To accrue now: 56 hrs for 4 people</v>
      </c>
    </row>
    <row r="3" customFormat="false" ht="36" hidden="false" customHeight="true" outlineLevel="0" collapsed="false">
      <c r="A3" s="3" t="s">
        <v>1</v>
      </c>
      <c r="B3" s="3" t="s">
        <v>1</v>
      </c>
      <c r="C3" s="3" t="s">
        <v>2</v>
      </c>
      <c r="D3" s="3" t="s">
        <v>1</v>
      </c>
      <c r="E3" s="3" t="s">
        <v>3</v>
      </c>
      <c r="F3" s="3" t="s">
        <v>1</v>
      </c>
      <c r="G3" s="3" t="s">
        <v>4</v>
      </c>
      <c r="H3" s="3" t="s">
        <v>5</v>
      </c>
      <c r="I3" s="3" t="s">
        <v>6</v>
      </c>
      <c r="J3" s="3" t="s">
        <v>7</v>
      </c>
      <c r="K3" s="3" t="s">
        <v>8</v>
      </c>
      <c r="L3" s="3" t="s">
        <v>9</v>
      </c>
      <c r="M3" s="3" t="s">
        <v>10</v>
      </c>
      <c r="N3" s="3" t="s">
        <v>11</v>
      </c>
      <c r="O3" s="3" t="s">
        <v>12</v>
      </c>
      <c r="P3" s="3" t="s">
        <v>13</v>
      </c>
      <c r="Q3" s="3" t="s">
        <v>14</v>
      </c>
      <c r="R3" s="3"/>
      <c r="S3" s="3" t="s">
        <v>15</v>
      </c>
      <c r="T3" s="3" t="s">
        <v>16</v>
      </c>
      <c r="U3" s="3" t="s">
        <v>17</v>
      </c>
      <c r="V3" s="3" t="s">
        <v>18</v>
      </c>
      <c r="W3" s="3" t="s">
        <v>19</v>
      </c>
      <c r="X3" s="3" t="s">
        <v>20</v>
      </c>
      <c r="Y3" s="3" t="s">
        <v>21</v>
      </c>
      <c r="Z3" s="3"/>
      <c r="AA3" s="3"/>
      <c r="AB3" s="3" t="s">
        <v>22</v>
      </c>
      <c r="AC3" s="3" t="s">
        <v>23</v>
      </c>
      <c r="AD3" s="3"/>
      <c r="AE3" s="3"/>
      <c r="AF3" s="3"/>
      <c r="AG3" s="3"/>
      <c r="AH3" s="3"/>
      <c r="AI3" s="3"/>
      <c r="AJ3" s="3"/>
      <c r="AK3" s="3"/>
      <c r="AL3" s="3"/>
      <c r="AM3" s="3"/>
      <c r="AN3" s="3"/>
      <c r="AO3" s="3"/>
      <c r="AP3" s="3"/>
      <c r="AQ3" s="3"/>
      <c r="AR3" s="3"/>
      <c r="AS3" s="3"/>
      <c r="AT3" s="3"/>
      <c r="AU3" s="3"/>
      <c r="AV3" s="3"/>
      <c r="AW3" s="3"/>
      <c r="AX3" s="3"/>
      <c r="AY3" s="3"/>
      <c r="AZ3" s="3"/>
      <c r="BA3" s="3"/>
      <c r="BB3" s="3"/>
    </row>
    <row r="4" customFormat="false" ht="42" hidden="false" customHeight="true" outlineLevel="0" collapsed="false">
      <c r="A4" s="4" t="s">
        <v>24</v>
      </c>
      <c r="B4" s="4" t="s">
        <v>25</v>
      </c>
      <c r="C4" s="4" t="s">
        <v>26</v>
      </c>
      <c r="D4" s="4" t="s">
        <v>27</v>
      </c>
      <c r="E4" s="5" t="s">
        <v>28</v>
      </c>
      <c r="F4" s="4" t="s">
        <v>29</v>
      </c>
      <c r="G4" s="4" t="s">
        <v>30</v>
      </c>
      <c r="H4" s="4" t="s">
        <v>31</v>
      </c>
      <c r="I4" s="4" t="s">
        <v>32</v>
      </c>
      <c r="J4" s="4" t="s">
        <v>33</v>
      </c>
      <c r="K4" s="5" t="s">
        <v>34</v>
      </c>
      <c r="L4" s="5" t="s">
        <v>35</v>
      </c>
      <c r="M4" s="5" t="s">
        <v>36</v>
      </c>
      <c r="N4" s="5" t="s">
        <v>37</v>
      </c>
      <c r="O4" s="5" t="s">
        <v>38</v>
      </c>
      <c r="P4" s="4" t="s">
        <v>39</v>
      </c>
      <c r="Q4" s="5" t="s">
        <v>40</v>
      </c>
      <c r="R4" s="5" t="s">
        <v>41</v>
      </c>
      <c r="S4" s="5" t="s">
        <v>42</v>
      </c>
      <c r="T4" s="6" t="s">
        <v>43</v>
      </c>
      <c r="U4" s="6" t="s">
        <v>44</v>
      </c>
      <c r="V4" s="6" t="s">
        <v>45</v>
      </c>
      <c r="W4" s="6" t="s">
        <v>46</v>
      </c>
      <c r="X4" s="6" t="s">
        <v>47</v>
      </c>
      <c r="Y4" s="6" t="s">
        <v>48</v>
      </c>
      <c r="Z4" s="6" t="s">
        <v>49</v>
      </c>
      <c r="AA4" s="6" t="s">
        <v>50</v>
      </c>
      <c r="AB4" s="6" t="s">
        <v>51</v>
      </c>
      <c r="AC4" s="6" t="s">
        <v>52</v>
      </c>
      <c r="AD4" s="5" t="s">
        <v>53</v>
      </c>
      <c r="AE4" s="7" t="s">
        <v>54</v>
      </c>
      <c r="AF4" s="7" t="s">
        <v>55</v>
      </c>
      <c r="AG4" s="7" t="s">
        <v>56</v>
      </c>
      <c r="AH4" s="7" t="s">
        <v>57</v>
      </c>
      <c r="AI4" s="7" t="s">
        <v>58</v>
      </c>
      <c r="AJ4" s="7" t="s">
        <v>59</v>
      </c>
      <c r="AK4" s="7" t="s">
        <v>60</v>
      </c>
      <c r="AL4" s="7" t="s">
        <v>61</v>
      </c>
      <c r="AM4" s="7" t="s">
        <v>62</v>
      </c>
      <c r="AN4" s="7" t="s">
        <v>63</v>
      </c>
      <c r="AO4" s="7" t="s">
        <v>64</v>
      </c>
      <c r="AP4" s="7" t="s">
        <v>65</v>
      </c>
      <c r="AQ4" s="7" t="s">
        <v>66</v>
      </c>
      <c r="AR4" s="7" t="s">
        <v>67</v>
      </c>
      <c r="AS4" s="7" t="s">
        <v>68</v>
      </c>
      <c r="AT4" s="7" t="s">
        <v>69</v>
      </c>
      <c r="AU4" s="7" t="s">
        <v>70</v>
      </c>
      <c r="AV4" s="7" t="s">
        <v>71</v>
      </c>
      <c r="AW4" s="7" t="s">
        <v>72</v>
      </c>
      <c r="AX4" s="7" t="s">
        <v>73</v>
      </c>
      <c r="AY4" s="7" t="s">
        <v>74</v>
      </c>
      <c r="AZ4" s="7" t="s">
        <v>75</v>
      </c>
      <c r="BA4" s="7" t="s">
        <v>76</v>
      </c>
      <c r="BB4" s="7" t="s">
        <v>77</v>
      </c>
    </row>
    <row r="5" customFormat="false" ht="15" hidden="false" customHeight="false" outlineLevel="0" collapsed="false">
      <c r="A5" s="8" t="s">
        <v>78</v>
      </c>
      <c r="B5" s="8" t="s">
        <v>79</v>
      </c>
      <c r="C5" s="8" t="s">
        <v>80</v>
      </c>
      <c r="D5" s="9" t="n">
        <v>32975</v>
      </c>
      <c r="E5" s="10" t="n">
        <f aca="false">IF(OR(AE5=0,$D5=""),"",DATE(YEAR(AsOfDate)+IF(DATE(YEAR(AsOfDate),MONTH($D5),DAY($D5))&lt;=AsOfDate,1,0),MONTH($D5),DAY($D5)))</f>
        <v>46489</v>
      </c>
      <c r="F5" s="9" t="n">
        <v>44242</v>
      </c>
      <c r="G5" s="9"/>
      <c r="H5" s="9" t="n">
        <v>44242</v>
      </c>
      <c r="I5" s="9"/>
      <c r="J5" s="9"/>
      <c r="K5" s="10" t="n">
        <f aca="false">IF(AE5=0,"",DATE(YEAR(AsOfDate)+IF(DATE(YEAR(AsOfDate),MONTH($F5),DAY($F5))&lt;=AsOfDate,1,0),MONTH($F5),DAY($F5)))</f>
        <v>46433</v>
      </c>
      <c r="L5" s="11" t="n">
        <f aca="false">IF(AE5=0,"",ROUND((AsOfDate-$F5)/365.25,1))</f>
        <v>5.6</v>
      </c>
      <c r="M5" s="12" t="str">
        <f aca="false">IF(AE5=0,"",IF(AsOfDate&lt;AF5,"-",DATEDIF(AF5,AsOfDate,"y")&amp;"y "&amp;DATEDIF(AF5,AsOfDate,"ym")&amp;"m "&amp;DATEDIF(AF5,AsOfDate,"md")&amp;"d"))</f>
        <v>5y 7m 16d</v>
      </c>
      <c r="N5" s="13" t="n">
        <f aca="false">IF(AE5=0,"",O5*HoursPerDay)</f>
        <v>80</v>
      </c>
      <c r="O5" s="13" t="n">
        <f aca="false">IF(AE5=0,"",AX5)</f>
        <v>10</v>
      </c>
      <c r="P5" s="14"/>
      <c r="Q5" s="12" t="str">
        <f aca="false">IF(AE5=0,"",IF(AG5&lt;2,"",AK5&amp;" to "&amp;AL5&amp;" on "&amp;TEXT(AI5,"dd/mm/yyyy")&amp;IF(AI5&gt;AsOfDate," (future)",IF(AN5=AO5,"",IF(AO5="None"," - STOPPED accruing",IF(AN5="None"," - now qualifying"," - pathway changed"))))&amp;IF(AG5&lt;3,"","; "&amp;AL5&amp;" to "&amp;AM5&amp;" on "&amp;TEXT(AJ5,"dd/mm/yyyy")&amp;IF(AJ5&gt;AsOfDate," (future)",IF(AO5=AP5,"",IF(AP5="None"," - STOPPED accruing",IF(AO5="None"," - now qualifying"," - pathway changed")))))))</f>
        <v/>
      </c>
      <c r="R5" s="12" t="str">
        <f aca="false">IF(AE5=0,"",IF(AQ5="None",IF(O5&gt;0,"No longer accruing","Not eligible - "&amp;IF(AND(OR(ISNUMBER(SEARCH("part",$C5)),UPPER(TRIM($C5))="PT",UPPER(TRIM($C5))="PTE"),$P5&lt;&gt;"",N($P5)&lt;PT_MinHours),"under "&amp;PT_MinHours&amp;" hrs",IF(IF($C5="","",IF(OR(ISNUMBER(SEARCH("full",$C5)),UPPER(TRIM($C5))="FT",UPPER(TRIM($C5))="FTE"),"Full-Time",IF(OR(ISNUMBER(SEARCH("part",$C5)),UPPER(TRIM($C5))="PT",UPPER(TRIM($C5))="PTE"),"Part-Time",IF(OR(ISNUMBER(SEARCH("cas",$C5)),UPPER(TRIM($C5))="CAS"),"Casual","Unknown"))))="Unknown","type not recognised",$C5))),IF(O5&gt;0,"Yes - accruing","Not yet - from "&amp;TEXT(S5,"dd/mm/yyyy"))))</f>
        <v>Yes - accruing</v>
      </c>
      <c r="S5" s="10" t="n">
        <f aca="false">IF(AE5=0,"",IF(AQ5="None","",EDATE(AF5,AZ5)))</f>
        <v>46341</v>
      </c>
      <c r="T5" s="13" t="n">
        <f aca="false">IF(OR(AE5=0,W5=""),"",W5-U5+V5)</f>
        <v>64</v>
      </c>
      <c r="U5" s="13" t="n">
        <f aca="false">IF(AE5=0,"",IF(NOT(LH_Ready),"",SUMIFS(INDEX(LH_Data,0,LH_ColAcc),INDEX(LH_Data,0,LH_ColFirst),$A5,INDEX(LH_Data,0,LH_ColSur),$B5,INDEX(LH_Data,0,LH_ColCat),BonusCat)*UnitFactor))</f>
        <v>0</v>
      </c>
      <c r="V5" s="13" t="n">
        <f aca="false">IF(AE5=0,"",IF(NOT(LH_Ready),"",SUMIFS(INDEX(LH_Data,0,LH_ColTaken),INDEX(LH_Data,0,LH_ColFirst),$A5,INDEX(LH_Data,0,LH_ColSur),$B5,INDEX(LH_Data,0,LH_ColCat),BonusCat)*UnitFactor))</f>
        <v>8</v>
      </c>
      <c r="W5" s="13" t="n">
        <f aca="false">IF(AE5=0,"",IF(NOT(LH_Ready),"",IF(BB5=0,0,INDEX(INDEX(LH_Data,0,LH_ColClose),BB5-1)*UnitFactor)))</f>
        <v>56</v>
      </c>
      <c r="X5" s="13" t="n">
        <f aca="false">IF(AE5=0,"",(AX5-AY5)*HoursPerDay)</f>
        <v>8</v>
      </c>
      <c r="Y5" s="13" t="n">
        <f aca="false">IF(AE5=0,"",IF(NOT(LH_Ready),"",IF(BA5=0,N5,X5-N(U5))))</f>
        <v>8</v>
      </c>
      <c r="Z5" s="12" t="str">
        <f aca="false">IF(OR(AE5=0,Y5=""),"",IF(Y5&gt;0,"Yes","No"))</f>
        <v>Yes</v>
      </c>
      <c r="AA5" s="12" t="str">
        <f aca="false">IF(AE5=0,IF(LEN($A5&amp;$B5)=0,"","FIX INPUT - StartDate missing"),IF(AD5&lt;&gt;"","FIX INPUT - "&amp;AD5,IF(NOT(LH_Ready),"Paste Leave History export (Settings must show YES)",IF(Y5&gt;0,"ACCRUE "&amp;ROUND(Y5,2)&amp;" hrs ("&amp;ROUND(Y5/HoursPerDay,2)&amp;" days)"&amp;IF(BA5=0," - no Bonus Leave in EH yet, full catch-up since start",""),IF(Y5&lt;0,"CHECK - EH accrued "&amp;ROUND(-Y5,2)&amp;""&amp;" hrs more than policy",IF(O5&gt;0,"OK - nothing to add",IF(AQ5="None",R5,"Not yet - first day on "&amp;TEXT(S5,"dd/mm/yyyy"))))))))</f>
        <v>ACCRUE 8 hrs (1 days)</v>
      </c>
      <c r="AB5" s="13" t="n">
        <f aca="false">IF(OR(AE5=0,T5=""),"",AY5*HoursPerDay-T5)</f>
        <v>8</v>
      </c>
      <c r="AC5" s="12" t="n">
        <f aca="false">IF(AE5=0,"",BA5)</f>
        <v>6</v>
      </c>
      <c r="AD5" s="12" t="str">
        <f aca="false">IF(AE5=0,"",TRIM(IF(IF($C5="","",IF(OR(ISNUMBER(SEARCH("full",$C5)),UPPER(TRIM($C5))="FT",UPPER(TRIM($C5))="FTE"),"Full-Time",IF(OR(ISNUMBER(SEARCH("part",$C5)),UPPER(TRIM($C5))="PT",UPPER(TRIM($C5))="PTE"),"Part-Time",IF(OR(ISNUMBER(SEARCH("cas",$C5)),UPPER(TRIM($C5))="CAS"),"Casual","Unknown"))))="Unknown","EmploymentType not recognised - use Full-Time, Part-Time or Casual. ","")&amp;IF(AND(AG5&gt;=1,IF(AG5&gt;=3,AM5,IF(AG5=2,AL5,AK5))&lt;&gt;IF($C5="","",IF(OR(ISNUMBER(SEARCH("full",$C5)),UPPER(TRIM($C5))="FT",UPPER(TRIM($C5))="FTE"),"Full-Time",IF(OR(ISNUMBER(SEARCH("part",$C5)),UPPER(TRIM($C5))="PT",UPPER(TRIM($C5))="PTE"),"Part-Time",IF(OR(ISNUMBER(SEARCH("cas",$C5)),UPPER(TRIM($C5))="CAS"),"Casual","Unknown"))))),"EmploymentType does not match latest start date ("&amp;IF(AG5&gt;=3,AM5,IF(AG5=2,AL5,AK5))&amp;"). ","")&amp;IF(AND(AG5&gt;=1,AH5&lt;&gt;$F5),"Earliest type date should equal StartDate. ","")&amp;IF(AND(AG5&gt;=2,AH5=AI5),"Two types start on the same date. ","")&amp;IF(AND(OR(ISNUMBER(SEARCH("part",$C5)),UPPER(TRIM($C5))="PT",UPPER(TRIM($C5))="PTE"),$P5=""),"Part-time: enter PT Hrs/Week (blank = 24+). ","")))</f>
        <v/>
      </c>
      <c r="AE5" s="12" t="n">
        <f aca="false">IF(OR(LEN($A5&amp;$B5)=0,$F5=""),0,1)</f>
        <v>1</v>
      </c>
      <c r="AF5" s="10" t="n">
        <f aca="false">IF(AE5=0,"",IF($J5&lt;&gt;"",$J5,$F5))</f>
        <v>44242</v>
      </c>
      <c r="AG5" s="12" t="n">
        <f aca="false">IF(AE5=0,"",COUNT($G5:$I5))</f>
        <v>1</v>
      </c>
      <c r="AH5" s="10" t="n">
        <f aca="false">IF(AE5=0,"",IFERROR(SMALL($G5:$I5,1),""))</f>
        <v>44242</v>
      </c>
      <c r="AI5" s="10" t="str">
        <f aca="false">IF(AE5=0,"",IFERROR(SMALL($G5:$I5,2),""))</f>
        <v/>
      </c>
      <c r="AJ5" s="10" t="str">
        <f aca="false">IF(AE5=0,"",IFERROR(SMALL($G5:$I5,3),""))</f>
        <v/>
      </c>
      <c r="AK5" s="12" t="str">
        <f aca="false">IF(AE5=0,"",IF(AH5="","",IF(AH5=$G5,"Part-Time",IF(AH5=$H5,"Full-Time","Casual"))))</f>
        <v>Full-Time</v>
      </c>
      <c r="AL5" s="12" t="str">
        <f aca="false">IF(AE5=0,"",IF(AI5="","",IF(AI5=$G5,"Part-Time",IF(AI5=$H5,"Full-Time","Casual"))))</f>
        <v/>
      </c>
      <c r="AM5" s="12" t="str">
        <f aca="false">IF(AE5=0,"",IF(AJ5="","",IF(AJ5=$G5,"Part-Time",IF(AJ5=$H5,"Full-Time","Casual"))))</f>
        <v/>
      </c>
      <c r="AN5" s="12" t="str">
        <f aca="false">IF(AE5=0,"",IF(AG5=0,IF(OR(ISNUMBER(SEARCH("full",$C5)),UPPER(TRIM($C5))="FT",UPPER(TRIM($C5))="FTE"),"FT",IF(AND(OR(ISNUMBER(SEARCH("part",$C5)),UPPER(TRIM($C5))="PT",UPPER(TRIM($C5))="PTE"),OR($P5="",N($P5)&gt;=PT_MinHours)),"PT","None")),IF(OR(ISNUMBER(SEARCH("full",AK5)),UPPER(TRIM(AK5))="FT",UPPER(TRIM(AK5))="FTE"),"FT",IF(AND(OR(ISNUMBER(SEARCH("part",AK5)),UPPER(TRIM(AK5))="PT",UPPER(TRIM(AK5))="PTE"),OR($P5="",N($P5)&gt;=PT_MinHours)),"PT","None"))))</f>
        <v>FT</v>
      </c>
      <c r="AO5" s="12" t="str">
        <f aca="false">IF(AE5=0,"",IF(AG5&lt;2,"",IF(OR(ISNUMBER(SEARCH("full",AL5)),UPPER(TRIM(AL5))="FT",UPPER(TRIM(AL5))="FTE"),"FT",IF(AND(OR(ISNUMBER(SEARCH("part",AL5)),UPPER(TRIM(AL5))="PT",UPPER(TRIM(AL5))="PTE"),OR($P5="",N($P5)&gt;=PT_MinHours)),"PT","None"))))</f>
        <v/>
      </c>
      <c r="AP5" s="12" t="str">
        <f aca="false">IF(AE5=0,"",IF(AG5&lt;3,"",IF(OR(ISNUMBER(SEARCH("full",AM5)),UPPER(TRIM(AM5))="FT",UPPER(TRIM(AM5))="FTE"),"FT",IF(AND(OR(ISNUMBER(SEARCH("part",AM5)),UPPER(TRIM(AM5))="PT",UPPER(TRIM(AM5))="PTE"),OR($P5="",N($P5)&gt;=PT_MinHours)),"PT","None"))))</f>
        <v/>
      </c>
      <c r="AQ5" s="12" t="str">
        <f aca="false">IF(AE5=0,"",IF(AND(AG5&gt;=3,AJ5&lt;=AsOfDate),AP5,IF(AND(AG5&gt;=2,AI5&lt;=AsOfDate),AO5,AN5)))</f>
        <v>FT</v>
      </c>
      <c r="AR5" s="12" t="n">
        <f aca="false">IF(AE5=0,"",IF(AsOfDate&lt;AF5,-1,12*(YEAR(AsOfDate)-YEAR(AF5))+MONTH(AsOfDate)-MONTH(AF5)-IF(DAY(AsOfDate)&lt;MIN(DAY(AF5),DAY(EOMONTH(AsOfDate,0))),1,0)))</f>
        <v>67</v>
      </c>
      <c r="AS5" s="12" t="n">
        <f aca="false">IF(AE5=0,"",IF(OR(AG5&lt;2,AI5&gt;AsOfDate),AR5,IF((AI5-1)&lt;AF5,-1,12*(YEAR((AI5-1))-YEAR(AF5))+MONTH((AI5-1))-MONTH(AF5)-IF(DAY((AI5-1))&lt;MIN(DAY(AF5),DAY(EOMONTH((AI5-1),0))),1,0))))</f>
        <v>67</v>
      </c>
      <c r="AT5" s="12" t="n">
        <f aca="false">IF(AE5=0,"",IF(OR(AG5&lt;3,AJ5&gt;AsOfDate),AR5,IF((AJ5-1)&lt;AF5,-1,12*(YEAR((AJ5-1))-YEAR(AF5))+MONTH((AJ5-1))-MONTH(AF5)-IF(DAY((AJ5-1))&lt;MIN(DAY(AF5),DAY(EOMONTH((AJ5-1),0))),1,0))))</f>
        <v>67</v>
      </c>
      <c r="AU5" s="12" t="n">
        <f aca="false">IF(AE5=0,"",IF(PFYDate&lt;AF5,-1,12*(YEAR(PFYDate)-YEAR(AF5))+MONTH(PFYDate)-MONTH(AF5)-IF(DAY(PFYDate)&lt;MIN(DAY(AF5),DAY(EOMONTH(PFYDate,0))),1,0)))</f>
        <v>64</v>
      </c>
      <c r="AV5" s="12" t="n">
        <f aca="false">IF(AE5=0,"",IF(OR(AG5&lt;2,AI5&gt;PFYDate),AU5,IF((AI5-1)&lt;AF5,-1,12*(YEAR((AI5-1))-YEAR(AF5))+MONTH((AI5-1))-MONTH(AF5)-IF(DAY((AI5-1))&lt;MIN(DAY(AF5),DAY(EOMONTH((AI5-1),0))),1,0))))</f>
        <v>64</v>
      </c>
      <c r="AW5" s="12" t="n">
        <f aca="false">IF(AE5=0,"",IF(OR(AG5&lt;3,AJ5&gt;PFYDate),AU5,IF((AJ5-1)&lt;AF5,-1,12*(YEAR((AJ5-1))-YEAR(AF5))+MONTH((AJ5-1))-MONTH(AF5)-IF(DAY((AJ5-1))&lt;MIN(DAY(AF5),DAY(EOMONTH((AJ5-1),0))),1,0))))</f>
        <v>64</v>
      </c>
      <c r="AX5" s="12" t="n">
        <f aca="false">IF(AE5=0,"",IF(AN5="FT",IF(AS5&lt;FT_First,0,IF(AS5&lt;FT_Y5,1+INT((AS5-FT_First)/FT_Int1),FT_PreY5+FT_PerYear*INT((AS5-FT_Y5)/12)+FT_AnnivDays+INT(MOD(AS5-FT_Y5,12)/FT_Int2))),IF(AN5="PT",IF(AS5&lt;PT_First,0,1+INT((AS5-PT_First)/PT_Int)),0))+IF(AND(AG5&gt;=2,AI5&lt;=AsOfDate),IF(AO5="FT",IF(AT5&lt;FT_First,0,IF(AT5&lt;FT_Y5,1+INT((AT5-FT_First)/FT_Int1),FT_PreY5+FT_PerYear*INT((AT5-FT_Y5)/12)+FT_AnnivDays+INT(MOD(AT5-FT_Y5,12)/FT_Int2))),IF(AO5="PT",IF(AT5&lt;PT_First,0,1+INT((AT5-PT_First)/PT_Int)),0))-IF(AO5="FT",IF(AS5&lt;FT_First,0,IF(AS5&lt;FT_Y5,1+INT((AS5-FT_First)/FT_Int1),FT_PreY5+FT_PerYear*INT((AS5-FT_Y5)/12)+FT_AnnivDays+INT(MOD(AS5-FT_Y5,12)/FT_Int2))),IF(AO5="PT",IF(AS5&lt;PT_First,0,1+INT((AS5-PT_First)/PT_Int)),0)),0)+IF(AND(AG5&gt;=3,AJ5&lt;=AsOfDate),IF(AP5="FT",IF(AR5&lt;FT_First,0,IF(AR5&lt;FT_Y5,1+INT((AR5-FT_First)/FT_Int1),FT_PreY5+FT_PerYear*INT((AR5-FT_Y5)/12)+FT_AnnivDays+INT(MOD(AR5-FT_Y5,12)/FT_Int2))),IF(AP5="PT",IF(AR5&lt;PT_First,0,1+INT((AR5-PT_First)/PT_Int)),0))-IF(AP5="FT",IF(AT5&lt;FT_First,0,IF(AT5&lt;FT_Y5,1+INT((AT5-FT_First)/FT_Int1),FT_PreY5+FT_PerYear*INT((AT5-FT_Y5)/12)+FT_AnnivDays+INT(MOD(AT5-FT_Y5,12)/FT_Int2))),IF(AP5="PT",IF(AT5&lt;PT_First,0,1+INT((AT5-PT_First)/PT_Int)),0)),0))</f>
        <v>10</v>
      </c>
      <c r="AY5" s="12" t="n">
        <f aca="false">IF(AE5=0,"",IF(AN5="FT",IF(AV5&lt;FT_First,0,IF(AV5&lt;FT_Y5,1+INT((AV5-FT_First)/FT_Int1),FT_PreY5+FT_PerYear*INT((AV5-FT_Y5)/12)+FT_AnnivDays+INT(MOD(AV5-FT_Y5,12)/FT_Int2))),IF(AN5="PT",IF(AV5&lt;PT_First,0,1+INT((AV5-PT_First)/PT_Int)),0))+IF(AND(AG5&gt;=2,AI5&lt;=PFYDate),IF(AO5="FT",IF(AW5&lt;FT_First,0,IF(AW5&lt;FT_Y5,1+INT((AW5-FT_First)/FT_Int1),FT_PreY5+FT_PerYear*INT((AW5-FT_Y5)/12)+FT_AnnivDays+INT(MOD(AW5-FT_Y5,12)/FT_Int2))),IF(AO5="PT",IF(AW5&lt;PT_First,0,1+INT((AW5-PT_First)/PT_Int)),0))-IF(AO5="FT",IF(AV5&lt;FT_First,0,IF(AV5&lt;FT_Y5,1+INT((AV5-FT_First)/FT_Int1),FT_PreY5+FT_PerYear*INT((AV5-FT_Y5)/12)+FT_AnnivDays+INT(MOD(AV5-FT_Y5,12)/FT_Int2))),IF(AO5="PT",IF(AV5&lt;PT_First,0,1+INT((AV5-PT_First)/PT_Int)),0)),0)+IF(AND(AG5&gt;=3,AJ5&lt;=PFYDate),IF(AP5="FT",IF(AU5&lt;FT_First,0,IF(AU5&lt;FT_Y5,1+INT((AU5-FT_First)/FT_Int1),FT_PreY5+FT_PerYear*INT((AU5-FT_Y5)/12)+FT_AnnivDays+INT(MOD(AU5-FT_Y5,12)/FT_Int2))),IF(AP5="PT",IF(AU5&lt;PT_First,0,1+INT((AU5-PT_First)/PT_Int)),0))-IF(AP5="FT",IF(AW5&lt;FT_First,0,IF(AW5&lt;FT_Y5,1+INT((AW5-FT_First)/FT_Int1),FT_PreY5+FT_PerYear*INT((AW5-FT_Y5)/12)+FT_AnnivDays+INT(MOD(AW5-FT_Y5,12)/FT_Int2))),IF(AP5="PT",IF(AW5&lt;PT_First,0,1+INT((AW5-PT_First)/PT_Int)),0)),0))</f>
        <v>9</v>
      </c>
      <c r="AZ5" s="12" t="n">
        <f aca="false">IF(AE5=0,"",IF(AQ5="FT",IF(AR5&lt;FT_First,FT_First,IF(AR5&lt;FT_Y5,MIN(FT_Y5,FT_First+FT_Int1*(INT((AR5-FT_First)/FT_Int1)+1)),FT_Y5+12*INT((AR5-FT_Y5)/12)+FT_Int2*(INT(MOD(AR5-FT_Y5,12)/FT_Int2)+1))),IF(AQ5="PT",IF(AR5&lt;PT_First,PT_First,PT_First+PT_Int*(INT((AR5-PT_First)/PT_Int)+1)),"")))</f>
        <v>69</v>
      </c>
      <c r="BA5" s="12" t="n">
        <f aca="false">IF(AE5=0,"",IF(NOT(LH_Ready),0,COUNTIFS(INDEX(LH_Data,0,LH_ColFirst),$A5,INDEX(LH_Data,0,LH_ColSur),$B5,INDEX(LH_Data,0,LH_ColCat),BonusCat)))</f>
        <v>6</v>
      </c>
      <c r="BB5" s="12" t="n">
        <f aca="false">IF(AE5=0,"",IF(OR(NOT(LH_Ready),BA5=0),0,SUMPRODUCT(MAX((INDEX(LH_Data,0,LH_ColFirst)=$A5)*(INDEX(LH_Data,0,LH_ColSur)=$B5)*(INDEX(LH_Data,0,LH_ColCat)=BonusCat)*ROW(LH_Data)))))</f>
        <v>7</v>
      </c>
    </row>
    <row r="6" customFormat="false" ht="15" hidden="false" customHeight="false" outlineLevel="0" collapsed="false">
      <c r="A6" s="8" t="s">
        <v>81</v>
      </c>
      <c r="B6" s="8" t="s">
        <v>82</v>
      </c>
      <c r="C6" s="8" t="s">
        <v>83</v>
      </c>
      <c r="D6" s="9" t="n">
        <v>31381</v>
      </c>
      <c r="E6" s="10" t="n">
        <f aca="false">IF(OR(AE6=0,$D6=""),"",DATE(YEAR(AsOfDate)+IF(DATE(YEAR(AsOfDate),MONTH($D6),DAY($D6))&lt;=AsOfDate,1,0),MONTH($D6),DAY($D6)))</f>
        <v>46356</v>
      </c>
      <c r="F6" s="9" t="n">
        <v>43983</v>
      </c>
      <c r="G6" s="9" t="n">
        <v>43983</v>
      </c>
      <c r="H6" s="9"/>
      <c r="I6" s="9"/>
      <c r="J6" s="9"/>
      <c r="K6" s="10" t="n">
        <f aca="false">IF(AE6=0,"",DATE(YEAR(AsOfDate)+IF(DATE(YEAR(AsOfDate),MONTH($F6),DAY($F6))&lt;=AsOfDate,1,0),MONTH($F6),DAY($F6)))</f>
        <v>46539</v>
      </c>
      <c r="L6" s="11" t="n">
        <f aca="false">IF(AE6=0,"",ROUND((AsOfDate-$F6)/365.25,1))</f>
        <v>6.3</v>
      </c>
      <c r="M6" s="12" t="str">
        <f aca="false">IF(AE6=0,"",IF(AsOfDate&lt;AF6,"-",DATEDIF(AF6,AsOfDate,"y")&amp;"y "&amp;DATEDIF(AF6,AsOfDate,"ym")&amp;"m "&amp;DATEDIF(AF6,AsOfDate,"md")&amp;"d"))</f>
        <v>6y 4m 0d</v>
      </c>
      <c r="N6" s="13" t="n">
        <f aca="false">IF(AE6=0,"",O6*HoursPerDay)</f>
        <v>40</v>
      </c>
      <c r="O6" s="13" t="n">
        <f aca="false">IF(AE6=0,"",AX6)</f>
        <v>5</v>
      </c>
      <c r="P6" s="14" t="n">
        <v>24</v>
      </c>
      <c r="Q6" s="12" t="str">
        <f aca="false">IF(AE6=0,"",IF(AG6&lt;2,"",AK6&amp;" to "&amp;AL6&amp;" on "&amp;TEXT(AI6,"dd/mm/yyyy")&amp;IF(AI6&gt;AsOfDate," (future)",IF(AN6=AO6,"",IF(AO6="None"," - STOPPED accruing",IF(AN6="None"," - now qualifying"," - pathway changed"))))&amp;IF(AG6&lt;3,"","; "&amp;AL6&amp;" to "&amp;AM6&amp;" on "&amp;TEXT(AJ6,"dd/mm/yyyy")&amp;IF(AJ6&gt;AsOfDate," (future)",IF(AO6=AP6,"",IF(AP6="None"," - STOPPED accruing",IF(AO6="None"," - now qualifying"," - pathway changed")))))))</f>
        <v/>
      </c>
      <c r="R6" s="12" t="str">
        <f aca="false">IF(AE6=0,"",IF(AQ6="None",IF(O6&gt;0,"No longer accruing","Not eligible - "&amp;IF(AND(OR(ISNUMBER(SEARCH("part",$C6)),UPPER(TRIM($C6))="PT",UPPER(TRIM($C6))="PTE"),$P6&lt;&gt;"",N($P6)&lt;PT_MinHours),"under "&amp;PT_MinHours&amp;" hrs",IF(IF($C6="","",IF(OR(ISNUMBER(SEARCH("full",$C6)),UPPER(TRIM($C6))="FT",UPPER(TRIM($C6))="FTE"),"Full-Time",IF(OR(ISNUMBER(SEARCH("part",$C6)),UPPER(TRIM($C6))="PT",UPPER(TRIM($C6))="PTE"),"Part-Time",IF(OR(ISNUMBER(SEARCH("cas",$C6)),UPPER(TRIM($C6))="CAS"),"Casual","Unknown"))))="Unknown","type not recognised",$C6))),IF(O6&gt;0,"Yes - accruing","Not yet - from "&amp;TEXT(S6,"dd/mm/yyyy"))))</f>
        <v>Yes - accruing</v>
      </c>
      <c r="S6" s="10" t="n">
        <f aca="false">IF(AE6=0,"",IF(AQ6="None","",EDATE(AF6,AZ6)))</f>
        <v>46419</v>
      </c>
      <c r="T6" s="13" t="n">
        <f aca="false">IF(OR(AE6=0,W6=""),"",W6-U6+V6)</f>
        <v>32</v>
      </c>
      <c r="U6" s="13" t="n">
        <f aca="false">IF(AE6=0,"",IF(NOT(LH_Ready),"",SUMIFS(INDEX(LH_Data,0,LH_ColAcc),INDEX(LH_Data,0,LH_ColFirst),$A6,INDEX(LH_Data,0,LH_ColSur),$B6,INDEX(LH_Data,0,LH_ColCat),BonusCat)*UnitFactor))</f>
        <v>0</v>
      </c>
      <c r="V6" s="13" t="n">
        <f aca="false">IF(AE6=0,"",IF(NOT(LH_Ready),"",SUMIFS(INDEX(LH_Data,0,LH_ColTaken),INDEX(LH_Data,0,LH_ColFirst),$A6,INDEX(LH_Data,0,LH_ColSur),$B6,INDEX(LH_Data,0,LH_ColCat),BonusCat)*UnitFactor))</f>
        <v>0</v>
      </c>
      <c r="W6" s="13" t="n">
        <f aca="false">IF(AE6=0,"",IF(NOT(LH_Ready),"",IF(BB6=0,0,INDEX(INDEX(LH_Data,0,LH_ColClose),BB6-1)*UnitFactor)))</f>
        <v>32</v>
      </c>
      <c r="X6" s="13" t="n">
        <f aca="false">IF(AE6=0,"",(AX6-AY6)*HoursPerDay)</f>
        <v>8</v>
      </c>
      <c r="Y6" s="13" t="n">
        <f aca="false">IF(AE6=0,"",IF(NOT(LH_Ready),"",IF(BA6=0,N6,X6-N(U6))))</f>
        <v>8</v>
      </c>
      <c r="Z6" s="12" t="str">
        <f aca="false">IF(OR(AE6=0,Y6=""),"",IF(Y6&gt;0,"Yes","No"))</f>
        <v>Yes</v>
      </c>
      <c r="AA6" s="12" t="str">
        <f aca="false">IF(AE6=0,IF(LEN($A6&amp;$B6)=0,"","FIX INPUT - StartDate missing"),IF(AD6&lt;&gt;"","FIX INPUT - "&amp;AD6,IF(NOT(LH_Ready),"Paste Leave History export (Settings must show YES)",IF(Y6&gt;0,"ACCRUE "&amp;ROUND(Y6,2)&amp;" hrs ("&amp;ROUND(Y6/HoursPerDay,2)&amp;" days)"&amp;IF(BA6=0," - no Bonus Leave in EH yet, full catch-up since start",""),IF(Y6&lt;0,"CHECK - EH accrued "&amp;ROUND(-Y6,2)&amp;""&amp;" hrs more than policy",IF(O6&gt;0,"OK - nothing to add",IF(AQ6="None",R6,"Not yet - first day on "&amp;TEXT(S6,"dd/mm/yyyy"))))))))</f>
        <v>ACCRUE 8 hrs (1 days)</v>
      </c>
      <c r="AB6" s="13" t="n">
        <f aca="false">IF(OR(AE6=0,T6=""),"",AY6*HoursPerDay-T6)</f>
        <v>0</v>
      </c>
      <c r="AC6" s="12" t="n">
        <f aca="false">IF(AE6=0,"",BA6)</f>
        <v>6</v>
      </c>
      <c r="AD6" s="12" t="str">
        <f aca="false">IF(AE6=0,"",TRIM(IF(IF($C6="","",IF(OR(ISNUMBER(SEARCH("full",$C6)),UPPER(TRIM($C6))="FT",UPPER(TRIM($C6))="FTE"),"Full-Time",IF(OR(ISNUMBER(SEARCH("part",$C6)),UPPER(TRIM($C6))="PT",UPPER(TRIM($C6))="PTE"),"Part-Time",IF(OR(ISNUMBER(SEARCH("cas",$C6)),UPPER(TRIM($C6))="CAS"),"Casual","Unknown"))))="Unknown","EmploymentType not recognised - use Full-Time, Part-Time or Casual. ","")&amp;IF(AND(AG6&gt;=1,IF(AG6&gt;=3,AM6,IF(AG6=2,AL6,AK6))&lt;&gt;IF($C6="","",IF(OR(ISNUMBER(SEARCH("full",$C6)),UPPER(TRIM($C6))="FT",UPPER(TRIM($C6))="FTE"),"Full-Time",IF(OR(ISNUMBER(SEARCH("part",$C6)),UPPER(TRIM($C6))="PT",UPPER(TRIM($C6))="PTE"),"Part-Time",IF(OR(ISNUMBER(SEARCH("cas",$C6)),UPPER(TRIM($C6))="CAS"),"Casual","Unknown"))))),"EmploymentType does not match latest start date ("&amp;IF(AG6&gt;=3,AM6,IF(AG6=2,AL6,AK6))&amp;"). ","")&amp;IF(AND(AG6&gt;=1,AH6&lt;&gt;$F6),"Earliest type date should equal StartDate. ","")&amp;IF(AND(AG6&gt;=2,AH6=AI6),"Two types start on the same date. ","")&amp;IF(AND(OR(ISNUMBER(SEARCH("part",$C6)),UPPER(TRIM($C6))="PT",UPPER(TRIM($C6))="PTE"),$P6=""),"Part-time: enter PT Hrs/Week (blank = 24+). ","")))</f>
        <v/>
      </c>
      <c r="AE6" s="12" t="n">
        <f aca="false">IF(OR(LEN($A6&amp;$B6)=0,$F6=""),0,1)</f>
        <v>1</v>
      </c>
      <c r="AF6" s="10" t="n">
        <f aca="false">IF(AE6=0,"",IF($J6&lt;&gt;"",$J6,$F6))</f>
        <v>43983</v>
      </c>
      <c r="AG6" s="12" t="n">
        <f aca="false">IF(AE6=0,"",COUNT($G6:$I6))</f>
        <v>1</v>
      </c>
      <c r="AH6" s="10" t="n">
        <f aca="false">IF(AE6=0,"",IFERROR(SMALL($G6:$I6,1),""))</f>
        <v>43983</v>
      </c>
      <c r="AI6" s="10" t="str">
        <f aca="false">IF(AE6=0,"",IFERROR(SMALL($G6:$I6,2),""))</f>
        <v/>
      </c>
      <c r="AJ6" s="10" t="str">
        <f aca="false">IF(AE6=0,"",IFERROR(SMALL($G6:$I6,3),""))</f>
        <v/>
      </c>
      <c r="AK6" s="12" t="str">
        <f aca="false">IF(AE6=0,"",IF(AH6="","",IF(AH6=$G6,"Part-Time",IF(AH6=$H6,"Full-Time","Casual"))))</f>
        <v>Part-Time</v>
      </c>
      <c r="AL6" s="12" t="str">
        <f aca="false">IF(AE6=0,"",IF(AI6="","",IF(AI6=$G6,"Part-Time",IF(AI6=$H6,"Full-Time","Casual"))))</f>
        <v/>
      </c>
      <c r="AM6" s="12" t="str">
        <f aca="false">IF(AE6=0,"",IF(AJ6="","",IF(AJ6=$G6,"Part-Time",IF(AJ6=$H6,"Full-Time","Casual"))))</f>
        <v/>
      </c>
      <c r="AN6" s="12" t="str">
        <f aca="false">IF(AE6=0,"",IF(AG6=0,IF(OR(ISNUMBER(SEARCH("full",$C6)),UPPER(TRIM($C6))="FT",UPPER(TRIM($C6))="FTE"),"FT",IF(AND(OR(ISNUMBER(SEARCH("part",$C6)),UPPER(TRIM($C6))="PT",UPPER(TRIM($C6))="PTE"),OR($P6="",N($P6)&gt;=PT_MinHours)),"PT","None")),IF(OR(ISNUMBER(SEARCH("full",AK6)),UPPER(TRIM(AK6))="FT",UPPER(TRIM(AK6))="FTE"),"FT",IF(AND(OR(ISNUMBER(SEARCH("part",AK6)),UPPER(TRIM(AK6))="PT",UPPER(TRIM(AK6))="PTE"),OR($P6="",N($P6)&gt;=PT_MinHours)),"PT","None"))))</f>
        <v>PT</v>
      </c>
      <c r="AO6" s="12" t="str">
        <f aca="false">IF(AE6=0,"",IF(AG6&lt;2,"",IF(OR(ISNUMBER(SEARCH("full",AL6)),UPPER(TRIM(AL6))="FT",UPPER(TRIM(AL6))="FTE"),"FT",IF(AND(OR(ISNUMBER(SEARCH("part",AL6)),UPPER(TRIM(AL6))="PT",UPPER(TRIM(AL6))="PTE"),OR($P6="",N($P6)&gt;=PT_MinHours)),"PT","None"))))</f>
        <v/>
      </c>
      <c r="AP6" s="12" t="str">
        <f aca="false">IF(AE6=0,"",IF(AG6&lt;3,"",IF(OR(ISNUMBER(SEARCH("full",AM6)),UPPER(TRIM(AM6))="FT",UPPER(TRIM(AM6))="FTE"),"FT",IF(AND(OR(ISNUMBER(SEARCH("part",AM6)),UPPER(TRIM(AM6))="PT",UPPER(TRIM(AM6))="PTE"),OR($P6="",N($P6)&gt;=PT_MinHours)),"PT","None"))))</f>
        <v/>
      </c>
      <c r="AQ6" s="12" t="str">
        <f aca="false">IF(AE6=0,"",IF(AND(AG6&gt;=3,AJ6&lt;=AsOfDate),AP6,IF(AND(AG6&gt;=2,AI6&lt;=AsOfDate),AO6,AN6)))</f>
        <v>PT</v>
      </c>
      <c r="AR6" s="12" t="n">
        <f aca="false">IF(AE6=0,"",IF(AsOfDate&lt;AF6,-1,12*(YEAR(AsOfDate)-YEAR(AF6))+MONTH(AsOfDate)-MONTH(AF6)-IF(DAY(AsOfDate)&lt;MIN(DAY(AF6),DAY(EOMONTH(AsOfDate,0))),1,0)))</f>
        <v>76</v>
      </c>
      <c r="AS6" s="12" t="n">
        <f aca="false">IF(AE6=0,"",IF(OR(AG6&lt;2,AI6&gt;AsOfDate),AR6,IF((AI6-1)&lt;AF6,-1,12*(YEAR((AI6-1))-YEAR(AF6))+MONTH((AI6-1))-MONTH(AF6)-IF(DAY((AI6-1))&lt;MIN(DAY(AF6),DAY(EOMONTH((AI6-1),0))),1,0))))</f>
        <v>76</v>
      </c>
      <c r="AT6" s="12" t="n">
        <f aca="false">IF(AE6=0,"",IF(OR(AG6&lt;3,AJ6&gt;AsOfDate),AR6,IF((AJ6-1)&lt;AF6,-1,12*(YEAR((AJ6-1))-YEAR(AF6))+MONTH((AJ6-1))-MONTH(AF6)-IF(DAY((AJ6-1))&lt;MIN(DAY(AF6),DAY(EOMONTH((AJ6-1),0))),1,0))))</f>
        <v>76</v>
      </c>
      <c r="AU6" s="12" t="n">
        <f aca="false">IF(AE6=0,"",IF(PFYDate&lt;AF6,-1,12*(YEAR(PFYDate)-YEAR(AF6))+MONTH(PFYDate)-MONTH(AF6)-IF(DAY(PFYDate)&lt;MIN(DAY(AF6),DAY(EOMONTH(PFYDate,0))),1,0)))</f>
        <v>72</v>
      </c>
      <c r="AV6" s="12" t="n">
        <f aca="false">IF(AE6=0,"",IF(OR(AG6&lt;2,AI6&gt;PFYDate),AU6,IF((AI6-1)&lt;AF6,-1,12*(YEAR((AI6-1))-YEAR(AF6))+MONTH((AI6-1))-MONTH(AF6)-IF(DAY((AI6-1))&lt;MIN(DAY(AF6),DAY(EOMONTH((AI6-1),0))),1,0))))</f>
        <v>72</v>
      </c>
      <c r="AW6" s="12" t="n">
        <f aca="false">IF(AE6=0,"",IF(OR(AG6&lt;3,AJ6&gt;PFYDate),AU6,IF((AJ6-1)&lt;AF6,-1,12*(YEAR((AJ6-1))-YEAR(AF6))+MONTH((AJ6-1))-MONTH(AF6)-IF(DAY((AJ6-1))&lt;MIN(DAY(AF6),DAY(EOMONTH((AJ6-1),0))),1,0))))</f>
        <v>72</v>
      </c>
      <c r="AX6" s="12" t="n">
        <f aca="false">IF(AE6=0,"",IF(AN6="FT",IF(AS6&lt;FT_First,0,IF(AS6&lt;FT_Y5,1+INT((AS6-FT_First)/FT_Int1),FT_PreY5+FT_PerYear*INT((AS6-FT_Y5)/12)+FT_AnnivDays+INT(MOD(AS6-FT_Y5,12)/FT_Int2))),IF(AN6="PT",IF(AS6&lt;PT_First,0,1+INT((AS6-PT_First)/PT_Int)),0))+IF(AND(AG6&gt;=2,AI6&lt;=AsOfDate),IF(AO6="FT",IF(AT6&lt;FT_First,0,IF(AT6&lt;FT_Y5,1+INT((AT6-FT_First)/FT_Int1),FT_PreY5+FT_PerYear*INT((AT6-FT_Y5)/12)+FT_AnnivDays+INT(MOD(AT6-FT_Y5,12)/FT_Int2))),IF(AO6="PT",IF(AT6&lt;PT_First,0,1+INT((AT6-PT_First)/PT_Int)),0))-IF(AO6="FT",IF(AS6&lt;FT_First,0,IF(AS6&lt;FT_Y5,1+INT((AS6-FT_First)/FT_Int1),FT_PreY5+FT_PerYear*INT((AS6-FT_Y5)/12)+FT_AnnivDays+INT(MOD(AS6-FT_Y5,12)/FT_Int2))),IF(AO6="PT",IF(AS6&lt;PT_First,0,1+INT((AS6-PT_First)/PT_Int)),0)),0)+IF(AND(AG6&gt;=3,AJ6&lt;=AsOfDate),IF(AP6="FT",IF(AR6&lt;FT_First,0,IF(AR6&lt;FT_Y5,1+INT((AR6-FT_First)/FT_Int1),FT_PreY5+FT_PerYear*INT((AR6-FT_Y5)/12)+FT_AnnivDays+INT(MOD(AR6-FT_Y5,12)/FT_Int2))),IF(AP6="PT",IF(AR6&lt;PT_First,0,1+INT((AR6-PT_First)/PT_Int)),0))-IF(AP6="FT",IF(AT6&lt;FT_First,0,IF(AT6&lt;FT_Y5,1+INT((AT6-FT_First)/FT_Int1),FT_PreY5+FT_PerYear*INT((AT6-FT_Y5)/12)+FT_AnnivDays+INT(MOD(AT6-FT_Y5,12)/FT_Int2))),IF(AP6="PT",IF(AT6&lt;PT_First,0,1+INT((AT6-PT_First)/PT_Int)),0)),0))</f>
        <v>5</v>
      </c>
      <c r="AY6" s="12" t="n">
        <f aca="false">IF(AE6=0,"",IF(AN6="FT",IF(AV6&lt;FT_First,0,IF(AV6&lt;FT_Y5,1+INT((AV6-FT_First)/FT_Int1),FT_PreY5+FT_PerYear*INT((AV6-FT_Y5)/12)+FT_AnnivDays+INT(MOD(AV6-FT_Y5,12)/FT_Int2))),IF(AN6="PT",IF(AV6&lt;PT_First,0,1+INT((AV6-PT_First)/PT_Int)),0))+IF(AND(AG6&gt;=2,AI6&lt;=PFYDate),IF(AO6="FT",IF(AW6&lt;FT_First,0,IF(AW6&lt;FT_Y5,1+INT((AW6-FT_First)/FT_Int1),FT_PreY5+FT_PerYear*INT((AW6-FT_Y5)/12)+FT_AnnivDays+INT(MOD(AW6-FT_Y5,12)/FT_Int2))),IF(AO6="PT",IF(AW6&lt;PT_First,0,1+INT((AW6-PT_First)/PT_Int)),0))-IF(AO6="FT",IF(AV6&lt;FT_First,0,IF(AV6&lt;FT_Y5,1+INT((AV6-FT_First)/FT_Int1),FT_PreY5+FT_PerYear*INT((AV6-FT_Y5)/12)+FT_AnnivDays+INT(MOD(AV6-FT_Y5,12)/FT_Int2))),IF(AO6="PT",IF(AV6&lt;PT_First,0,1+INT((AV6-PT_First)/PT_Int)),0)),0)+IF(AND(AG6&gt;=3,AJ6&lt;=PFYDate),IF(AP6="FT",IF(AU6&lt;FT_First,0,IF(AU6&lt;FT_Y5,1+INT((AU6-FT_First)/FT_Int1),FT_PreY5+FT_PerYear*INT((AU6-FT_Y5)/12)+FT_AnnivDays+INT(MOD(AU6-FT_Y5,12)/FT_Int2))),IF(AP6="PT",IF(AU6&lt;PT_First,0,1+INT((AU6-PT_First)/PT_Int)),0))-IF(AP6="FT",IF(AW6&lt;FT_First,0,IF(AW6&lt;FT_Y5,1+INT((AW6-FT_First)/FT_Int1),FT_PreY5+FT_PerYear*INT((AW6-FT_Y5)/12)+FT_AnnivDays+INT(MOD(AW6-FT_Y5,12)/FT_Int2))),IF(AP6="PT",IF(AW6&lt;PT_First,0,1+INT((AW6-PT_First)/PT_Int)),0)),0))</f>
        <v>4</v>
      </c>
      <c r="AZ6" s="12" t="n">
        <f aca="false">IF(AE6=0,"",IF(AQ6="FT",IF(AR6&lt;FT_First,FT_First,IF(AR6&lt;FT_Y5,MIN(FT_Y5,FT_First+FT_Int1*(INT((AR6-FT_First)/FT_Int1)+1)),FT_Y5+12*INT((AR6-FT_Y5)/12)+FT_Int2*(INT(MOD(AR6-FT_Y5,12)/FT_Int2)+1))),IF(AQ6="PT",IF(AR6&lt;PT_First,PT_First,PT_First+PT_Int*(INT((AR6-PT_First)/PT_Int)+1)),"")))</f>
        <v>80</v>
      </c>
      <c r="BA6" s="12" t="n">
        <f aca="false">IF(AE6=0,"",IF(NOT(LH_Ready),0,COUNTIFS(INDEX(LH_Data,0,LH_ColFirst),$A6,INDEX(LH_Data,0,LH_ColSur),$B6,INDEX(LH_Data,0,LH_ColCat),BonusCat)))</f>
        <v>6</v>
      </c>
      <c r="BB6" s="12" t="n">
        <f aca="false">IF(AE6=0,"",IF(OR(NOT(LH_Ready),BA6=0),0,SUMPRODUCT(MAX((INDEX(LH_Data,0,LH_ColFirst)=$A6)*(INDEX(LH_Data,0,LH_ColSur)=$B6)*(INDEX(LH_Data,0,LH_ColCat)=BonusCat)*ROW(LH_Data)))))</f>
        <v>19</v>
      </c>
    </row>
    <row r="7" customFormat="false" ht="15" hidden="false" customHeight="false" outlineLevel="0" collapsed="false">
      <c r="A7" s="8" t="s">
        <v>84</v>
      </c>
      <c r="B7" s="8" t="s">
        <v>85</v>
      </c>
      <c r="C7" s="8" t="s">
        <v>86</v>
      </c>
      <c r="D7" s="9" t="n">
        <v>36545</v>
      </c>
      <c r="E7" s="10" t="n">
        <f aca="false">IF(OR(AE7=0,$D7=""),"",DATE(YEAR(AsOfDate)+IF(DATE(YEAR(AsOfDate),MONTH($D7),DAY($D7))&lt;=AsOfDate,1,0),MONTH($D7),DAY($D7)))</f>
        <v>46407</v>
      </c>
      <c r="F7" s="9" t="n">
        <v>43528</v>
      </c>
      <c r="G7" s="9"/>
      <c r="H7" s="9"/>
      <c r="I7" s="9" t="n">
        <v>43528</v>
      </c>
      <c r="J7" s="9"/>
      <c r="K7" s="10" t="n">
        <f aca="false">IF(AE7=0,"",DATE(YEAR(AsOfDate)+IF(DATE(YEAR(AsOfDate),MONTH($F7),DAY($F7))&lt;=AsOfDate,1,0),MONTH($F7),DAY($F7)))</f>
        <v>46450</v>
      </c>
      <c r="L7" s="11" t="n">
        <f aca="false">IF(AE7=0,"",ROUND((AsOfDate-$F7)/365.25,1))</f>
        <v>7.6</v>
      </c>
      <c r="M7" s="12" t="str">
        <f aca="false">IF(AE7=0,"",IF(AsOfDate&lt;AF7,"-",DATEDIF(AF7,AsOfDate,"y")&amp;"y "&amp;DATEDIF(AF7,AsOfDate,"ym")&amp;"m "&amp;DATEDIF(AF7,AsOfDate,"md")&amp;"d"))</f>
        <v>7y 6m 27d</v>
      </c>
      <c r="N7" s="13" t="n">
        <f aca="false">IF(AE7=0,"",O7*HoursPerDay)</f>
        <v>0</v>
      </c>
      <c r="O7" s="13" t="n">
        <f aca="false">IF(AE7=0,"",AX7)</f>
        <v>0</v>
      </c>
      <c r="P7" s="14"/>
      <c r="Q7" s="12" t="str">
        <f aca="false">IF(AE7=0,"",IF(AG7&lt;2,"",AK7&amp;" to "&amp;AL7&amp;" on "&amp;TEXT(AI7,"dd/mm/yyyy")&amp;IF(AI7&gt;AsOfDate," (future)",IF(AN7=AO7,"",IF(AO7="None"," - STOPPED accruing",IF(AN7="None"," - now qualifying"," - pathway changed"))))&amp;IF(AG7&lt;3,"","; "&amp;AL7&amp;" to "&amp;AM7&amp;" on "&amp;TEXT(AJ7,"dd/mm/yyyy")&amp;IF(AJ7&gt;AsOfDate," (future)",IF(AO7=AP7,"",IF(AP7="None"," - STOPPED accruing",IF(AO7="None"," - now qualifying"," - pathway changed")))))))</f>
        <v/>
      </c>
      <c r="R7" s="12" t="str">
        <f aca="false">IF(AE7=0,"",IF(AQ7="None",IF(O7&gt;0,"No longer accruing","Not eligible - "&amp;IF(AND(OR(ISNUMBER(SEARCH("part",$C7)),UPPER(TRIM($C7))="PT",UPPER(TRIM($C7))="PTE"),$P7&lt;&gt;"",N($P7)&lt;PT_MinHours),"under "&amp;PT_MinHours&amp;" hrs",IF(IF($C7="","",IF(OR(ISNUMBER(SEARCH("full",$C7)),UPPER(TRIM($C7))="FT",UPPER(TRIM($C7))="FTE"),"Full-Time",IF(OR(ISNUMBER(SEARCH("part",$C7)),UPPER(TRIM($C7))="PT",UPPER(TRIM($C7))="PTE"),"Part-Time",IF(OR(ISNUMBER(SEARCH("cas",$C7)),UPPER(TRIM($C7))="CAS"),"Casual","Unknown"))))="Unknown","type not recognised",$C7))),IF(O7&gt;0,"Yes - accruing","Not yet - from "&amp;TEXT(S7,"dd/mm/yyyy"))))</f>
        <v>Not eligible - Casual</v>
      </c>
      <c r="S7" s="10" t="str">
        <f aca="false">IF(AE7=0,"",IF(AQ7="None","",EDATE(AF7,AZ7)))</f>
        <v/>
      </c>
      <c r="T7" s="13" t="n">
        <f aca="false">IF(OR(AE7=0,W7=""),"",W7-U7+V7)</f>
        <v>0</v>
      </c>
      <c r="U7" s="13" t="n">
        <f aca="false">IF(AE7=0,"",IF(NOT(LH_Ready),"",SUMIFS(INDEX(LH_Data,0,LH_ColAcc),INDEX(LH_Data,0,LH_ColFirst),$A7,INDEX(LH_Data,0,LH_ColSur),$B7,INDEX(LH_Data,0,LH_ColCat),BonusCat)*UnitFactor))</f>
        <v>0</v>
      </c>
      <c r="V7" s="13" t="n">
        <f aca="false">IF(AE7=0,"",IF(NOT(LH_Ready),"",SUMIFS(INDEX(LH_Data,0,LH_ColTaken),INDEX(LH_Data,0,LH_ColFirst),$A7,INDEX(LH_Data,0,LH_ColSur),$B7,INDEX(LH_Data,0,LH_ColCat),BonusCat)*UnitFactor))</f>
        <v>0</v>
      </c>
      <c r="W7" s="13" t="n">
        <f aca="false">IF(AE7=0,"",IF(NOT(LH_Ready),"",IF(BB7=0,0,INDEX(INDEX(LH_Data,0,LH_ColClose),BB7-1)*UnitFactor)))</f>
        <v>0</v>
      </c>
      <c r="X7" s="13" t="n">
        <f aca="false">IF(AE7=0,"",(AX7-AY7)*HoursPerDay)</f>
        <v>0</v>
      </c>
      <c r="Y7" s="13" t="n">
        <f aca="false">IF(AE7=0,"",IF(NOT(LH_Ready),"",IF(BA7=0,N7,X7-N(U7))))</f>
        <v>0</v>
      </c>
      <c r="Z7" s="12" t="str">
        <f aca="false">IF(OR(AE7=0,Y7=""),"",IF(Y7&gt;0,"Yes","No"))</f>
        <v>No</v>
      </c>
      <c r="AA7" s="12" t="str">
        <f aca="false">IF(AE7=0,IF(LEN($A7&amp;$B7)=0,"","FIX INPUT - StartDate missing"),IF(AD7&lt;&gt;"","FIX INPUT - "&amp;AD7,IF(NOT(LH_Ready),"Paste Leave History export (Settings must show YES)",IF(Y7&gt;0,"ACCRUE "&amp;ROUND(Y7,2)&amp;" hrs ("&amp;ROUND(Y7/HoursPerDay,2)&amp;" days)"&amp;IF(BA7=0," - no Bonus Leave in EH yet, full catch-up since start",""),IF(Y7&lt;0,"CHECK - EH accrued "&amp;ROUND(-Y7,2)&amp;""&amp;" hrs more than policy",IF(O7&gt;0,"OK - nothing to add",IF(AQ7="None",R7,"Not yet - first day on "&amp;TEXT(S7,"dd/mm/yyyy"))))))))</f>
        <v>Not eligible - Casual</v>
      </c>
      <c r="AB7" s="13" t="n">
        <f aca="false">IF(OR(AE7=0,T7=""),"",AY7*HoursPerDay-T7)</f>
        <v>0</v>
      </c>
      <c r="AC7" s="12" t="n">
        <f aca="false">IF(AE7=0,"",BA7)</f>
        <v>0</v>
      </c>
      <c r="AD7" s="12" t="str">
        <f aca="false">IF(AE7=0,"",TRIM(IF(IF($C7="","",IF(OR(ISNUMBER(SEARCH("full",$C7)),UPPER(TRIM($C7))="FT",UPPER(TRIM($C7))="FTE"),"Full-Time",IF(OR(ISNUMBER(SEARCH("part",$C7)),UPPER(TRIM($C7))="PT",UPPER(TRIM($C7))="PTE"),"Part-Time",IF(OR(ISNUMBER(SEARCH("cas",$C7)),UPPER(TRIM($C7))="CAS"),"Casual","Unknown"))))="Unknown","EmploymentType not recognised - use Full-Time, Part-Time or Casual. ","")&amp;IF(AND(AG7&gt;=1,IF(AG7&gt;=3,AM7,IF(AG7=2,AL7,AK7))&lt;&gt;IF($C7="","",IF(OR(ISNUMBER(SEARCH("full",$C7)),UPPER(TRIM($C7))="FT",UPPER(TRIM($C7))="FTE"),"Full-Time",IF(OR(ISNUMBER(SEARCH("part",$C7)),UPPER(TRIM($C7))="PT",UPPER(TRIM($C7))="PTE"),"Part-Time",IF(OR(ISNUMBER(SEARCH("cas",$C7)),UPPER(TRIM($C7))="CAS"),"Casual","Unknown"))))),"EmploymentType does not match latest start date ("&amp;IF(AG7&gt;=3,AM7,IF(AG7=2,AL7,AK7))&amp;"). ","")&amp;IF(AND(AG7&gt;=1,AH7&lt;&gt;$F7),"Earliest type date should equal StartDate. ","")&amp;IF(AND(AG7&gt;=2,AH7=AI7),"Two types start on the same date. ","")&amp;IF(AND(OR(ISNUMBER(SEARCH("part",$C7)),UPPER(TRIM($C7))="PT",UPPER(TRIM($C7))="PTE"),$P7=""),"Part-time: enter PT Hrs/Week (blank = 24+). ","")))</f>
        <v/>
      </c>
      <c r="AE7" s="12" t="n">
        <f aca="false">IF(OR(LEN($A7&amp;$B7)=0,$F7=""),0,1)</f>
        <v>1</v>
      </c>
      <c r="AF7" s="10" t="n">
        <f aca="false">IF(AE7=0,"",IF($J7&lt;&gt;"",$J7,$F7))</f>
        <v>43528</v>
      </c>
      <c r="AG7" s="12" t="n">
        <f aca="false">IF(AE7=0,"",COUNT($G7:$I7))</f>
        <v>1</v>
      </c>
      <c r="AH7" s="10" t="n">
        <f aca="false">IF(AE7=0,"",IFERROR(SMALL($G7:$I7,1),""))</f>
        <v>43528</v>
      </c>
      <c r="AI7" s="10" t="str">
        <f aca="false">IF(AE7=0,"",IFERROR(SMALL($G7:$I7,2),""))</f>
        <v/>
      </c>
      <c r="AJ7" s="10" t="str">
        <f aca="false">IF(AE7=0,"",IFERROR(SMALL($G7:$I7,3),""))</f>
        <v/>
      </c>
      <c r="AK7" s="12" t="str">
        <f aca="false">IF(AE7=0,"",IF(AH7="","",IF(AH7=$G7,"Part-Time",IF(AH7=$H7,"Full-Time","Casual"))))</f>
        <v>Casual</v>
      </c>
      <c r="AL7" s="12" t="str">
        <f aca="false">IF(AE7=0,"",IF(AI7="","",IF(AI7=$G7,"Part-Time",IF(AI7=$H7,"Full-Time","Casual"))))</f>
        <v/>
      </c>
      <c r="AM7" s="12" t="str">
        <f aca="false">IF(AE7=0,"",IF(AJ7="","",IF(AJ7=$G7,"Part-Time",IF(AJ7=$H7,"Full-Time","Casual"))))</f>
        <v/>
      </c>
      <c r="AN7" s="12" t="str">
        <f aca="false">IF(AE7=0,"",IF(AG7=0,IF(OR(ISNUMBER(SEARCH("full",$C7)),UPPER(TRIM($C7))="FT",UPPER(TRIM($C7))="FTE"),"FT",IF(AND(OR(ISNUMBER(SEARCH("part",$C7)),UPPER(TRIM($C7))="PT",UPPER(TRIM($C7))="PTE"),OR($P7="",N($P7)&gt;=PT_MinHours)),"PT","None")),IF(OR(ISNUMBER(SEARCH("full",AK7)),UPPER(TRIM(AK7))="FT",UPPER(TRIM(AK7))="FTE"),"FT",IF(AND(OR(ISNUMBER(SEARCH("part",AK7)),UPPER(TRIM(AK7))="PT",UPPER(TRIM(AK7))="PTE"),OR($P7="",N($P7)&gt;=PT_MinHours)),"PT","None"))))</f>
        <v>None</v>
      </c>
      <c r="AO7" s="12" t="str">
        <f aca="false">IF(AE7=0,"",IF(AG7&lt;2,"",IF(OR(ISNUMBER(SEARCH("full",AL7)),UPPER(TRIM(AL7))="FT",UPPER(TRIM(AL7))="FTE"),"FT",IF(AND(OR(ISNUMBER(SEARCH("part",AL7)),UPPER(TRIM(AL7))="PT",UPPER(TRIM(AL7))="PTE"),OR($P7="",N($P7)&gt;=PT_MinHours)),"PT","None"))))</f>
        <v/>
      </c>
      <c r="AP7" s="12" t="str">
        <f aca="false">IF(AE7=0,"",IF(AG7&lt;3,"",IF(OR(ISNUMBER(SEARCH("full",AM7)),UPPER(TRIM(AM7))="FT",UPPER(TRIM(AM7))="FTE"),"FT",IF(AND(OR(ISNUMBER(SEARCH("part",AM7)),UPPER(TRIM(AM7))="PT",UPPER(TRIM(AM7))="PTE"),OR($P7="",N($P7)&gt;=PT_MinHours)),"PT","None"))))</f>
        <v/>
      </c>
      <c r="AQ7" s="12" t="str">
        <f aca="false">IF(AE7=0,"",IF(AND(AG7&gt;=3,AJ7&lt;=AsOfDate),AP7,IF(AND(AG7&gt;=2,AI7&lt;=AsOfDate),AO7,AN7)))</f>
        <v>None</v>
      </c>
      <c r="AR7" s="12" t="n">
        <f aca="false">IF(AE7=0,"",IF(AsOfDate&lt;AF7,-1,12*(YEAR(AsOfDate)-YEAR(AF7))+MONTH(AsOfDate)-MONTH(AF7)-IF(DAY(AsOfDate)&lt;MIN(DAY(AF7),DAY(EOMONTH(AsOfDate,0))),1,0)))</f>
        <v>90</v>
      </c>
      <c r="AS7" s="12" t="n">
        <f aca="false">IF(AE7=0,"",IF(OR(AG7&lt;2,AI7&gt;AsOfDate),AR7,IF((AI7-1)&lt;AF7,-1,12*(YEAR((AI7-1))-YEAR(AF7))+MONTH((AI7-1))-MONTH(AF7)-IF(DAY((AI7-1))&lt;MIN(DAY(AF7),DAY(EOMONTH((AI7-1),0))),1,0))))</f>
        <v>90</v>
      </c>
      <c r="AT7" s="12" t="n">
        <f aca="false">IF(AE7=0,"",IF(OR(AG7&lt;3,AJ7&gt;AsOfDate),AR7,IF((AJ7-1)&lt;AF7,-1,12*(YEAR((AJ7-1))-YEAR(AF7))+MONTH((AJ7-1))-MONTH(AF7)-IF(DAY((AJ7-1))&lt;MIN(DAY(AF7),DAY(EOMONTH((AJ7-1),0))),1,0))))</f>
        <v>90</v>
      </c>
      <c r="AU7" s="12" t="n">
        <f aca="false">IF(AE7=0,"",IF(PFYDate&lt;AF7,-1,12*(YEAR(PFYDate)-YEAR(AF7))+MONTH(PFYDate)-MONTH(AF7)-IF(DAY(PFYDate)&lt;MIN(DAY(AF7),DAY(EOMONTH(PFYDate,0))),1,0)))</f>
        <v>87</v>
      </c>
      <c r="AV7" s="12" t="n">
        <f aca="false">IF(AE7=0,"",IF(OR(AG7&lt;2,AI7&gt;PFYDate),AU7,IF((AI7-1)&lt;AF7,-1,12*(YEAR((AI7-1))-YEAR(AF7))+MONTH((AI7-1))-MONTH(AF7)-IF(DAY((AI7-1))&lt;MIN(DAY(AF7),DAY(EOMONTH((AI7-1),0))),1,0))))</f>
        <v>87</v>
      </c>
      <c r="AW7" s="12" t="n">
        <f aca="false">IF(AE7=0,"",IF(OR(AG7&lt;3,AJ7&gt;PFYDate),AU7,IF((AJ7-1)&lt;AF7,-1,12*(YEAR((AJ7-1))-YEAR(AF7))+MONTH((AJ7-1))-MONTH(AF7)-IF(DAY((AJ7-1))&lt;MIN(DAY(AF7),DAY(EOMONTH((AJ7-1),0))),1,0))))</f>
        <v>87</v>
      </c>
      <c r="AX7" s="12" t="n">
        <f aca="false">IF(AE7=0,"",IF(AN7="FT",IF(AS7&lt;FT_First,0,IF(AS7&lt;FT_Y5,1+INT((AS7-FT_First)/FT_Int1),FT_PreY5+FT_PerYear*INT((AS7-FT_Y5)/12)+FT_AnnivDays+INT(MOD(AS7-FT_Y5,12)/FT_Int2))),IF(AN7="PT",IF(AS7&lt;PT_First,0,1+INT((AS7-PT_First)/PT_Int)),0))+IF(AND(AG7&gt;=2,AI7&lt;=AsOfDate),IF(AO7="FT",IF(AT7&lt;FT_First,0,IF(AT7&lt;FT_Y5,1+INT((AT7-FT_First)/FT_Int1),FT_PreY5+FT_PerYear*INT((AT7-FT_Y5)/12)+FT_AnnivDays+INT(MOD(AT7-FT_Y5,12)/FT_Int2))),IF(AO7="PT",IF(AT7&lt;PT_First,0,1+INT((AT7-PT_First)/PT_Int)),0))-IF(AO7="FT",IF(AS7&lt;FT_First,0,IF(AS7&lt;FT_Y5,1+INT((AS7-FT_First)/FT_Int1),FT_PreY5+FT_PerYear*INT((AS7-FT_Y5)/12)+FT_AnnivDays+INT(MOD(AS7-FT_Y5,12)/FT_Int2))),IF(AO7="PT",IF(AS7&lt;PT_First,0,1+INT((AS7-PT_First)/PT_Int)),0)),0)+IF(AND(AG7&gt;=3,AJ7&lt;=AsOfDate),IF(AP7="FT",IF(AR7&lt;FT_First,0,IF(AR7&lt;FT_Y5,1+INT((AR7-FT_First)/FT_Int1),FT_PreY5+FT_PerYear*INT((AR7-FT_Y5)/12)+FT_AnnivDays+INT(MOD(AR7-FT_Y5,12)/FT_Int2))),IF(AP7="PT",IF(AR7&lt;PT_First,0,1+INT((AR7-PT_First)/PT_Int)),0))-IF(AP7="FT",IF(AT7&lt;FT_First,0,IF(AT7&lt;FT_Y5,1+INT((AT7-FT_First)/FT_Int1),FT_PreY5+FT_PerYear*INT((AT7-FT_Y5)/12)+FT_AnnivDays+INT(MOD(AT7-FT_Y5,12)/FT_Int2))),IF(AP7="PT",IF(AT7&lt;PT_First,0,1+INT((AT7-PT_First)/PT_Int)),0)),0))</f>
        <v>0</v>
      </c>
      <c r="AY7" s="12" t="n">
        <f aca="false">IF(AE7=0,"",IF(AN7="FT",IF(AV7&lt;FT_First,0,IF(AV7&lt;FT_Y5,1+INT((AV7-FT_First)/FT_Int1),FT_PreY5+FT_PerYear*INT((AV7-FT_Y5)/12)+FT_AnnivDays+INT(MOD(AV7-FT_Y5,12)/FT_Int2))),IF(AN7="PT",IF(AV7&lt;PT_First,0,1+INT((AV7-PT_First)/PT_Int)),0))+IF(AND(AG7&gt;=2,AI7&lt;=PFYDate),IF(AO7="FT",IF(AW7&lt;FT_First,0,IF(AW7&lt;FT_Y5,1+INT((AW7-FT_First)/FT_Int1),FT_PreY5+FT_PerYear*INT((AW7-FT_Y5)/12)+FT_AnnivDays+INT(MOD(AW7-FT_Y5,12)/FT_Int2))),IF(AO7="PT",IF(AW7&lt;PT_First,0,1+INT((AW7-PT_First)/PT_Int)),0))-IF(AO7="FT",IF(AV7&lt;FT_First,0,IF(AV7&lt;FT_Y5,1+INT((AV7-FT_First)/FT_Int1),FT_PreY5+FT_PerYear*INT((AV7-FT_Y5)/12)+FT_AnnivDays+INT(MOD(AV7-FT_Y5,12)/FT_Int2))),IF(AO7="PT",IF(AV7&lt;PT_First,0,1+INT((AV7-PT_First)/PT_Int)),0)),0)+IF(AND(AG7&gt;=3,AJ7&lt;=PFYDate),IF(AP7="FT",IF(AU7&lt;FT_First,0,IF(AU7&lt;FT_Y5,1+INT((AU7-FT_First)/FT_Int1),FT_PreY5+FT_PerYear*INT((AU7-FT_Y5)/12)+FT_AnnivDays+INT(MOD(AU7-FT_Y5,12)/FT_Int2))),IF(AP7="PT",IF(AU7&lt;PT_First,0,1+INT((AU7-PT_First)/PT_Int)),0))-IF(AP7="FT",IF(AW7&lt;FT_First,0,IF(AW7&lt;FT_Y5,1+INT((AW7-FT_First)/FT_Int1),FT_PreY5+FT_PerYear*INT((AW7-FT_Y5)/12)+FT_AnnivDays+INT(MOD(AW7-FT_Y5,12)/FT_Int2))),IF(AP7="PT",IF(AW7&lt;PT_First,0,1+INT((AW7-PT_First)/PT_Int)),0)),0))</f>
        <v>0</v>
      </c>
      <c r="AZ7" s="12" t="str">
        <f aca="false">IF(AE7=0,"",IF(AQ7="FT",IF(AR7&lt;FT_First,FT_First,IF(AR7&lt;FT_Y5,MIN(FT_Y5,FT_First+FT_Int1*(INT((AR7-FT_First)/FT_Int1)+1)),FT_Y5+12*INT((AR7-FT_Y5)/12)+FT_Int2*(INT(MOD(AR7-FT_Y5,12)/FT_Int2)+1))),IF(AQ7="PT",IF(AR7&lt;PT_First,PT_First,PT_First+PT_Int*(INT((AR7-PT_First)/PT_Int)+1)),"")))</f>
        <v/>
      </c>
      <c r="BA7" s="12" t="n">
        <f aca="false">IF(AE7=0,"",IF(NOT(LH_Ready),0,COUNTIFS(INDEX(LH_Data,0,LH_ColFirst),$A7,INDEX(LH_Data,0,LH_ColSur),$B7,INDEX(LH_Data,0,LH_ColCat),BonusCat)))</f>
        <v>0</v>
      </c>
      <c r="BB7" s="12" t="n">
        <f aca="false">IF(AE7=0,"",IF(OR(NOT(LH_Ready),BA7=0),0,SUMPRODUCT(MAX((INDEX(LH_Data,0,LH_ColFirst)=$A7)*(INDEX(LH_Data,0,LH_ColSur)=$B7)*(INDEX(LH_Data,0,LH_ColCat)=BonusCat)*ROW(LH_Data)))))</f>
        <v>0</v>
      </c>
    </row>
    <row r="8" customFormat="false" ht="15" hidden="false" customHeight="false" outlineLevel="0" collapsed="false">
      <c r="A8" s="8" t="s">
        <v>87</v>
      </c>
      <c r="B8" s="8" t="s">
        <v>88</v>
      </c>
      <c r="C8" s="8" t="s">
        <v>83</v>
      </c>
      <c r="D8" s="9" t="n">
        <v>33793</v>
      </c>
      <c r="E8" s="10" t="n">
        <f aca="false">IF(OR(AE8=0,$D8=""),"",DATE(YEAR(AsOfDate)+IF(DATE(YEAR(AsOfDate),MONTH($D8),DAY($D8))&lt;=AsOfDate,1,0),MONTH($D8),DAY($D8)))</f>
        <v>46576</v>
      </c>
      <c r="F8" s="9" t="n">
        <v>44621</v>
      </c>
      <c r="G8" s="9" t="n">
        <v>45839</v>
      </c>
      <c r="H8" s="9" t="n">
        <v>44621</v>
      </c>
      <c r="I8" s="9"/>
      <c r="J8" s="9"/>
      <c r="K8" s="10" t="n">
        <f aca="false">IF(AE8=0,"",DATE(YEAR(AsOfDate)+IF(DATE(YEAR(AsOfDate),MONTH($F8),DAY($F8))&lt;=AsOfDate,1,0),MONTH($F8),DAY($F8)))</f>
        <v>46447</v>
      </c>
      <c r="L8" s="11" t="n">
        <f aca="false">IF(AE8=0,"",ROUND((AsOfDate-$F8)/365.25,1))</f>
        <v>4.6</v>
      </c>
      <c r="M8" s="12" t="str">
        <f aca="false">IF(AE8=0,"",IF(AsOfDate&lt;AF8,"-",DATEDIF(AF8,AsOfDate,"y")&amp;"y "&amp;DATEDIF(AF8,AsOfDate,"ym")&amp;"m "&amp;DATEDIF(AF8,AsOfDate,"md")&amp;"d"))</f>
        <v>4y 7m 0d</v>
      </c>
      <c r="N8" s="13" t="n">
        <f aca="false">IF(AE8=0,"",O8*HoursPerDay)</f>
        <v>8</v>
      </c>
      <c r="O8" s="13" t="n">
        <f aca="false">IF(AE8=0,"",AX8)</f>
        <v>1</v>
      </c>
      <c r="P8" s="14" t="n">
        <v>20</v>
      </c>
      <c r="Q8" s="12" t="str">
        <f aca="false">IF(AE8=0,"",IF(AG8&lt;2,"",AK8&amp;" to "&amp;AL8&amp;" on "&amp;TEXT(AI8,"dd/mm/yyyy")&amp;IF(AI8&gt;AsOfDate," (future)",IF(AN8=AO8,"",IF(AO8="None"," - STOPPED accruing",IF(AN8="None"," - now qualifying"," - pathway changed"))))&amp;IF(AG8&lt;3,"","; "&amp;AL8&amp;" to "&amp;AM8&amp;" on "&amp;TEXT(AJ8,"dd/mm/yyyy")&amp;IF(AJ8&gt;AsOfDate," (future)",IF(AO8=AP8,"",IF(AP8="None"," - STOPPED accruing",IF(AO8="None"," - now qualifying"," - pathway changed")))))))</f>
        <v>Full-Time to Part-Time on 01/07/2025 - STOPPED accruing</v>
      </c>
      <c r="R8" s="12" t="str">
        <f aca="false">IF(AE8=0,"",IF(AQ8="None",IF(O8&gt;0,"No longer accruing","Not eligible - "&amp;IF(AND(OR(ISNUMBER(SEARCH("part",$C8)),UPPER(TRIM($C8))="PT",UPPER(TRIM($C8))="PTE"),$P8&lt;&gt;"",N($P8)&lt;PT_MinHours),"under "&amp;PT_MinHours&amp;" hrs",IF(IF($C8="","",IF(OR(ISNUMBER(SEARCH("full",$C8)),UPPER(TRIM($C8))="FT",UPPER(TRIM($C8))="FTE"),"Full-Time",IF(OR(ISNUMBER(SEARCH("part",$C8)),UPPER(TRIM($C8))="PT",UPPER(TRIM($C8))="PTE"),"Part-Time",IF(OR(ISNUMBER(SEARCH("cas",$C8)),UPPER(TRIM($C8))="CAS"),"Casual","Unknown"))))="Unknown","type not recognised",$C8))),IF(O8&gt;0,"Yes - accruing","Not yet - from "&amp;TEXT(S8,"dd/mm/yyyy"))))</f>
        <v>No longer accruing</v>
      </c>
      <c r="S8" s="10" t="str">
        <f aca="false">IF(AE8=0,"",IF(AQ8="None","",EDATE(AF8,AZ8)))</f>
        <v/>
      </c>
      <c r="T8" s="13" t="n">
        <f aca="false">IF(OR(AE8=0,W8=""),"",W8-U8+V8)</f>
        <v>8</v>
      </c>
      <c r="U8" s="13" t="n">
        <f aca="false">IF(AE8=0,"",IF(NOT(LH_Ready),"",SUMIFS(INDEX(LH_Data,0,LH_ColAcc),INDEX(LH_Data,0,LH_ColFirst),$A8,INDEX(LH_Data,0,LH_ColSur),$B8,INDEX(LH_Data,0,LH_ColCat),BonusCat)*UnitFactor))</f>
        <v>0</v>
      </c>
      <c r="V8" s="13" t="n">
        <f aca="false">IF(AE8=0,"",IF(NOT(LH_Ready),"",SUMIFS(INDEX(LH_Data,0,LH_ColTaken),INDEX(LH_Data,0,LH_ColFirst),$A8,INDEX(LH_Data,0,LH_ColSur),$B8,INDEX(LH_Data,0,LH_ColCat),BonusCat)*UnitFactor))</f>
        <v>8</v>
      </c>
      <c r="W8" s="13" t="n">
        <f aca="false">IF(AE8=0,"",IF(NOT(LH_Ready),"",IF(BB8=0,0,INDEX(INDEX(LH_Data,0,LH_ColClose),BB8-1)*UnitFactor)))</f>
        <v>0</v>
      </c>
      <c r="X8" s="13" t="n">
        <f aca="false">IF(AE8=0,"",(AX8-AY8)*HoursPerDay)</f>
        <v>0</v>
      </c>
      <c r="Y8" s="13" t="n">
        <f aca="false">IF(AE8=0,"",IF(NOT(LH_Ready),"",IF(BA8=0,N8,X8-N(U8))))</f>
        <v>0</v>
      </c>
      <c r="Z8" s="12" t="str">
        <f aca="false">IF(OR(AE8=0,Y8=""),"",IF(Y8&gt;0,"Yes","No"))</f>
        <v>No</v>
      </c>
      <c r="AA8" s="12" t="str">
        <f aca="false">IF(AE8=0,IF(LEN($A8&amp;$B8)=0,"","FIX INPUT - StartDate missing"),IF(AD8&lt;&gt;"","FIX INPUT - "&amp;AD8,IF(NOT(LH_Ready),"Paste Leave History export (Settings must show YES)",IF(Y8&gt;0,"ACCRUE "&amp;ROUND(Y8,2)&amp;" hrs ("&amp;ROUND(Y8/HoursPerDay,2)&amp;" days)"&amp;IF(BA8=0," - no Bonus Leave in EH yet, full catch-up since start",""),IF(Y8&lt;0,"CHECK - EH accrued "&amp;ROUND(-Y8,2)&amp;""&amp;" hrs more than policy",IF(O8&gt;0,"OK - nothing to add",IF(AQ8="None",R8,"Not yet - first day on "&amp;TEXT(S8,"dd/mm/yyyy"))))))))</f>
        <v>OK - nothing to add</v>
      </c>
      <c r="AB8" s="13" t="n">
        <f aca="false">IF(OR(AE8=0,T8=""),"",AY8*HoursPerDay-T8)</f>
        <v>0</v>
      </c>
      <c r="AC8" s="12" t="n">
        <f aca="false">IF(AE8=0,"",BA8)</f>
        <v>6</v>
      </c>
      <c r="AD8" s="12" t="str">
        <f aca="false">IF(AE8=0,"",TRIM(IF(IF($C8="","",IF(OR(ISNUMBER(SEARCH("full",$C8)),UPPER(TRIM($C8))="FT",UPPER(TRIM($C8))="FTE"),"Full-Time",IF(OR(ISNUMBER(SEARCH("part",$C8)),UPPER(TRIM($C8))="PT",UPPER(TRIM($C8))="PTE"),"Part-Time",IF(OR(ISNUMBER(SEARCH("cas",$C8)),UPPER(TRIM($C8))="CAS"),"Casual","Unknown"))))="Unknown","EmploymentType not recognised - use Full-Time, Part-Time or Casual. ","")&amp;IF(AND(AG8&gt;=1,IF(AG8&gt;=3,AM8,IF(AG8=2,AL8,AK8))&lt;&gt;IF($C8="","",IF(OR(ISNUMBER(SEARCH("full",$C8)),UPPER(TRIM($C8))="FT",UPPER(TRIM($C8))="FTE"),"Full-Time",IF(OR(ISNUMBER(SEARCH("part",$C8)),UPPER(TRIM($C8))="PT",UPPER(TRIM($C8))="PTE"),"Part-Time",IF(OR(ISNUMBER(SEARCH("cas",$C8)),UPPER(TRIM($C8))="CAS"),"Casual","Unknown"))))),"EmploymentType does not match latest start date ("&amp;IF(AG8&gt;=3,AM8,IF(AG8=2,AL8,AK8))&amp;"). ","")&amp;IF(AND(AG8&gt;=1,AH8&lt;&gt;$F8),"Earliest type date should equal StartDate. ","")&amp;IF(AND(AG8&gt;=2,AH8=AI8),"Two types start on the same date. ","")&amp;IF(AND(OR(ISNUMBER(SEARCH("part",$C8)),UPPER(TRIM($C8))="PT",UPPER(TRIM($C8))="PTE"),$P8=""),"Part-time: enter PT Hrs/Week (blank = 24+). ","")))</f>
        <v/>
      </c>
      <c r="AE8" s="12" t="n">
        <f aca="false">IF(OR(LEN($A8&amp;$B8)=0,$F8=""),0,1)</f>
        <v>1</v>
      </c>
      <c r="AF8" s="10" t="n">
        <f aca="false">IF(AE8=0,"",IF($J8&lt;&gt;"",$J8,$F8))</f>
        <v>44621</v>
      </c>
      <c r="AG8" s="12" t="n">
        <f aca="false">IF(AE8=0,"",COUNT($G8:$I8))</f>
        <v>2</v>
      </c>
      <c r="AH8" s="10" t="n">
        <f aca="false">IF(AE8=0,"",IFERROR(SMALL($G8:$I8,1),""))</f>
        <v>44621</v>
      </c>
      <c r="AI8" s="10" t="n">
        <f aca="false">IF(AE8=0,"",IFERROR(SMALL($G8:$I8,2),""))</f>
        <v>45839</v>
      </c>
      <c r="AJ8" s="10" t="str">
        <f aca="false">IF(AE8=0,"",IFERROR(SMALL($G8:$I8,3),""))</f>
        <v/>
      </c>
      <c r="AK8" s="12" t="str">
        <f aca="false">IF(AE8=0,"",IF(AH8="","",IF(AH8=$G8,"Part-Time",IF(AH8=$H8,"Full-Time","Casual"))))</f>
        <v>Full-Time</v>
      </c>
      <c r="AL8" s="12" t="str">
        <f aca="false">IF(AE8=0,"",IF(AI8="","",IF(AI8=$G8,"Part-Time",IF(AI8=$H8,"Full-Time","Casual"))))</f>
        <v>Part-Time</v>
      </c>
      <c r="AM8" s="12" t="str">
        <f aca="false">IF(AE8=0,"",IF(AJ8="","",IF(AJ8=$G8,"Part-Time",IF(AJ8=$H8,"Full-Time","Casual"))))</f>
        <v/>
      </c>
      <c r="AN8" s="12" t="str">
        <f aca="false">IF(AE8=0,"",IF(AG8=0,IF(OR(ISNUMBER(SEARCH("full",$C8)),UPPER(TRIM($C8))="FT",UPPER(TRIM($C8))="FTE"),"FT",IF(AND(OR(ISNUMBER(SEARCH("part",$C8)),UPPER(TRIM($C8))="PT",UPPER(TRIM($C8))="PTE"),OR($P8="",N($P8)&gt;=PT_MinHours)),"PT","None")),IF(OR(ISNUMBER(SEARCH("full",AK8)),UPPER(TRIM(AK8))="FT",UPPER(TRIM(AK8))="FTE"),"FT",IF(AND(OR(ISNUMBER(SEARCH("part",AK8)),UPPER(TRIM(AK8))="PT",UPPER(TRIM(AK8))="PTE"),OR($P8="",N($P8)&gt;=PT_MinHours)),"PT","None"))))</f>
        <v>FT</v>
      </c>
      <c r="AO8" s="12" t="str">
        <f aca="false">IF(AE8=0,"",IF(AG8&lt;2,"",IF(OR(ISNUMBER(SEARCH("full",AL8)),UPPER(TRIM(AL8))="FT",UPPER(TRIM(AL8))="FTE"),"FT",IF(AND(OR(ISNUMBER(SEARCH("part",AL8)),UPPER(TRIM(AL8))="PT",UPPER(TRIM(AL8))="PTE"),OR($P8="",N($P8)&gt;=PT_MinHours)),"PT","None"))))</f>
        <v>None</v>
      </c>
      <c r="AP8" s="12" t="str">
        <f aca="false">IF(AE8=0,"",IF(AG8&lt;3,"",IF(OR(ISNUMBER(SEARCH("full",AM8)),UPPER(TRIM(AM8))="FT",UPPER(TRIM(AM8))="FTE"),"FT",IF(AND(OR(ISNUMBER(SEARCH("part",AM8)),UPPER(TRIM(AM8))="PT",UPPER(TRIM(AM8))="PTE"),OR($P8="",N($P8)&gt;=PT_MinHours)),"PT","None"))))</f>
        <v/>
      </c>
      <c r="AQ8" s="12" t="str">
        <f aca="false">IF(AE8=0,"",IF(AND(AG8&gt;=3,AJ8&lt;=AsOfDate),AP8,IF(AND(AG8&gt;=2,AI8&lt;=AsOfDate),AO8,AN8)))</f>
        <v>None</v>
      </c>
      <c r="AR8" s="12" t="n">
        <f aca="false">IF(AE8=0,"",IF(AsOfDate&lt;AF8,-1,12*(YEAR(AsOfDate)-YEAR(AF8))+MONTH(AsOfDate)-MONTH(AF8)-IF(DAY(AsOfDate)&lt;MIN(DAY(AF8),DAY(EOMONTH(AsOfDate,0))),1,0)))</f>
        <v>55</v>
      </c>
      <c r="AS8" s="12" t="n">
        <f aca="false">IF(AE8=0,"",IF(OR(AG8&lt;2,AI8&gt;AsOfDate),AR8,IF((AI8-1)&lt;AF8,-1,12*(YEAR((AI8-1))-YEAR(AF8))+MONTH((AI8-1))-MONTH(AF8)-IF(DAY((AI8-1))&lt;MIN(DAY(AF8),DAY(EOMONTH((AI8-1),0))),1,0))))</f>
        <v>39</v>
      </c>
      <c r="AT8" s="12" t="n">
        <f aca="false">IF(AE8=0,"",IF(OR(AG8&lt;3,AJ8&gt;AsOfDate),AR8,IF((AJ8-1)&lt;AF8,-1,12*(YEAR((AJ8-1))-YEAR(AF8))+MONTH((AJ8-1))-MONTH(AF8)-IF(DAY((AJ8-1))&lt;MIN(DAY(AF8),DAY(EOMONTH((AJ8-1),0))),1,0))))</f>
        <v>55</v>
      </c>
      <c r="AU8" s="12" t="n">
        <f aca="false">IF(AE8=0,"",IF(PFYDate&lt;AF8,-1,12*(YEAR(PFYDate)-YEAR(AF8))+MONTH(PFYDate)-MONTH(AF8)-IF(DAY(PFYDate)&lt;MIN(DAY(AF8),DAY(EOMONTH(PFYDate,0))),1,0)))</f>
        <v>51</v>
      </c>
      <c r="AV8" s="12" t="n">
        <f aca="false">IF(AE8=0,"",IF(OR(AG8&lt;2,AI8&gt;PFYDate),AU8,IF((AI8-1)&lt;AF8,-1,12*(YEAR((AI8-1))-YEAR(AF8))+MONTH((AI8-1))-MONTH(AF8)-IF(DAY((AI8-1))&lt;MIN(DAY(AF8),DAY(EOMONTH((AI8-1),0))),1,0))))</f>
        <v>39</v>
      </c>
      <c r="AW8" s="12" t="n">
        <f aca="false">IF(AE8=0,"",IF(OR(AG8&lt;3,AJ8&gt;PFYDate),AU8,IF((AJ8-1)&lt;AF8,-1,12*(YEAR((AJ8-1))-YEAR(AF8))+MONTH((AJ8-1))-MONTH(AF8)-IF(DAY((AJ8-1))&lt;MIN(DAY(AF8),DAY(EOMONTH((AJ8-1),0))),1,0))))</f>
        <v>51</v>
      </c>
      <c r="AX8" s="12" t="n">
        <f aca="false">IF(AE8=0,"",IF(AN8="FT",IF(AS8&lt;FT_First,0,IF(AS8&lt;FT_Y5,1+INT((AS8-FT_First)/FT_Int1),FT_PreY5+FT_PerYear*INT((AS8-FT_Y5)/12)+FT_AnnivDays+INT(MOD(AS8-FT_Y5,12)/FT_Int2))),IF(AN8="PT",IF(AS8&lt;PT_First,0,1+INT((AS8-PT_First)/PT_Int)),0))+IF(AND(AG8&gt;=2,AI8&lt;=AsOfDate),IF(AO8="FT",IF(AT8&lt;FT_First,0,IF(AT8&lt;FT_Y5,1+INT((AT8-FT_First)/FT_Int1),FT_PreY5+FT_PerYear*INT((AT8-FT_Y5)/12)+FT_AnnivDays+INT(MOD(AT8-FT_Y5,12)/FT_Int2))),IF(AO8="PT",IF(AT8&lt;PT_First,0,1+INT((AT8-PT_First)/PT_Int)),0))-IF(AO8="FT",IF(AS8&lt;FT_First,0,IF(AS8&lt;FT_Y5,1+INT((AS8-FT_First)/FT_Int1),FT_PreY5+FT_PerYear*INT((AS8-FT_Y5)/12)+FT_AnnivDays+INT(MOD(AS8-FT_Y5,12)/FT_Int2))),IF(AO8="PT",IF(AS8&lt;PT_First,0,1+INT((AS8-PT_First)/PT_Int)),0)),0)+IF(AND(AG8&gt;=3,AJ8&lt;=AsOfDate),IF(AP8="FT",IF(AR8&lt;FT_First,0,IF(AR8&lt;FT_Y5,1+INT((AR8-FT_First)/FT_Int1),FT_PreY5+FT_PerYear*INT((AR8-FT_Y5)/12)+FT_AnnivDays+INT(MOD(AR8-FT_Y5,12)/FT_Int2))),IF(AP8="PT",IF(AR8&lt;PT_First,0,1+INT((AR8-PT_First)/PT_Int)),0))-IF(AP8="FT",IF(AT8&lt;FT_First,0,IF(AT8&lt;FT_Y5,1+INT((AT8-FT_First)/FT_Int1),FT_PreY5+FT_PerYear*INT((AT8-FT_Y5)/12)+FT_AnnivDays+INT(MOD(AT8-FT_Y5,12)/FT_Int2))),IF(AP8="PT",IF(AT8&lt;PT_First,0,1+INT((AT8-PT_First)/PT_Int)),0)),0))</f>
        <v>1</v>
      </c>
      <c r="AY8" s="12" t="n">
        <f aca="false">IF(AE8=0,"",IF(AN8="FT",IF(AV8&lt;FT_First,0,IF(AV8&lt;FT_Y5,1+INT((AV8-FT_First)/FT_Int1),FT_PreY5+FT_PerYear*INT((AV8-FT_Y5)/12)+FT_AnnivDays+INT(MOD(AV8-FT_Y5,12)/FT_Int2))),IF(AN8="PT",IF(AV8&lt;PT_First,0,1+INT((AV8-PT_First)/PT_Int)),0))+IF(AND(AG8&gt;=2,AI8&lt;=PFYDate),IF(AO8="FT",IF(AW8&lt;FT_First,0,IF(AW8&lt;FT_Y5,1+INT((AW8-FT_First)/FT_Int1),FT_PreY5+FT_PerYear*INT((AW8-FT_Y5)/12)+FT_AnnivDays+INT(MOD(AW8-FT_Y5,12)/FT_Int2))),IF(AO8="PT",IF(AW8&lt;PT_First,0,1+INT((AW8-PT_First)/PT_Int)),0))-IF(AO8="FT",IF(AV8&lt;FT_First,0,IF(AV8&lt;FT_Y5,1+INT((AV8-FT_First)/FT_Int1),FT_PreY5+FT_PerYear*INT((AV8-FT_Y5)/12)+FT_AnnivDays+INT(MOD(AV8-FT_Y5,12)/FT_Int2))),IF(AO8="PT",IF(AV8&lt;PT_First,0,1+INT((AV8-PT_First)/PT_Int)),0)),0)+IF(AND(AG8&gt;=3,AJ8&lt;=PFYDate),IF(AP8="FT",IF(AU8&lt;FT_First,0,IF(AU8&lt;FT_Y5,1+INT((AU8-FT_First)/FT_Int1),FT_PreY5+FT_PerYear*INT((AU8-FT_Y5)/12)+FT_AnnivDays+INT(MOD(AU8-FT_Y5,12)/FT_Int2))),IF(AP8="PT",IF(AU8&lt;PT_First,0,1+INT((AU8-PT_First)/PT_Int)),0))-IF(AP8="FT",IF(AW8&lt;FT_First,0,IF(AW8&lt;FT_Y5,1+INT((AW8-FT_First)/FT_Int1),FT_PreY5+FT_PerYear*INT((AW8-FT_Y5)/12)+FT_AnnivDays+INT(MOD(AW8-FT_Y5,12)/FT_Int2))),IF(AP8="PT",IF(AW8&lt;PT_First,0,1+INT((AW8-PT_First)/PT_Int)),0)),0))</f>
        <v>1</v>
      </c>
      <c r="AZ8" s="12" t="str">
        <f aca="false">IF(AE8=0,"",IF(AQ8="FT",IF(AR8&lt;FT_First,FT_First,IF(AR8&lt;FT_Y5,MIN(FT_Y5,FT_First+FT_Int1*(INT((AR8-FT_First)/FT_Int1)+1)),FT_Y5+12*INT((AR8-FT_Y5)/12)+FT_Int2*(INT(MOD(AR8-FT_Y5,12)/FT_Int2)+1))),IF(AQ8="PT",IF(AR8&lt;PT_First,PT_First,PT_First+PT_Int*(INT((AR8-PT_First)/PT_Int)+1)),"")))</f>
        <v/>
      </c>
      <c r="BA8" s="12" t="n">
        <f aca="false">IF(AE8=0,"",IF(NOT(LH_Ready),0,COUNTIFS(INDEX(LH_Data,0,LH_ColFirst),$A8,INDEX(LH_Data,0,LH_ColSur),$B8,INDEX(LH_Data,0,LH_ColCat),BonusCat)))</f>
        <v>6</v>
      </c>
      <c r="BB8" s="12" t="n">
        <f aca="false">IF(AE8=0,"",IF(OR(NOT(LH_Ready),BA8=0),0,SUMPRODUCT(MAX((INDEX(LH_Data,0,LH_ColFirst)=$A8)*(INDEX(LH_Data,0,LH_ColSur)=$B8)*(INDEX(LH_Data,0,LH_ColCat)=BonusCat)*ROW(LH_Data)))))</f>
        <v>25</v>
      </c>
    </row>
    <row r="9" customFormat="false" ht="15" hidden="false" customHeight="false" outlineLevel="0" collapsed="false">
      <c r="A9" s="8" t="s">
        <v>89</v>
      </c>
      <c r="B9" s="8" t="s">
        <v>90</v>
      </c>
      <c r="C9" s="8" t="s">
        <v>80</v>
      </c>
      <c r="D9" s="9" t="n">
        <v>32202</v>
      </c>
      <c r="E9" s="10" t="n">
        <f aca="false">IF(OR(AE9=0,$D9=""),"",DATE(YEAR(AsOfDate)+IF(DATE(YEAR(AsOfDate),MONTH($D9),DAY($D9))&lt;=AsOfDate,1,0),MONTH($D9),DAY($D9)))</f>
        <v>46447</v>
      </c>
      <c r="F9" s="9" t="n">
        <v>43840</v>
      </c>
      <c r="G9" s="9" t="n">
        <v>43840</v>
      </c>
      <c r="H9" s="9" t="n">
        <v>45292</v>
      </c>
      <c r="I9" s="9"/>
      <c r="J9" s="9"/>
      <c r="K9" s="10" t="n">
        <f aca="false">IF(AE9=0,"",DATE(YEAR(AsOfDate)+IF(DATE(YEAR(AsOfDate),MONTH($F9),DAY($F9))&lt;=AsOfDate,1,0),MONTH($F9),DAY($F9)))</f>
        <v>46397</v>
      </c>
      <c r="L9" s="11" t="n">
        <f aca="false">IF(AE9=0,"",ROUND((AsOfDate-$F9)/365.25,1))</f>
        <v>6.7</v>
      </c>
      <c r="M9" s="12" t="str">
        <f aca="false">IF(AE9=0,"",IF(AsOfDate&lt;AF9,"-",DATEDIF(AF9,AsOfDate,"y")&amp;"y "&amp;DATEDIF(AF9,AsOfDate,"ym")&amp;"m "&amp;DATEDIF(AF9,AsOfDate,"md")&amp;"d"))</f>
        <v>6y 8m 21d</v>
      </c>
      <c r="N9" s="13" t="n">
        <f aca="false">IF(AE9=0,"",O9*HoursPerDay)</f>
        <v>96</v>
      </c>
      <c r="O9" s="13" t="n">
        <f aca="false">IF(AE9=0,"",AX9)</f>
        <v>12</v>
      </c>
      <c r="P9" s="14"/>
      <c r="Q9" s="12" t="str">
        <f aca="false">IF(AE9=0,"",IF(AG9&lt;2,"",AK9&amp;" to "&amp;AL9&amp;" on "&amp;TEXT(AI9,"dd/mm/yyyy")&amp;IF(AI9&gt;AsOfDate," (future)",IF(AN9=AO9,"",IF(AO9="None"," - STOPPED accruing",IF(AN9="None"," - now qualifying"," - pathway changed"))))&amp;IF(AG9&lt;3,"","; "&amp;AL9&amp;" to "&amp;AM9&amp;" on "&amp;TEXT(AJ9,"dd/mm/yyyy")&amp;IF(AJ9&gt;AsOfDate," (future)",IF(AO9=AP9,"",IF(AP9="None"," - STOPPED accruing",IF(AO9="None"," - now qualifying"," - pathway changed")))))))</f>
        <v>Part-Time to Full-Time on 01/01/2024 - pathway changed</v>
      </c>
      <c r="R9" s="12" t="str">
        <f aca="false">IF(AE9=0,"",IF(AQ9="None",IF(O9&gt;0,"No longer accruing","Not eligible - "&amp;IF(AND(OR(ISNUMBER(SEARCH("part",$C9)),UPPER(TRIM($C9))="PT",UPPER(TRIM($C9))="PTE"),$P9&lt;&gt;"",N($P9)&lt;PT_MinHours),"under "&amp;PT_MinHours&amp;" hrs",IF(IF($C9="","",IF(OR(ISNUMBER(SEARCH("full",$C9)),UPPER(TRIM($C9))="FT",UPPER(TRIM($C9))="FTE"),"Full-Time",IF(OR(ISNUMBER(SEARCH("part",$C9)),UPPER(TRIM($C9))="PT",UPPER(TRIM($C9))="PTE"),"Part-Time",IF(OR(ISNUMBER(SEARCH("cas",$C9)),UPPER(TRIM($C9))="CAS"),"Casual","Unknown"))))="Unknown","type not recognised",$C9))),IF(O9&gt;0,"Yes - accruing","Not yet - from "&amp;TEXT(S9,"dd/mm/yyyy"))))</f>
        <v>Yes - accruing</v>
      </c>
      <c r="S9" s="10" t="n">
        <f aca="false">IF(AE9=0,"",IF(AQ9="None","",EDATE(AF9,AZ9)))</f>
        <v>46305</v>
      </c>
      <c r="T9" s="13" t="n">
        <f aca="false">IF(OR(AE9=0,W9=""),"",W9-U9+V9)</f>
        <v>72</v>
      </c>
      <c r="U9" s="13" t="n">
        <f aca="false">IF(AE9=0,"",IF(NOT(LH_Ready),"",SUMIFS(INDEX(LH_Data,0,LH_ColAcc),INDEX(LH_Data,0,LH_ColFirst),$A9,INDEX(LH_Data,0,LH_ColSur),$B9,INDEX(LH_Data,0,LH_ColCat),BonusCat)*UnitFactor))</f>
        <v>8</v>
      </c>
      <c r="V9" s="13" t="n">
        <f aca="false">IF(AE9=0,"",IF(NOT(LH_Ready),"",SUMIFS(INDEX(LH_Data,0,LH_ColTaken),INDEX(LH_Data,0,LH_ColFirst),$A9,INDEX(LH_Data,0,LH_ColSur),$B9,INDEX(LH_Data,0,LH_ColCat),BonusCat)*UnitFactor))</f>
        <v>0</v>
      </c>
      <c r="W9" s="13" t="n">
        <f aca="false">IF(AE9=0,"",IF(NOT(LH_Ready),"",IF(BB9=0,0,INDEX(INDEX(LH_Data,0,LH_ColClose),BB9-1)*UnitFactor)))</f>
        <v>80</v>
      </c>
      <c r="X9" s="13" t="n">
        <f aca="false">IF(AE9=0,"",(AX9-AY9)*HoursPerDay)</f>
        <v>8</v>
      </c>
      <c r="Y9" s="13" t="n">
        <f aca="false">IF(AE9=0,"",IF(NOT(LH_Ready),"",IF(BA9=0,N9,X9-N(U9))))</f>
        <v>0</v>
      </c>
      <c r="Z9" s="12" t="str">
        <f aca="false">IF(OR(AE9=0,Y9=""),"",IF(Y9&gt;0,"Yes","No"))</f>
        <v>No</v>
      </c>
      <c r="AA9" s="12" t="str">
        <f aca="false">IF(AE9=0,IF(LEN($A9&amp;$B9)=0,"","FIX INPUT - StartDate missing"),IF(AD9&lt;&gt;"","FIX INPUT - "&amp;AD9,IF(NOT(LH_Ready),"Paste Leave History export (Settings must show YES)",IF(Y9&gt;0,"ACCRUE "&amp;ROUND(Y9,2)&amp;" hrs ("&amp;ROUND(Y9/HoursPerDay,2)&amp;" days)"&amp;IF(BA9=0," - no Bonus Leave in EH yet, full catch-up since start",""),IF(Y9&lt;0,"CHECK - EH accrued "&amp;ROUND(-Y9,2)&amp;""&amp;" hrs more than policy",IF(O9&gt;0,"OK - nothing to add",IF(AQ9="None",R9,"Not yet - first day on "&amp;TEXT(S9,"dd/mm/yyyy"))))))))</f>
        <v>OK - nothing to add</v>
      </c>
      <c r="AB9" s="13" t="n">
        <f aca="false">IF(OR(AE9=0,T9=""),"",AY9*HoursPerDay-T9)</f>
        <v>16</v>
      </c>
      <c r="AC9" s="12" t="n">
        <f aca="false">IF(AE9=0,"",BA9)</f>
        <v>6</v>
      </c>
      <c r="AD9" s="12" t="str">
        <f aca="false">IF(AE9=0,"",TRIM(IF(IF($C9="","",IF(OR(ISNUMBER(SEARCH("full",$C9)),UPPER(TRIM($C9))="FT",UPPER(TRIM($C9))="FTE"),"Full-Time",IF(OR(ISNUMBER(SEARCH("part",$C9)),UPPER(TRIM($C9))="PT",UPPER(TRIM($C9))="PTE"),"Part-Time",IF(OR(ISNUMBER(SEARCH("cas",$C9)),UPPER(TRIM($C9))="CAS"),"Casual","Unknown"))))="Unknown","EmploymentType not recognised - use Full-Time, Part-Time or Casual. ","")&amp;IF(AND(AG9&gt;=1,IF(AG9&gt;=3,AM9,IF(AG9=2,AL9,AK9))&lt;&gt;IF($C9="","",IF(OR(ISNUMBER(SEARCH("full",$C9)),UPPER(TRIM($C9))="FT",UPPER(TRIM($C9))="FTE"),"Full-Time",IF(OR(ISNUMBER(SEARCH("part",$C9)),UPPER(TRIM($C9))="PT",UPPER(TRIM($C9))="PTE"),"Part-Time",IF(OR(ISNUMBER(SEARCH("cas",$C9)),UPPER(TRIM($C9))="CAS"),"Casual","Unknown"))))),"EmploymentType does not match latest start date ("&amp;IF(AG9&gt;=3,AM9,IF(AG9=2,AL9,AK9))&amp;"). ","")&amp;IF(AND(AG9&gt;=1,AH9&lt;&gt;$F9),"Earliest type date should equal StartDate. ","")&amp;IF(AND(AG9&gt;=2,AH9=AI9),"Two types start on the same date. ","")&amp;IF(AND(OR(ISNUMBER(SEARCH("part",$C9)),UPPER(TRIM($C9))="PT",UPPER(TRIM($C9))="PTE"),$P9=""),"Part-time: enter PT Hrs/Week (blank = 24+). ","")))</f>
        <v/>
      </c>
      <c r="AE9" s="12" t="n">
        <f aca="false">IF(OR(LEN($A9&amp;$B9)=0,$F9=""),0,1)</f>
        <v>1</v>
      </c>
      <c r="AF9" s="10" t="n">
        <f aca="false">IF(AE9=0,"",IF($J9&lt;&gt;"",$J9,$F9))</f>
        <v>43840</v>
      </c>
      <c r="AG9" s="12" t="n">
        <f aca="false">IF(AE9=0,"",COUNT($G9:$I9))</f>
        <v>2</v>
      </c>
      <c r="AH9" s="10" t="n">
        <f aca="false">IF(AE9=0,"",IFERROR(SMALL($G9:$I9,1),""))</f>
        <v>43840</v>
      </c>
      <c r="AI9" s="10" t="n">
        <f aca="false">IF(AE9=0,"",IFERROR(SMALL($G9:$I9,2),""))</f>
        <v>45292</v>
      </c>
      <c r="AJ9" s="10" t="str">
        <f aca="false">IF(AE9=0,"",IFERROR(SMALL($G9:$I9,3),""))</f>
        <v/>
      </c>
      <c r="AK9" s="12" t="str">
        <f aca="false">IF(AE9=0,"",IF(AH9="","",IF(AH9=$G9,"Part-Time",IF(AH9=$H9,"Full-Time","Casual"))))</f>
        <v>Part-Time</v>
      </c>
      <c r="AL9" s="12" t="str">
        <f aca="false">IF(AE9=0,"",IF(AI9="","",IF(AI9=$G9,"Part-Time",IF(AI9=$H9,"Full-Time","Casual"))))</f>
        <v>Full-Time</v>
      </c>
      <c r="AM9" s="12" t="str">
        <f aca="false">IF(AE9=0,"",IF(AJ9="","",IF(AJ9=$G9,"Part-Time",IF(AJ9=$H9,"Full-Time","Casual"))))</f>
        <v/>
      </c>
      <c r="AN9" s="12" t="str">
        <f aca="false">IF(AE9=0,"",IF(AG9=0,IF(OR(ISNUMBER(SEARCH("full",$C9)),UPPER(TRIM($C9))="FT",UPPER(TRIM($C9))="FTE"),"FT",IF(AND(OR(ISNUMBER(SEARCH("part",$C9)),UPPER(TRIM($C9))="PT",UPPER(TRIM($C9))="PTE"),OR($P9="",N($P9)&gt;=PT_MinHours)),"PT","None")),IF(OR(ISNUMBER(SEARCH("full",AK9)),UPPER(TRIM(AK9))="FT",UPPER(TRIM(AK9))="FTE"),"FT",IF(AND(OR(ISNUMBER(SEARCH("part",AK9)),UPPER(TRIM(AK9))="PT",UPPER(TRIM(AK9))="PTE"),OR($P9="",N($P9)&gt;=PT_MinHours)),"PT","None"))))</f>
        <v>PT</v>
      </c>
      <c r="AO9" s="12" t="str">
        <f aca="false">IF(AE9=0,"",IF(AG9&lt;2,"",IF(OR(ISNUMBER(SEARCH("full",AL9)),UPPER(TRIM(AL9))="FT",UPPER(TRIM(AL9))="FTE"),"FT",IF(AND(OR(ISNUMBER(SEARCH("part",AL9)),UPPER(TRIM(AL9))="PT",UPPER(TRIM(AL9))="PTE"),OR($P9="",N($P9)&gt;=PT_MinHours)),"PT","None"))))</f>
        <v>FT</v>
      </c>
      <c r="AP9" s="12" t="str">
        <f aca="false">IF(AE9=0,"",IF(AG9&lt;3,"",IF(OR(ISNUMBER(SEARCH("full",AM9)),UPPER(TRIM(AM9))="FT",UPPER(TRIM(AM9))="FTE"),"FT",IF(AND(OR(ISNUMBER(SEARCH("part",AM9)),UPPER(TRIM(AM9))="PT",UPPER(TRIM(AM9))="PTE"),OR($P9="",N($P9)&gt;=PT_MinHours)),"PT","None"))))</f>
        <v/>
      </c>
      <c r="AQ9" s="12" t="str">
        <f aca="false">IF(AE9=0,"",IF(AND(AG9&gt;=3,AJ9&lt;=AsOfDate),AP9,IF(AND(AG9&gt;=2,AI9&lt;=AsOfDate),AO9,AN9)))</f>
        <v>FT</v>
      </c>
      <c r="AR9" s="12" t="n">
        <f aca="false">IF(AE9=0,"",IF(AsOfDate&lt;AF9,-1,12*(YEAR(AsOfDate)-YEAR(AF9))+MONTH(AsOfDate)-MONTH(AF9)-IF(DAY(AsOfDate)&lt;MIN(DAY(AF9),DAY(EOMONTH(AsOfDate,0))),1,0)))</f>
        <v>80</v>
      </c>
      <c r="AS9" s="12" t="n">
        <f aca="false">IF(AE9=0,"",IF(OR(AG9&lt;2,AI9&gt;AsOfDate),AR9,IF((AI9-1)&lt;AF9,-1,12*(YEAR((AI9-1))-YEAR(AF9))+MONTH((AI9-1))-MONTH(AF9)-IF(DAY((AI9-1))&lt;MIN(DAY(AF9),DAY(EOMONTH((AI9-1),0))),1,0))))</f>
        <v>47</v>
      </c>
      <c r="AT9" s="12" t="n">
        <f aca="false">IF(AE9=0,"",IF(OR(AG9&lt;3,AJ9&gt;AsOfDate),AR9,IF((AJ9-1)&lt;AF9,-1,12*(YEAR((AJ9-1))-YEAR(AF9))+MONTH((AJ9-1))-MONTH(AF9)-IF(DAY((AJ9-1))&lt;MIN(DAY(AF9),DAY(EOMONTH((AJ9-1),0))),1,0))))</f>
        <v>80</v>
      </c>
      <c r="AU9" s="12" t="n">
        <f aca="false">IF(AE9=0,"",IF(PFYDate&lt;AF9,-1,12*(YEAR(PFYDate)-YEAR(AF9))+MONTH(PFYDate)-MONTH(AF9)-IF(DAY(PFYDate)&lt;MIN(DAY(AF9),DAY(EOMONTH(PFYDate,0))),1,0)))</f>
        <v>77</v>
      </c>
      <c r="AV9" s="12" t="n">
        <f aca="false">IF(AE9=0,"",IF(OR(AG9&lt;2,AI9&gt;PFYDate),AU9,IF((AI9-1)&lt;AF9,-1,12*(YEAR((AI9-1))-YEAR(AF9))+MONTH((AI9-1))-MONTH(AF9)-IF(DAY((AI9-1))&lt;MIN(DAY(AF9),DAY(EOMONTH((AI9-1),0))),1,0))))</f>
        <v>47</v>
      </c>
      <c r="AW9" s="12" t="n">
        <f aca="false">IF(AE9=0,"",IF(OR(AG9&lt;3,AJ9&gt;PFYDate),AU9,IF((AJ9-1)&lt;AF9,-1,12*(YEAR((AJ9-1))-YEAR(AF9))+MONTH((AJ9-1))-MONTH(AF9)-IF(DAY((AJ9-1))&lt;MIN(DAY(AF9),DAY(EOMONTH((AJ9-1),0))),1,0))))</f>
        <v>77</v>
      </c>
      <c r="AX9" s="12" t="n">
        <f aca="false">IF(AE9=0,"",IF(AN9="FT",IF(AS9&lt;FT_First,0,IF(AS9&lt;FT_Y5,1+INT((AS9-FT_First)/FT_Int1),FT_PreY5+FT_PerYear*INT((AS9-FT_Y5)/12)+FT_AnnivDays+INT(MOD(AS9-FT_Y5,12)/FT_Int2))),IF(AN9="PT",IF(AS9&lt;PT_First,0,1+INT((AS9-PT_First)/PT_Int)),0))+IF(AND(AG9&gt;=2,AI9&lt;=AsOfDate),IF(AO9="FT",IF(AT9&lt;FT_First,0,IF(AT9&lt;FT_Y5,1+INT((AT9-FT_First)/FT_Int1),FT_PreY5+FT_PerYear*INT((AT9-FT_Y5)/12)+FT_AnnivDays+INT(MOD(AT9-FT_Y5,12)/FT_Int2))),IF(AO9="PT",IF(AT9&lt;PT_First,0,1+INT((AT9-PT_First)/PT_Int)),0))-IF(AO9="FT",IF(AS9&lt;FT_First,0,IF(AS9&lt;FT_Y5,1+INT((AS9-FT_First)/FT_Int1),FT_PreY5+FT_PerYear*INT((AS9-FT_Y5)/12)+FT_AnnivDays+INT(MOD(AS9-FT_Y5,12)/FT_Int2))),IF(AO9="PT",IF(AS9&lt;PT_First,0,1+INT((AS9-PT_First)/PT_Int)),0)),0)+IF(AND(AG9&gt;=3,AJ9&lt;=AsOfDate),IF(AP9="FT",IF(AR9&lt;FT_First,0,IF(AR9&lt;FT_Y5,1+INT((AR9-FT_First)/FT_Int1),FT_PreY5+FT_PerYear*INT((AR9-FT_Y5)/12)+FT_AnnivDays+INT(MOD(AR9-FT_Y5,12)/FT_Int2))),IF(AP9="PT",IF(AR9&lt;PT_First,0,1+INT((AR9-PT_First)/PT_Int)),0))-IF(AP9="FT",IF(AT9&lt;FT_First,0,IF(AT9&lt;FT_Y5,1+INT((AT9-FT_First)/FT_Int1),FT_PreY5+FT_PerYear*INT((AT9-FT_Y5)/12)+FT_AnnivDays+INT(MOD(AT9-FT_Y5,12)/FT_Int2))),IF(AP9="PT",IF(AT9&lt;PT_First,0,1+INT((AT9-PT_First)/PT_Int)),0)),0))</f>
        <v>12</v>
      </c>
      <c r="AY9" s="12" t="n">
        <f aca="false">IF(AE9=0,"",IF(AN9="FT",IF(AV9&lt;FT_First,0,IF(AV9&lt;FT_Y5,1+INT((AV9-FT_First)/FT_Int1),FT_PreY5+FT_PerYear*INT((AV9-FT_Y5)/12)+FT_AnnivDays+INT(MOD(AV9-FT_Y5,12)/FT_Int2))),IF(AN9="PT",IF(AV9&lt;PT_First,0,1+INT((AV9-PT_First)/PT_Int)),0))+IF(AND(AG9&gt;=2,AI9&lt;=PFYDate),IF(AO9="FT",IF(AW9&lt;FT_First,0,IF(AW9&lt;FT_Y5,1+INT((AW9-FT_First)/FT_Int1),FT_PreY5+FT_PerYear*INT((AW9-FT_Y5)/12)+FT_AnnivDays+INT(MOD(AW9-FT_Y5,12)/FT_Int2))),IF(AO9="PT",IF(AW9&lt;PT_First,0,1+INT((AW9-PT_First)/PT_Int)),0))-IF(AO9="FT",IF(AV9&lt;FT_First,0,IF(AV9&lt;FT_Y5,1+INT((AV9-FT_First)/FT_Int1),FT_PreY5+FT_PerYear*INT((AV9-FT_Y5)/12)+FT_AnnivDays+INT(MOD(AV9-FT_Y5,12)/FT_Int2))),IF(AO9="PT",IF(AV9&lt;PT_First,0,1+INT((AV9-PT_First)/PT_Int)),0)),0)+IF(AND(AG9&gt;=3,AJ9&lt;=PFYDate),IF(AP9="FT",IF(AU9&lt;FT_First,0,IF(AU9&lt;FT_Y5,1+INT((AU9-FT_First)/FT_Int1),FT_PreY5+FT_PerYear*INT((AU9-FT_Y5)/12)+FT_AnnivDays+INT(MOD(AU9-FT_Y5,12)/FT_Int2))),IF(AP9="PT",IF(AU9&lt;PT_First,0,1+INT((AU9-PT_First)/PT_Int)),0))-IF(AP9="FT",IF(AW9&lt;FT_First,0,IF(AW9&lt;FT_Y5,1+INT((AW9-FT_First)/FT_Int1),FT_PreY5+FT_PerYear*INT((AW9-FT_Y5)/12)+FT_AnnivDays+INT(MOD(AW9-FT_Y5,12)/FT_Int2))),IF(AP9="PT",IF(AW9&lt;PT_First,0,1+INT((AW9-PT_First)/PT_Int)),0)),0))</f>
        <v>11</v>
      </c>
      <c r="AZ9" s="12" t="n">
        <f aca="false">IF(AE9=0,"",IF(AQ9="FT",IF(AR9&lt;FT_First,FT_First,IF(AR9&lt;FT_Y5,MIN(FT_Y5,FT_First+FT_Int1*(INT((AR9-FT_First)/FT_Int1)+1)),FT_Y5+12*INT((AR9-FT_Y5)/12)+FT_Int2*(INT(MOD(AR9-FT_Y5,12)/FT_Int2)+1))),IF(AQ9="PT",IF(AR9&lt;PT_First,PT_First,PT_First+PT_Int*(INT((AR9-PT_First)/PT_Int)+1)),"")))</f>
        <v>81</v>
      </c>
      <c r="BA9" s="12" t="n">
        <f aca="false">IF(AE9=0,"",IF(NOT(LH_Ready),0,COUNTIFS(INDEX(LH_Data,0,LH_ColFirst),$A9,INDEX(LH_Data,0,LH_ColSur),$B9,INDEX(LH_Data,0,LH_ColCat),BonusCat)))</f>
        <v>6</v>
      </c>
      <c r="BB9" s="12" t="n">
        <f aca="false">IF(AE9=0,"",IF(OR(NOT(LH_Ready),BA9=0),0,SUMPRODUCT(MAX((INDEX(LH_Data,0,LH_ColFirst)=$A9)*(INDEX(LH_Data,0,LH_ColSur)=$B9)*(INDEX(LH_Data,0,LH_ColCat)=BonusCat)*ROW(LH_Data)))))</f>
        <v>31</v>
      </c>
    </row>
    <row r="10" customFormat="false" ht="15" hidden="false" customHeight="false" outlineLevel="0" collapsed="false">
      <c r="A10" s="8" t="s">
        <v>91</v>
      </c>
      <c r="B10" s="8" t="s">
        <v>92</v>
      </c>
      <c r="C10" s="8" t="s">
        <v>80</v>
      </c>
      <c r="D10" s="9" t="n">
        <v>34945</v>
      </c>
      <c r="E10" s="10" t="n">
        <f aca="false">IF(OR(AE10=0,$D10=""),"",DATE(YEAR(AsOfDate)+IF(DATE(YEAR(AsOfDate),MONTH($D10),DAY($D10))&lt;=AsOfDate,1,0),MONTH($D10),DAY($D10)))</f>
        <v>46633</v>
      </c>
      <c r="F10" s="9" t="n">
        <v>44686</v>
      </c>
      <c r="G10" s="9"/>
      <c r="H10" s="9" t="n">
        <v>44686</v>
      </c>
      <c r="I10" s="9"/>
      <c r="J10" s="9" t="n">
        <v>44867</v>
      </c>
      <c r="K10" s="10" t="n">
        <f aca="false">IF(AE10=0,"",DATE(YEAR(AsOfDate)+IF(DATE(YEAR(AsOfDate),MONTH($F10),DAY($F10))&lt;=AsOfDate,1,0),MONTH($F10),DAY($F10)))</f>
        <v>46512</v>
      </c>
      <c r="L10" s="11" t="n">
        <f aca="false">IF(AE10=0,"",ROUND((AsOfDate-$F10)/365.25,1))</f>
        <v>4.4</v>
      </c>
      <c r="M10" s="12" t="str">
        <f aca="false">IF(AE10=0,"",IF(AsOfDate&lt;AF10,"-",DATEDIF(AF10,AsOfDate,"y")&amp;"y "&amp;DATEDIF(AF10,AsOfDate,"ym")&amp;"m "&amp;DATEDIF(AF10,AsOfDate,"md")&amp;"d"))</f>
        <v>3y 10m 29d</v>
      </c>
      <c r="N10" s="13" t="n">
        <f aca="false">IF(AE10=0,"",O10*HoursPerDay)</f>
        <v>24</v>
      </c>
      <c r="O10" s="13" t="n">
        <f aca="false">IF(AE10=0,"",AX10)</f>
        <v>3</v>
      </c>
      <c r="P10" s="14"/>
      <c r="Q10" s="12" t="str">
        <f aca="false">IF(AE10=0,"",IF(AG10&lt;2,"",AK10&amp;" to "&amp;AL10&amp;" on "&amp;TEXT(AI10,"dd/mm/yyyy")&amp;IF(AI10&gt;AsOfDate," (future)",IF(AN10=AO10,"",IF(AO10="None"," - STOPPED accruing",IF(AN10="None"," - now qualifying"," - pathway changed"))))&amp;IF(AG10&lt;3,"","; "&amp;AL10&amp;" to "&amp;AM10&amp;" on "&amp;TEXT(AJ10,"dd/mm/yyyy")&amp;IF(AJ10&gt;AsOfDate," (future)",IF(AO10=AP10,"",IF(AP10="None"," - STOPPED accruing",IF(AO10="None"," - now qualifying"," - pathway changed")))))))</f>
        <v/>
      </c>
      <c r="R10" s="12" t="str">
        <f aca="false">IF(AE10=0,"",IF(AQ10="None",IF(O10&gt;0,"No longer accruing","Not eligible - "&amp;IF(AND(OR(ISNUMBER(SEARCH("part",$C10)),UPPER(TRIM($C10))="PT",UPPER(TRIM($C10))="PTE"),$P10&lt;&gt;"",N($P10)&lt;PT_MinHours),"under "&amp;PT_MinHours&amp;" hrs",IF(IF($C10="","",IF(OR(ISNUMBER(SEARCH("full",$C10)),UPPER(TRIM($C10))="FT",UPPER(TRIM($C10))="FTE"),"Full-Time",IF(OR(ISNUMBER(SEARCH("part",$C10)),UPPER(TRIM($C10))="PT",UPPER(TRIM($C10))="PTE"),"Part-Time",IF(OR(ISNUMBER(SEARCH("cas",$C10)),UPPER(TRIM($C10))="CAS"),"Casual","Unknown"))))="Unknown","type not recognised",$C10))),IF(O10&gt;0,"Yes - accruing","Not yet - from "&amp;TEXT(S10,"dd/mm/yyyy"))))</f>
        <v>Yes - accruing</v>
      </c>
      <c r="S10" s="10" t="n">
        <f aca="false">IF(AE10=0,"",IF(AQ10="None","",EDATE(AF10,AZ10)))</f>
        <v>46328</v>
      </c>
      <c r="T10" s="13" t="n">
        <f aca="false">IF(OR(AE10=0,W10=""),"",W10-U10+V10)</f>
        <v>0</v>
      </c>
      <c r="U10" s="13" t="n">
        <f aca="false">IF(AE10=0,"",IF(NOT(LH_Ready),"",SUMIFS(INDEX(LH_Data,0,LH_ColAcc),INDEX(LH_Data,0,LH_ColFirst),$A10,INDEX(LH_Data,0,LH_ColSur),$B10,INDEX(LH_Data,0,LH_ColCat),BonusCat)*UnitFactor))</f>
        <v>0</v>
      </c>
      <c r="V10" s="13" t="n">
        <f aca="false">IF(AE10=0,"",IF(NOT(LH_Ready),"",SUMIFS(INDEX(LH_Data,0,LH_ColTaken),INDEX(LH_Data,0,LH_ColFirst),$A10,INDEX(LH_Data,0,LH_ColSur),$B10,INDEX(LH_Data,0,LH_ColCat),BonusCat)*UnitFactor))</f>
        <v>0</v>
      </c>
      <c r="W10" s="13" t="n">
        <f aca="false">IF(AE10=0,"",IF(NOT(LH_Ready),"",IF(BB10=0,0,INDEX(INDEX(LH_Data,0,LH_ColClose),BB10-1)*UnitFactor)))</f>
        <v>0</v>
      </c>
      <c r="X10" s="13" t="n">
        <f aca="false">IF(AE10=0,"",(AX10-AY10)*HoursPerDay)</f>
        <v>8</v>
      </c>
      <c r="Y10" s="13" t="n">
        <f aca="false">IF(AE10=0,"",IF(NOT(LH_Ready),"",IF(BA10=0,N10,X10-N(U10))))</f>
        <v>24</v>
      </c>
      <c r="Z10" s="12" t="str">
        <f aca="false">IF(OR(AE10=0,Y10=""),"",IF(Y10&gt;0,"Yes","No"))</f>
        <v>Yes</v>
      </c>
      <c r="AA10" s="12" t="str">
        <f aca="false">IF(AE10=0,IF(LEN($A10&amp;$B10)=0,"","FIX INPUT - StartDate missing"),IF(AD10&lt;&gt;"","FIX INPUT - "&amp;AD10,IF(NOT(LH_Ready),"Paste Leave History export (Settings must show YES)",IF(Y10&gt;0,"ACCRUE "&amp;ROUND(Y10,2)&amp;" hrs ("&amp;ROUND(Y10/HoursPerDay,2)&amp;" days)"&amp;IF(BA10=0," - no Bonus Leave in EH yet, full catch-up since start",""),IF(Y10&lt;0,"CHECK - EH accrued "&amp;ROUND(-Y10,2)&amp;""&amp;" hrs more than policy",IF(O10&gt;0,"OK - nothing to add",IF(AQ10="None",R10,"Not yet - first day on "&amp;TEXT(S10,"dd/mm/yyyy"))))))))</f>
        <v>ACCRUE 24 hrs (3 days) - no Bonus Leave in EH yet, full catch-up since start</v>
      </c>
      <c r="AB10" s="13" t="n">
        <f aca="false">IF(OR(AE10=0,T10=""),"",AY10*HoursPerDay-T10)</f>
        <v>16</v>
      </c>
      <c r="AC10" s="12" t="n">
        <f aca="false">IF(AE10=0,"",BA10)</f>
        <v>0</v>
      </c>
      <c r="AD10" s="12" t="str">
        <f aca="false">IF(AE10=0,"",TRIM(IF(IF($C10="","",IF(OR(ISNUMBER(SEARCH("full",$C10)),UPPER(TRIM($C10))="FT",UPPER(TRIM($C10))="FTE"),"Full-Time",IF(OR(ISNUMBER(SEARCH("part",$C10)),UPPER(TRIM($C10))="PT",UPPER(TRIM($C10))="PTE"),"Part-Time",IF(OR(ISNUMBER(SEARCH("cas",$C10)),UPPER(TRIM($C10))="CAS"),"Casual","Unknown"))))="Unknown","EmploymentType not recognised - use Full-Time, Part-Time or Casual. ","")&amp;IF(AND(AG10&gt;=1,IF(AG10&gt;=3,AM10,IF(AG10=2,AL10,AK10))&lt;&gt;IF($C10="","",IF(OR(ISNUMBER(SEARCH("full",$C10)),UPPER(TRIM($C10))="FT",UPPER(TRIM($C10))="FTE"),"Full-Time",IF(OR(ISNUMBER(SEARCH("part",$C10)),UPPER(TRIM($C10))="PT",UPPER(TRIM($C10))="PTE"),"Part-Time",IF(OR(ISNUMBER(SEARCH("cas",$C10)),UPPER(TRIM($C10))="CAS"),"Casual","Unknown"))))),"EmploymentType does not match latest start date ("&amp;IF(AG10&gt;=3,AM10,IF(AG10=2,AL10,AK10))&amp;"). ","")&amp;IF(AND(AG10&gt;=1,AH10&lt;&gt;$F10),"Earliest type date should equal StartDate. ","")&amp;IF(AND(AG10&gt;=2,AH10=AI10),"Two types start on the same date. ","")&amp;IF(AND(OR(ISNUMBER(SEARCH("part",$C10)),UPPER(TRIM($C10))="PT",UPPER(TRIM($C10))="PTE"),$P10=""),"Part-time: enter PT Hrs/Week (blank = 24+). ","")))</f>
        <v/>
      </c>
      <c r="AE10" s="12" t="n">
        <f aca="false">IF(OR(LEN($A10&amp;$B10)=0,$F10=""),0,1)</f>
        <v>1</v>
      </c>
      <c r="AF10" s="10" t="n">
        <f aca="false">IF(AE10=0,"",IF($J10&lt;&gt;"",$J10,$F10))</f>
        <v>44867</v>
      </c>
      <c r="AG10" s="12" t="n">
        <f aca="false">IF(AE10=0,"",COUNT($G10:$I10))</f>
        <v>1</v>
      </c>
      <c r="AH10" s="10" t="n">
        <f aca="false">IF(AE10=0,"",IFERROR(SMALL($G10:$I10,1),""))</f>
        <v>44686</v>
      </c>
      <c r="AI10" s="10" t="str">
        <f aca="false">IF(AE10=0,"",IFERROR(SMALL($G10:$I10,2),""))</f>
        <v/>
      </c>
      <c r="AJ10" s="10" t="str">
        <f aca="false">IF(AE10=0,"",IFERROR(SMALL($G10:$I10,3),""))</f>
        <v/>
      </c>
      <c r="AK10" s="12" t="str">
        <f aca="false">IF(AE10=0,"",IF(AH10="","",IF(AH10=$G10,"Part-Time",IF(AH10=$H10,"Full-Time","Casual"))))</f>
        <v>Full-Time</v>
      </c>
      <c r="AL10" s="12" t="str">
        <f aca="false">IF(AE10=0,"",IF(AI10="","",IF(AI10=$G10,"Part-Time",IF(AI10=$H10,"Full-Time","Casual"))))</f>
        <v/>
      </c>
      <c r="AM10" s="12" t="str">
        <f aca="false">IF(AE10=0,"",IF(AJ10="","",IF(AJ10=$G10,"Part-Time",IF(AJ10=$H10,"Full-Time","Casual"))))</f>
        <v/>
      </c>
      <c r="AN10" s="12" t="str">
        <f aca="false">IF(AE10=0,"",IF(AG10=0,IF(OR(ISNUMBER(SEARCH("full",$C10)),UPPER(TRIM($C10))="FT",UPPER(TRIM($C10))="FTE"),"FT",IF(AND(OR(ISNUMBER(SEARCH("part",$C10)),UPPER(TRIM($C10))="PT",UPPER(TRIM($C10))="PTE"),OR($P10="",N($P10)&gt;=PT_MinHours)),"PT","None")),IF(OR(ISNUMBER(SEARCH("full",AK10)),UPPER(TRIM(AK10))="FT",UPPER(TRIM(AK10))="FTE"),"FT",IF(AND(OR(ISNUMBER(SEARCH("part",AK10)),UPPER(TRIM(AK10))="PT",UPPER(TRIM(AK10))="PTE"),OR($P10="",N($P10)&gt;=PT_MinHours)),"PT","None"))))</f>
        <v>FT</v>
      </c>
      <c r="AO10" s="12" t="str">
        <f aca="false">IF(AE10=0,"",IF(AG10&lt;2,"",IF(OR(ISNUMBER(SEARCH("full",AL10)),UPPER(TRIM(AL10))="FT",UPPER(TRIM(AL10))="FTE"),"FT",IF(AND(OR(ISNUMBER(SEARCH("part",AL10)),UPPER(TRIM(AL10))="PT",UPPER(TRIM(AL10))="PTE"),OR($P10="",N($P10)&gt;=PT_MinHours)),"PT","None"))))</f>
        <v/>
      </c>
      <c r="AP10" s="12" t="str">
        <f aca="false">IF(AE10=0,"",IF(AG10&lt;3,"",IF(OR(ISNUMBER(SEARCH("full",AM10)),UPPER(TRIM(AM10))="FT",UPPER(TRIM(AM10))="FTE"),"FT",IF(AND(OR(ISNUMBER(SEARCH("part",AM10)),UPPER(TRIM(AM10))="PT",UPPER(TRIM(AM10))="PTE"),OR($P10="",N($P10)&gt;=PT_MinHours)),"PT","None"))))</f>
        <v/>
      </c>
      <c r="AQ10" s="12" t="str">
        <f aca="false">IF(AE10=0,"",IF(AND(AG10&gt;=3,AJ10&lt;=AsOfDate),AP10,IF(AND(AG10&gt;=2,AI10&lt;=AsOfDate),AO10,AN10)))</f>
        <v>FT</v>
      </c>
      <c r="AR10" s="12" t="n">
        <f aca="false">IF(AE10=0,"",IF(AsOfDate&lt;AF10,-1,12*(YEAR(AsOfDate)-YEAR(AF10))+MONTH(AsOfDate)-MONTH(AF10)-IF(DAY(AsOfDate)&lt;MIN(DAY(AF10),DAY(EOMONTH(AsOfDate,0))),1,0)))</f>
        <v>46</v>
      </c>
      <c r="AS10" s="12" t="n">
        <f aca="false">IF(AE10=0,"",IF(OR(AG10&lt;2,AI10&gt;AsOfDate),AR10,IF((AI10-1)&lt;AF10,-1,12*(YEAR((AI10-1))-YEAR(AF10))+MONTH((AI10-1))-MONTH(AF10)-IF(DAY((AI10-1))&lt;MIN(DAY(AF10),DAY(EOMONTH((AI10-1),0))),1,0))))</f>
        <v>46</v>
      </c>
      <c r="AT10" s="12" t="n">
        <f aca="false">IF(AE10=0,"",IF(OR(AG10&lt;3,AJ10&gt;AsOfDate),AR10,IF((AJ10-1)&lt;AF10,-1,12*(YEAR((AJ10-1))-YEAR(AF10))+MONTH((AJ10-1))-MONTH(AF10)-IF(DAY((AJ10-1))&lt;MIN(DAY(AF10),DAY(EOMONTH((AJ10-1),0))),1,0))))</f>
        <v>46</v>
      </c>
      <c r="AU10" s="12" t="n">
        <f aca="false">IF(AE10=0,"",IF(PFYDate&lt;AF10,-1,12*(YEAR(PFYDate)-YEAR(AF10))+MONTH(PFYDate)-MONTH(AF10)-IF(DAY(PFYDate)&lt;MIN(DAY(AF10),DAY(EOMONTH(PFYDate,0))),1,0)))</f>
        <v>43</v>
      </c>
      <c r="AV10" s="12" t="n">
        <f aca="false">IF(AE10=0,"",IF(OR(AG10&lt;2,AI10&gt;PFYDate),AU10,IF((AI10-1)&lt;AF10,-1,12*(YEAR((AI10-1))-YEAR(AF10))+MONTH((AI10-1))-MONTH(AF10)-IF(DAY((AI10-1))&lt;MIN(DAY(AF10),DAY(EOMONTH((AI10-1),0))),1,0))))</f>
        <v>43</v>
      </c>
      <c r="AW10" s="12" t="n">
        <f aca="false">IF(AE10=0,"",IF(OR(AG10&lt;3,AJ10&gt;PFYDate),AU10,IF((AJ10-1)&lt;AF10,-1,12*(YEAR((AJ10-1))-YEAR(AF10))+MONTH((AJ10-1))-MONTH(AF10)-IF(DAY((AJ10-1))&lt;MIN(DAY(AF10),DAY(EOMONTH((AJ10-1),0))),1,0))))</f>
        <v>43</v>
      </c>
      <c r="AX10" s="12" t="n">
        <f aca="false">IF(AE10=0,"",IF(AN10="FT",IF(AS10&lt;FT_First,0,IF(AS10&lt;FT_Y5,1+INT((AS10-FT_First)/FT_Int1),FT_PreY5+FT_PerYear*INT((AS10-FT_Y5)/12)+FT_AnnivDays+INT(MOD(AS10-FT_Y5,12)/FT_Int2))),IF(AN10="PT",IF(AS10&lt;PT_First,0,1+INT((AS10-PT_First)/PT_Int)),0))+IF(AND(AG10&gt;=2,AI10&lt;=AsOfDate),IF(AO10="FT",IF(AT10&lt;FT_First,0,IF(AT10&lt;FT_Y5,1+INT((AT10-FT_First)/FT_Int1),FT_PreY5+FT_PerYear*INT((AT10-FT_Y5)/12)+FT_AnnivDays+INT(MOD(AT10-FT_Y5,12)/FT_Int2))),IF(AO10="PT",IF(AT10&lt;PT_First,0,1+INT((AT10-PT_First)/PT_Int)),0))-IF(AO10="FT",IF(AS10&lt;FT_First,0,IF(AS10&lt;FT_Y5,1+INT((AS10-FT_First)/FT_Int1),FT_PreY5+FT_PerYear*INT((AS10-FT_Y5)/12)+FT_AnnivDays+INT(MOD(AS10-FT_Y5,12)/FT_Int2))),IF(AO10="PT",IF(AS10&lt;PT_First,0,1+INT((AS10-PT_First)/PT_Int)),0)),0)+IF(AND(AG10&gt;=3,AJ10&lt;=AsOfDate),IF(AP10="FT",IF(AR10&lt;FT_First,0,IF(AR10&lt;FT_Y5,1+INT((AR10-FT_First)/FT_Int1),FT_PreY5+FT_PerYear*INT((AR10-FT_Y5)/12)+FT_AnnivDays+INT(MOD(AR10-FT_Y5,12)/FT_Int2))),IF(AP10="PT",IF(AR10&lt;PT_First,0,1+INT((AR10-PT_First)/PT_Int)),0))-IF(AP10="FT",IF(AT10&lt;FT_First,0,IF(AT10&lt;FT_Y5,1+INT((AT10-FT_First)/FT_Int1),FT_PreY5+FT_PerYear*INT((AT10-FT_Y5)/12)+FT_AnnivDays+INT(MOD(AT10-FT_Y5,12)/FT_Int2))),IF(AP10="PT",IF(AT10&lt;PT_First,0,1+INT((AT10-PT_First)/PT_Int)),0)),0))</f>
        <v>3</v>
      </c>
      <c r="AY10" s="12" t="n">
        <f aca="false">IF(AE10=0,"",IF(AN10="FT",IF(AV10&lt;FT_First,0,IF(AV10&lt;FT_Y5,1+INT((AV10-FT_First)/FT_Int1),FT_PreY5+FT_PerYear*INT((AV10-FT_Y5)/12)+FT_AnnivDays+INT(MOD(AV10-FT_Y5,12)/FT_Int2))),IF(AN10="PT",IF(AV10&lt;PT_First,0,1+INT((AV10-PT_First)/PT_Int)),0))+IF(AND(AG10&gt;=2,AI10&lt;=PFYDate),IF(AO10="FT",IF(AW10&lt;FT_First,0,IF(AW10&lt;FT_Y5,1+INT((AW10-FT_First)/FT_Int1),FT_PreY5+FT_PerYear*INT((AW10-FT_Y5)/12)+FT_AnnivDays+INT(MOD(AW10-FT_Y5,12)/FT_Int2))),IF(AO10="PT",IF(AW10&lt;PT_First,0,1+INT((AW10-PT_First)/PT_Int)),0))-IF(AO10="FT",IF(AV10&lt;FT_First,0,IF(AV10&lt;FT_Y5,1+INT((AV10-FT_First)/FT_Int1),FT_PreY5+FT_PerYear*INT((AV10-FT_Y5)/12)+FT_AnnivDays+INT(MOD(AV10-FT_Y5,12)/FT_Int2))),IF(AO10="PT",IF(AV10&lt;PT_First,0,1+INT((AV10-PT_First)/PT_Int)),0)),0)+IF(AND(AG10&gt;=3,AJ10&lt;=PFYDate),IF(AP10="FT",IF(AU10&lt;FT_First,0,IF(AU10&lt;FT_Y5,1+INT((AU10-FT_First)/FT_Int1),FT_PreY5+FT_PerYear*INT((AU10-FT_Y5)/12)+FT_AnnivDays+INT(MOD(AU10-FT_Y5,12)/FT_Int2))),IF(AP10="PT",IF(AU10&lt;PT_First,0,1+INT((AU10-PT_First)/PT_Int)),0))-IF(AP10="FT",IF(AW10&lt;FT_First,0,IF(AW10&lt;FT_Y5,1+INT((AW10-FT_First)/FT_Int1),FT_PreY5+FT_PerYear*INT((AW10-FT_Y5)/12)+FT_AnnivDays+INT(MOD(AW10-FT_Y5,12)/FT_Int2))),IF(AP10="PT",IF(AW10&lt;PT_First,0,1+INT((AW10-PT_First)/PT_Int)),0)),0))</f>
        <v>2</v>
      </c>
      <c r="AZ10" s="12" t="n">
        <f aca="false">IF(AE10=0,"",IF(AQ10="FT",IF(AR10&lt;FT_First,FT_First,IF(AR10&lt;FT_Y5,MIN(FT_Y5,FT_First+FT_Int1*(INT((AR10-FT_First)/FT_Int1)+1)),FT_Y5+12*INT((AR10-FT_Y5)/12)+FT_Int2*(INT(MOD(AR10-FT_Y5,12)/FT_Int2)+1))),IF(AQ10="PT",IF(AR10&lt;PT_First,PT_First,PT_First+PT_Int*(INT((AR10-PT_First)/PT_Int)+1)),"")))</f>
        <v>48</v>
      </c>
      <c r="BA10" s="12" t="n">
        <f aca="false">IF(AE10=0,"",IF(NOT(LH_Ready),0,COUNTIFS(INDEX(LH_Data,0,LH_ColFirst),$A10,INDEX(LH_Data,0,LH_ColSur),$B10,INDEX(LH_Data,0,LH_ColCat),BonusCat)))</f>
        <v>0</v>
      </c>
      <c r="BB10" s="12" t="n">
        <f aca="false">IF(AE10=0,"",IF(OR(NOT(LH_Ready),BA10=0),0,SUMPRODUCT(MAX((INDEX(LH_Data,0,LH_ColFirst)=$A10)*(INDEX(LH_Data,0,LH_ColSur)=$B10)*(INDEX(LH_Data,0,LH_ColCat)=BonusCat)*ROW(LH_Data)))))</f>
        <v>0</v>
      </c>
    </row>
    <row r="11" customFormat="false" ht="15" hidden="false" customHeight="false" outlineLevel="0" collapsed="false">
      <c r="A11" s="8" t="s">
        <v>93</v>
      </c>
      <c r="B11" s="8" t="s">
        <v>94</v>
      </c>
      <c r="C11" s="8" t="s">
        <v>80</v>
      </c>
      <c r="D11" s="9" t="n">
        <v>37250</v>
      </c>
      <c r="E11" s="10" t="n">
        <f aca="false">IF(OR(AE11=0,$D11=""),"",DATE(YEAR(AsOfDate)+IF(DATE(YEAR(AsOfDate),MONTH($D11),DAY($D11))&lt;=AsOfDate,1,0),MONTH($D11),DAY($D11)))</f>
        <v>46381</v>
      </c>
      <c r="F11" s="9" t="n">
        <v>45627</v>
      </c>
      <c r="G11" s="9"/>
      <c r="H11" s="9" t="n">
        <v>45627</v>
      </c>
      <c r="I11" s="9"/>
      <c r="J11" s="9"/>
      <c r="K11" s="10" t="n">
        <f aca="false">IF(AE11=0,"",DATE(YEAR(AsOfDate)+IF(DATE(YEAR(AsOfDate),MONTH($F11),DAY($F11))&lt;=AsOfDate,1,0),MONTH($F11),DAY($F11)))</f>
        <v>46357</v>
      </c>
      <c r="L11" s="11" t="n">
        <f aca="false">IF(AE11=0,"",ROUND((AsOfDate-$F11)/365.25,1))</f>
        <v>1.8</v>
      </c>
      <c r="M11" s="12" t="str">
        <f aca="false">IF(AE11=0,"",IF(AsOfDate&lt;AF11,"-",DATEDIF(AF11,AsOfDate,"y")&amp;"y "&amp;DATEDIF(AF11,AsOfDate,"ym")&amp;"m "&amp;DATEDIF(AF11,AsOfDate,"md")&amp;"d"))</f>
        <v>1y 10m 0d</v>
      </c>
      <c r="N11" s="13" t="n">
        <f aca="false">IF(AE11=0,"",O11*HoursPerDay)</f>
        <v>0</v>
      </c>
      <c r="O11" s="13" t="n">
        <f aca="false">IF(AE11=0,"",AX11)</f>
        <v>0</v>
      </c>
      <c r="P11" s="14"/>
      <c r="Q11" s="12" t="str">
        <f aca="false">IF(AE11=0,"",IF(AG11&lt;2,"",AK11&amp;" to "&amp;AL11&amp;" on "&amp;TEXT(AI11,"dd/mm/yyyy")&amp;IF(AI11&gt;AsOfDate," (future)",IF(AN11=AO11,"",IF(AO11="None"," - STOPPED accruing",IF(AN11="None"," - now qualifying"," - pathway changed"))))&amp;IF(AG11&lt;3,"","; "&amp;AL11&amp;" to "&amp;AM11&amp;" on "&amp;TEXT(AJ11,"dd/mm/yyyy")&amp;IF(AJ11&gt;AsOfDate," (future)",IF(AO11=AP11,"",IF(AP11="None"," - STOPPED accruing",IF(AO11="None"," - now qualifying"," - pathway changed")))))))</f>
        <v/>
      </c>
      <c r="R11" s="12" t="str">
        <f aca="false">IF(AE11=0,"",IF(AQ11="None",IF(O11&gt;0,"No longer accruing","Not eligible - "&amp;IF(AND(OR(ISNUMBER(SEARCH("part",$C11)),UPPER(TRIM($C11))="PT",UPPER(TRIM($C11))="PTE"),$P11&lt;&gt;"",N($P11)&lt;PT_MinHours),"under "&amp;PT_MinHours&amp;" hrs",IF(IF($C11="","",IF(OR(ISNUMBER(SEARCH("full",$C11)),UPPER(TRIM($C11))="FT",UPPER(TRIM($C11))="FTE"),"Full-Time",IF(OR(ISNUMBER(SEARCH("part",$C11)),UPPER(TRIM($C11))="PT",UPPER(TRIM($C11))="PTE"),"Part-Time",IF(OR(ISNUMBER(SEARCH("cas",$C11)),UPPER(TRIM($C11))="CAS"),"Casual","Unknown"))))="Unknown","type not recognised",$C11))),IF(O11&gt;0,"Yes - accruing","Not yet - from "&amp;TEXT(S11,"dd/mm/yyyy"))))</f>
        <v>Not yet - from 01/12/2027</v>
      </c>
      <c r="S11" s="10" t="n">
        <f aca="false">IF(AE11=0,"",IF(AQ11="None","",EDATE(AF11,AZ11)))</f>
        <v>46722</v>
      </c>
      <c r="T11" s="13" t="n">
        <f aca="false">IF(OR(AE11=0,W11=""),"",W11-U11+V11)</f>
        <v>0</v>
      </c>
      <c r="U11" s="13" t="n">
        <f aca="false">IF(AE11=0,"",IF(NOT(LH_Ready),"",SUMIFS(INDEX(LH_Data,0,LH_ColAcc),INDEX(LH_Data,0,LH_ColFirst),$A11,INDEX(LH_Data,0,LH_ColSur),$B11,INDEX(LH_Data,0,LH_ColCat),BonusCat)*UnitFactor))</f>
        <v>0</v>
      </c>
      <c r="V11" s="13" t="n">
        <f aca="false">IF(AE11=0,"",IF(NOT(LH_Ready),"",SUMIFS(INDEX(LH_Data,0,LH_ColTaken),INDEX(LH_Data,0,LH_ColFirst),$A11,INDEX(LH_Data,0,LH_ColSur),$B11,INDEX(LH_Data,0,LH_ColCat),BonusCat)*UnitFactor))</f>
        <v>0</v>
      </c>
      <c r="W11" s="13" t="n">
        <f aca="false">IF(AE11=0,"",IF(NOT(LH_Ready),"",IF(BB11=0,0,INDEX(INDEX(LH_Data,0,LH_ColClose),BB11-1)*UnitFactor)))</f>
        <v>0</v>
      </c>
      <c r="X11" s="13" t="n">
        <f aca="false">IF(AE11=0,"",(AX11-AY11)*HoursPerDay)</f>
        <v>0</v>
      </c>
      <c r="Y11" s="13" t="n">
        <f aca="false">IF(AE11=0,"",IF(NOT(LH_Ready),"",IF(BA11=0,N11,X11-N(U11))))</f>
        <v>0</v>
      </c>
      <c r="Z11" s="12" t="str">
        <f aca="false">IF(OR(AE11=0,Y11=""),"",IF(Y11&gt;0,"Yes","No"))</f>
        <v>No</v>
      </c>
      <c r="AA11" s="12" t="str">
        <f aca="false">IF(AE11=0,IF(LEN($A11&amp;$B11)=0,"","FIX INPUT - StartDate missing"),IF(AD11&lt;&gt;"","FIX INPUT - "&amp;AD11,IF(NOT(LH_Ready),"Paste Leave History export (Settings must show YES)",IF(Y11&gt;0,"ACCRUE "&amp;ROUND(Y11,2)&amp;" hrs ("&amp;ROUND(Y11/HoursPerDay,2)&amp;" days)"&amp;IF(BA11=0," - no Bonus Leave in EH yet, full catch-up since start",""),IF(Y11&lt;0,"CHECK - EH accrued "&amp;ROUND(-Y11,2)&amp;""&amp;" hrs more than policy",IF(O11&gt;0,"OK - nothing to add",IF(AQ11="None",R11,"Not yet - first day on "&amp;TEXT(S11,"dd/mm/yyyy"))))))))</f>
        <v>Not yet - first day on 01/12/2027</v>
      </c>
      <c r="AB11" s="13" t="n">
        <f aca="false">IF(OR(AE11=0,T11=""),"",AY11*HoursPerDay-T11)</f>
        <v>0</v>
      </c>
      <c r="AC11" s="12" t="n">
        <f aca="false">IF(AE11=0,"",BA11)</f>
        <v>0</v>
      </c>
      <c r="AD11" s="12" t="str">
        <f aca="false">IF(AE11=0,"",TRIM(IF(IF($C11="","",IF(OR(ISNUMBER(SEARCH("full",$C11)),UPPER(TRIM($C11))="FT",UPPER(TRIM($C11))="FTE"),"Full-Time",IF(OR(ISNUMBER(SEARCH("part",$C11)),UPPER(TRIM($C11))="PT",UPPER(TRIM($C11))="PTE"),"Part-Time",IF(OR(ISNUMBER(SEARCH("cas",$C11)),UPPER(TRIM($C11))="CAS"),"Casual","Unknown"))))="Unknown","EmploymentType not recognised - use Full-Time, Part-Time or Casual. ","")&amp;IF(AND(AG11&gt;=1,IF(AG11&gt;=3,AM11,IF(AG11=2,AL11,AK11))&lt;&gt;IF($C11="","",IF(OR(ISNUMBER(SEARCH("full",$C11)),UPPER(TRIM($C11))="FT",UPPER(TRIM($C11))="FTE"),"Full-Time",IF(OR(ISNUMBER(SEARCH("part",$C11)),UPPER(TRIM($C11))="PT",UPPER(TRIM($C11))="PTE"),"Part-Time",IF(OR(ISNUMBER(SEARCH("cas",$C11)),UPPER(TRIM($C11))="CAS"),"Casual","Unknown"))))),"EmploymentType does not match latest start date ("&amp;IF(AG11&gt;=3,AM11,IF(AG11=2,AL11,AK11))&amp;"). ","")&amp;IF(AND(AG11&gt;=1,AH11&lt;&gt;$F11),"Earliest type date should equal StartDate. ","")&amp;IF(AND(AG11&gt;=2,AH11=AI11),"Two types start on the same date. ","")&amp;IF(AND(OR(ISNUMBER(SEARCH("part",$C11)),UPPER(TRIM($C11))="PT",UPPER(TRIM($C11))="PTE"),$P11=""),"Part-time: enter PT Hrs/Week (blank = 24+). ","")))</f>
        <v/>
      </c>
      <c r="AE11" s="12" t="n">
        <f aca="false">IF(OR(LEN($A11&amp;$B11)=0,$F11=""),0,1)</f>
        <v>1</v>
      </c>
      <c r="AF11" s="10" t="n">
        <f aca="false">IF(AE11=0,"",IF($J11&lt;&gt;"",$J11,$F11))</f>
        <v>45627</v>
      </c>
      <c r="AG11" s="12" t="n">
        <f aca="false">IF(AE11=0,"",COUNT($G11:$I11))</f>
        <v>1</v>
      </c>
      <c r="AH11" s="10" t="n">
        <f aca="false">IF(AE11=0,"",IFERROR(SMALL($G11:$I11,1),""))</f>
        <v>45627</v>
      </c>
      <c r="AI11" s="10" t="str">
        <f aca="false">IF(AE11=0,"",IFERROR(SMALL($G11:$I11,2),""))</f>
        <v/>
      </c>
      <c r="AJ11" s="10" t="str">
        <f aca="false">IF(AE11=0,"",IFERROR(SMALL($G11:$I11,3),""))</f>
        <v/>
      </c>
      <c r="AK11" s="12" t="str">
        <f aca="false">IF(AE11=0,"",IF(AH11="","",IF(AH11=$G11,"Part-Time",IF(AH11=$H11,"Full-Time","Casual"))))</f>
        <v>Full-Time</v>
      </c>
      <c r="AL11" s="12" t="str">
        <f aca="false">IF(AE11=0,"",IF(AI11="","",IF(AI11=$G11,"Part-Time",IF(AI11=$H11,"Full-Time","Casual"))))</f>
        <v/>
      </c>
      <c r="AM11" s="12" t="str">
        <f aca="false">IF(AE11=0,"",IF(AJ11="","",IF(AJ11=$G11,"Part-Time",IF(AJ11=$H11,"Full-Time","Casual"))))</f>
        <v/>
      </c>
      <c r="AN11" s="12" t="str">
        <f aca="false">IF(AE11=0,"",IF(AG11=0,IF(OR(ISNUMBER(SEARCH("full",$C11)),UPPER(TRIM($C11))="FT",UPPER(TRIM($C11))="FTE"),"FT",IF(AND(OR(ISNUMBER(SEARCH("part",$C11)),UPPER(TRIM($C11))="PT",UPPER(TRIM($C11))="PTE"),OR($P11="",N($P11)&gt;=PT_MinHours)),"PT","None")),IF(OR(ISNUMBER(SEARCH("full",AK11)),UPPER(TRIM(AK11))="FT",UPPER(TRIM(AK11))="FTE"),"FT",IF(AND(OR(ISNUMBER(SEARCH("part",AK11)),UPPER(TRIM(AK11))="PT",UPPER(TRIM(AK11))="PTE"),OR($P11="",N($P11)&gt;=PT_MinHours)),"PT","None"))))</f>
        <v>FT</v>
      </c>
      <c r="AO11" s="12" t="str">
        <f aca="false">IF(AE11=0,"",IF(AG11&lt;2,"",IF(OR(ISNUMBER(SEARCH("full",AL11)),UPPER(TRIM(AL11))="FT",UPPER(TRIM(AL11))="FTE"),"FT",IF(AND(OR(ISNUMBER(SEARCH("part",AL11)),UPPER(TRIM(AL11))="PT",UPPER(TRIM(AL11))="PTE"),OR($P11="",N($P11)&gt;=PT_MinHours)),"PT","None"))))</f>
        <v/>
      </c>
      <c r="AP11" s="12" t="str">
        <f aca="false">IF(AE11=0,"",IF(AG11&lt;3,"",IF(OR(ISNUMBER(SEARCH("full",AM11)),UPPER(TRIM(AM11))="FT",UPPER(TRIM(AM11))="FTE"),"FT",IF(AND(OR(ISNUMBER(SEARCH("part",AM11)),UPPER(TRIM(AM11))="PT",UPPER(TRIM(AM11))="PTE"),OR($P11="",N($P11)&gt;=PT_MinHours)),"PT","None"))))</f>
        <v/>
      </c>
      <c r="AQ11" s="12" t="str">
        <f aca="false">IF(AE11=0,"",IF(AND(AG11&gt;=3,AJ11&lt;=AsOfDate),AP11,IF(AND(AG11&gt;=2,AI11&lt;=AsOfDate),AO11,AN11)))</f>
        <v>FT</v>
      </c>
      <c r="AR11" s="12" t="n">
        <f aca="false">IF(AE11=0,"",IF(AsOfDate&lt;AF11,-1,12*(YEAR(AsOfDate)-YEAR(AF11))+MONTH(AsOfDate)-MONTH(AF11)-IF(DAY(AsOfDate)&lt;MIN(DAY(AF11),DAY(EOMONTH(AsOfDate,0))),1,0)))</f>
        <v>22</v>
      </c>
      <c r="AS11" s="12" t="n">
        <f aca="false">IF(AE11=0,"",IF(OR(AG11&lt;2,AI11&gt;AsOfDate),AR11,IF((AI11-1)&lt;AF11,-1,12*(YEAR((AI11-1))-YEAR(AF11))+MONTH((AI11-1))-MONTH(AF11)-IF(DAY((AI11-1))&lt;MIN(DAY(AF11),DAY(EOMONTH((AI11-1),0))),1,0))))</f>
        <v>22</v>
      </c>
      <c r="AT11" s="12" t="n">
        <f aca="false">IF(AE11=0,"",IF(OR(AG11&lt;3,AJ11&gt;AsOfDate),AR11,IF((AJ11-1)&lt;AF11,-1,12*(YEAR((AJ11-1))-YEAR(AF11))+MONTH((AJ11-1))-MONTH(AF11)-IF(DAY((AJ11-1))&lt;MIN(DAY(AF11),DAY(EOMONTH((AJ11-1),0))),1,0))))</f>
        <v>22</v>
      </c>
      <c r="AU11" s="12" t="n">
        <f aca="false">IF(AE11=0,"",IF(PFYDate&lt;AF11,-1,12*(YEAR(PFYDate)-YEAR(AF11))+MONTH(PFYDate)-MONTH(AF11)-IF(DAY(PFYDate)&lt;MIN(DAY(AF11),DAY(EOMONTH(PFYDate,0))),1,0)))</f>
        <v>18</v>
      </c>
      <c r="AV11" s="12" t="n">
        <f aca="false">IF(AE11=0,"",IF(OR(AG11&lt;2,AI11&gt;PFYDate),AU11,IF((AI11-1)&lt;AF11,-1,12*(YEAR((AI11-1))-YEAR(AF11))+MONTH((AI11-1))-MONTH(AF11)-IF(DAY((AI11-1))&lt;MIN(DAY(AF11),DAY(EOMONTH((AI11-1),0))),1,0))))</f>
        <v>18</v>
      </c>
      <c r="AW11" s="12" t="n">
        <f aca="false">IF(AE11=0,"",IF(OR(AG11&lt;3,AJ11&gt;PFYDate),AU11,IF((AJ11-1)&lt;AF11,-1,12*(YEAR((AJ11-1))-YEAR(AF11))+MONTH((AJ11-1))-MONTH(AF11)-IF(DAY((AJ11-1))&lt;MIN(DAY(AF11),DAY(EOMONTH((AJ11-1),0))),1,0))))</f>
        <v>18</v>
      </c>
      <c r="AX11" s="12" t="n">
        <f aca="false">IF(AE11=0,"",IF(AN11="FT",IF(AS11&lt;FT_First,0,IF(AS11&lt;FT_Y5,1+INT((AS11-FT_First)/FT_Int1),FT_PreY5+FT_PerYear*INT((AS11-FT_Y5)/12)+FT_AnnivDays+INT(MOD(AS11-FT_Y5,12)/FT_Int2))),IF(AN11="PT",IF(AS11&lt;PT_First,0,1+INT((AS11-PT_First)/PT_Int)),0))+IF(AND(AG11&gt;=2,AI11&lt;=AsOfDate),IF(AO11="FT",IF(AT11&lt;FT_First,0,IF(AT11&lt;FT_Y5,1+INT((AT11-FT_First)/FT_Int1),FT_PreY5+FT_PerYear*INT((AT11-FT_Y5)/12)+FT_AnnivDays+INT(MOD(AT11-FT_Y5,12)/FT_Int2))),IF(AO11="PT",IF(AT11&lt;PT_First,0,1+INT((AT11-PT_First)/PT_Int)),0))-IF(AO11="FT",IF(AS11&lt;FT_First,0,IF(AS11&lt;FT_Y5,1+INT((AS11-FT_First)/FT_Int1),FT_PreY5+FT_PerYear*INT((AS11-FT_Y5)/12)+FT_AnnivDays+INT(MOD(AS11-FT_Y5,12)/FT_Int2))),IF(AO11="PT",IF(AS11&lt;PT_First,0,1+INT((AS11-PT_First)/PT_Int)),0)),0)+IF(AND(AG11&gt;=3,AJ11&lt;=AsOfDate),IF(AP11="FT",IF(AR11&lt;FT_First,0,IF(AR11&lt;FT_Y5,1+INT((AR11-FT_First)/FT_Int1),FT_PreY5+FT_PerYear*INT((AR11-FT_Y5)/12)+FT_AnnivDays+INT(MOD(AR11-FT_Y5,12)/FT_Int2))),IF(AP11="PT",IF(AR11&lt;PT_First,0,1+INT((AR11-PT_First)/PT_Int)),0))-IF(AP11="FT",IF(AT11&lt;FT_First,0,IF(AT11&lt;FT_Y5,1+INT((AT11-FT_First)/FT_Int1),FT_PreY5+FT_PerYear*INT((AT11-FT_Y5)/12)+FT_AnnivDays+INT(MOD(AT11-FT_Y5,12)/FT_Int2))),IF(AP11="PT",IF(AT11&lt;PT_First,0,1+INT((AT11-PT_First)/PT_Int)),0)),0))</f>
        <v>0</v>
      </c>
      <c r="AY11" s="12" t="n">
        <f aca="false">IF(AE11=0,"",IF(AN11="FT",IF(AV11&lt;FT_First,0,IF(AV11&lt;FT_Y5,1+INT((AV11-FT_First)/FT_Int1),FT_PreY5+FT_PerYear*INT((AV11-FT_Y5)/12)+FT_AnnivDays+INT(MOD(AV11-FT_Y5,12)/FT_Int2))),IF(AN11="PT",IF(AV11&lt;PT_First,0,1+INT((AV11-PT_First)/PT_Int)),0))+IF(AND(AG11&gt;=2,AI11&lt;=PFYDate),IF(AO11="FT",IF(AW11&lt;FT_First,0,IF(AW11&lt;FT_Y5,1+INT((AW11-FT_First)/FT_Int1),FT_PreY5+FT_PerYear*INT((AW11-FT_Y5)/12)+FT_AnnivDays+INT(MOD(AW11-FT_Y5,12)/FT_Int2))),IF(AO11="PT",IF(AW11&lt;PT_First,0,1+INT((AW11-PT_First)/PT_Int)),0))-IF(AO11="FT",IF(AV11&lt;FT_First,0,IF(AV11&lt;FT_Y5,1+INT((AV11-FT_First)/FT_Int1),FT_PreY5+FT_PerYear*INT((AV11-FT_Y5)/12)+FT_AnnivDays+INT(MOD(AV11-FT_Y5,12)/FT_Int2))),IF(AO11="PT",IF(AV11&lt;PT_First,0,1+INT((AV11-PT_First)/PT_Int)),0)),0)+IF(AND(AG11&gt;=3,AJ11&lt;=PFYDate),IF(AP11="FT",IF(AU11&lt;FT_First,0,IF(AU11&lt;FT_Y5,1+INT((AU11-FT_First)/FT_Int1),FT_PreY5+FT_PerYear*INT((AU11-FT_Y5)/12)+FT_AnnivDays+INT(MOD(AU11-FT_Y5,12)/FT_Int2))),IF(AP11="PT",IF(AU11&lt;PT_First,0,1+INT((AU11-PT_First)/PT_Int)),0))-IF(AP11="FT",IF(AW11&lt;FT_First,0,IF(AW11&lt;FT_Y5,1+INT((AW11-FT_First)/FT_Int1),FT_PreY5+FT_PerYear*INT((AW11-FT_Y5)/12)+FT_AnnivDays+INT(MOD(AW11-FT_Y5,12)/FT_Int2))),IF(AP11="PT",IF(AW11&lt;PT_First,0,1+INT((AW11-PT_First)/PT_Int)),0)),0))</f>
        <v>0</v>
      </c>
      <c r="AZ11" s="12" t="n">
        <f aca="false">IF(AE11=0,"",IF(AQ11="FT",IF(AR11&lt;FT_First,FT_First,IF(AR11&lt;FT_Y5,MIN(FT_Y5,FT_First+FT_Int1*(INT((AR11-FT_First)/FT_Int1)+1)),FT_Y5+12*INT((AR11-FT_Y5)/12)+FT_Int2*(INT(MOD(AR11-FT_Y5,12)/FT_Int2)+1))),IF(AQ11="PT",IF(AR11&lt;PT_First,PT_First,PT_First+PT_Int*(INT((AR11-PT_First)/PT_Int)+1)),"")))</f>
        <v>36</v>
      </c>
      <c r="BA11" s="12" t="n">
        <f aca="false">IF(AE11=0,"",IF(NOT(LH_Ready),0,COUNTIFS(INDEX(LH_Data,0,LH_ColFirst),$A11,INDEX(LH_Data,0,LH_ColSur),$B11,INDEX(LH_Data,0,LH_ColCat),BonusCat)))</f>
        <v>0</v>
      </c>
      <c r="BB11" s="12" t="n">
        <f aca="false">IF(AE11=0,"",IF(OR(NOT(LH_Ready),BA11=0),0,SUMPRODUCT(MAX((INDEX(LH_Data,0,LH_ColFirst)=$A11)*(INDEX(LH_Data,0,LH_ColSur)=$B11)*(INDEX(LH_Data,0,LH_ColCat)=BonusCat)*ROW(LH_Data)))))</f>
        <v>0</v>
      </c>
    </row>
    <row r="12" customFormat="false" ht="15" hidden="false" customHeight="false" outlineLevel="0" collapsed="false">
      <c r="A12" s="8" t="s">
        <v>95</v>
      </c>
      <c r="B12" s="8" t="s">
        <v>96</v>
      </c>
      <c r="C12" s="8" t="s">
        <v>80</v>
      </c>
      <c r="D12" s="9" t="n">
        <v>34126</v>
      </c>
      <c r="E12" s="10" t="n">
        <f aca="false">IF(OR(AE12=0,$D12=""),"",DATE(YEAR(AsOfDate)+IF(DATE(YEAR(AsOfDate),MONTH($D12),DAY($D12))&lt;=AsOfDate,1,0),MONTH($D12),DAY($D12)))</f>
        <v>46544</v>
      </c>
      <c r="F12" s="9" t="n">
        <v>43710</v>
      </c>
      <c r="G12" s="9"/>
      <c r="H12" s="9" t="n">
        <v>44256</v>
      </c>
      <c r="I12" s="9" t="n">
        <v>43710</v>
      </c>
      <c r="J12" s="9"/>
      <c r="K12" s="10" t="n">
        <f aca="false">IF(AE12=0,"",DATE(YEAR(AsOfDate)+IF(DATE(YEAR(AsOfDate),MONTH($F12),DAY($F12))&lt;=AsOfDate,1,0),MONTH($F12),DAY($F12)))</f>
        <v>46632</v>
      </c>
      <c r="L12" s="11" t="n">
        <f aca="false">IF(AE12=0,"",ROUND((AsOfDate-$F12)/365.25,1))</f>
        <v>7.1</v>
      </c>
      <c r="M12" s="12" t="str">
        <f aca="false">IF(AE12=0,"",IF(AsOfDate&lt;AF12,"-",DATEDIF(AF12,AsOfDate,"y")&amp;"y "&amp;DATEDIF(AF12,AsOfDate,"ym")&amp;"m "&amp;DATEDIF(AF12,AsOfDate,"md")&amp;"d"))</f>
        <v>7y 0m 29d</v>
      </c>
      <c r="N12" s="13" t="n">
        <f aca="false">IF(AE12=0,"",O12*HoursPerDay)</f>
        <v>144</v>
      </c>
      <c r="O12" s="13" t="n">
        <f aca="false">IF(AE12=0,"",AX12)</f>
        <v>18</v>
      </c>
      <c r="P12" s="14"/>
      <c r="Q12" s="12" t="str">
        <f aca="false">IF(AE12=0,"",IF(AG12&lt;2,"",AK12&amp;" to "&amp;AL12&amp;" on "&amp;TEXT(AI12,"dd/mm/yyyy")&amp;IF(AI12&gt;AsOfDate," (future)",IF(AN12=AO12,"",IF(AO12="None"," - STOPPED accruing",IF(AN12="None"," - now qualifying"," - pathway changed"))))&amp;IF(AG12&lt;3,"","; "&amp;AL12&amp;" to "&amp;AM12&amp;" on "&amp;TEXT(AJ12,"dd/mm/yyyy")&amp;IF(AJ12&gt;AsOfDate," (future)",IF(AO12=AP12,"",IF(AP12="None"," - STOPPED accruing",IF(AO12="None"," - now qualifying"," - pathway changed")))))))</f>
        <v>Casual to Full-Time on 01/03/2021 - now qualifying</v>
      </c>
      <c r="R12" s="12" t="str">
        <f aca="false">IF(AE12=0,"",IF(AQ12="None",IF(O12&gt;0,"No longer accruing","Not eligible - "&amp;IF(AND(OR(ISNUMBER(SEARCH("part",$C12)),UPPER(TRIM($C12))="PT",UPPER(TRIM($C12))="PTE"),$P12&lt;&gt;"",N($P12)&lt;PT_MinHours),"under "&amp;PT_MinHours&amp;" hrs",IF(IF($C12="","",IF(OR(ISNUMBER(SEARCH("full",$C12)),UPPER(TRIM($C12))="FT",UPPER(TRIM($C12))="FTE"),"Full-Time",IF(OR(ISNUMBER(SEARCH("part",$C12)),UPPER(TRIM($C12))="PT",UPPER(TRIM($C12))="PTE"),"Part-Time",IF(OR(ISNUMBER(SEARCH("cas",$C12)),UPPER(TRIM($C12))="CAS"),"Casual","Unknown"))))="Unknown","type not recognised",$C12))),IF(O12&gt;0,"Yes - accruing","Not yet - from "&amp;TEXT(S12,"dd/mm/yyyy"))))</f>
        <v>Yes - accruing</v>
      </c>
      <c r="S12" s="10" t="n">
        <f aca="false">IF(AE12=0,"",IF(AQ12="None","",EDATE(AF12,AZ12)))</f>
        <v>46358</v>
      </c>
      <c r="T12" s="13" t="n">
        <f aca="false">IF(OR(AE12=0,W12=""),"",W12-U12+V12)</f>
        <v>16</v>
      </c>
      <c r="U12" s="13" t="n">
        <f aca="false">IF(AE12=0,"",IF(NOT(LH_Ready),"",SUMIFS(INDEX(LH_Data,0,LH_ColAcc),INDEX(LH_Data,0,LH_ColFirst),$A12,INDEX(LH_Data,0,LH_ColSur),$B12,INDEX(LH_Data,0,LH_ColCat),BonusCat)*UnitFactor))</f>
        <v>0</v>
      </c>
      <c r="V12" s="13" t="n">
        <f aca="false">IF(AE12=0,"",IF(NOT(LH_Ready),"",SUMIFS(INDEX(LH_Data,0,LH_ColTaken),INDEX(LH_Data,0,LH_ColFirst),$A12,INDEX(LH_Data,0,LH_ColSur),$B12,INDEX(LH_Data,0,LH_ColCat),BonusCat)*UnitFactor))</f>
        <v>0</v>
      </c>
      <c r="W12" s="13" t="n">
        <f aca="false">IF(AE12=0,"",IF(NOT(LH_Ready),"",IF(BB12=0,0,INDEX(INDEX(LH_Data,0,LH_ColClose),BB12-1)*UnitFactor)))</f>
        <v>16</v>
      </c>
      <c r="X12" s="13" t="n">
        <f aca="false">IF(AE12=0,"",(AX12-AY12)*HoursPerDay)</f>
        <v>16</v>
      </c>
      <c r="Y12" s="13" t="n">
        <f aca="false">IF(AE12=0,"",IF(NOT(LH_Ready),"",IF(BA12=0,N12,X12-N(U12))))</f>
        <v>16</v>
      </c>
      <c r="Z12" s="12" t="str">
        <f aca="false">IF(OR(AE12=0,Y12=""),"",IF(Y12&gt;0,"Yes","No"))</f>
        <v>Yes</v>
      </c>
      <c r="AA12" s="12" t="str">
        <f aca="false">IF(AE12=0,IF(LEN($A12&amp;$B12)=0,"","FIX INPUT - StartDate missing"),IF(AD12&lt;&gt;"","FIX INPUT - "&amp;AD12,IF(NOT(LH_Ready),"Paste Leave History export (Settings must show YES)",IF(Y12&gt;0,"ACCRUE "&amp;ROUND(Y12,2)&amp;" hrs ("&amp;ROUND(Y12/HoursPerDay,2)&amp;" days)"&amp;IF(BA12=0," - no Bonus Leave in EH yet, full catch-up since start",""),IF(Y12&lt;0,"CHECK - EH accrued "&amp;ROUND(-Y12,2)&amp;""&amp;" hrs more than policy",IF(O12&gt;0,"OK - nothing to add",IF(AQ12="None",R12,"Not yet - first day on "&amp;TEXT(S12,"dd/mm/yyyy"))))))))</f>
        <v>ACCRUE 16 hrs (2 days)</v>
      </c>
      <c r="AB12" s="13" t="n">
        <f aca="false">IF(OR(AE12=0,T12=""),"",AY12*HoursPerDay-T12)</f>
        <v>112</v>
      </c>
      <c r="AC12" s="12" t="n">
        <f aca="false">IF(AE12=0,"",BA12)</f>
        <v>6</v>
      </c>
      <c r="AD12" s="12" t="str">
        <f aca="false">IF(AE12=0,"",TRIM(IF(IF($C12="","",IF(OR(ISNUMBER(SEARCH("full",$C12)),UPPER(TRIM($C12))="FT",UPPER(TRIM($C12))="FTE"),"Full-Time",IF(OR(ISNUMBER(SEARCH("part",$C12)),UPPER(TRIM($C12))="PT",UPPER(TRIM($C12))="PTE"),"Part-Time",IF(OR(ISNUMBER(SEARCH("cas",$C12)),UPPER(TRIM($C12))="CAS"),"Casual","Unknown"))))="Unknown","EmploymentType not recognised - use Full-Time, Part-Time or Casual. ","")&amp;IF(AND(AG12&gt;=1,IF(AG12&gt;=3,AM12,IF(AG12=2,AL12,AK12))&lt;&gt;IF($C12="","",IF(OR(ISNUMBER(SEARCH("full",$C12)),UPPER(TRIM($C12))="FT",UPPER(TRIM($C12))="FTE"),"Full-Time",IF(OR(ISNUMBER(SEARCH("part",$C12)),UPPER(TRIM($C12))="PT",UPPER(TRIM($C12))="PTE"),"Part-Time",IF(OR(ISNUMBER(SEARCH("cas",$C12)),UPPER(TRIM($C12))="CAS"),"Casual","Unknown"))))),"EmploymentType does not match latest start date ("&amp;IF(AG12&gt;=3,AM12,IF(AG12=2,AL12,AK12))&amp;"). ","")&amp;IF(AND(AG12&gt;=1,AH12&lt;&gt;$F12),"Earliest type date should equal StartDate. ","")&amp;IF(AND(AG12&gt;=2,AH12=AI12),"Two types start on the same date. ","")&amp;IF(AND(OR(ISNUMBER(SEARCH("part",$C12)),UPPER(TRIM($C12))="PT",UPPER(TRIM($C12))="PTE"),$P12=""),"Part-time: enter PT Hrs/Week (blank = 24+). ","")))</f>
        <v/>
      </c>
      <c r="AE12" s="12" t="n">
        <f aca="false">IF(OR(LEN($A12&amp;$B12)=0,$F12=""),0,1)</f>
        <v>1</v>
      </c>
      <c r="AF12" s="10" t="n">
        <f aca="false">IF(AE12=0,"",IF($J12&lt;&gt;"",$J12,$F12))</f>
        <v>43710</v>
      </c>
      <c r="AG12" s="12" t="n">
        <f aca="false">IF(AE12=0,"",COUNT($G12:$I12))</f>
        <v>2</v>
      </c>
      <c r="AH12" s="10" t="n">
        <f aca="false">IF(AE12=0,"",IFERROR(SMALL($G12:$I12,1),""))</f>
        <v>43710</v>
      </c>
      <c r="AI12" s="10" t="n">
        <f aca="false">IF(AE12=0,"",IFERROR(SMALL($G12:$I12,2),""))</f>
        <v>44256</v>
      </c>
      <c r="AJ12" s="10" t="str">
        <f aca="false">IF(AE12=0,"",IFERROR(SMALL($G12:$I12,3),""))</f>
        <v/>
      </c>
      <c r="AK12" s="12" t="str">
        <f aca="false">IF(AE12=0,"",IF(AH12="","",IF(AH12=$G12,"Part-Time",IF(AH12=$H12,"Full-Time","Casual"))))</f>
        <v>Casual</v>
      </c>
      <c r="AL12" s="12" t="str">
        <f aca="false">IF(AE12=0,"",IF(AI12="","",IF(AI12=$G12,"Part-Time",IF(AI12=$H12,"Full-Time","Casual"))))</f>
        <v>Full-Time</v>
      </c>
      <c r="AM12" s="12" t="str">
        <f aca="false">IF(AE12=0,"",IF(AJ12="","",IF(AJ12=$G12,"Part-Time",IF(AJ12=$H12,"Full-Time","Casual"))))</f>
        <v/>
      </c>
      <c r="AN12" s="12" t="str">
        <f aca="false">IF(AE12=0,"",IF(AG12=0,IF(OR(ISNUMBER(SEARCH("full",$C12)),UPPER(TRIM($C12))="FT",UPPER(TRIM($C12))="FTE"),"FT",IF(AND(OR(ISNUMBER(SEARCH("part",$C12)),UPPER(TRIM($C12))="PT",UPPER(TRIM($C12))="PTE"),OR($P12="",N($P12)&gt;=PT_MinHours)),"PT","None")),IF(OR(ISNUMBER(SEARCH("full",AK12)),UPPER(TRIM(AK12))="FT",UPPER(TRIM(AK12))="FTE"),"FT",IF(AND(OR(ISNUMBER(SEARCH("part",AK12)),UPPER(TRIM(AK12))="PT",UPPER(TRIM(AK12))="PTE"),OR($P12="",N($P12)&gt;=PT_MinHours)),"PT","None"))))</f>
        <v>None</v>
      </c>
      <c r="AO12" s="12" t="str">
        <f aca="false">IF(AE12=0,"",IF(AG12&lt;2,"",IF(OR(ISNUMBER(SEARCH("full",AL12)),UPPER(TRIM(AL12))="FT",UPPER(TRIM(AL12))="FTE"),"FT",IF(AND(OR(ISNUMBER(SEARCH("part",AL12)),UPPER(TRIM(AL12))="PT",UPPER(TRIM(AL12))="PTE"),OR($P12="",N($P12)&gt;=PT_MinHours)),"PT","None"))))</f>
        <v>FT</v>
      </c>
      <c r="AP12" s="12" t="str">
        <f aca="false">IF(AE12=0,"",IF(AG12&lt;3,"",IF(OR(ISNUMBER(SEARCH("full",AM12)),UPPER(TRIM(AM12))="FT",UPPER(TRIM(AM12))="FTE"),"FT",IF(AND(OR(ISNUMBER(SEARCH("part",AM12)),UPPER(TRIM(AM12))="PT",UPPER(TRIM(AM12))="PTE"),OR($P12="",N($P12)&gt;=PT_MinHours)),"PT","None"))))</f>
        <v/>
      </c>
      <c r="AQ12" s="12" t="str">
        <f aca="false">IF(AE12=0,"",IF(AND(AG12&gt;=3,AJ12&lt;=AsOfDate),AP12,IF(AND(AG12&gt;=2,AI12&lt;=AsOfDate),AO12,AN12)))</f>
        <v>FT</v>
      </c>
      <c r="AR12" s="12" t="n">
        <f aca="false">IF(AE12=0,"",IF(AsOfDate&lt;AF12,-1,12*(YEAR(AsOfDate)-YEAR(AF12))+MONTH(AsOfDate)-MONTH(AF12)-IF(DAY(AsOfDate)&lt;MIN(DAY(AF12),DAY(EOMONTH(AsOfDate,0))),1,0)))</f>
        <v>84</v>
      </c>
      <c r="AS12" s="12" t="n">
        <f aca="false">IF(AE12=0,"",IF(OR(AG12&lt;2,AI12&gt;AsOfDate),AR12,IF((AI12-1)&lt;AF12,-1,12*(YEAR((AI12-1))-YEAR(AF12))+MONTH((AI12-1))-MONTH(AF12)-IF(DAY((AI12-1))&lt;MIN(DAY(AF12),DAY(EOMONTH((AI12-1),0))),1,0))))</f>
        <v>17</v>
      </c>
      <c r="AT12" s="12" t="n">
        <f aca="false">IF(AE12=0,"",IF(OR(AG12&lt;3,AJ12&gt;AsOfDate),AR12,IF((AJ12-1)&lt;AF12,-1,12*(YEAR((AJ12-1))-YEAR(AF12))+MONTH((AJ12-1))-MONTH(AF12)-IF(DAY((AJ12-1))&lt;MIN(DAY(AF12),DAY(EOMONTH((AJ12-1),0))),1,0))))</f>
        <v>84</v>
      </c>
      <c r="AU12" s="12" t="n">
        <f aca="false">IF(AE12=0,"",IF(PFYDate&lt;AF12,-1,12*(YEAR(PFYDate)-YEAR(AF12))+MONTH(PFYDate)-MONTH(AF12)-IF(DAY(PFYDate)&lt;MIN(DAY(AF12),DAY(EOMONTH(PFYDate,0))),1,0)))</f>
        <v>81</v>
      </c>
      <c r="AV12" s="12" t="n">
        <f aca="false">IF(AE12=0,"",IF(OR(AG12&lt;2,AI12&gt;PFYDate),AU12,IF((AI12-1)&lt;AF12,-1,12*(YEAR((AI12-1))-YEAR(AF12))+MONTH((AI12-1))-MONTH(AF12)-IF(DAY((AI12-1))&lt;MIN(DAY(AF12),DAY(EOMONTH((AI12-1),0))),1,0))))</f>
        <v>17</v>
      </c>
      <c r="AW12" s="12" t="n">
        <f aca="false">IF(AE12=0,"",IF(OR(AG12&lt;3,AJ12&gt;PFYDate),AU12,IF((AJ12-1)&lt;AF12,-1,12*(YEAR((AJ12-1))-YEAR(AF12))+MONTH((AJ12-1))-MONTH(AF12)-IF(DAY((AJ12-1))&lt;MIN(DAY(AF12),DAY(EOMONTH((AJ12-1),0))),1,0))))</f>
        <v>81</v>
      </c>
      <c r="AX12" s="12" t="n">
        <f aca="false">IF(AE12=0,"",IF(AN12="FT",IF(AS12&lt;FT_First,0,IF(AS12&lt;FT_Y5,1+INT((AS12-FT_First)/FT_Int1),FT_PreY5+FT_PerYear*INT((AS12-FT_Y5)/12)+FT_AnnivDays+INT(MOD(AS12-FT_Y5,12)/FT_Int2))),IF(AN12="PT",IF(AS12&lt;PT_First,0,1+INT((AS12-PT_First)/PT_Int)),0))+IF(AND(AG12&gt;=2,AI12&lt;=AsOfDate),IF(AO12="FT",IF(AT12&lt;FT_First,0,IF(AT12&lt;FT_Y5,1+INT((AT12-FT_First)/FT_Int1),FT_PreY5+FT_PerYear*INT((AT12-FT_Y5)/12)+FT_AnnivDays+INT(MOD(AT12-FT_Y5,12)/FT_Int2))),IF(AO12="PT",IF(AT12&lt;PT_First,0,1+INT((AT12-PT_First)/PT_Int)),0))-IF(AO12="FT",IF(AS12&lt;FT_First,0,IF(AS12&lt;FT_Y5,1+INT((AS12-FT_First)/FT_Int1),FT_PreY5+FT_PerYear*INT((AS12-FT_Y5)/12)+FT_AnnivDays+INT(MOD(AS12-FT_Y5,12)/FT_Int2))),IF(AO12="PT",IF(AS12&lt;PT_First,0,1+INT((AS12-PT_First)/PT_Int)),0)),0)+IF(AND(AG12&gt;=3,AJ12&lt;=AsOfDate),IF(AP12="FT",IF(AR12&lt;FT_First,0,IF(AR12&lt;FT_Y5,1+INT((AR12-FT_First)/FT_Int1),FT_PreY5+FT_PerYear*INT((AR12-FT_Y5)/12)+FT_AnnivDays+INT(MOD(AR12-FT_Y5,12)/FT_Int2))),IF(AP12="PT",IF(AR12&lt;PT_First,0,1+INT((AR12-PT_First)/PT_Int)),0))-IF(AP12="FT",IF(AT12&lt;FT_First,0,IF(AT12&lt;FT_Y5,1+INT((AT12-FT_First)/FT_Int1),FT_PreY5+FT_PerYear*INT((AT12-FT_Y5)/12)+FT_AnnivDays+INT(MOD(AT12-FT_Y5,12)/FT_Int2))),IF(AP12="PT",IF(AT12&lt;PT_First,0,1+INT((AT12-PT_First)/PT_Int)),0)),0))</f>
        <v>18</v>
      </c>
      <c r="AY12" s="12" t="n">
        <f aca="false">IF(AE12=0,"",IF(AN12="FT",IF(AV12&lt;FT_First,0,IF(AV12&lt;FT_Y5,1+INT((AV12-FT_First)/FT_Int1),FT_PreY5+FT_PerYear*INT((AV12-FT_Y5)/12)+FT_AnnivDays+INT(MOD(AV12-FT_Y5,12)/FT_Int2))),IF(AN12="PT",IF(AV12&lt;PT_First,0,1+INT((AV12-PT_First)/PT_Int)),0))+IF(AND(AG12&gt;=2,AI12&lt;=PFYDate),IF(AO12="FT",IF(AW12&lt;FT_First,0,IF(AW12&lt;FT_Y5,1+INT((AW12-FT_First)/FT_Int1),FT_PreY5+FT_PerYear*INT((AW12-FT_Y5)/12)+FT_AnnivDays+INT(MOD(AW12-FT_Y5,12)/FT_Int2))),IF(AO12="PT",IF(AW12&lt;PT_First,0,1+INT((AW12-PT_First)/PT_Int)),0))-IF(AO12="FT",IF(AV12&lt;FT_First,0,IF(AV12&lt;FT_Y5,1+INT((AV12-FT_First)/FT_Int1),FT_PreY5+FT_PerYear*INT((AV12-FT_Y5)/12)+FT_AnnivDays+INT(MOD(AV12-FT_Y5,12)/FT_Int2))),IF(AO12="PT",IF(AV12&lt;PT_First,0,1+INT((AV12-PT_First)/PT_Int)),0)),0)+IF(AND(AG12&gt;=3,AJ12&lt;=PFYDate),IF(AP12="FT",IF(AU12&lt;FT_First,0,IF(AU12&lt;FT_Y5,1+INT((AU12-FT_First)/FT_Int1),FT_PreY5+FT_PerYear*INT((AU12-FT_Y5)/12)+FT_AnnivDays+INT(MOD(AU12-FT_Y5,12)/FT_Int2))),IF(AP12="PT",IF(AU12&lt;PT_First,0,1+INT((AU12-PT_First)/PT_Int)),0))-IF(AP12="FT",IF(AW12&lt;FT_First,0,IF(AW12&lt;FT_Y5,1+INT((AW12-FT_First)/FT_Int1),FT_PreY5+FT_PerYear*INT((AW12-FT_Y5)/12)+FT_AnnivDays+INT(MOD(AW12-FT_Y5,12)/FT_Int2))),IF(AP12="PT",IF(AW12&lt;PT_First,0,1+INT((AW12-PT_First)/PT_Int)),0)),0))</f>
        <v>16</v>
      </c>
      <c r="AZ12" s="12" t="n">
        <f aca="false">IF(AE12=0,"",IF(AQ12="FT",IF(AR12&lt;FT_First,FT_First,IF(AR12&lt;FT_Y5,MIN(FT_Y5,FT_First+FT_Int1*(INT((AR12-FT_First)/FT_Int1)+1)),FT_Y5+12*INT((AR12-FT_Y5)/12)+FT_Int2*(INT(MOD(AR12-FT_Y5,12)/FT_Int2)+1))),IF(AQ12="PT",IF(AR12&lt;PT_First,PT_First,PT_First+PT_Int*(INT((AR12-PT_First)/PT_Int)+1)),"")))</f>
        <v>87</v>
      </c>
      <c r="BA12" s="12" t="n">
        <f aca="false">IF(AE12=0,"",IF(NOT(LH_Ready),0,COUNTIFS(INDEX(LH_Data,0,LH_ColFirst),$A12,INDEX(LH_Data,0,LH_ColSur),$B12,INDEX(LH_Data,0,LH_ColCat),BonusCat)))</f>
        <v>6</v>
      </c>
      <c r="BB12" s="12" t="n">
        <f aca="false">IF(AE12=0,"",IF(OR(NOT(LH_Ready),BA12=0),0,SUMPRODUCT(MAX((INDEX(LH_Data,0,LH_ColFirst)=$A12)*(INDEX(LH_Data,0,LH_ColSur)=$B12)*(INDEX(LH_Data,0,LH_ColCat)=BonusCat)*ROW(LH_Data)))))</f>
        <v>37</v>
      </c>
    </row>
    <row r="13" customFormat="false" ht="15" hidden="false" customHeight="false" outlineLevel="0" collapsed="false">
      <c r="A13" s="15"/>
      <c r="B13" s="15"/>
      <c r="C13" s="15"/>
      <c r="D13" s="16"/>
      <c r="E13" s="10" t="str">
        <f aca="false">IF(OR(AE13=0,$D13=""),"",DATE(YEAR(AsOfDate)+IF(DATE(YEAR(AsOfDate),MONTH($D13),DAY($D13))&lt;=AsOfDate,1,0),MONTH($D13),DAY($D13)))</f>
        <v/>
      </c>
      <c r="F13" s="16"/>
      <c r="G13" s="16"/>
      <c r="H13" s="16"/>
      <c r="I13" s="16"/>
      <c r="J13" s="16"/>
      <c r="K13" s="10" t="str">
        <f aca="false">IF(AE13=0,"",DATE(YEAR(AsOfDate)+IF(DATE(YEAR(AsOfDate),MONTH($F13),DAY($F13))&lt;=AsOfDate,1,0),MONTH($F13),DAY($F13)))</f>
        <v/>
      </c>
      <c r="L13" s="11" t="str">
        <f aca="false">IF(AE13=0,"",ROUND((AsOfDate-$F13)/365.25,1))</f>
        <v/>
      </c>
      <c r="M13" s="12" t="str">
        <f aca="false">IF(AE13=0,"",IF(AsOfDate&lt;AF13,"-",DATEDIF(AF13,AsOfDate,"y")&amp;"y "&amp;DATEDIF(AF13,AsOfDate,"ym")&amp;"m "&amp;DATEDIF(AF13,AsOfDate,"md")&amp;"d"))</f>
        <v/>
      </c>
      <c r="N13" s="13" t="str">
        <f aca="false">IF(AE13=0,"",O13*HoursPerDay)</f>
        <v/>
      </c>
      <c r="O13" s="13" t="str">
        <f aca="false">IF(AE13=0,"",AX13)</f>
        <v/>
      </c>
      <c r="P13" s="17"/>
      <c r="Q13" s="12" t="str">
        <f aca="false">IF(AE13=0,"",IF(AG13&lt;2,"",AK13&amp;" to "&amp;AL13&amp;" on "&amp;TEXT(AI13,"dd/mm/yyyy")&amp;IF(AI13&gt;AsOfDate," (future)",IF(AN13=AO13,"",IF(AO13="None"," - STOPPED accruing",IF(AN13="None"," - now qualifying"," - pathway changed"))))&amp;IF(AG13&lt;3,"","; "&amp;AL13&amp;" to "&amp;AM13&amp;" on "&amp;TEXT(AJ13,"dd/mm/yyyy")&amp;IF(AJ13&gt;AsOfDate," (future)",IF(AO13=AP13,"",IF(AP13="None"," - STOPPED accruing",IF(AO13="None"," - now qualifying"," - pathway changed")))))))</f>
        <v/>
      </c>
      <c r="R13" s="12" t="str">
        <f aca="false">IF(AE13=0,"",IF(AQ13="None",IF(O13&gt;0,"No longer accruing","Not eligible - "&amp;IF(AND(OR(ISNUMBER(SEARCH("part",$C13)),UPPER(TRIM($C13))="PT",UPPER(TRIM($C13))="PTE"),$P13&lt;&gt;"",N($P13)&lt;PT_MinHours),"under "&amp;PT_MinHours&amp;" hrs",IF(IF($C13="","",IF(OR(ISNUMBER(SEARCH("full",$C13)),UPPER(TRIM($C13))="FT",UPPER(TRIM($C13))="FTE"),"Full-Time",IF(OR(ISNUMBER(SEARCH("part",$C13)),UPPER(TRIM($C13))="PT",UPPER(TRIM($C13))="PTE"),"Part-Time",IF(OR(ISNUMBER(SEARCH("cas",$C13)),UPPER(TRIM($C13))="CAS"),"Casual","Unknown"))))="Unknown","type not recognised",$C13))),IF(O13&gt;0,"Yes - accruing","Not yet - from "&amp;TEXT(S13,"dd/mm/yyyy"))))</f>
        <v/>
      </c>
      <c r="S13" s="10" t="str">
        <f aca="false">IF(AE13=0,"",IF(AQ13="None","",EDATE(AF13,AZ13)))</f>
        <v/>
      </c>
      <c r="T13" s="13" t="str">
        <f aca="false">IF(OR(AE13=0,W13=""),"",W13-U13+V13)</f>
        <v/>
      </c>
      <c r="U13" s="13" t="str">
        <f aca="false">IF(AE13=0,"",IF(NOT(LH_Ready),"",SUMIFS(INDEX(LH_Data,0,LH_ColAcc),INDEX(LH_Data,0,LH_ColFirst),$A13,INDEX(LH_Data,0,LH_ColSur),$B13,INDEX(LH_Data,0,LH_ColCat),BonusCat)*UnitFactor))</f>
        <v/>
      </c>
      <c r="V13" s="13" t="str">
        <f aca="false">IF(AE13=0,"",IF(NOT(LH_Ready),"",SUMIFS(INDEX(LH_Data,0,LH_ColTaken),INDEX(LH_Data,0,LH_ColFirst),$A13,INDEX(LH_Data,0,LH_ColSur),$B13,INDEX(LH_Data,0,LH_ColCat),BonusCat)*UnitFactor))</f>
        <v/>
      </c>
      <c r="W13" s="13" t="str">
        <f aca="false">IF(AE13=0,"",IF(NOT(LH_Ready),"",IF(BB13=0,0,INDEX(INDEX(LH_Data,0,LH_ColClose),BB13-1)*UnitFactor)))</f>
        <v/>
      </c>
      <c r="X13" s="13" t="str">
        <f aca="false">IF(AE13=0,"",(AX13-AY13)*HoursPerDay)</f>
        <v/>
      </c>
      <c r="Y13" s="13" t="str">
        <f aca="false">IF(AE13=0,"",IF(NOT(LH_Ready),"",IF(BA13=0,N13,X13-N(U13))))</f>
        <v/>
      </c>
      <c r="Z13" s="12" t="str">
        <f aca="false">IF(OR(AE13=0,Y13=""),"",IF(Y13&gt;0,"Yes","No"))</f>
        <v/>
      </c>
      <c r="AA13" s="12" t="str">
        <f aca="false">IF(AE13=0,IF(LEN($A13&amp;$B13)=0,"","FIX INPUT - StartDate missing"),IF(AD13&lt;&gt;"","FIX INPUT - "&amp;AD13,IF(NOT(LH_Ready),"Paste Leave History export (Settings must show YES)",IF(Y13&gt;0,"ACCRUE "&amp;ROUND(Y13,2)&amp;" hrs ("&amp;ROUND(Y13/HoursPerDay,2)&amp;" days)"&amp;IF(BA13=0," - no Bonus Leave in EH yet, full catch-up since start",""),IF(Y13&lt;0,"CHECK - EH accrued "&amp;ROUND(-Y13,2)&amp;""&amp;" hrs more than policy",IF(O13&gt;0,"OK - nothing to add",IF(AQ13="None",R13,"Not yet - first day on "&amp;TEXT(S13,"dd/mm/yyyy"))))))))</f>
        <v/>
      </c>
      <c r="AB13" s="13" t="str">
        <f aca="false">IF(OR(AE13=0,T13=""),"",AY13*HoursPerDay-T13)</f>
        <v/>
      </c>
      <c r="AC13" s="12" t="str">
        <f aca="false">IF(AE13=0,"",BA13)</f>
        <v/>
      </c>
      <c r="AD13" s="12" t="str">
        <f aca="false">IF(AE13=0,"",TRIM(IF(IF($C13="","",IF(OR(ISNUMBER(SEARCH("full",$C13)),UPPER(TRIM($C13))="FT",UPPER(TRIM($C13))="FTE"),"Full-Time",IF(OR(ISNUMBER(SEARCH("part",$C13)),UPPER(TRIM($C13))="PT",UPPER(TRIM($C13))="PTE"),"Part-Time",IF(OR(ISNUMBER(SEARCH("cas",$C13)),UPPER(TRIM($C13))="CAS"),"Casual","Unknown"))))="Unknown","EmploymentType not recognised - use Full-Time, Part-Time or Casual. ","")&amp;IF(AND(AG13&gt;=1,IF(AG13&gt;=3,AM13,IF(AG13=2,AL13,AK13))&lt;&gt;IF($C13="","",IF(OR(ISNUMBER(SEARCH("full",$C13)),UPPER(TRIM($C13))="FT",UPPER(TRIM($C13))="FTE"),"Full-Time",IF(OR(ISNUMBER(SEARCH("part",$C13)),UPPER(TRIM($C13))="PT",UPPER(TRIM($C13))="PTE"),"Part-Time",IF(OR(ISNUMBER(SEARCH("cas",$C13)),UPPER(TRIM($C13))="CAS"),"Casual","Unknown"))))),"EmploymentType does not match latest start date ("&amp;IF(AG13&gt;=3,AM13,IF(AG13=2,AL13,AK13))&amp;"). ","")&amp;IF(AND(AG13&gt;=1,AH13&lt;&gt;$F13),"Earliest type date should equal StartDate. ","")&amp;IF(AND(AG13&gt;=2,AH13=AI13),"Two types start on the same date. ","")&amp;IF(AND(OR(ISNUMBER(SEARCH("part",$C13)),UPPER(TRIM($C13))="PT",UPPER(TRIM($C13))="PTE"),$P13=""),"Part-time: enter PT Hrs/Week (blank = 24+). ","")))</f>
        <v/>
      </c>
      <c r="AE13" s="12" t="n">
        <f aca="false">IF(OR(LEN($A13&amp;$B13)=0,$F13=""),0,1)</f>
        <v>0</v>
      </c>
      <c r="AF13" s="10" t="str">
        <f aca="false">IF(AE13=0,"",IF($J13&lt;&gt;"",$J13,$F13))</f>
        <v/>
      </c>
      <c r="AG13" s="12" t="str">
        <f aca="false">IF(AE13=0,"",COUNT($G13:$I13))</f>
        <v/>
      </c>
      <c r="AH13" s="10" t="str">
        <f aca="false">IF(AE13=0,"",IFERROR(SMALL($G13:$I13,1),""))</f>
        <v/>
      </c>
      <c r="AI13" s="10" t="str">
        <f aca="false">IF(AE13=0,"",IFERROR(SMALL($G13:$I13,2),""))</f>
        <v/>
      </c>
      <c r="AJ13" s="10" t="str">
        <f aca="false">IF(AE13=0,"",IFERROR(SMALL($G13:$I13,3),""))</f>
        <v/>
      </c>
      <c r="AK13" s="12" t="str">
        <f aca="false">IF(AE13=0,"",IF(AH13="","",IF(AH13=$G13,"Part-Time",IF(AH13=$H13,"Full-Time","Casual"))))</f>
        <v/>
      </c>
      <c r="AL13" s="12" t="str">
        <f aca="false">IF(AE13=0,"",IF(AI13="","",IF(AI13=$G13,"Part-Time",IF(AI13=$H13,"Full-Time","Casual"))))</f>
        <v/>
      </c>
      <c r="AM13" s="12" t="str">
        <f aca="false">IF(AE13=0,"",IF(AJ13="","",IF(AJ13=$G13,"Part-Time",IF(AJ13=$H13,"Full-Time","Casual"))))</f>
        <v/>
      </c>
      <c r="AN13" s="12" t="str">
        <f aca="false">IF(AE13=0,"",IF(AG13=0,IF(OR(ISNUMBER(SEARCH("full",$C13)),UPPER(TRIM($C13))="FT",UPPER(TRIM($C13))="FTE"),"FT",IF(AND(OR(ISNUMBER(SEARCH("part",$C13)),UPPER(TRIM($C13))="PT",UPPER(TRIM($C13))="PTE"),OR($P13="",N($P13)&gt;=PT_MinHours)),"PT","None")),IF(OR(ISNUMBER(SEARCH("full",AK13)),UPPER(TRIM(AK13))="FT",UPPER(TRIM(AK13))="FTE"),"FT",IF(AND(OR(ISNUMBER(SEARCH("part",AK13)),UPPER(TRIM(AK13))="PT",UPPER(TRIM(AK13))="PTE"),OR($P13="",N($P13)&gt;=PT_MinHours)),"PT","None"))))</f>
        <v/>
      </c>
      <c r="AO13" s="12" t="str">
        <f aca="false">IF(AE13=0,"",IF(AG13&lt;2,"",IF(OR(ISNUMBER(SEARCH("full",AL13)),UPPER(TRIM(AL13))="FT",UPPER(TRIM(AL13))="FTE"),"FT",IF(AND(OR(ISNUMBER(SEARCH("part",AL13)),UPPER(TRIM(AL13))="PT",UPPER(TRIM(AL13))="PTE"),OR($P13="",N($P13)&gt;=PT_MinHours)),"PT","None"))))</f>
        <v/>
      </c>
      <c r="AP13" s="12" t="str">
        <f aca="false">IF(AE13=0,"",IF(AG13&lt;3,"",IF(OR(ISNUMBER(SEARCH("full",AM13)),UPPER(TRIM(AM13))="FT",UPPER(TRIM(AM13))="FTE"),"FT",IF(AND(OR(ISNUMBER(SEARCH("part",AM13)),UPPER(TRIM(AM13))="PT",UPPER(TRIM(AM13))="PTE"),OR($P13="",N($P13)&gt;=PT_MinHours)),"PT","None"))))</f>
        <v/>
      </c>
      <c r="AQ13" s="12" t="str">
        <f aca="false">IF(AE13=0,"",IF(AND(AG13&gt;=3,AJ13&lt;=AsOfDate),AP13,IF(AND(AG13&gt;=2,AI13&lt;=AsOfDate),AO13,AN13)))</f>
        <v/>
      </c>
      <c r="AR13" s="12" t="str">
        <f aca="false">IF(AE13=0,"",IF(AsOfDate&lt;AF13,-1,12*(YEAR(AsOfDate)-YEAR(AF13))+MONTH(AsOfDate)-MONTH(AF13)-IF(DAY(AsOfDate)&lt;MIN(DAY(AF13),DAY(EOMONTH(AsOfDate,0))),1,0)))</f>
        <v/>
      </c>
      <c r="AS13" s="12" t="str">
        <f aca="false">IF(AE13=0,"",IF(OR(AG13&lt;2,AI13&gt;AsOfDate),AR13,IF((AI13-1)&lt;AF13,-1,12*(YEAR((AI13-1))-YEAR(AF13))+MONTH((AI13-1))-MONTH(AF13)-IF(DAY((AI13-1))&lt;MIN(DAY(AF13),DAY(EOMONTH((AI13-1),0))),1,0))))</f>
        <v/>
      </c>
      <c r="AT13" s="12" t="str">
        <f aca="false">IF(AE13=0,"",IF(OR(AG13&lt;3,AJ13&gt;AsOfDate),AR13,IF((AJ13-1)&lt;AF13,-1,12*(YEAR((AJ13-1))-YEAR(AF13))+MONTH((AJ13-1))-MONTH(AF13)-IF(DAY((AJ13-1))&lt;MIN(DAY(AF13),DAY(EOMONTH((AJ13-1),0))),1,0))))</f>
        <v/>
      </c>
      <c r="AU13" s="12" t="str">
        <f aca="false">IF(AE13=0,"",IF(PFYDate&lt;AF13,-1,12*(YEAR(PFYDate)-YEAR(AF13))+MONTH(PFYDate)-MONTH(AF13)-IF(DAY(PFYDate)&lt;MIN(DAY(AF13),DAY(EOMONTH(PFYDate,0))),1,0)))</f>
        <v/>
      </c>
      <c r="AV13" s="12" t="str">
        <f aca="false">IF(AE13=0,"",IF(OR(AG13&lt;2,AI13&gt;PFYDate),AU13,IF((AI13-1)&lt;AF13,-1,12*(YEAR((AI13-1))-YEAR(AF13))+MONTH((AI13-1))-MONTH(AF13)-IF(DAY((AI13-1))&lt;MIN(DAY(AF13),DAY(EOMONTH((AI13-1),0))),1,0))))</f>
        <v/>
      </c>
      <c r="AW13" s="12" t="str">
        <f aca="false">IF(AE13=0,"",IF(OR(AG13&lt;3,AJ13&gt;PFYDate),AU13,IF((AJ13-1)&lt;AF13,-1,12*(YEAR((AJ13-1))-YEAR(AF13))+MONTH((AJ13-1))-MONTH(AF13)-IF(DAY((AJ13-1))&lt;MIN(DAY(AF13),DAY(EOMONTH((AJ13-1),0))),1,0))))</f>
        <v/>
      </c>
      <c r="AX13" s="12" t="str">
        <f aca="false">IF(AE13=0,"",IF(AN13="FT",IF(AS13&lt;FT_First,0,IF(AS13&lt;FT_Y5,1+INT((AS13-FT_First)/FT_Int1),FT_PreY5+FT_PerYear*INT((AS13-FT_Y5)/12)+FT_AnnivDays+INT(MOD(AS13-FT_Y5,12)/FT_Int2))),IF(AN13="PT",IF(AS13&lt;PT_First,0,1+INT((AS13-PT_First)/PT_Int)),0))+IF(AND(AG13&gt;=2,AI13&lt;=AsOfDate),IF(AO13="FT",IF(AT13&lt;FT_First,0,IF(AT13&lt;FT_Y5,1+INT((AT13-FT_First)/FT_Int1),FT_PreY5+FT_PerYear*INT((AT13-FT_Y5)/12)+FT_AnnivDays+INT(MOD(AT13-FT_Y5,12)/FT_Int2))),IF(AO13="PT",IF(AT13&lt;PT_First,0,1+INT((AT13-PT_First)/PT_Int)),0))-IF(AO13="FT",IF(AS13&lt;FT_First,0,IF(AS13&lt;FT_Y5,1+INT((AS13-FT_First)/FT_Int1),FT_PreY5+FT_PerYear*INT((AS13-FT_Y5)/12)+FT_AnnivDays+INT(MOD(AS13-FT_Y5,12)/FT_Int2))),IF(AO13="PT",IF(AS13&lt;PT_First,0,1+INT((AS13-PT_First)/PT_Int)),0)),0)+IF(AND(AG13&gt;=3,AJ13&lt;=AsOfDate),IF(AP13="FT",IF(AR13&lt;FT_First,0,IF(AR13&lt;FT_Y5,1+INT((AR13-FT_First)/FT_Int1),FT_PreY5+FT_PerYear*INT((AR13-FT_Y5)/12)+FT_AnnivDays+INT(MOD(AR13-FT_Y5,12)/FT_Int2))),IF(AP13="PT",IF(AR13&lt;PT_First,0,1+INT((AR13-PT_First)/PT_Int)),0))-IF(AP13="FT",IF(AT13&lt;FT_First,0,IF(AT13&lt;FT_Y5,1+INT((AT13-FT_First)/FT_Int1),FT_PreY5+FT_PerYear*INT((AT13-FT_Y5)/12)+FT_AnnivDays+INT(MOD(AT13-FT_Y5,12)/FT_Int2))),IF(AP13="PT",IF(AT13&lt;PT_First,0,1+INT((AT13-PT_First)/PT_Int)),0)),0))</f>
        <v/>
      </c>
      <c r="AY13" s="12" t="str">
        <f aca="false">IF(AE13=0,"",IF(AN13="FT",IF(AV13&lt;FT_First,0,IF(AV13&lt;FT_Y5,1+INT((AV13-FT_First)/FT_Int1),FT_PreY5+FT_PerYear*INT((AV13-FT_Y5)/12)+FT_AnnivDays+INT(MOD(AV13-FT_Y5,12)/FT_Int2))),IF(AN13="PT",IF(AV13&lt;PT_First,0,1+INT((AV13-PT_First)/PT_Int)),0))+IF(AND(AG13&gt;=2,AI13&lt;=PFYDate),IF(AO13="FT",IF(AW13&lt;FT_First,0,IF(AW13&lt;FT_Y5,1+INT((AW13-FT_First)/FT_Int1),FT_PreY5+FT_PerYear*INT((AW13-FT_Y5)/12)+FT_AnnivDays+INT(MOD(AW13-FT_Y5,12)/FT_Int2))),IF(AO13="PT",IF(AW13&lt;PT_First,0,1+INT((AW13-PT_First)/PT_Int)),0))-IF(AO13="FT",IF(AV13&lt;FT_First,0,IF(AV13&lt;FT_Y5,1+INT((AV13-FT_First)/FT_Int1),FT_PreY5+FT_PerYear*INT((AV13-FT_Y5)/12)+FT_AnnivDays+INT(MOD(AV13-FT_Y5,12)/FT_Int2))),IF(AO13="PT",IF(AV13&lt;PT_First,0,1+INT((AV13-PT_First)/PT_Int)),0)),0)+IF(AND(AG13&gt;=3,AJ13&lt;=PFYDate),IF(AP13="FT",IF(AU13&lt;FT_First,0,IF(AU13&lt;FT_Y5,1+INT((AU13-FT_First)/FT_Int1),FT_PreY5+FT_PerYear*INT((AU13-FT_Y5)/12)+FT_AnnivDays+INT(MOD(AU13-FT_Y5,12)/FT_Int2))),IF(AP13="PT",IF(AU13&lt;PT_First,0,1+INT((AU13-PT_First)/PT_Int)),0))-IF(AP13="FT",IF(AW13&lt;FT_First,0,IF(AW13&lt;FT_Y5,1+INT((AW13-FT_First)/FT_Int1),FT_PreY5+FT_PerYear*INT((AW13-FT_Y5)/12)+FT_AnnivDays+INT(MOD(AW13-FT_Y5,12)/FT_Int2))),IF(AP13="PT",IF(AW13&lt;PT_First,0,1+INT((AW13-PT_First)/PT_Int)),0)),0))</f>
        <v/>
      </c>
      <c r="AZ13" s="12" t="str">
        <f aca="false">IF(AE13=0,"",IF(AQ13="FT",IF(AR13&lt;FT_First,FT_First,IF(AR13&lt;FT_Y5,MIN(FT_Y5,FT_First+FT_Int1*(INT((AR13-FT_First)/FT_Int1)+1)),FT_Y5+12*INT((AR13-FT_Y5)/12)+FT_Int2*(INT(MOD(AR13-FT_Y5,12)/FT_Int2)+1))),IF(AQ13="PT",IF(AR13&lt;PT_First,PT_First,PT_First+PT_Int*(INT((AR13-PT_First)/PT_Int)+1)),"")))</f>
        <v/>
      </c>
      <c r="BA13" s="12" t="str">
        <f aca="false">IF(AE13=0,"",IF(NOT(LH_Ready),0,COUNTIFS(INDEX(LH_Data,0,LH_ColFirst),$A13,INDEX(LH_Data,0,LH_ColSur),$B13,INDEX(LH_Data,0,LH_ColCat),BonusCat)))</f>
        <v/>
      </c>
      <c r="BB13" s="12" t="str">
        <f aca="false">IF(AE13=0,"",IF(OR(NOT(LH_Ready),BA13=0),0,SUMPRODUCT(MAX((INDEX(LH_Data,0,LH_ColFirst)=$A13)*(INDEX(LH_Data,0,LH_ColSur)=$B13)*(INDEX(LH_Data,0,LH_ColCat)=BonusCat)*ROW(LH_Data)))))</f>
        <v/>
      </c>
    </row>
    <row r="14" customFormat="false" ht="15" hidden="false" customHeight="false" outlineLevel="0" collapsed="false">
      <c r="A14" s="15"/>
      <c r="B14" s="15"/>
      <c r="C14" s="15"/>
      <c r="D14" s="16"/>
      <c r="E14" s="10" t="str">
        <f aca="false">IF(OR(AE14=0,$D14=""),"",DATE(YEAR(AsOfDate)+IF(DATE(YEAR(AsOfDate),MONTH($D14),DAY($D14))&lt;=AsOfDate,1,0),MONTH($D14),DAY($D14)))</f>
        <v/>
      </c>
      <c r="F14" s="16"/>
      <c r="G14" s="16"/>
      <c r="H14" s="16"/>
      <c r="I14" s="16"/>
      <c r="J14" s="16"/>
      <c r="K14" s="10" t="str">
        <f aca="false">IF(AE14=0,"",DATE(YEAR(AsOfDate)+IF(DATE(YEAR(AsOfDate),MONTH($F14),DAY($F14))&lt;=AsOfDate,1,0),MONTH($F14),DAY($F14)))</f>
        <v/>
      </c>
      <c r="L14" s="11" t="str">
        <f aca="false">IF(AE14=0,"",ROUND((AsOfDate-$F14)/365.25,1))</f>
        <v/>
      </c>
      <c r="M14" s="12" t="str">
        <f aca="false">IF(AE14=0,"",IF(AsOfDate&lt;AF14,"-",DATEDIF(AF14,AsOfDate,"y")&amp;"y "&amp;DATEDIF(AF14,AsOfDate,"ym")&amp;"m "&amp;DATEDIF(AF14,AsOfDate,"md")&amp;"d"))</f>
        <v/>
      </c>
      <c r="N14" s="13" t="str">
        <f aca="false">IF(AE14=0,"",O14*HoursPerDay)</f>
        <v/>
      </c>
      <c r="O14" s="13" t="str">
        <f aca="false">IF(AE14=0,"",AX14)</f>
        <v/>
      </c>
      <c r="P14" s="17"/>
      <c r="Q14" s="12" t="str">
        <f aca="false">IF(AE14=0,"",IF(AG14&lt;2,"",AK14&amp;" to "&amp;AL14&amp;" on "&amp;TEXT(AI14,"dd/mm/yyyy")&amp;IF(AI14&gt;AsOfDate," (future)",IF(AN14=AO14,"",IF(AO14="None"," - STOPPED accruing",IF(AN14="None"," - now qualifying"," - pathway changed"))))&amp;IF(AG14&lt;3,"","; "&amp;AL14&amp;" to "&amp;AM14&amp;" on "&amp;TEXT(AJ14,"dd/mm/yyyy")&amp;IF(AJ14&gt;AsOfDate," (future)",IF(AO14=AP14,"",IF(AP14="None"," - STOPPED accruing",IF(AO14="None"," - now qualifying"," - pathway changed")))))))</f>
        <v/>
      </c>
      <c r="R14" s="12" t="str">
        <f aca="false">IF(AE14=0,"",IF(AQ14="None",IF(O14&gt;0,"No longer accruing","Not eligible - "&amp;IF(AND(OR(ISNUMBER(SEARCH("part",$C14)),UPPER(TRIM($C14))="PT",UPPER(TRIM($C14))="PTE"),$P14&lt;&gt;"",N($P14)&lt;PT_MinHours),"under "&amp;PT_MinHours&amp;" hrs",IF(IF($C14="","",IF(OR(ISNUMBER(SEARCH("full",$C14)),UPPER(TRIM($C14))="FT",UPPER(TRIM($C14))="FTE"),"Full-Time",IF(OR(ISNUMBER(SEARCH("part",$C14)),UPPER(TRIM($C14))="PT",UPPER(TRIM($C14))="PTE"),"Part-Time",IF(OR(ISNUMBER(SEARCH("cas",$C14)),UPPER(TRIM($C14))="CAS"),"Casual","Unknown"))))="Unknown","type not recognised",$C14))),IF(O14&gt;0,"Yes - accruing","Not yet - from "&amp;TEXT(S14,"dd/mm/yyyy"))))</f>
        <v/>
      </c>
      <c r="S14" s="10" t="str">
        <f aca="false">IF(AE14=0,"",IF(AQ14="None","",EDATE(AF14,AZ14)))</f>
        <v/>
      </c>
      <c r="T14" s="13" t="str">
        <f aca="false">IF(OR(AE14=0,W14=""),"",W14-U14+V14)</f>
        <v/>
      </c>
      <c r="U14" s="13" t="str">
        <f aca="false">IF(AE14=0,"",IF(NOT(LH_Ready),"",SUMIFS(INDEX(LH_Data,0,LH_ColAcc),INDEX(LH_Data,0,LH_ColFirst),$A14,INDEX(LH_Data,0,LH_ColSur),$B14,INDEX(LH_Data,0,LH_ColCat),BonusCat)*UnitFactor))</f>
        <v/>
      </c>
      <c r="V14" s="13" t="str">
        <f aca="false">IF(AE14=0,"",IF(NOT(LH_Ready),"",SUMIFS(INDEX(LH_Data,0,LH_ColTaken),INDEX(LH_Data,0,LH_ColFirst),$A14,INDEX(LH_Data,0,LH_ColSur),$B14,INDEX(LH_Data,0,LH_ColCat),BonusCat)*UnitFactor))</f>
        <v/>
      </c>
      <c r="W14" s="13" t="str">
        <f aca="false">IF(AE14=0,"",IF(NOT(LH_Ready),"",IF(BB14=0,0,INDEX(INDEX(LH_Data,0,LH_ColClose),BB14-1)*UnitFactor)))</f>
        <v/>
      </c>
      <c r="X14" s="13" t="str">
        <f aca="false">IF(AE14=0,"",(AX14-AY14)*HoursPerDay)</f>
        <v/>
      </c>
      <c r="Y14" s="13" t="str">
        <f aca="false">IF(AE14=0,"",IF(NOT(LH_Ready),"",IF(BA14=0,N14,X14-N(U14))))</f>
        <v/>
      </c>
      <c r="Z14" s="12" t="str">
        <f aca="false">IF(OR(AE14=0,Y14=""),"",IF(Y14&gt;0,"Yes","No"))</f>
        <v/>
      </c>
      <c r="AA14" s="12" t="str">
        <f aca="false">IF(AE14=0,IF(LEN($A14&amp;$B14)=0,"","FIX INPUT - StartDate missing"),IF(AD14&lt;&gt;"","FIX INPUT - "&amp;AD14,IF(NOT(LH_Ready),"Paste Leave History export (Settings must show YES)",IF(Y14&gt;0,"ACCRUE "&amp;ROUND(Y14,2)&amp;" hrs ("&amp;ROUND(Y14/HoursPerDay,2)&amp;" days)"&amp;IF(BA14=0," - no Bonus Leave in EH yet, full catch-up since start",""),IF(Y14&lt;0,"CHECK - EH accrued "&amp;ROUND(-Y14,2)&amp;""&amp;" hrs more than policy",IF(O14&gt;0,"OK - nothing to add",IF(AQ14="None",R14,"Not yet - first day on "&amp;TEXT(S14,"dd/mm/yyyy"))))))))</f>
        <v/>
      </c>
      <c r="AB14" s="13" t="str">
        <f aca="false">IF(OR(AE14=0,T14=""),"",AY14*HoursPerDay-T14)</f>
        <v/>
      </c>
      <c r="AC14" s="12" t="str">
        <f aca="false">IF(AE14=0,"",BA14)</f>
        <v/>
      </c>
      <c r="AD14" s="12" t="str">
        <f aca="false">IF(AE14=0,"",TRIM(IF(IF($C14="","",IF(OR(ISNUMBER(SEARCH("full",$C14)),UPPER(TRIM($C14))="FT",UPPER(TRIM($C14))="FTE"),"Full-Time",IF(OR(ISNUMBER(SEARCH("part",$C14)),UPPER(TRIM($C14))="PT",UPPER(TRIM($C14))="PTE"),"Part-Time",IF(OR(ISNUMBER(SEARCH("cas",$C14)),UPPER(TRIM($C14))="CAS"),"Casual","Unknown"))))="Unknown","EmploymentType not recognised - use Full-Time, Part-Time or Casual. ","")&amp;IF(AND(AG14&gt;=1,IF(AG14&gt;=3,AM14,IF(AG14=2,AL14,AK14))&lt;&gt;IF($C14="","",IF(OR(ISNUMBER(SEARCH("full",$C14)),UPPER(TRIM($C14))="FT",UPPER(TRIM($C14))="FTE"),"Full-Time",IF(OR(ISNUMBER(SEARCH("part",$C14)),UPPER(TRIM($C14))="PT",UPPER(TRIM($C14))="PTE"),"Part-Time",IF(OR(ISNUMBER(SEARCH("cas",$C14)),UPPER(TRIM($C14))="CAS"),"Casual","Unknown"))))),"EmploymentType does not match latest start date ("&amp;IF(AG14&gt;=3,AM14,IF(AG14=2,AL14,AK14))&amp;"). ","")&amp;IF(AND(AG14&gt;=1,AH14&lt;&gt;$F14),"Earliest type date should equal StartDate. ","")&amp;IF(AND(AG14&gt;=2,AH14=AI14),"Two types start on the same date. ","")&amp;IF(AND(OR(ISNUMBER(SEARCH("part",$C14)),UPPER(TRIM($C14))="PT",UPPER(TRIM($C14))="PTE"),$P14=""),"Part-time: enter PT Hrs/Week (blank = 24+). ","")))</f>
        <v/>
      </c>
      <c r="AE14" s="12" t="n">
        <f aca="false">IF(OR(LEN($A14&amp;$B14)=0,$F14=""),0,1)</f>
        <v>0</v>
      </c>
      <c r="AF14" s="10" t="str">
        <f aca="false">IF(AE14=0,"",IF($J14&lt;&gt;"",$J14,$F14))</f>
        <v/>
      </c>
      <c r="AG14" s="12" t="str">
        <f aca="false">IF(AE14=0,"",COUNT($G14:$I14))</f>
        <v/>
      </c>
      <c r="AH14" s="10" t="str">
        <f aca="false">IF(AE14=0,"",IFERROR(SMALL($G14:$I14,1),""))</f>
        <v/>
      </c>
      <c r="AI14" s="10" t="str">
        <f aca="false">IF(AE14=0,"",IFERROR(SMALL($G14:$I14,2),""))</f>
        <v/>
      </c>
      <c r="AJ14" s="10" t="str">
        <f aca="false">IF(AE14=0,"",IFERROR(SMALL($G14:$I14,3),""))</f>
        <v/>
      </c>
      <c r="AK14" s="12" t="str">
        <f aca="false">IF(AE14=0,"",IF(AH14="","",IF(AH14=$G14,"Part-Time",IF(AH14=$H14,"Full-Time","Casual"))))</f>
        <v/>
      </c>
      <c r="AL14" s="12" t="str">
        <f aca="false">IF(AE14=0,"",IF(AI14="","",IF(AI14=$G14,"Part-Time",IF(AI14=$H14,"Full-Time","Casual"))))</f>
        <v/>
      </c>
      <c r="AM14" s="12" t="str">
        <f aca="false">IF(AE14=0,"",IF(AJ14="","",IF(AJ14=$G14,"Part-Time",IF(AJ14=$H14,"Full-Time","Casual"))))</f>
        <v/>
      </c>
      <c r="AN14" s="12" t="str">
        <f aca="false">IF(AE14=0,"",IF(AG14=0,IF(OR(ISNUMBER(SEARCH("full",$C14)),UPPER(TRIM($C14))="FT",UPPER(TRIM($C14))="FTE"),"FT",IF(AND(OR(ISNUMBER(SEARCH("part",$C14)),UPPER(TRIM($C14))="PT",UPPER(TRIM($C14))="PTE"),OR($P14="",N($P14)&gt;=PT_MinHours)),"PT","None")),IF(OR(ISNUMBER(SEARCH("full",AK14)),UPPER(TRIM(AK14))="FT",UPPER(TRIM(AK14))="FTE"),"FT",IF(AND(OR(ISNUMBER(SEARCH("part",AK14)),UPPER(TRIM(AK14))="PT",UPPER(TRIM(AK14))="PTE"),OR($P14="",N($P14)&gt;=PT_MinHours)),"PT","None"))))</f>
        <v/>
      </c>
      <c r="AO14" s="12" t="str">
        <f aca="false">IF(AE14=0,"",IF(AG14&lt;2,"",IF(OR(ISNUMBER(SEARCH("full",AL14)),UPPER(TRIM(AL14))="FT",UPPER(TRIM(AL14))="FTE"),"FT",IF(AND(OR(ISNUMBER(SEARCH("part",AL14)),UPPER(TRIM(AL14))="PT",UPPER(TRIM(AL14))="PTE"),OR($P14="",N($P14)&gt;=PT_MinHours)),"PT","None"))))</f>
        <v/>
      </c>
      <c r="AP14" s="12" t="str">
        <f aca="false">IF(AE14=0,"",IF(AG14&lt;3,"",IF(OR(ISNUMBER(SEARCH("full",AM14)),UPPER(TRIM(AM14))="FT",UPPER(TRIM(AM14))="FTE"),"FT",IF(AND(OR(ISNUMBER(SEARCH("part",AM14)),UPPER(TRIM(AM14))="PT",UPPER(TRIM(AM14))="PTE"),OR($P14="",N($P14)&gt;=PT_MinHours)),"PT","None"))))</f>
        <v/>
      </c>
      <c r="AQ14" s="12" t="str">
        <f aca="false">IF(AE14=0,"",IF(AND(AG14&gt;=3,AJ14&lt;=AsOfDate),AP14,IF(AND(AG14&gt;=2,AI14&lt;=AsOfDate),AO14,AN14)))</f>
        <v/>
      </c>
      <c r="AR14" s="12" t="str">
        <f aca="false">IF(AE14=0,"",IF(AsOfDate&lt;AF14,-1,12*(YEAR(AsOfDate)-YEAR(AF14))+MONTH(AsOfDate)-MONTH(AF14)-IF(DAY(AsOfDate)&lt;MIN(DAY(AF14),DAY(EOMONTH(AsOfDate,0))),1,0)))</f>
        <v/>
      </c>
      <c r="AS14" s="12" t="str">
        <f aca="false">IF(AE14=0,"",IF(OR(AG14&lt;2,AI14&gt;AsOfDate),AR14,IF((AI14-1)&lt;AF14,-1,12*(YEAR((AI14-1))-YEAR(AF14))+MONTH((AI14-1))-MONTH(AF14)-IF(DAY((AI14-1))&lt;MIN(DAY(AF14),DAY(EOMONTH((AI14-1),0))),1,0))))</f>
        <v/>
      </c>
      <c r="AT14" s="12" t="str">
        <f aca="false">IF(AE14=0,"",IF(OR(AG14&lt;3,AJ14&gt;AsOfDate),AR14,IF((AJ14-1)&lt;AF14,-1,12*(YEAR((AJ14-1))-YEAR(AF14))+MONTH((AJ14-1))-MONTH(AF14)-IF(DAY((AJ14-1))&lt;MIN(DAY(AF14),DAY(EOMONTH((AJ14-1),0))),1,0))))</f>
        <v/>
      </c>
      <c r="AU14" s="12" t="str">
        <f aca="false">IF(AE14=0,"",IF(PFYDate&lt;AF14,-1,12*(YEAR(PFYDate)-YEAR(AF14))+MONTH(PFYDate)-MONTH(AF14)-IF(DAY(PFYDate)&lt;MIN(DAY(AF14),DAY(EOMONTH(PFYDate,0))),1,0)))</f>
        <v/>
      </c>
      <c r="AV14" s="12" t="str">
        <f aca="false">IF(AE14=0,"",IF(OR(AG14&lt;2,AI14&gt;PFYDate),AU14,IF((AI14-1)&lt;AF14,-1,12*(YEAR((AI14-1))-YEAR(AF14))+MONTH((AI14-1))-MONTH(AF14)-IF(DAY((AI14-1))&lt;MIN(DAY(AF14),DAY(EOMONTH((AI14-1),0))),1,0))))</f>
        <v/>
      </c>
      <c r="AW14" s="12" t="str">
        <f aca="false">IF(AE14=0,"",IF(OR(AG14&lt;3,AJ14&gt;PFYDate),AU14,IF((AJ14-1)&lt;AF14,-1,12*(YEAR((AJ14-1))-YEAR(AF14))+MONTH((AJ14-1))-MONTH(AF14)-IF(DAY((AJ14-1))&lt;MIN(DAY(AF14),DAY(EOMONTH((AJ14-1),0))),1,0))))</f>
        <v/>
      </c>
      <c r="AX14" s="12" t="str">
        <f aca="false">IF(AE14=0,"",IF(AN14="FT",IF(AS14&lt;FT_First,0,IF(AS14&lt;FT_Y5,1+INT((AS14-FT_First)/FT_Int1),FT_PreY5+FT_PerYear*INT((AS14-FT_Y5)/12)+FT_AnnivDays+INT(MOD(AS14-FT_Y5,12)/FT_Int2))),IF(AN14="PT",IF(AS14&lt;PT_First,0,1+INT((AS14-PT_First)/PT_Int)),0))+IF(AND(AG14&gt;=2,AI14&lt;=AsOfDate),IF(AO14="FT",IF(AT14&lt;FT_First,0,IF(AT14&lt;FT_Y5,1+INT((AT14-FT_First)/FT_Int1),FT_PreY5+FT_PerYear*INT((AT14-FT_Y5)/12)+FT_AnnivDays+INT(MOD(AT14-FT_Y5,12)/FT_Int2))),IF(AO14="PT",IF(AT14&lt;PT_First,0,1+INT((AT14-PT_First)/PT_Int)),0))-IF(AO14="FT",IF(AS14&lt;FT_First,0,IF(AS14&lt;FT_Y5,1+INT((AS14-FT_First)/FT_Int1),FT_PreY5+FT_PerYear*INT((AS14-FT_Y5)/12)+FT_AnnivDays+INT(MOD(AS14-FT_Y5,12)/FT_Int2))),IF(AO14="PT",IF(AS14&lt;PT_First,0,1+INT((AS14-PT_First)/PT_Int)),0)),0)+IF(AND(AG14&gt;=3,AJ14&lt;=AsOfDate),IF(AP14="FT",IF(AR14&lt;FT_First,0,IF(AR14&lt;FT_Y5,1+INT((AR14-FT_First)/FT_Int1),FT_PreY5+FT_PerYear*INT((AR14-FT_Y5)/12)+FT_AnnivDays+INT(MOD(AR14-FT_Y5,12)/FT_Int2))),IF(AP14="PT",IF(AR14&lt;PT_First,0,1+INT((AR14-PT_First)/PT_Int)),0))-IF(AP14="FT",IF(AT14&lt;FT_First,0,IF(AT14&lt;FT_Y5,1+INT((AT14-FT_First)/FT_Int1),FT_PreY5+FT_PerYear*INT((AT14-FT_Y5)/12)+FT_AnnivDays+INT(MOD(AT14-FT_Y5,12)/FT_Int2))),IF(AP14="PT",IF(AT14&lt;PT_First,0,1+INT((AT14-PT_First)/PT_Int)),0)),0))</f>
        <v/>
      </c>
      <c r="AY14" s="12" t="str">
        <f aca="false">IF(AE14=0,"",IF(AN14="FT",IF(AV14&lt;FT_First,0,IF(AV14&lt;FT_Y5,1+INT((AV14-FT_First)/FT_Int1),FT_PreY5+FT_PerYear*INT((AV14-FT_Y5)/12)+FT_AnnivDays+INT(MOD(AV14-FT_Y5,12)/FT_Int2))),IF(AN14="PT",IF(AV14&lt;PT_First,0,1+INT((AV14-PT_First)/PT_Int)),0))+IF(AND(AG14&gt;=2,AI14&lt;=PFYDate),IF(AO14="FT",IF(AW14&lt;FT_First,0,IF(AW14&lt;FT_Y5,1+INT((AW14-FT_First)/FT_Int1),FT_PreY5+FT_PerYear*INT((AW14-FT_Y5)/12)+FT_AnnivDays+INT(MOD(AW14-FT_Y5,12)/FT_Int2))),IF(AO14="PT",IF(AW14&lt;PT_First,0,1+INT((AW14-PT_First)/PT_Int)),0))-IF(AO14="FT",IF(AV14&lt;FT_First,0,IF(AV14&lt;FT_Y5,1+INT((AV14-FT_First)/FT_Int1),FT_PreY5+FT_PerYear*INT((AV14-FT_Y5)/12)+FT_AnnivDays+INT(MOD(AV14-FT_Y5,12)/FT_Int2))),IF(AO14="PT",IF(AV14&lt;PT_First,0,1+INT((AV14-PT_First)/PT_Int)),0)),0)+IF(AND(AG14&gt;=3,AJ14&lt;=PFYDate),IF(AP14="FT",IF(AU14&lt;FT_First,0,IF(AU14&lt;FT_Y5,1+INT((AU14-FT_First)/FT_Int1),FT_PreY5+FT_PerYear*INT((AU14-FT_Y5)/12)+FT_AnnivDays+INT(MOD(AU14-FT_Y5,12)/FT_Int2))),IF(AP14="PT",IF(AU14&lt;PT_First,0,1+INT((AU14-PT_First)/PT_Int)),0))-IF(AP14="FT",IF(AW14&lt;FT_First,0,IF(AW14&lt;FT_Y5,1+INT((AW14-FT_First)/FT_Int1),FT_PreY5+FT_PerYear*INT((AW14-FT_Y5)/12)+FT_AnnivDays+INT(MOD(AW14-FT_Y5,12)/FT_Int2))),IF(AP14="PT",IF(AW14&lt;PT_First,0,1+INT((AW14-PT_First)/PT_Int)),0)),0))</f>
        <v/>
      </c>
      <c r="AZ14" s="12" t="str">
        <f aca="false">IF(AE14=0,"",IF(AQ14="FT",IF(AR14&lt;FT_First,FT_First,IF(AR14&lt;FT_Y5,MIN(FT_Y5,FT_First+FT_Int1*(INT((AR14-FT_First)/FT_Int1)+1)),FT_Y5+12*INT((AR14-FT_Y5)/12)+FT_Int2*(INT(MOD(AR14-FT_Y5,12)/FT_Int2)+1))),IF(AQ14="PT",IF(AR14&lt;PT_First,PT_First,PT_First+PT_Int*(INT((AR14-PT_First)/PT_Int)+1)),"")))</f>
        <v/>
      </c>
      <c r="BA14" s="12" t="str">
        <f aca="false">IF(AE14=0,"",IF(NOT(LH_Ready),0,COUNTIFS(INDEX(LH_Data,0,LH_ColFirst),$A14,INDEX(LH_Data,0,LH_ColSur),$B14,INDEX(LH_Data,0,LH_ColCat),BonusCat)))</f>
        <v/>
      </c>
      <c r="BB14" s="12" t="str">
        <f aca="false">IF(AE14=0,"",IF(OR(NOT(LH_Ready),BA14=0),0,SUMPRODUCT(MAX((INDEX(LH_Data,0,LH_ColFirst)=$A14)*(INDEX(LH_Data,0,LH_ColSur)=$B14)*(INDEX(LH_Data,0,LH_ColCat)=BonusCat)*ROW(LH_Data)))))</f>
        <v/>
      </c>
    </row>
    <row r="15" customFormat="false" ht="15" hidden="false" customHeight="false" outlineLevel="0" collapsed="false">
      <c r="A15" s="15"/>
      <c r="B15" s="15"/>
      <c r="C15" s="15"/>
      <c r="D15" s="16"/>
      <c r="E15" s="10" t="str">
        <f aca="false">IF(OR(AE15=0,$D15=""),"",DATE(YEAR(AsOfDate)+IF(DATE(YEAR(AsOfDate),MONTH($D15),DAY($D15))&lt;=AsOfDate,1,0),MONTH($D15),DAY($D15)))</f>
        <v/>
      </c>
      <c r="F15" s="16"/>
      <c r="G15" s="16"/>
      <c r="H15" s="16"/>
      <c r="I15" s="16"/>
      <c r="J15" s="16"/>
      <c r="K15" s="10" t="str">
        <f aca="false">IF(AE15=0,"",DATE(YEAR(AsOfDate)+IF(DATE(YEAR(AsOfDate),MONTH($F15),DAY($F15))&lt;=AsOfDate,1,0),MONTH($F15),DAY($F15)))</f>
        <v/>
      </c>
      <c r="L15" s="11" t="str">
        <f aca="false">IF(AE15=0,"",ROUND((AsOfDate-$F15)/365.25,1))</f>
        <v/>
      </c>
      <c r="M15" s="12" t="str">
        <f aca="false">IF(AE15=0,"",IF(AsOfDate&lt;AF15,"-",DATEDIF(AF15,AsOfDate,"y")&amp;"y "&amp;DATEDIF(AF15,AsOfDate,"ym")&amp;"m "&amp;DATEDIF(AF15,AsOfDate,"md")&amp;"d"))</f>
        <v/>
      </c>
      <c r="N15" s="13" t="str">
        <f aca="false">IF(AE15=0,"",O15*HoursPerDay)</f>
        <v/>
      </c>
      <c r="O15" s="13" t="str">
        <f aca="false">IF(AE15=0,"",AX15)</f>
        <v/>
      </c>
      <c r="P15" s="17"/>
      <c r="Q15" s="12" t="str">
        <f aca="false">IF(AE15=0,"",IF(AG15&lt;2,"",AK15&amp;" to "&amp;AL15&amp;" on "&amp;TEXT(AI15,"dd/mm/yyyy")&amp;IF(AI15&gt;AsOfDate," (future)",IF(AN15=AO15,"",IF(AO15="None"," - STOPPED accruing",IF(AN15="None"," - now qualifying"," - pathway changed"))))&amp;IF(AG15&lt;3,"","; "&amp;AL15&amp;" to "&amp;AM15&amp;" on "&amp;TEXT(AJ15,"dd/mm/yyyy")&amp;IF(AJ15&gt;AsOfDate," (future)",IF(AO15=AP15,"",IF(AP15="None"," - STOPPED accruing",IF(AO15="None"," - now qualifying"," - pathway changed")))))))</f>
        <v/>
      </c>
      <c r="R15" s="12" t="str">
        <f aca="false">IF(AE15=0,"",IF(AQ15="None",IF(O15&gt;0,"No longer accruing","Not eligible - "&amp;IF(AND(OR(ISNUMBER(SEARCH("part",$C15)),UPPER(TRIM($C15))="PT",UPPER(TRIM($C15))="PTE"),$P15&lt;&gt;"",N($P15)&lt;PT_MinHours),"under "&amp;PT_MinHours&amp;" hrs",IF(IF($C15="","",IF(OR(ISNUMBER(SEARCH("full",$C15)),UPPER(TRIM($C15))="FT",UPPER(TRIM($C15))="FTE"),"Full-Time",IF(OR(ISNUMBER(SEARCH("part",$C15)),UPPER(TRIM($C15))="PT",UPPER(TRIM($C15))="PTE"),"Part-Time",IF(OR(ISNUMBER(SEARCH("cas",$C15)),UPPER(TRIM($C15))="CAS"),"Casual","Unknown"))))="Unknown","type not recognised",$C15))),IF(O15&gt;0,"Yes - accruing","Not yet - from "&amp;TEXT(S15,"dd/mm/yyyy"))))</f>
        <v/>
      </c>
      <c r="S15" s="10" t="str">
        <f aca="false">IF(AE15=0,"",IF(AQ15="None","",EDATE(AF15,AZ15)))</f>
        <v/>
      </c>
      <c r="T15" s="13" t="str">
        <f aca="false">IF(OR(AE15=0,W15=""),"",W15-U15+V15)</f>
        <v/>
      </c>
      <c r="U15" s="13" t="str">
        <f aca="false">IF(AE15=0,"",IF(NOT(LH_Ready),"",SUMIFS(INDEX(LH_Data,0,LH_ColAcc),INDEX(LH_Data,0,LH_ColFirst),$A15,INDEX(LH_Data,0,LH_ColSur),$B15,INDEX(LH_Data,0,LH_ColCat),BonusCat)*UnitFactor))</f>
        <v/>
      </c>
      <c r="V15" s="13" t="str">
        <f aca="false">IF(AE15=0,"",IF(NOT(LH_Ready),"",SUMIFS(INDEX(LH_Data,0,LH_ColTaken),INDEX(LH_Data,0,LH_ColFirst),$A15,INDEX(LH_Data,0,LH_ColSur),$B15,INDEX(LH_Data,0,LH_ColCat),BonusCat)*UnitFactor))</f>
        <v/>
      </c>
      <c r="W15" s="13" t="str">
        <f aca="false">IF(AE15=0,"",IF(NOT(LH_Ready),"",IF(BB15=0,0,INDEX(INDEX(LH_Data,0,LH_ColClose),BB15-1)*UnitFactor)))</f>
        <v/>
      </c>
      <c r="X15" s="13" t="str">
        <f aca="false">IF(AE15=0,"",(AX15-AY15)*HoursPerDay)</f>
        <v/>
      </c>
      <c r="Y15" s="13" t="str">
        <f aca="false">IF(AE15=0,"",IF(NOT(LH_Ready),"",IF(BA15=0,N15,X15-N(U15))))</f>
        <v/>
      </c>
      <c r="Z15" s="12" t="str">
        <f aca="false">IF(OR(AE15=0,Y15=""),"",IF(Y15&gt;0,"Yes","No"))</f>
        <v/>
      </c>
      <c r="AA15" s="12" t="str">
        <f aca="false">IF(AE15=0,IF(LEN($A15&amp;$B15)=0,"","FIX INPUT - StartDate missing"),IF(AD15&lt;&gt;"","FIX INPUT - "&amp;AD15,IF(NOT(LH_Ready),"Paste Leave History export (Settings must show YES)",IF(Y15&gt;0,"ACCRUE "&amp;ROUND(Y15,2)&amp;" hrs ("&amp;ROUND(Y15/HoursPerDay,2)&amp;" days)"&amp;IF(BA15=0," - no Bonus Leave in EH yet, full catch-up since start",""),IF(Y15&lt;0,"CHECK - EH accrued "&amp;ROUND(-Y15,2)&amp;""&amp;" hrs more than policy",IF(O15&gt;0,"OK - nothing to add",IF(AQ15="None",R15,"Not yet - first day on "&amp;TEXT(S15,"dd/mm/yyyy"))))))))</f>
        <v/>
      </c>
      <c r="AB15" s="13" t="str">
        <f aca="false">IF(OR(AE15=0,T15=""),"",AY15*HoursPerDay-T15)</f>
        <v/>
      </c>
      <c r="AC15" s="12" t="str">
        <f aca="false">IF(AE15=0,"",BA15)</f>
        <v/>
      </c>
      <c r="AD15" s="12" t="str">
        <f aca="false">IF(AE15=0,"",TRIM(IF(IF($C15="","",IF(OR(ISNUMBER(SEARCH("full",$C15)),UPPER(TRIM($C15))="FT",UPPER(TRIM($C15))="FTE"),"Full-Time",IF(OR(ISNUMBER(SEARCH("part",$C15)),UPPER(TRIM($C15))="PT",UPPER(TRIM($C15))="PTE"),"Part-Time",IF(OR(ISNUMBER(SEARCH("cas",$C15)),UPPER(TRIM($C15))="CAS"),"Casual","Unknown"))))="Unknown","EmploymentType not recognised - use Full-Time, Part-Time or Casual. ","")&amp;IF(AND(AG15&gt;=1,IF(AG15&gt;=3,AM15,IF(AG15=2,AL15,AK15))&lt;&gt;IF($C15="","",IF(OR(ISNUMBER(SEARCH("full",$C15)),UPPER(TRIM($C15))="FT",UPPER(TRIM($C15))="FTE"),"Full-Time",IF(OR(ISNUMBER(SEARCH("part",$C15)),UPPER(TRIM($C15))="PT",UPPER(TRIM($C15))="PTE"),"Part-Time",IF(OR(ISNUMBER(SEARCH("cas",$C15)),UPPER(TRIM($C15))="CAS"),"Casual","Unknown"))))),"EmploymentType does not match latest start date ("&amp;IF(AG15&gt;=3,AM15,IF(AG15=2,AL15,AK15))&amp;"). ","")&amp;IF(AND(AG15&gt;=1,AH15&lt;&gt;$F15),"Earliest type date should equal StartDate. ","")&amp;IF(AND(AG15&gt;=2,AH15=AI15),"Two types start on the same date. ","")&amp;IF(AND(OR(ISNUMBER(SEARCH("part",$C15)),UPPER(TRIM($C15))="PT",UPPER(TRIM($C15))="PTE"),$P15=""),"Part-time: enter PT Hrs/Week (blank = 24+). ","")))</f>
        <v/>
      </c>
      <c r="AE15" s="12" t="n">
        <f aca="false">IF(OR(LEN($A15&amp;$B15)=0,$F15=""),0,1)</f>
        <v>0</v>
      </c>
      <c r="AF15" s="10" t="str">
        <f aca="false">IF(AE15=0,"",IF($J15&lt;&gt;"",$J15,$F15))</f>
        <v/>
      </c>
      <c r="AG15" s="12" t="str">
        <f aca="false">IF(AE15=0,"",COUNT($G15:$I15))</f>
        <v/>
      </c>
      <c r="AH15" s="10" t="str">
        <f aca="false">IF(AE15=0,"",IFERROR(SMALL($G15:$I15,1),""))</f>
        <v/>
      </c>
      <c r="AI15" s="10" t="str">
        <f aca="false">IF(AE15=0,"",IFERROR(SMALL($G15:$I15,2),""))</f>
        <v/>
      </c>
      <c r="AJ15" s="10" t="str">
        <f aca="false">IF(AE15=0,"",IFERROR(SMALL($G15:$I15,3),""))</f>
        <v/>
      </c>
      <c r="AK15" s="12" t="str">
        <f aca="false">IF(AE15=0,"",IF(AH15="","",IF(AH15=$G15,"Part-Time",IF(AH15=$H15,"Full-Time","Casual"))))</f>
        <v/>
      </c>
      <c r="AL15" s="12" t="str">
        <f aca="false">IF(AE15=0,"",IF(AI15="","",IF(AI15=$G15,"Part-Time",IF(AI15=$H15,"Full-Time","Casual"))))</f>
        <v/>
      </c>
      <c r="AM15" s="12" t="str">
        <f aca="false">IF(AE15=0,"",IF(AJ15="","",IF(AJ15=$G15,"Part-Time",IF(AJ15=$H15,"Full-Time","Casual"))))</f>
        <v/>
      </c>
      <c r="AN15" s="12" t="str">
        <f aca="false">IF(AE15=0,"",IF(AG15=0,IF(OR(ISNUMBER(SEARCH("full",$C15)),UPPER(TRIM($C15))="FT",UPPER(TRIM($C15))="FTE"),"FT",IF(AND(OR(ISNUMBER(SEARCH("part",$C15)),UPPER(TRIM($C15))="PT",UPPER(TRIM($C15))="PTE"),OR($P15="",N($P15)&gt;=PT_MinHours)),"PT","None")),IF(OR(ISNUMBER(SEARCH("full",AK15)),UPPER(TRIM(AK15))="FT",UPPER(TRIM(AK15))="FTE"),"FT",IF(AND(OR(ISNUMBER(SEARCH("part",AK15)),UPPER(TRIM(AK15))="PT",UPPER(TRIM(AK15))="PTE"),OR($P15="",N($P15)&gt;=PT_MinHours)),"PT","None"))))</f>
        <v/>
      </c>
      <c r="AO15" s="12" t="str">
        <f aca="false">IF(AE15=0,"",IF(AG15&lt;2,"",IF(OR(ISNUMBER(SEARCH("full",AL15)),UPPER(TRIM(AL15))="FT",UPPER(TRIM(AL15))="FTE"),"FT",IF(AND(OR(ISNUMBER(SEARCH("part",AL15)),UPPER(TRIM(AL15))="PT",UPPER(TRIM(AL15))="PTE"),OR($P15="",N($P15)&gt;=PT_MinHours)),"PT","None"))))</f>
        <v/>
      </c>
      <c r="AP15" s="12" t="str">
        <f aca="false">IF(AE15=0,"",IF(AG15&lt;3,"",IF(OR(ISNUMBER(SEARCH("full",AM15)),UPPER(TRIM(AM15))="FT",UPPER(TRIM(AM15))="FTE"),"FT",IF(AND(OR(ISNUMBER(SEARCH("part",AM15)),UPPER(TRIM(AM15))="PT",UPPER(TRIM(AM15))="PTE"),OR($P15="",N($P15)&gt;=PT_MinHours)),"PT","None"))))</f>
        <v/>
      </c>
      <c r="AQ15" s="12" t="str">
        <f aca="false">IF(AE15=0,"",IF(AND(AG15&gt;=3,AJ15&lt;=AsOfDate),AP15,IF(AND(AG15&gt;=2,AI15&lt;=AsOfDate),AO15,AN15)))</f>
        <v/>
      </c>
      <c r="AR15" s="12" t="str">
        <f aca="false">IF(AE15=0,"",IF(AsOfDate&lt;AF15,-1,12*(YEAR(AsOfDate)-YEAR(AF15))+MONTH(AsOfDate)-MONTH(AF15)-IF(DAY(AsOfDate)&lt;MIN(DAY(AF15),DAY(EOMONTH(AsOfDate,0))),1,0)))</f>
        <v/>
      </c>
      <c r="AS15" s="12" t="str">
        <f aca="false">IF(AE15=0,"",IF(OR(AG15&lt;2,AI15&gt;AsOfDate),AR15,IF((AI15-1)&lt;AF15,-1,12*(YEAR((AI15-1))-YEAR(AF15))+MONTH((AI15-1))-MONTH(AF15)-IF(DAY((AI15-1))&lt;MIN(DAY(AF15),DAY(EOMONTH((AI15-1),0))),1,0))))</f>
        <v/>
      </c>
      <c r="AT15" s="12" t="str">
        <f aca="false">IF(AE15=0,"",IF(OR(AG15&lt;3,AJ15&gt;AsOfDate),AR15,IF((AJ15-1)&lt;AF15,-1,12*(YEAR((AJ15-1))-YEAR(AF15))+MONTH((AJ15-1))-MONTH(AF15)-IF(DAY((AJ15-1))&lt;MIN(DAY(AF15),DAY(EOMONTH((AJ15-1),0))),1,0))))</f>
        <v/>
      </c>
      <c r="AU15" s="12" t="str">
        <f aca="false">IF(AE15=0,"",IF(PFYDate&lt;AF15,-1,12*(YEAR(PFYDate)-YEAR(AF15))+MONTH(PFYDate)-MONTH(AF15)-IF(DAY(PFYDate)&lt;MIN(DAY(AF15),DAY(EOMONTH(PFYDate,0))),1,0)))</f>
        <v/>
      </c>
      <c r="AV15" s="12" t="str">
        <f aca="false">IF(AE15=0,"",IF(OR(AG15&lt;2,AI15&gt;PFYDate),AU15,IF((AI15-1)&lt;AF15,-1,12*(YEAR((AI15-1))-YEAR(AF15))+MONTH((AI15-1))-MONTH(AF15)-IF(DAY((AI15-1))&lt;MIN(DAY(AF15),DAY(EOMONTH((AI15-1),0))),1,0))))</f>
        <v/>
      </c>
      <c r="AW15" s="12" t="str">
        <f aca="false">IF(AE15=0,"",IF(OR(AG15&lt;3,AJ15&gt;PFYDate),AU15,IF((AJ15-1)&lt;AF15,-1,12*(YEAR((AJ15-1))-YEAR(AF15))+MONTH((AJ15-1))-MONTH(AF15)-IF(DAY((AJ15-1))&lt;MIN(DAY(AF15),DAY(EOMONTH((AJ15-1),0))),1,0))))</f>
        <v/>
      </c>
      <c r="AX15" s="12" t="str">
        <f aca="false">IF(AE15=0,"",IF(AN15="FT",IF(AS15&lt;FT_First,0,IF(AS15&lt;FT_Y5,1+INT((AS15-FT_First)/FT_Int1),FT_PreY5+FT_PerYear*INT((AS15-FT_Y5)/12)+FT_AnnivDays+INT(MOD(AS15-FT_Y5,12)/FT_Int2))),IF(AN15="PT",IF(AS15&lt;PT_First,0,1+INT((AS15-PT_First)/PT_Int)),0))+IF(AND(AG15&gt;=2,AI15&lt;=AsOfDate),IF(AO15="FT",IF(AT15&lt;FT_First,0,IF(AT15&lt;FT_Y5,1+INT((AT15-FT_First)/FT_Int1),FT_PreY5+FT_PerYear*INT((AT15-FT_Y5)/12)+FT_AnnivDays+INT(MOD(AT15-FT_Y5,12)/FT_Int2))),IF(AO15="PT",IF(AT15&lt;PT_First,0,1+INT((AT15-PT_First)/PT_Int)),0))-IF(AO15="FT",IF(AS15&lt;FT_First,0,IF(AS15&lt;FT_Y5,1+INT((AS15-FT_First)/FT_Int1),FT_PreY5+FT_PerYear*INT((AS15-FT_Y5)/12)+FT_AnnivDays+INT(MOD(AS15-FT_Y5,12)/FT_Int2))),IF(AO15="PT",IF(AS15&lt;PT_First,0,1+INT((AS15-PT_First)/PT_Int)),0)),0)+IF(AND(AG15&gt;=3,AJ15&lt;=AsOfDate),IF(AP15="FT",IF(AR15&lt;FT_First,0,IF(AR15&lt;FT_Y5,1+INT((AR15-FT_First)/FT_Int1),FT_PreY5+FT_PerYear*INT((AR15-FT_Y5)/12)+FT_AnnivDays+INT(MOD(AR15-FT_Y5,12)/FT_Int2))),IF(AP15="PT",IF(AR15&lt;PT_First,0,1+INT((AR15-PT_First)/PT_Int)),0))-IF(AP15="FT",IF(AT15&lt;FT_First,0,IF(AT15&lt;FT_Y5,1+INT((AT15-FT_First)/FT_Int1),FT_PreY5+FT_PerYear*INT((AT15-FT_Y5)/12)+FT_AnnivDays+INT(MOD(AT15-FT_Y5,12)/FT_Int2))),IF(AP15="PT",IF(AT15&lt;PT_First,0,1+INT((AT15-PT_First)/PT_Int)),0)),0))</f>
        <v/>
      </c>
      <c r="AY15" s="12" t="str">
        <f aca="false">IF(AE15=0,"",IF(AN15="FT",IF(AV15&lt;FT_First,0,IF(AV15&lt;FT_Y5,1+INT((AV15-FT_First)/FT_Int1),FT_PreY5+FT_PerYear*INT((AV15-FT_Y5)/12)+FT_AnnivDays+INT(MOD(AV15-FT_Y5,12)/FT_Int2))),IF(AN15="PT",IF(AV15&lt;PT_First,0,1+INT((AV15-PT_First)/PT_Int)),0))+IF(AND(AG15&gt;=2,AI15&lt;=PFYDate),IF(AO15="FT",IF(AW15&lt;FT_First,0,IF(AW15&lt;FT_Y5,1+INT((AW15-FT_First)/FT_Int1),FT_PreY5+FT_PerYear*INT((AW15-FT_Y5)/12)+FT_AnnivDays+INT(MOD(AW15-FT_Y5,12)/FT_Int2))),IF(AO15="PT",IF(AW15&lt;PT_First,0,1+INT((AW15-PT_First)/PT_Int)),0))-IF(AO15="FT",IF(AV15&lt;FT_First,0,IF(AV15&lt;FT_Y5,1+INT((AV15-FT_First)/FT_Int1),FT_PreY5+FT_PerYear*INT((AV15-FT_Y5)/12)+FT_AnnivDays+INT(MOD(AV15-FT_Y5,12)/FT_Int2))),IF(AO15="PT",IF(AV15&lt;PT_First,0,1+INT((AV15-PT_First)/PT_Int)),0)),0)+IF(AND(AG15&gt;=3,AJ15&lt;=PFYDate),IF(AP15="FT",IF(AU15&lt;FT_First,0,IF(AU15&lt;FT_Y5,1+INT((AU15-FT_First)/FT_Int1),FT_PreY5+FT_PerYear*INT((AU15-FT_Y5)/12)+FT_AnnivDays+INT(MOD(AU15-FT_Y5,12)/FT_Int2))),IF(AP15="PT",IF(AU15&lt;PT_First,0,1+INT((AU15-PT_First)/PT_Int)),0))-IF(AP15="FT",IF(AW15&lt;FT_First,0,IF(AW15&lt;FT_Y5,1+INT((AW15-FT_First)/FT_Int1),FT_PreY5+FT_PerYear*INT((AW15-FT_Y5)/12)+FT_AnnivDays+INT(MOD(AW15-FT_Y5,12)/FT_Int2))),IF(AP15="PT",IF(AW15&lt;PT_First,0,1+INT((AW15-PT_First)/PT_Int)),0)),0))</f>
        <v/>
      </c>
      <c r="AZ15" s="12" t="str">
        <f aca="false">IF(AE15=0,"",IF(AQ15="FT",IF(AR15&lt;FT_First,FT_First,IF(AR15&lt;FT_Y5,MIN(FT_Y5,FT_First+FT_Int1*(INT((AR15-FT_First)/FT_Int1)+1)),FT_Y5+12*INT((AR15-FT_Y5)/12)+FT_Int2*(INT(MOD(AR15-FT_Y5,12)/FT_Int2)+1))),IF(AQ15="PT",IF(AR15&lt;PT_First,PT_First,PT_First+PT_Int*(INT((AR15-PT_First)/PT_Int)+1)),"")))</f>
        <v/>
      </c>
      <c r="BA15" s="12" t="str">
        <f aca="false">IF(AE15=0,"",IF(NOT(LH_Ready),0,COUNTIFS(INDEX(LH_Data,0,LH_ColFirst),$A15,INDEX(LH_Data,0,LH_ColSur),$B15,INDEX(LH_Data,0,LH_ColCat),BonusCat)))</f>
        <v/>
      </c>
      <c r="BB15" s="12" t="str">
        <f aca="false">IF(AE15=0,"",IF(OR(NOT(LH_Ready),BA15=0),0,SUMPRODUCT(MAX((INDEX(LH_Data,0,LH_ColFirst)=$A15)*(INDEX(LH_Data,0,LH_ColSur)=$B15)*(INDEX(LH_Data,0,LH_ColCat)=BonusCat)*ROW(LH_Data)))))</f>
        <v/>
      </c>
    </row>
    <row r="16" customFormat="false" ht="15" hidden="false" customHeight="false" outlineLevel="0" collapsed="false">
      <c r="A16" s="15"/>
      <c r="B16" s="15"/>
      <c r="C16" s="15"/>
      <c r="D16" s="16"/>
      <c r="E16" s="10" t="str">
        <f aca="false">IF(OR(AE16=0,$D16=""),"",DATE(YEAR(AsOfDate)+IF(DATE(YEAR(AsOfDate),MONTH($D16),DAY($D16))&lt;=AsOfDate,1,0),MONTH($D16),DAY($D16)))</f>
        <v/>
      </c>
      <c r="F16" s="16"/>
      <c r="G16" s="16"/>
      <c r="H16" s="16"/>
      <c r="I16" s="16"/>
      <c r="J16" s="16"/>
      <c r="K16" s="10" t="str">
        <f aca="false">IF(AE16=0,"",DATE(YEAR(AsOfDate)+IF(DATE(YEAR(AsOfDate),MONTH($F16),DAY($F16))&lt;=AsOfDate,1,0),MONTH($F16),DAY($F16)))</f>
        <v/>
      </c>
      <c r="L16" s="11" t="str">
        <f aca="false">IF(AE16=0,"",ROUND((AsOfDate-$F16)/365.25,1))</f>
        <v/>
      </c>
      <c r="M16" s="12" t="str">
        <f aca="false">IF(AE16=0,"",IF(AsOfDate&lt;AF16,"-",DATEDIF(AF16,AsOfDate,"y")&amp;"y "&amp;DATEDIF(AF16,AsOfDate,"ym")&amp;"m "&amp;DATEDIF(AF16,AsOfDate,"md")&amp;"d"))</f>
        <v/>
      </c>
      <c r="N16" s="13" t="str">
        <f aca="false">IF(AE16=0,"",O16*HoursPerDay)</f>
        <v/>
      </c>
      <c r="O16" s="13" t="str">
        <f aca="false">IF(AE16=0,"",AX16)</f>
        <v/>
      </c>
      <c r="P16" s="17"/>
      <c r="Q16" s="12" t="str">
        <f aca="false">IF(AE16=0,"",IF(AG16&lt;2,"",AK16&amp;" to "&amp;AL16&amp;" on "&amp;TEXT(AI16,"dd/mm/yyyy")&amp;IF(AI16&gt;AsOfDate," (future)",IF(AN16=AO16,"",IF(AO16="None"," - STOPPED accruing",IF(AN16="None"," - now qualifying"," - pathway changed"))))&amp;IF(AG16&lt;3,"","; "&amp;AL16&amp;" to "&amp;AM16&amp;" on "&amp;TEXT(AJ16,"dd/mm/yyyy")&amp;IF(AJ16&gt;AsOfDate," (future)",IF(AO16=AP16,"",IF(AP16="None"," - STOPPED accruing",IF(AO16="None"," - now qualifying"," - pathway changed")))))))</f>
        <v/>
      </c>
      <c r="R16" s="12" t="str">
        <f aca="false">IF(AE16=0,"",IF(AQ16="None",IF(O16&gt;0,"No longer accruing","Not eligible - "&amp;IF(AND(OR(ISNUMBER(SEARCH("part",$C16)),UPPER(TRIM($C16))="PT",UPPER(TRIM($C16))="PTE"),$P16&lt;&gt;"",N($P16)&lt;PT_MinHours),"under "&amp;PT_MinHours&amp;" hrs",IF(IF($C16="","",IF(OR(ISNUMBER(SEARCH("full",$C16)),UPPER(TRIM($C16))="FT",UPPER(TRIM($C16))="FTE"),"Full-Time",IF(OR(ISNUMBER(SEARCH("part",$C16)),UPPER(TRIM($C16))="PT",UPPER(TRIM($C16))="PTE"),"Part-Time",IF(OR(ISNUMBER(SEARCH("cas",$C16)),UPPER(TRIM($C16))="CAS"),"Casual","Unknown"))))="Unknown","type not recognised",$C16))),IF(O16&gt;0,"Yes - accruing","Not yet - from "&amp;TEXT(S16,"dd/mm/yyyy"))))</f>
        <v/>
      </c>
      <c r="S16" s="10" t="str">
        <f aca="false">IF(AE16=0,"",IF(AQ16="None","",EDATE(AF16,AZ16)))</f>
        <v/>
      </c>
      <c r="T16" s="13" t="str">
        <f aca="false">IF(OR(AE16=0,W16=""),"",W16-U16+V16)</f>
        <v/>
      </c>
      <c r="U16" s="13" t="str">
        <f aca="false">IF(AE16=0,"",IF(NOT(LH_Ready),"",SUMIFS(INDEX(LH_Data,0,LH_ColAcc),INDEX(LH_Data,0,LH_ColFirst),$A16,INDEX(LH_Data,0,LH_ColSur),$B16,INDEX(LH_Data,0,LH_ColCat),BonusCat)*UnitFactor))</f>
        <v/>
      </c>
      <c r="V16" s="13" t="str">
        <f aca="false">IF(AE16=0,"",IF(NOT(LH_Ready),"",SUMIFS(INDEX(LH_Data,0,LH_ColTaken),INDEX(LH_Data,0,LH_ColFirst),$A16,INDEX(LH_Data,0,LH_ColSur),$B16,INDEX(LH_Data,0,LH_ColCat),BonusCat)*UnitFactor))</f>
        <v/>
      </c>
      <c r="W16" s="13" t="str">
        <f aca="false">IF(AE16=0,"",IF(NOT(LH_Ready),"",IF(BB16=0,0,INDEX(INDEX(LH_Data,0,LH_ColClose),BB16-1)*UnitFactor)))</f>
        <v/>
      </c>
      <c r="X16" s="13" t="str">
        <f aca="false">IF(AE16=0,"",(AX16-AY16)*HoursPerDay)</f>
        <v/>
      </c>
      <c r="Y16" s="13" t="str">
        <f aca="false">IF(AE16=0,"",IF(NOT(LH_Ready),"",IF(BA16=0,N16,X16-N(U16))))</f>
        <v/>
      </c>
      <c r="Z16" s="12" t="str">
        <f aca="false">IF(OR(AE16=0,Y16=""),"",IF(Y16&gt;0,"Yes","No"))</f>
        <v/>
      </c>
      <c r="AA16" s="12" t="str">
        <f aca="false">IF(AE16=0,IF(LEN($A16&amp;$B16)=0,"","FIX INPUT - StartDate missing"),IF(AD16&lt;&gt;"","FIX INPUT - "&amp;AD16,IF(NOT(LH_Ready),"Paste Leave History export (Settings must show YES)",IF(Y16&gt;0,"ACCRUE "&amp;ROUND(Y16,2)&amp;" hrs ("&amp;ROUND(Y16/HoursPerDay,2)&amp;" days)"&amp;IF(BA16=0," - no Bonus Leave in EH yet, full catch-up since start",""),IF(Y16&lt;0,"CHECK - EH accrued "&amp;ROUND(-Y16,2)&amp;""&amp;" hrs more than policy",IF(O16&gt;0,"OK - nothing to add",IF(AQ16="None",R16,"Not yet - first day on "&amp;TEXT(S16,"dd/mm/yyyy"))))))))</f>
        <v/>
      </c>
      <c r="AB16" s="13" t="str">
        <f aca="false">IF(OR(AE16=0,T16=""),"",AY16*HoursPerDay-T16)</f>
        <v/>
      </c>
      <c r="AC16" s="12" t="str">
        <f aca="false">IF(AE16=0,"",BA16)</f>
        <v/>
      </c>
      <c r="AD16" s="12" t="str">
        <f aca="false">IF(AE16=0,"",TRIM(IF(IF($C16="","",IF(OR(ISNUMBER(SEARCH("full",$C16)),UPPER(TRIM($C16))="FT",UPPER(TRIM($C16))="FTE"),"Full-Time",IF(OR(ISNUMBER(SEARCH("part",$C16)),UPPER(TRIM($C16))="PT",UPPER(TRIM($C16))="PTE"),"Part-Time",IF(OR(ISNUMBER(SEARCH("cas",$C16)),UPPER(TRIM($C16))="CAS"),"Casual","Unknown"))))="Unknown","EmploymentType not recognised - use Full-Time, Part-Time or Casual. ","")&amp;IF(AND(AG16&gt;=1,IF(AG16&gt;=3,AM16,IF(AG16=2,AL16,AK16))&lt;&gt;IF($C16="","",IF(OR(ISNUMBER(SEARCH("full",$C16)),UPPER(TRIM($C16))="FT",UPPER(TRIM($C16))="FTE"),"Full-Time",IF(OR(ISNUMBER(SEARCH("part",$C16)),UPPER(TRIM($C16))="PT",UPPER(TRIM($C16))="PTE"),"Part-Time",IF(OR(ISNUMBER(SEARCH("cas",$C16)),UPPER(TRIM($C16))="CAS"),"Casual","Unknown"))))),"EmploymentType does not match latest start date ("&amp;IF(AG16&gt;=3,AM16,IF(AG16=2,AL16,AK16))&amp;"). ","")&amp;IF(AND(AG16&gt;=1,AH16&lt;&gt;$F16),"Earliest type date should equal StartDate. ","")&amp;IF(AND(AG16&gt;=2,AH16=AI16),"Two types start on the same date. ","")&amp;IF(AND(OR(ISNUMBER(SEARCH("part",$C16)),UPPER(TRIM($C16))="PT",UPPER(TRIM($C16))="PTE"),$P16=""),"Part-time: enter PT Hrs/Week (blank = 24+). ","")))</f>
        <v/>
      </c>
      <c r="AE16" s="12" t="n">
        <f aca="false">IF(OR(LEN($A16&amp;$B16)=0,$F16=""),0,1)</f>
        <v>0</v>
      </c>
      <c r="AF16" s="10" t="str">
        <f aca="false">IF(AE16=0,"",IF($J16&lt;&gt;"",$J16,$F16))</f>
        <v/>
      </c>
      <c r="AG16" s="12" t="str">
        <f aca="false">IF(AE16=0,"",COUNT($G16:$I16))</f>
        <v/>
      </c>
      <c r="AH16" s="10" t="str">
        <f aca="false">IF(AE16=0,"",IFERROR(SMALL($G16:$I16,1),""))</f>
        <v/>
      </c>
      <c r="AI16" s="10" t="str">
        <f aca="false">IF(AE16=0,"",IFERROR(SMALL($G16:$I16,2),""))</f>
        <v/>
      </c>
      <c r="AJ16" s="10" t="str">
        <f aca="false">IF(AE16=0,"",IFERROR(SMALL($G16:$I16,3),""))</f>
        <v/>
      </c>
      <c r="AK16" s="12" t="str">
        <f aca="false">IF(AE16=0,"",IF(AH16="","",IF(AH16=$G16,"Part-Time",IF(AH16=$H16,"Full-Time","Casual"))))</f>
        <v/>
      </c>
      <c r="AL16" s="12" t="str">
        <f aca="false">IF(AE16=0,"",IF(AI16="","",IF(AI16=$G16,"Part-Time",IF(AI16=$H16,"Full-Time","Casual"))))</f>
        <v/>
      </c>
      <c r="AM16" s="12" t="str">
        <f aca="false">IF(AE16=0,"",IF(AJ16="","",IF(AJ16=$G16,"Part-Time",IF(AJ16=$H16,"Full-Time","Casual"))))</f>
        <v/>
      </c>
      <c r="AN16" s="12" t="str">
        <f aca="false">IF(AE16=0,"",IF(AG16=0,IF(OR(ISNUMBER(SEARCH("full",$C16)),UPPER(TRIM($C16))="FT",UPPER(TRIM($C16))="FTE"),"FT",IF(AND(OR(ISNUMBER(SEARCH("part",$C16)),UPPER(TRIM($C16))="PT",UPPER(TRIM($C16))="PTE"),OR($P16="",N($P16)&gt;=PT_MinHours)),"PT","None")),IF(OR(ISNUMBER(SEARCH("full",AK16)),UPPER(TRIM(AK16))="FT",UPPER(TRIM(AK16))="FTE"),"FT",IF(AND(OR(ISNUMBER(SEARCH("part",AK16)),UPPER(TRIM(AK16))="PT",UPPER(TRIM(AK16))="PTE"),OR($P16="",N($P16)&gt;=PT_MinHours)),"PT","None"))))</f>
        <v/>
      </c>
      <c r="AO16" s="12" t="str">
        <f aca="false">IF(AE16=0,"",IF(AG16&lt;2,"",IF(OR(ISNUMBER(SEARCH("full",AL16)),UPPER(TRIM(AL16))="FT",UPPER(TRIM(AL16))="FTE"),"FT",IF(AND(OR(ISNUMBER(SEARCH("part",AL16)),UPPER(TRIM(AL16))="PT",UPPER(TRIM(AL16))="PTE"),OR($P16="",N($P16)&gt;=PT_MinHours)),"PT","None"))))</f>
        <v/>
      </c>
      <c r="AP16" s="12" t="str">
        <f aca="false">IF(AE16=0,"",IF(AG16&lt;3,"",IF(OR(ISNUMBER(SEARCH("full",AM16)),UPPER(TRIM(AM16))="FT",UPPER(TRIM(AM16))="FTE"),"FT",IF(AND(OR(ISNUMBER(SEARCH("part",AM16)),UPPER(TRIM(AM16))="PT",UPPER(TRIM(AM16))="PTE"),OR($P16="",N($P16)&gt;=PT_MinHours)),"PT","None"))))</f>
        <v/>
      </c>
      <c r="AQ16" s="12" t="str">
        <f aca="false">IF(AE16=0,"",IF(AND(AG16&gt;=3,AJ16&lt;=AsOfDate),AP16,IF(AND(AG16&gt;=2,AI16&lt;=AsOfDate),AO16,AN16)))</f>
        <v/>
      </c>
      <c r="AR16" s="12" t="str">
        <f aca="false">IF(AE16=0,"",IF(AsOfDate&lt;AF16,-1,12*(YEAR(AsOfDate)-YEAR(AF16))+MONTH(AsOfDate)-MONTH(AF16)-IF(DAY(AsOfDate)&lt;MIN(DAY(AF16),DAY(EOMONTH(AsOfDate,0))),1,0)))</f>
        <v/>
      </c>
      <c r="AS16" s="12" t="str">
        <f aca="false">IF(AE16=0,"",IF(OR(AG16&lt;2,AI16&gt;AsOfDate),AR16,IF((AI16-1)&lt;AF16,-1,12*(YEAR((AI16-1))-YEAR(AF16))+MONTH((AI16-1))-MONTH(AF16)-IF(DAY((AI16-1))&lt;MIN(DAY(AF16),DAY(EOMONTH((AI16-1),0))),1,0))))</f>
        <v/>
      </c>
      <c r="AT16" s="12" t="str">
        <f aca="false">IF(AE16=0,"",IF(OR(AG16&lt;3,AJ16&gt;AsOfDate),AR16,IF((AJ16-1)&lt;AF16,-1,12*(YEAR((AJ16-1))-YEAR(AF16))+MONTH((AJ16-1))-MONTH(AF16)-IF(DAY((AJ16-1))&lt;MIN(DAY(AF16),DAY(EOMONTH((AJ16-1),0))),1,0))))</f>
        <v/>
      </c>
      <c r="AU16" s="12" t="str">
        <f aca="false">IF(AE16=0,"",IF(PFYDate&lt;AF16,-1,12*(YEAR(PFYDate)-YEAR(AF16))+MONTH(PFYDate)-MONTH(AF16)-IF(DAY(PFYDate)&lt;MIN(DAY(AF16),DAY(EOMONTH(PFYDate,0))),1,0)))</f>
        <v/>
      </c>
      <c r="AV16" s="12" t="str">
        <f aca="false">IF(AE16=0,"",IF(OR(AG16&lt;2,AI16&gt;PFYDate),AU16,IF((AI16-1)&lt;AF16,-1,12*(YEAR((AI16-1))-YEAR(AF16))+MONTH((AI16-1))-MONTH(AF16)-IF(DAY((AI16-1))&lt;MIN(DAY(AF16),DAY(EOMONTH((AI16-1),0))),1,0))))</f>
        <v/>
      </c>
      <c r="AW16" s="12" t="str">
        <f aca="false">IF(AE16=0,"",IF(OR(AG16&lt;3,AJ16&gt;PFYDate),AU16,IF((AJ16-1)&lt;AF16,-1,12*(YEAR((AJ16-1))-YEAR(AF16))+MONTH((AJ16-1))-MONTH(AF16)-IF(DAY((AJ16-1))&lt;MIN(DAY(AF16),DAY(EOMONTH((AJ16-1),0))),1,0))))</f>
        <v/>
      </c>
      <c r="AX16" s="12" t="str">
        <f aca="false">IF(AE16=0,"",IF(AN16="FT",IF(AS16&lt;FT_First,0,IF(AS16&lt;FT_Y5,1+INT((AS16-FT_First)/FT_Int1),FT_PreY5+FT_PerYear*INT((AS16-FT_Y5)/12)+FT_AnnivDays+INT(MOD(AS16-FT_Y5,12)/FT_Int2))),IF(AN16="PT",IF(AS16&lt;PT_First,0,1+INT((AS16-PT_First)/PT_Int)),0))+IF(AND(AG16&gt;=2,AI16&lt;=AsOfDate),IF(AO16="FT",IF(AT16&lt;FT_First,0,IF(AT16&lt;FT_Y5,1+INT((AT16-FT_First)/FT_Int1),FT_PreY5+FT_PerYear*INT((AT16-FT_Y5)/12)+FT_AnnivDays+INT(MOD(AT16-FT_Y5,12)/FT_Int2))),IF(AO16="PT",IF(AT16&lt;PT_First,0,1+INT((AT16-PT_First)/PT_Int)),0))-IF(AO16="FT",IF(AS16&lt;FT_First,0,IF(AS16&lt;FT_Y5,1+INT((AS16-FT_First)/FT_Int1),FT_PreY5+FT_PerYear*INT((AS16-FT_Y5)/12)+FT_AnnivDays+INT(MOD(AS16-FT_Y5,12)/FT_Int2))),IF(AO16="PT",IF(AS16&lt;PT_First,0,1+INT((AS16-PT_First)/PT_Int)),0)),0)+IF(AND(AG16&gt;=3,AJ16&lt;=AsOfDate),IF(AP16="FT",IF(AR16&lt;FT_First,0,IF(AR16&lt;FT_Y5,1+INT((AR16-FT_First)/FT_Int1),FT_PreY5+FT_PerYear*INT((AR16-FT_Y5)/12)+FT_AnnivDays+INT(MOD(AR16-FT_Y5,12)/FT_Int2))),IF(AP16="PT",IF(AR16&lt;PT_First,0,1+INT((AR16-PT_First)/PT_Int)),0))-IF(AP16="FT",IF(AT16&lt;FT_First,0,IF(AT16&lt;FT_Y5,1+INT((AT16-FT_First)/FT_Int1),FT_PreY5+FT_PerYear*INT((AT16-FT_Y5)/12)+FT_AnnivDays+INT(MOD(AT16-FT_Y5,12)/FT_Int2))),IF(AP16="PT",IF(AT16&lt;PT_First,0,1+INT((AT16-PT_First)/PT_Int)),0)),0))</f>
        <v/>
      </c>
      <c r="AY16" s="12" t="str">
        <f aca="false">IF(AE16=0,"",IF(AN16="FT",IF(AV16&lt;FT_First,0,IF(AV16&lt;FT_Y5,1+INT((AV16-FT_First)/FT_Int1),FT_PreY5+FT_PerYear*INT((AV16-FT_Y5)/12)+FT_AnnivDays+INT(MOD(AV16-FT_Y5,12)/FT_Int2))),IF(AN16="PT",IF(AV16&lt;PT_First,0,1+INT((AV16-PT_First)/PT_Int)),0))+IF(AND(AG16&gt;=2,AI16&lt;=PFYDate),IF(AO16="FT",IF(AW16&lt;FT_First,0,IF(AW16&lt;FT_Y5,1+INT((AW16-FT_First)/FT_Int1),FT_PreY5+FT_PerYear*INT((AW16-FT_Y5)/12)+FT_AnnivDays+INT(MOD(AW16-FT_Y5,12)/FT_Int2))),IF(AO16="PT",IF(AW16&lt;PT_First,0,1+INT((AW16-PT_First)/PT_Int)),0))-IF(AO16="FT",IF(AV16&lt;FT_First,0,IF(AV16&lt;FT_Y5,1+INT((AV16-FT_First)/FT_Int1),FT_PreY5+FT_PerYear*INT((AV16-FT_Y5)/12)+FT_AnnivDays+INT(MOD(AV16-FT_Y5,12)/FT_Int2))),IF(AO16="PT",IF(AV16&lt;PT_First,0,1+INT((AV16-PT_First)/PT_Int)),0)),0)+IF(AND(AG16&gt;=3,AJ16&lt;=PFYDate),IF(AP16="FT",IF(AU16&lt;FT_First,0,IF(AU16&lt;FT_Y5,1+INT((AU16-FT_First)/FT_Int1),FT_PreY5+FT_PerYear*INT((AU16-FT_Y5)/12)+FT_AnnivDays+INT(MOD(AU16-FT_Y5,12)/FT_Int2))),IF(AP16="PT",IF(AU16&lt;PT_First,0,1+INT((AU16-PT_First)/PT_Int)),0))-IF(AP16="FT",IF(AW16&lt;FT_First,0,IF(AW16&lt;FT_Y5,1+INT((AW16-FT_First)/FT_Int1),FT_PreY5+FT_PerYear*INT((AW16-FT_Y5)/12)+FT_AnnivDays+INT(MOD(AW16-FT_Y5,12)/FT_Int2))),IF(AP16="PT",IF(AW16&lt;PT_First,0,1+INT((AW16-PT_First)/PT_Int)),0)),0))</f>
        <v/>
      </c>
      <c r="AZ16" s="12" t="str">
        <f aca="false">IF(AE16=0,"",IF(AQ16="FT",IF(AR16&lt;FT_First,FT_First,IF(AR16&lt;FT_Y5,MIN(FT_Y5,FT_First+FT_Int1*(INT((AR16-FT_First)/FT_Int1)+1)),FT_Y5+12*INT((AR16-FT_Y5)/12)+FT_Int2*(INT(MOD(AR16-FT_Y5,12)/FT_Int2)+1))),IF(AQ16="PT",IF(AR16&lt;PT_First,PT_First,PT_First+PT_Int*(INT((AR16-PT_First)/PT_Int)+1)),"")))</f>
        <v/>
      </c>
      <c r="BA16" s="12" t="str">
        <f aca="false">IF(AE16=0,"",IF(NOT(LH_Ready),0,COUNTIFS(INDEX(LH_Data,0,LH_ColFirst),$A16,INDEX(LH_Data,0,LH_ColSur),$B16,INDEX(LH_Data,0,LH_ColCat),BonusCat)))</f>
        <v/>
      </c>
      <c r="BB16" s="12" t="str">
        <f aca="false">IF(AE16=0,"",IF(OR(NOT(LH_Ready),BA16=0),0,SUMPRODUCT(MAX((INDEX(LH_Data,0,LH_ColFirst)=$A16)*(INDEX(LH_Data,0,LH_ColSur)=$B16)*(INDEX(LH_Data,0,LH_ColCat)=BonusCat)*ROW(LH_Data)))))</f>
        <v/>
      </c>
    </row>
    <row r="17" customFormat="false" ht="15" hidden="false" customHeight="false" outlineLevel="0" collapsed="false">
      <c r="A17" s="15"/>
      <c r="B17" s="15"/>
      <c r="C17" s="15"/>
      <c r="D17" s="16"/>
      <c r="E17" s="10" t="str">
        <f aca="false">IF(OR(AE17=0,$D17=""),"",DATE(YEAR(AsOfDate)+IF(DATE(YEAR(AsOfDate),MONTH($D17),DAY($D17))&lt;=AsOfDate,1,0),MONTH($D17),DAY($D17)))</f>
        <v/>
      </c>
      <c r="F17" s="16"/>
      <c r="G17" s="16"/>
      <c r="H17" s="16"/>
      <c r="I17" s="16"/>
      <c r="J17" s="16"/>
      <c r="K17" s="10" t="str">
        <f aca="false">IF(AE17=0,"",DATE(YEAR(AsOfDate)+IF(DATE(YEAR(AsOfDate),MONTH($F17),DAY($F17))&lt;=AsOfDate,1,0),MONTH($F17),DAY($F17)))</f>
        <v/>
      </c>
      <c r="L17" s="11" t="str">
        <f aca="false">IF(AE17=0,"",ROUND((AsOfDate-$F17)/365.25,1))</f>
        <v/>
      </c>
      <c r="M17" s="12" t="str">
        <f aca="false">IF(AE17=0,"",IF(AsOfDate&lt;AF17,"-",DATEDIF(AF17,AsOfDate,"y")&amp;"y "&amp;DATEDIF(AF17,AsOfDate,"ym")&amp;"m "&amp;DATEDIF(AF17,AsOfDate,"md")&amp;"d"))</f>
        <v/>
      </c>
      <c r="N17" s="13" t="str">
        <f aca="false">IF(AE17=0,"",O17*HoursPerDay)</f>
        <v/>
      </c>
      <c r="O17" s="13" t="str">
        <f aca="false">IF(AE17=0,"",AX17)</f>
        <v/>
      </c>
      <c r="P17" s="17"/>
      <c r="Q17" s="12" t="str">
        <f aca="false">IF(AE17=0,"",IF(AG17&lt;2,"",AK17&amp;" to "&amp;AL17&amp;" on "&amp;TEXT(AI17,"dd/mm/yyyy")&amp;IF(AI17&gt;AsOfDate," (future)",IF(AN17=AO17,"",IF(AO17="None"," - STOPPED accruing",IF(AN17="None"," - now qualifying"," - pathway changed"))))&amp;IF(AG17&lt;3,"","; "&amp;AL17&amp;" to "&amp;AM17&amp;" on "&amp;TEXT(AJ17,"dd/mm/yyyy")&amp;IF(AJ17&gt;AsOfDate," (future)",IF(AO17=AP17,"",IF(AP17="None"," - STOPPED accruing",IF(AO17="None"," - now qualifying"," - pathway changed")))))))</f>
        <v/>
      </c>
      <c r="R17" s="12" t="str">
        <f aca="false">IF(AE17=0,"",IF(AQ17="None",IF(O17&gt;0,"No longer accruing","Not eligible - "&amp;IF(AND(OR(ISNUMBER(SEARCH("part",$C17)),UPPER(TRIM($C17))="PT",UPPER(TRIM($C17))="PTE"),$P17&lt;&gt;"",N($P17)&lt;PT_MinHours),"under "&amp;PT_MinHours&amp;" hrs",IF(IF($C17="","",IF(OR(ISNUMBER(SEARCH("full",$C17)),UPPER(TRIM($C17))="FT",UPPER(TRIM($C17))="FTE"),"Full-Time",IF(OR(ISNUMBER(SEARCH("part",$C17)),UPPER(TRIM($C17))="PT",UPPER(TRIM($C17))="PTE"),"Part-Time",IF(OR(ISNUMBER(SEARCH("cas",$C17)),UPPER(TRIM($C17))="CAS"),"Casual","Unknown"))))="Unknown","type not recognised",$C17))),IF(O17&gt;0,"Yes - accruing","Not yet - from "&amp;TEXT(S17,"dd/mm/yyyy"))))</f>
        <v/>
      </c>
      <c r="S17" s="10" t="str">
        <f aca="false">IF(AE17=0,"",IF(AQ17="None","",EDATE(AF17,AZ17)))</f>
        <v/>
      </c>
      <c r="T17" s="13" t="str">
        <f aca="false">IF(OR(AE17=0,W17=""),"",W17-U17+V17)</f>
        <v/>
      </c>
      <c r="U17" s="13" t="str">
        <f aca="false">IF(AE17=0,"",IF(NOT(LH_Ready),"",SUMIFS(INDEX(LH_Data,0,LH_ColAcc),INDEX(LH_Data,0,LH_ColFirst),$A17,INDEX(LH_Data,0,LH_ColSur),$B17,INDEX(LH_Data,0,LH_ColCat),BonusCat)*UnitFactor))</f>
        <v/>
      </c>
      <c r="V17" s="13" t="str">
        <f aca="false">IF(AE17=0,"",IF(NOT(LH_Ready),"",SUMIFS(INDEX(LH_Data,0,LH_ColTaken),INDEX(LH_Data,0,LH_ColFirst),$A17,INDEX(LH_Data,0,LH_ColSur),$B17,INDEX(LH_Data,0,LH_ColCat),BonusCat)*UnitFactor))</f>
        <v/>
      </c>
      <c r="W17" s="13" t="str">
        <f aca="false">IF(AE17=0,"",IF(NOT(LH_Ready),"",IF(BB17=0,0,INDEX(INDEX(LH_Data,0,LH_ColClose),BB17-1)*UnitFactor)))</f>
        <v/>
      </c>
      <c r="X17" s="13" t="str">
        <f aca="false">IF(AE17=0,"",(AX17-AY17)*HoursPerDay)</f>
        <v/>
      </c>
      <c r="Y17" s="13" t="str">
        <f aca="false">IF(AE17=0,"",IF(NOT(LH_Ready),"",IF(BA17=0,N17,X17-N(U17))))</f>
        <v/>
      </c>
      <c r="Z17" s="12" t="str">
        <f aca="false">IF(OR(AE17=0,Y17=""),"",IF(Y17&gt;0,"Yes","No"))</f>
        <v/>
      </c>
      <c r="AA17" s="12" t="str">
        <f aca="false">IF(AE17=0,IF(LEN($A17&amp;$B17)=0,"","FIX INPUT - StartDate missing"),IF(AD17&lt;&gt;"","FIX INPUT - "&amp;AD17,IF(NOT(LH_Ready),"Paste Leave History export (Settings must show YES)",IF(Y17&gt;0,"ACCRUE "&amp;ROUND(Y17,2)&amp;" hrs ("&amp;ROUND(Y17/HoursPerDay,2)&amp;" days)"&amp;IF(BA17=0," - no Bonus Leave in EH yet, full catch-up since start",""),IF(Y17&lt;0,"CHECK - EH accrued "&amp;ROUND(-Y17,2)&amp;""&amp;" hrs more than policy",IF(O17&gt;0,"OK - nothing to add",IF(AQ17="None",R17,"Not yet - first day on "&amp;TEXT(S17,"dd/mm/yyyy"))))))))</f>
        <v/>
      </c>
      <c r="AB17" s="13" t="str">
        <f aca="false">IF(OR(AE17=0,T17=""),"",AY17*HoursPerDay-T17)</f>
        <v/>
      </c>
      <c r="AC17" s="12" t="str">
        <f aca="false">IF(AE17=0,"",BA17)</f>
        <v/>
      </c>
      <c r="AD17" s="12" t="str">
        <f aca="false">IF(AE17=0,"",TRIM(IF(IF($C17="","",IF(OR(ISNUMBER(SEARCH("full",$C17)),UPPER(TRIM($C17))="FT",UPPER(TRIM($C17))="FTE"),"Full-Time",IF(OR(ISNUMBER(SEARCH("part",$C17)),UPPER(TRIM($C17))="PT",UPPER(TRIM($C17))="PTE"),"Part-Time",IF(OR(ISNUMBER(SEARCH("cas",$C17)),UPPER(TRIM($C17))="CAS"),"Casual","Unknown"))))="Unknown","EmploymentType not recognised - use Full-Time, Part-Time or Casual. ","")&amp;IF(AND(AG17&gt;=1,IF(AG17&gt;=3,AM17,IF(AG17=2,AL17,AK17))&lt;&gt;IF($C17="","",IF(OR(ISNUMBER(SEARCH("full",$C17)),UPPER(TRIM($C17))="FT",UPPER(TRIM($C17))="FTE"),"Full-Time",IF(OR(ISNUMBER(SEARCH("part",$C17)),UPPER(TRIM($C17))="PT",UPPER(TRIM($C17))="PTE"),"Part-Time",IF(OR(ISNUMBER(SEARCH("cas",$C17)),UPPER(TRIM($C17))="CAS"),"Casual","Unknown"))))),"EmploymentType does not match latest start date ("&amp;IF(AG17&gt;=3,AM17,IF(AG17=2,AL17,AK17))&amp;"). ","")&amp;IF(AND(AG17&gt;=1,AH17&lt;&gt;$F17),"Earliest type date should equal StartDate. ","")&amp;IF(AND(AG17&gt;=2,AH17=AI17),"Two types start on the same date. ","")&amp;IF(AND(OR(ISNUMBER(SEARCH("part",$C17)),UPPER(TRIM($C17))="PT",UPPER(TRIM($C17))="PTE"),$P17=""),"Part-time: enter PT Hrs/Week (blank = 24+). ","")))</f>
        <v/>
      </c>
      <c r="AE17" s="12" t="n">
        <f aca="false">IF(OR(LEN($A17&amp;$B17)=0,$F17=""),0,1)</f>
        <v>0</v>
      </c>
      <c r="AF17" s="10" t="str">
        <f aca="false">IF(AE17=0,"",IF($J17&lt;&gt;"",$J17,$F17))</f>
        <v/>
      </c>
      <c r="AG17" s="12" t="str">
        <f aca="false">IF(AE17=0,"",COUNT($G17:$I17))</f>
        <v/>
      </c>
      <c r="AH17" s="10" t="str">
        <f aca="false">IF(AE17=0,"",IFERROR(SMALL($G17:$I17,1),""))</f>
        <v/>
      </c>
      <c r="AI17" s="10" t="str">
        <f aca="false">IF(AE17=0,"",IFERROR(SMALL($G17:$I17,2),""))</f>
        <v/>
      </c>
      <c r="AJ17" s="10" t="str">
        <f aca="false">IF(AE17=0,"",IFERROR(SMALL($G17:$I17,3),""))</f>
        <v/>
      </c>
      <c r="AK17" s="12" t="str">
        <f aca="false">IF(AE17=0,"",IF(AH17="","",IF(AH17=$G17,"Part-Time",IF(AH17=$H17,"Full-Time","Casual"))))</f>
        <v/>
      </c>
      <c r="AL17" s="12" t="str">
        <f aca="false">IF(AE17=0,"",IF(AI17="","",IF(AI17=$G17,"Part-Time",IF(AI17=$H17,"Full-Time","Casual"))))</f>
        <v/>
      </c>
      <c r="AM17" s="12" t="str">
        <f aca="false">IF(AE17=0,"",IF(AJ17="","",IF(AJ17=$G17,"Part-Time",IF(AJ17=$H17,"Full-Time","Casual"))))</f>
        <v/>
      </c>
      <c r="AN17" s="12" t="str">
        <f aca="false">IF(AE17=0,"",IF(AG17=0,IF(OR(ISNUMBER(SEARCH("full",$C17)),UPPER(TRIM($C17))="FT",UPPER(TRIM($C17))="FTE"),"FT",IF(AND(OR(ISNUMBER(SEARCH("part",$C17)),UPPER(TRIM($C17))="PT",UPPER(TRIM($C17))="PTE"),OR($P17="",N($P17)&gt;=PT_MinHours)),"PT","None")),IF(OR(ISNUMBER(SEARCH("full",AK17)),UPPER(TRIM(AK17))="FT",UPPER(TRIM(AK17))="FTE"),"FT",IF(AND(OR(ISNUMBER(SEARCH("part",AK17)),UPPER(TRIM(AK17))="PT",UPPER(TRIM(AK17))="PTE"),OR($P17="",N($P17)&gt;=PT_MinHours)),"PT","None"))))</f>
        <v/>
      </c>
      <c r="AO17" s="12" t="str">
        <f aca="false">IF(AE17=0,"",IF(AG17&lt;2,"",IF(OR(ISNUMBER(SEARCH("full",AL17)),UPPER(TRIM(AL17))="FT",UPPER(TRIM(AL17))="FTE"),"FT",IF(AND(OR(ISNUMBER(SEARCH("part",AL17)),UPPER(TRIM(AL17))="PT",UPPER(TRIM(AL17))="PTE"),OR($P17="",N($P17)&gt;=PT_MinHours)),"PT","None"))))</f>
        <v/>
      </c>
      <c r="AP17" s="12" t="str">
        <f aca="false">IF(AE17=0,"",IF(AG17&lt;3,"",IF(OR(ISNUMBER(SEARCH("full",AM17)),UPPER(TRIM(AM17))="FT",UPPER(TRIM(AM17))="FTE"),"FT",IF(AND(OR(ISNUMBER(SEARCH("part",AM17)),UPPER(TRIM(AM17))="PT",UPPER(TRIM(AM17))="PTE"),OR($P17="",N($P17)&gt;=PT_MinHours)),"PT","None"))))</f>
        <v/>
      </c>
      <c r="AQ17" s="12" t="str">
        <f aca="false">IF(AE17=0,"",IF(AND(AG17&gt;=3,AJ17&lt;=AsOfDate),AP17,IF(AND(AG17&gt;=2,AI17&lt;=AsOfDate),AO17,AN17)))</f>
        <v/>
      </c>
      <c r="AR17" s="12" t="str">
        <f aca="false">IF(AE17=0,"",IF(AsOfDate&lt;AF17,-1,12*(YEAR(AsOfDate)-YEAR(AF17))+MONTH(AsOfDate)-MONTH(AF17)-IF(DAY(AsOfDate)&lt;MIN(DAY(AF17),DAY(EOMONTH(AsOfDate,0))),1,0)))</f>
        <v/>
      </c>
      <c r="AS17" s="12" t="str">
        <f aca="false">IF(AE17=0,"",IF(OR(AG17&lt;2,AI17&gt;AsOfDate),AR17,IF((AI17-1)&lt;AF17,-1,12*(YEAR((AI17-1))-YEAR(AF17))+MONTH((AI17-1))-MONTH(AF17)-IF(DAY((AI17-1))&lt;MIN(DAY(AF17),DAY(EOMONTH((AI17-1),0))),1,0))))</f>
        <v/>
      </c>
      <c r="AT17" s="12" t="str">
        <f aca="false">IF(AE17=0,"",IF(OR(AG17&lt;3,AJ17&gt;AsOfDate),AR17,IF((AJ17-1)&lt;AF17,-1,12*(YEAR((AJ17-1))-YEAR(AF17))+MONTH((AJ17-1))-MONTH(AF17)-IF(DAY((AJ17-1))&lt;MIN(DAY(AF17),DAY(EOMONTH((AJ17-1),0))),1,0))))</f>
        <v/>
      </c>
      <c r="AU17" s="12" t="str">
        <f aca="false">IF(AE17=0,"",IF(PFYDate&lt;AF17,-1,12*(YEAR(PFYDate)-YEAR(AF17))+MONTH(PFYDate)-MONTH(AF17)-IF(DAY(PFYDate)&lt;MIN(DAY(AF17),DAY(EOMONTH(PFYDate,0))),1,0)))</f>
        <v/>
      </c>
      <c r="AV17" s="12" t="str">
        <f aca="false">IF(AE17=0,"",IF(OR(AG17&lt;2,AI17&gt;PFYDate),AU17,IF((AI17-1)&lt;AF17,-1,12*(YEAR((AI17-1))-YEAR(AF17))+MONTH((AI17-1))-MONTH(AF17)-IF(DAY((AI17-1))&lt;MIN(DAY(AF17),DAY(EOMONTH((AI17-1),0))),1,0))))</f>
        <v/>
      </c>
      <c r="AW17" s="12" t="str">
        <f aca="false">IF(AE17=0,"",IF(OR(AG17&lt;3,AJ17&gt;PFYDate),AU17,IF((AJ17-1)&lt;AF17,-1,12*(YEAR((AJ17-1))-YEAR(AF17))+MONTH((AJ17-1))-MONTH(AF17)-IF(DAY((AJ17-1))&lt;MIN(DAY(AF17),DAY(EOMONTH((AJ17-1),0))),1,0))))</f>
        <v/>
      </c>
      <c r="AX17" s="12" t="str">
        <f aca="false">IF(AE17=0,"",IF(AN17="FT",IF(AS17&lt;FT_First,0,IF(AS17&lt;FT_Y5,1+INT((AS17-FT_First)/FT_Int1),FT_PreY5+FT_PerYear*INT((AS17-FT_Y5)/12)+FT_AnnivDays+INT(MOD(AS17-FT_Y5,12)/FT_Int2))),IF(AN17="PT",IF(AS17&lt;PT_First,0,1+INT((AS17-PT_First)/PT_Int)),0))+IF(AND(AG17&gt;=2,AI17&lt;=AsOfDate),IF(AO17="FT",IF(AT17&lt;FT_First,0,IF(AT17&lt;FT_Y5,1+INT((AT17-FT_First)/FT_Int1),FT_PreY5+FT_PerYear*INT((AT17-FT_Y5)/12)+FT_AnnivDays+INT(MOD(AT17-FT_Y5,12)/FT_Int2))),IF(AO17="PT",IF(AT17&lt;PT_First,0,1+INT((AT17-PT_First)/PT_Int)),0))-IF(AO17="FT",IF(AS17&lt;FT_First,0,IF(AS17&lt;FT_Y5,1+INT((AS17-FT_First)/FT_Int1),FT_PreY5+FT_PerYear*INT((AS17-FT_Y5)/12)+FT_AnnivDays+INT(MOD(AS17-FT_Y5,12)/FT_Int2))),IF(AO17="PT",IF(AS17&lt;PT_First,0,1+INT((AS17-PT_First)/PT_Int)),0)),0)+IF(AND(AG17&gt;=3,AJ17&lt;=AsOfDate),IF(AP17="FT",IF(AR17&lt;FT_First,0,IF(AR17&lt;FT_Y5,1+INT((AR17-FT_First)/FT_Int1),FT_PreY5+FT_PerYear*INT((AR17-FT_Y5)/12)+FT_AnnivDays+INT(MOD(AR17-FT_Y5,12)/FT_Int2))),IF(AP17="PT",IF(AR17&lt;PT_First,0,1+INT((AR17-PT_First)/PT_Int)),0))-IF(AP17="FT",IF(AT17&lt;FT_First,0,IF(AT17&lt;FT_Y5,1+INT((AT17-FT_First)/FT_Int1),FT_PreY5+FT_PerYear*INT((AT17-FT_Y5)/12)+FT_AnnivDays+INT(MOD(AT17-FT_Y5,12)/FT_Int2))),IF(AP17="PT",IF(AT17&lt;PT_First,0,1+INT((AT17-PT_First)/PT_Int)),0)),0))</f>
        <v/>
      </c>
      <c r="AY17" s="12" t="str">
        <f aca="false">IF(AE17=0,"",IF(AN17="FT",IF(AV17&lt;FT_First,0,IF(AV17&lt;FT_Y5,1+INT((AV17-FT_First)/FT_Int1),FT_PreY5+FT_PerYear*INT((AV17-FT_Y5)/12)+FT_AnnivDays+INT(MOD(AV17-FT_Y5,12)/FT_Int2))),IF(AN17="PT",IF(AV17&lt;PT_First,0,1+INT((AV17-PT_First)/PT_Int)),0))+IF(AND(AG17&gt;=2,AI17&lt;=PFYDate),IF(AO17="FT",IF(AW17&lt;FT_First,0,IF(AW17&lt;FT_Y5,1+INT((AW17-FT_First)/FT_Int1),FT_PreY5+FT_PerYear*INT((AW17-FT_Y5)/12)+FT_AnnivDays+INT(MOD(AW17-FT_Y5,12)/FT_Int2))),IF(AO17="PT",IF(AW17&lt;PT_First,0,1+INT((AW17-PT_First)/PT_Int)),0))-IF(AO17="FT",IF(AV17&lt;FT_First,0,IF(AV17&lt;FT_Y5,1+INT((AV17-FT_First)/FT_Int1),FT_PreY5+FT_PerYear*INT((AV17-FT_Y5)/12)+FT_AnnivDays+INT(MOD(AV17-FT_Y5,12)/FT_Int2))),IF(AO17="PT",IF(AV17&lt;PT_First,0,1+INT((AV17-PT_First)/PT_Int)),0)),0)+IF(AND(AG17&gt;=3,AJ17&lt;=PFYDate),IF(AP17="FT",IF(AU17&lt;FT_First,0,IF(AU17&lt;FT_Y5,1+INT((AU17-FT_First)/FT_Int1),FT_PreY5+FT_PerYear*INT((AU17-FT_Y5)/12)+FT_AnnivDays+INT(MOD(AU17-FT_Y5,12)/FT_Int2))),IF(AP17="PT",IF(AU17&lt;PT_First,0,1+INT((AU17-PT_First)/PT_Int)),0))-IF(AP17="FT",IF(AW17&lt;FT_First,0,IF(AW17&lt;FT_Y5,1+INT((AW17-FT_First)/FT_Int1),FT_PreY5+FT_PerYear*INT((AW17-FT_Y5)/12)+FT_AnnivDays+INT(MOD(AW17-FT_Y5,12)/FT_Int2))),IF(AP17="PT",IF(AW17&lt;PT_First,0,1+INT((AW17-PT_First)/PT_Int)),0)),0))</f>
        <v/>
      </c>
      <c r="AZ17" s="12" t="str">
        <f aca="false">IF(AE17=0,"",IF(AQ17="FT",IF(AR17&lt;FT_First,FT_First,IF(AR17&lt;FT_Y5,MIN(FT_Y5,FT_First+FT_Int1*(INT((AR17-FT_First)/FT_Int1)+1)),FT_Y5+12*INT((AR17-FT_Y5)/12)+FT_Int2*(INT(MOD(AR17-FT_Y5,12)/FT_Int2)+1))),IF(AQ17="PT",IF(AR17&lt;PT_First,PT_First,PT_First+PT_Int*(INT((AR17-PT_First)/PT_Int)+1)),"")))</f>
        <v/>
      </c>
      <c r="BA17" s="12" t="str">
        <f aca="false">IF(AE17=0,"",IF(NOT(LH_Ready),0,COUNTIFS(INDEX(LH_Data,0,LH_ColFirst),$A17,INDEX(LH_Data,0,LH_ColSur),$B17,INDEX(LH_Data,0,LH_ColCat),BonusCat)))</f>
        <v/>
      </c>
      <c r="BB17" s="12" t="str">
        <f aca="false">IF(AE17=0,"",IF(OR(NOT(LH_Ready),BA17=0),0,SUMPRODUCT(MAX((INDEX(LH_Data,0,LH_ColFirst)=$A17)*(INDEX(LH_Data,0,LH_ColSur)=$B17)*(INDEX(LH_Data,0,LH_ColCat)=BonusCat)*ROW(LH_Data)))))</f>
        <v/>
      </c>
    </row>
    <row r="18" customFormat="false" ht="15" hidden="false" customHeight="false" outlineLevel="0" collapsed="false">
      <c r="A18" s="15"/>
      <c r="B18" s="15"/>
      <c r="C18" s="15"/>
      <c r="D18" s="16"/>
      <c r="E18" s="10" t="str">
        <f aca="false">IF(OR(AE18=0,$D18=""),"",DATE(YEAR(AsOfDate)+IF(DATE(YEAR(AsOfDate),MONTH($D18),DAY($D18))&lt;=AsOfDate,1,0),MONTH($D18),DAY($D18)))</f>
        <v/>
      </c>
      <c r="F18" s="16"/>
      <c r="G18" s="16"/>
      <c r="H18" s="16"/>
      <c r="I18" s="16"/>
      <c r="J18" s="16"/>
      <c r="K18" s="10" t="str">
        <f aca="false">IF(AE18=0,"",DATE(YEAR(AsOfDate)+IF(DATE(YEAR(AsOfDate),MONTH($F18),DAY($F18))&lt;=AsOfDate,1,0),MONTH($F18),DAY($F18)))</f>
        <v/>
      </c>
      <c r="L18" s="11" t="str">
        <f aca="false">IF(AE18=0,"",ROUND((AsOfDate-$F18)/365.25,1))</f>
        <v/>
      </c>
      <c r="M18" s="12" t="str">
        <f aca="false">IF(AE18=0,"",IF(AsOfDate&lt;AF18,"-",DATEDIF(AF18,AsOfDate,"y")&amp;"y "&amp;DATEDIF(AF18,AsOfDate,"ym")&amp;"m "&amp;DATEDIF(AF18,AsOfDate,"md")&amp;"d"))</f>
        <v/>
      </c>
      <c r="N18" s="13" t="str">
        <f aca="false">IF(AE18=0,"",O18*HoursPerDay)</f>
        <v/>
      </c>
      <c r="O18" s="13" t="str">
        <f aca="false">IF(AE18=0,"",AX18)</f>
        <v/>
      </c>
      <c r="P18" s="17"/>
      <c r="Q18" s="12" t="str">
        <f aca="false">IF(AE18=0,"",IF(AG18&lt;2,"",AK18&amp;" to "&amp;AL18&amp;" on "&amp;TEXT(AI18,"dd/mm/yyyy")&amp;IF(AI18&gt;AsOfDate," (future)",IF(AN18=AO18,"",IF(AO18="None"," - STOPPED accruing",IF(AN18="None"," - now qualifying"," - pathway changed"))))&amp;IF(AG18&lt;3,"","; "&amp;AL18&amp;" to "&amp;AM18&amp;" on "&amp;TEXT(AJ18,"dd/mm/yyyy")&amp;IF(AJ18&gt;AsOfDate," (future)",IF(AO18=AP18,"",IF(AP18="None"," - STOPPED accruing",IF(AO18="None"," - now qualifying"," - pathway changed")))))))</f>
        <v/>
      </c>
      <c r="R18" s="12" t="str">
        <f aca="false">IF(AE18=0,"",IF(AQ18="None",IF(O18&gt;0,"No longer accruing","Not eligible - "&amp;IF(AND(OR(ISNUMBER(SEARCH("part",$C18)),UPPER(TRIM($C18))="PT",UPPER(TRIM($C18))="PTE"),$P18&lt;&gt;"",N($P18)&lt;PT_MinHours),"under "&amp;PT_MinHours&amp;" hrs",IF(IF($C18="","",IF(OR(ISNUMBER(SEARCH("full",$C18)),UPPER(TRIM($C18))="FT",UPPER(TRIM($C18))="FTE"),"Full-Time",IF(OR(ISNUMBER(SEARCH("part",$C18)),UPPER(TRIM($C18))="PT",UPPER(TRIM($C18))="PTE"),"Part-Time",IF(OR(ISNUMBER(SEARCH("cas",$C18)),UPPER(TRIM($C18))="CAS"),"Casual","Unknown"))))="Unknown","type not recognised",$C18))),IF(O18&gt;0,"Yes - accruing","Not yet - from "&amp;TEXT(S18,"dd/mm/yyyy"))))</f>
        <v/>
      </c>
      <c r="S18" s="10" t="str">
        <f aca="false">IF(AE18=0,"",IF(AQ18="None","",EDATE(AF18,AZ18)))</f>
        <v/>
      </c>
      <c r="T18" s="13" t="str">
        <f aca="false">IF(OR(AE18=0,W18=""),"",W18-U18+V18)</f>
        <v/>
      </c>
      <c r="U18" s="13" t="str">
        <f aca="false">IF(AE18=0,"",IF(NOT(LH_Ready),"",SUMIFS(INDEX(LH_Data,0,LH_ColAcc),INDEX(LH_Data,0,LH_ColFirst),$A18,INDEX(LH_Data,0,LH_ColSur),$B18,INDEX(LH_Data,0,LH_ColCat),BonusCat)*UnitFactor))</f>
        <v/>
      </c>
      <c r="V18" s="13" t="str">
        <f aca="false">IF(AE18=0,"",IF(NOT(LH_Ready),"",SUMIFS(INDEX(LH_Data,0,LH_ColTaken),INDEX(LH_Data,0,LH_ColFirst),$A18,INDEX(LH_Data,0,LH_ColSur),$B18,INDEX(LH_Data,0,LH_ColCat),BonusCat)*UnitFactor))</f>
        <v/>
      </c>
      <c r="W18" s="13" t="str">
        <f aca="false">IF(AE18=0,"",IF(NOT(LH_Ready),"",IF(BB18=0,0,INDEX(INDEX(LH_Data,0,LH_ColClose),BB18-1)*UnitFactor)))</f>
        <v/>
      </c>
      <c r="X18" s="13" t="str">
        <f aca="false">IF(AE18=0,"",(AX18-AY18)*HoursPerDay)</f>
        <v/>
      </c>
      <c r="Y18" s="13" t="str">
        <f aca="false">IF(AE18=0,"",IF(NOT(LH_Ready),"",IF(BA18=0,N18,X18-N(U18))))</f>
        <v/>
      </c>
      <c r="Z18" s="12" t="str">
        <f aca="false">IF(OR(AE18=0,Y18=""),"",IF(Y18&gt;0,"Yes","No"))</f>
        <v/>
      </c>
      <c r="AA18" s="12" t="str">
        <f aca="false">IF(AE18=0,IF(LEN($A18&amp;$B18)=0,"","FIX INPUT - StartDate missing"),IF(AD18&lt;&gt;"","FIX INPUT - "&amp;AD18,IF(NOT(LH_Ready),"Paste Leave History export (Settings must show YES)",IF(Y18&gt;0,"ACCRUE "&amp;ROUND(Y18,2)&amp;" hrs ("&amp;ROUND(Y18/HoursPerDay,2)&amp;" days)"&amp;IF(BA18=0," - no Bonus Leave in EH yet, full catch-up since start",""),IF(Y18&lt;0,"CHECK - EH accrued "&amp;ROUND(-Y18,2)&amp;""&amp;" hrs more than policy",IF(O18&gt;0,"OK - nothing to add",IF(AQ18="None",R18,"Not yet - first day on "&amp;TEXT(S18,"dd/mm/yyyy"))))))))</f>
        <v/>
      </c>
      <c r="AB18" s="13" t="str">
        <f aca="false">IF(OR(AE18=0,T18=""),"",AY18*HoursPerDay-T18)</f>
        <v/>
      </c>
      <c r="AC18" s="12" t="str">
        <f aca="false">IF(AE18=0,"",BA18)</f>
        <v/>
      </c>
      <c r="AD18" s="12" t="str">
        <f aca="false">IF(AE18=0,"",TRIM(IF(IF($C18="","",IF(OR(ISNUMBER(SEARCH("full",$C18)),UPPER(TRIM($C18))="FT",UPPER(TRIM($C18))="FTE"),"Full-Time",IF(OR(ISNUMBER(SEARCH("part",$C18)),UPPER(TRIM($C18))="PT",UPPER(TRIM($C18))="PTE"),"Part-Time",IF(OR(ISNUMBER(SEARCH("cas",$C18)),UPPER(TRIM($C18))="CAS"),"Casual","Unknown"))))="Unknown","EmploymentType not recognised - use Full-Time, Part-Time or Casual. ","")&amp;IF(AND(AG18&gt;=1,IF(AG18&gt;=3,AM18,IF(AG18=2,AL18,AK18))&lt;&gt;IF($C18="","",IF(OR(ISNUMBER(SEARCH("full",$C18)),UPPER(TRIM($C18))="FT",UPPER(TRIM($C18))="FTE"),"Full-Time",IF(OR(ISNUMBER(SEARCH("part",$C18)),UPPER(TRIM($C18))="PT",UPPER(TRIM($C18))="PTE"),"Part-Time",IF(OR(ISNUMBER(SEARCH("cas",$C18)),UPPER(TRIM($C18))="CAS"),"Casual","Unknown"))))),"EmploymentType does not match latest start date ("&amp;IF(AG18&gt;=3,AM18,IF(AG18=2,AL18,AK18))&amp;"). ","")&amp;IF(AND(AG18&gt;=1,AH18&lt;&gt;$F18),"Earliest type date should equal StartDate. ","")&amp;IF(AND(AG18&gt;=2,AH18=AI18),"Two types start on the same date. ","")&amp;IF(AND(OR(ISNUMBER(SEARCH("part",$C18)),UPPER(TRIM($C18))="PT",UPPER(TRIM($C18))="PTE"),$P18=""),"Part-time: enter PT Hrs/Week (blank = 24+). ","")))</f>
        <v/>
      </c>
      <c r="AE18" s="12" t="n">
        <f aca="false">IF(OR(LEN($A18&amp;$B18)=0,$F18=""),0,1)</f>
        <v>0</v>
      </c>
      <c r="AF18" s="10" t="str">
        <f aca="false">IF(AE18=0,"",IF($J18&lt;&gt;"",$J18,$F18))</f>
        <v/>
      </c>
      <c r="AG18" s="12" t="str">
        <f aca="false">IF(AE18=0,"",COUNT($G18:$I18))</f>
        <v/>
      </c>
      <c r="AH18" s="10" t="str">
        <f aca="false">IF(AE18=0,"",IFERROR(SMALL($G18:$I18,1),""))</f>
        <v/>
      </c>
      <c r="AI18" s="10" t="str">
        <f aca="false">IF(AE18=0,"",IFERROR(SMALL($G18:$I18,2),""))</f>
        <v/>
      </c>
      <c r="AJ18" s="10" t="str">
        <f aca="false">IF(AE18=0,"",IFERROR(SMALL($G18:$I18,3),""))</f>
        <v/>
      </c>
      <c r="AK18" s="12" t="str">
        <f aca="false">IF(AE18=0,"",IF(AH18="","",IF(AH18=$G18,"Part-Time",IF(AH18=$H18,"Full-Time","Casual"))))</f>
        <v/>
      </c>
      <c r="AL18" s="12" t="str">
        <f aca="false">IF(AE18=0,"",IF(AI18="","",IF(AI18=$G18,"Part-Time",IF(AI18=$H18,"Full-Time","Casual"))))</f>
        <v/>
      </c>
      <c r="AM18" s="12" t="str">
        <f aca="false">IF(AE18=0,"",IF(AJ18="","",IF(AJ18=$G18,"Part-Time",IF(AJ18=$H18,"Full-Time","Casual"))))</f>
        <v/>
      </c>
      <c r="AN18" s="12" t="str">
        <f aca="false">IF(AE18=0,"",IF(AG18=0,IF(OR(ISNUMBER(SEARCH("full",$C18)),UPPER(TRIM($C18))="FT",UPPER(TRIM($C18))="FTE"),"FT",IF(AND(OR(ISNUMBER(SEARCH("part",$C18)),UPPER(TRIM($C18))="PT",UPPER(TRIM($C18))="PTE"),OR($P18="",N($P18)&gt;=PT_MinHours)),"PT","None")),IF(OR(ISNUMBER(SEARCH("full",AK18)),UPPER(TRIM(AK18))="FT",UPPER(TRIM(AK18))="FTE"),"FT",IF(AND(OR(ISNUMBER(SEARCH("part",AK18)),UPPER(TRIM(AK18))="PT",UPPER(TRIM(AK18))="PTE"),OR($P18="",N($P18)&gt;=PT_MinHours)),"PT","None"))))</f>
        <v/>
      </c>
      <c r="AO18" s="12" t="str">
        <f aca="false">IF(AE18=0,"",IF(AG18&lt;2,"",IF(OR(ISNUMBER(SEARCH("full",AL18)),UPPER(TRIM(AL18))="FT",UPPER(TRIM(AL18))="FTE"),"FT",IF(AND(OR(ISNUMBER(SEARCH("part",AL18)),UPPER(TRIM(AL18))="PT",UPPER(TRIM(AL18))="PTE"),OR($P18="",N($P18)&gt;=PT_MinHours)),"PT","None"))))</f>
        <v/>
      </c>
      <c r="AP18" s="12" t="str">
        <f aca="false">IF(AE18=0,"",IF(AG18&lt;3,"",IF(OR(ISNUMBER(SEARCH("full",AM18)),UPPER(TRIM(AM18))="FT",UPPER(TRIM(AM18))="FTE"),"FT",IF(AND(OR(ISNUMBER(SEARCH("part",AM18)),UPPER(TRIM(AM18))="PT",UPPER(TRIM(AM18))="PTE"),OR($P18="",N($P18)&gt;=PT_MinHours)),"PT","None"))))</f>
        <v/>
      </c>
      <c r="AQ18" s="12" t="str">
        <f aca="false">IF(AE18=0,"",IF(AND(AG18&gt;=3,AJ18&lt;=AsOfDate),AP18,IF(AND(AG18&gt;=2,AI18&lt;=AsOfDate),AO18,AN18)))</f>
        <v/>
      </c>
      <c r="AR18" s="12" t="str">
        <f aca="false">IF(AE18=0,"",IF(AsOfDate&lt;AF18,-1,12*(YEAR(AsOfDate)-YEAR(AF18))+MONTH(AsOfDate)-MONTH(AF18)-IF(DAY(AsOfDate)&lt;MIN(DAY(AF18),DAY(EOMONTH(AsOfDate,0))),1,0)))</f>
        <v/>
      </c>
      <c r="AS18" s="12" t="str">
        <f aca="false">IF(AE18=0,"",IF(OR(AG18&lt;2,AI18&gt;AsOfDate),AR18,IF((AI18-1)&lt;AF18,-1,12*(YEAR((AI18-1))-YEAR(AF18))+MONTH((AI18-1))-MONTH(AF18)-IF(DAY((AI18-1))&lt;MIN(DAY(AF18),DAY(EOMONTH((AI18-1),0))),1,0))))</f>
        <v/>
      </c>
      <c r="AT18" s="12" t="str">
        <f aca="false">IF(AE18=0,"",IF(OR(AG18&lt;3,AJ18&gt;AsOfDate),AR18,IF((AJ18-1)&lt;AF18,-1,12*(YEAR((AJ18-1))-YEAR(AF18))+MONTH((AJ18-1))-MONTH(AF18)-IF(DAY((AJ18-1))&lt;MIN(DAY(AF18),DAY(EOMONTH((AJ18-1),0))),1,0))))</f>
        <v/>
      </c>
      <c r="AU18" s="12" t="str">
        <f aca="false">IF(AE18=0,"",IF(PFYDate&lt;AF18,-1,12*(YEAR(PFYDate)-YEAR(AF18))+MONTH(PFYDate)-MONTH(AF18)-IF(DAY(PFYDate)&lt;MIN(DAY(AF18),DAY(EOMONTH(PFYDate,0))),1,0)))</f>
        <v/>
      </c>
      <c r="AV18" s="12" t="str">
        <f aca="false">IF(AE18=0,"",IF(OR(AG18&lt;2,AI18&gt;PFYDate),AU18,IF((AI18-1)&lt;AF18,-1,12*(YEAR((AI18-1))-YEAR(AF18))+MONTH((AI18-1))-MONTH(AF18)-IF(DAY((AI18-1))&lt;MIN(DAY(AF18),DAY(EOMONTH((AI18-1),0))),1,0))))</f>
        <v/>
      </c>
      <c r="AW18" s="12" t="str">
        <f aca="false">IF(AE18=0,"",IF(OR(AG18&lt;3,AJ18&gt;PFYDate),AU18,IF((AJ18-1)&lt;AF18,-1,12*(YEAR((AJ18-1))-YEAR(AF18))+MONTH((AJ18-1))-MONTH(AF18)-IF(DAY((AJ18-1))&lt;MIN(DAY(AF18),DAY(EOMONTH((AJ18-1),0))),1,0))))</f>
        <v/>
      </c>
      <c r="AX18" s="12" t="str">
        <f aca="false">IF(AE18=0,"",IF(AN18="FT",IF(AS18&lt;FT_First,0,IF(AS18&lt;FT_Y5,1+INT((AS18-FT_First)/FT_Int1),FT_PreY5+FT_PerYear*INT((AS18-FT_Y5)/12)+FT_AnnivDays+INT(MOD(AS18-FT_Y5,12)/FT_Int2))),IF(AN18="PT",IF(AS18&lt;PT_First,0,1+INT((AS18-PT_First)/PT_Int)),0))+IF(AND(AG18&gt;=2,AI18&lt;=AsOfDate),IF(AO18="FT",IF(AT18&lt;FT_First,0,IF(AT18&lt;FT_Y5,1+INT((AT18-FT_First)/FT_Int1),FT_PreY5+FT_PerYear*INT((AT18-FT_Y5)/12)+FT_AnnivDays+INT(MOD(AT18-FT_Y5,12)/FT_Int2))),IF(AO18="PT",IF(AT18&lt;PT_First,0,1+INT((AT18-PT_First)/PT_Int)),0))-IF(AO18="FT",IF(AS18&lt;FT_First,0,IF(AS18&lt;FT_Y5,1+INT((AS18-FT_First)/FT_Int1),FT_PreY5+FT_PerYear*INT((AS18-FT_Y5)/12)+FT_AnnivDays+INT(MOD(AS18-FT_Y5,12)/FT_Int2))),IF(AO18="PT",IF(AS18&lt;PT_First,0,1+INT((AS18-PT_First)/PT_Int)),0)),0)+IF(AND(AG18&gt;=3,AJ18&lt;=AsOfDate),IF(AP18="FT",IF(AR18&lt;FT_First,0,IF(AR18&lt;FT_Y5,1+INT((AR18-FT_First)/FT_Int1),FT_PreY5+FT_PerYear*INT((AR18-FT_Y5)/12)+FT_AnnivDays+INT(MOD(AR18-FT_Y5,12)/FT_Int2))),IF(AP18="PT",IF(AR18&lt;PT_First,0,1+INT((AR18-PT_First)/PT_Int)),0))-IF(AP18="FT",IF(AT18&lt;FT_First,0,IF(AT18&lt;FT_Y5,1+INT((AT18-FT_First)/FT_Int1),FT_PreY5+FT_PerYear*INT((AT18-FT_Y5)/12)+FT_AnnivDays+INT(MOD(AT18-FT_Y5,12)/FT_Int2))),IF(AP18="PT",IF(AT18&lt;PT_First,0,1+INT((AT18-PT_First)/PT_Int)),0)),0))</f>
        <v/>
      </c>
      <c r="AY18" s="12" t="str">
        <f aca="false">IF(AE18=0,"",IF(AN18="FT",IF(AV18&lt;FT_First,0,IF(AV18&lt;FT_Y5,1+INT((AV18-FT_First)/FT_Int1),FT_PreY5+FT_PerYear*INT((AV18-FT_Y5)/12)+FT_AnnivDays+INT(MOD(AV18-FT_Y5,12)/FT_Int2))),IF(AN18="PT",IF(AV18&lt;PT_First,0,1+INT((AV18-PT_First)/PT_Int)),0))+IF(AND(AG18&gt;=2,AI18&lt;=PFYDate),IF(AO18="FT",IF(AW18&lt;FT_First,0,IF(AW18&lt;FT_Y5,1+INT((AW18-FT_First)/FT_Int1),FT_PreY5+FT_PerYear*INT((AW18-FT_Y5)/12)+FT_AnnivDays+INT(MOD(AW18-FT_Y5,12)/FT_Int2))),IF(AO18="PT",IF(AW18&lt;PT_First,0,1+INT((AW18-PT_First)/PT_Int)),0))-IF(AO18="FT",IF(AV18&lt;FT_First,0,IF(AV18&lt;FT_Y5,1+INT((AV18-FT_First)/FT_Int1),FT_PreY5+FT_PerYear*INT((AV18-FT_Y5)/12)+FT_AnnivDays+INT(MOD(AV18-FT_Y5,12)/FT_Int2))),IF(AO18="PT",IF(AV18&lt;PT_First,0,1+INT((AV18-PT_First)/PT_Int)),0)),0)+IF(AND(AG18&gt;=3,AJ18&lt;=PFYDate),IF(AP18="FT",IF(AU18&lt;FT_First,0,IF(AU18&lt;FT_Y5,1+INT((AU18-FT_First)/FT_Int1),FT_PreY5+FT_PerYear*INT((AU18-FT_Y5)/12)+FT_AnnivDays+INT(MOD(AU18-FT_Y5,12)/FT_Int2))),IF(AP18="PT",IF(AU18&lt;PT_First,0,1+INT((AU18-PT_First)/PT_Int)),0))-IF(AP18="FT",IF(AW18&lt;FT_First,0,IF(AW18&lt;FT_Y5,1+INT((AW18-FT_First)/FT_Int1),FT_PreY5+FT_PerYear*INT((AW18-FT_Y5)/12)+FT_AnnivDays+INT(MOD(AW18-FT_Y5,12)/FT_Int2))),IF(AP18="PT",IF(AW18&lt;PT_First,0,1+INT((AW18-PT_First)/PT_Int)),0)),0))</f>
        <v/>
      </c>
      <c r="AZ18" s="12" t="str">
        <f aca="false">IF(AE18=0,"",IF(AQ18="FT",IF(AR18&lt;FT_First,FT_First,IF(AR18&lt;FT_Y5,MIN(FT_Y5,FT_First+FT_Int1*(INT((AR18-FT_First)/FT_Int1)+1)),FT_Y5+12*INT((AR18-FT_Y5)/12)+FT_Int2*(INT(MOD(AR18-FT_Y5,12)/FT_Int2)+1))),IF(AQ18="PT",IF(AR18&lt;PT_First,PT_First,PT_First+PT_Int*(INT((AR18-PT_First)/PT_Int)+1)),"")))</f>
        <v/>
      </c>
      <c r="BA18" s="12" t="str">
        <f aca="false">IF(AE18=0,"",IF(NOT(LH_Ready),0,COUNTIFS(INDEX(LH_Data,0,LH_ColFirst),$A18,INDEX(LH_Data,0,LH_ColSur),$B18,INDEX(LH_Data,0,LH_ColCat),BonusCat)))</f>
        <v/>
      </c>
      <c r="BB18" s="12" t="str">
        <f aca="false">IF(AE18=0,"",IF(OR(NOT(LH_Ready),BA18=0),0,SUMPRODUCT(MAX((INDEX(LH_Data,0,LH_ColFirst)=$A18)*(INDEX(LH_Data,0,LH_ColSur)=$B18)*(INDEX(LH_Data,0,LH_ColCat)=BonusCat)*ROW(LH_Data)))))</f>
        <v/>
      </c>
    </row>
    <row r="19" customFormat="false" ht="15" hidden="false" customHeight="false" outlineLevel="0" collapsed="false">
      <c r="A19" s="15"/>
      <c r="B19" s="15"/>
      <c r="C19" s="15"/>
      <c r="D19" s="16"/>
      <c r="E19" s="10" t="str">
        <f aca="false">IF(OR(AE19=0,$D19=""),"",DATE(YEAR(AsOfDate)+IF(DATE(YEAR(AsOfDate),MONTH($D19),DAY($D19))&lt;=AsOfDate,1,0),MONTH($D19),DAY($D19)))</f>
        <v/>
      </c>
      <c r="F19" s="16"/>
      <c r="G19" s="16"/>
      <c r="H19" s="16"/>
      <c r="I19" s="16"/>
      <c r="J19" s="16"/>
      <c r="K19" s="10" t="str">
        <f aca="false">IF(AE19=0,"",DATE(YEAR(AsOfDate)+IF(DATE(YEAR(AsOfDate),MONTH($F19),DAY($F19))&lt;=AsOfDate,1,0),MONTH($F19),DAY($F19)))</f>
        <v/>
      </c>
      <c r="L19" s="11" t="str">
        <f aca="false">IF(AE19=0,"",ROUND((AsOfDate-$F19)/365.25,1))</f>
        <v/>
      </c>
      <c r="M19" s="12" t="str">
        <f aca="false">IF(AE19=0,"",IF(AsOfDate&lt;AF19,"-",DATEDIF(AF19,AsOfDate,"y")&amp;"y "&amp;DATEDIF(AF19,AsOfDate,"ym")&amp;"m "&amp;DATEDIF(AF19,AsOfDate,"md")&amp;"d"))</f>
        <v/>
      </c>
      <c r="N19" s="13" t="str">
        <f aca="false">IF(AE19=0,"",O19*HoursPerDay)</f>
        <v/>
      </c>
      <c r="O19" s="13" t="str">
        <f aca="false">IF(AE19=0,"",AX19)</f>
        <v/>
      </c>
      <c r="P19" s="17"/>
      <c r="Q19" s="12" t="str">
        <f aca="false">IF(AE19=0,"",IF(AG19&lt;2,"",AK19&amp;" to "&amp;AL19&amp;" on "&amp;TEXT(AI19,"dd/mm/yyyy")&amp;IF(AI19&gt;AsOfDate," (future)",IF(AN19=AO19,"",IF(AO19="None"," - STOPPED accruing",IF(AN19="None"," - now qualifying"," - pathway changed"))))&amp;IF(AG19&lt;3,"","; "&amp;AL19&amp;" to "&amp;AM19&amp;" on "&amp;TEXT(AJ19,"dd/mm/yyyy")&amp;IF(AJ19&gt;AsOfDate," (future)",IF(AO19=AP19,"",IF(AP19="None"," - STOPPED accruing",IF(AO19="None"," - now qualifying"," - pathway changed")))))))</f>
        <v/>
      </c>
      <c r="R19" s="12" t="str">
        <f aca="false">IF(AE19=0,"",IF(AQ19="None",IF(O19&gt;0,"No longer accruing","Not eligible - "&amp;IF(AND(OR(ISNUMBER(SEARCH("part",$C19)),UPPER(TRIM($C19))="PT",UPPER(TRIM($C19))="PTE"),$P19&lt;&gt;"",N($P19)&lt;PT_MinHours),"under "&amp;PT_MinHours&amp;" hrs",IF(IF($C19="","",IF(OR(ISNUMBER(SEARCH("full",$C19)),UPPER(TRIM($C19))="FT",UPPER(TRIM($C19))="FTE"),"Full-Time",IF(OR(ISNUMBER(SEARCH("part",$C19)),UPPER(TRIM($C19))="PT",UPPER(TRIM($C19))="PTE"),"Part-Time",IF(OR(ISNUMBER(SEARCH("cas",$C19)),UPPER(TRIM($C19))="CAS"),"Casual","Unknown"))))="Unknown","type not recognised",$C19))),IF(O19&gt;0,"Yes - accruing","Not yet - from "&amp;TEXT(S19,"dd/mm/yyyy"))))</f>
        <v/>
      </c>
      <c r="S19" s="10" t="str">
        <f aca="false">IF(AE19=0,"",IF(AQ19="None","",EDATE(AF19,AZ19)))</f>
        <v/>
      </c>
      <c r="T19" s="13" t="str">
        <f aca="false">IF(OR(AE19=0,W19=""),"",W19-U19+V19)</f>
        <v/>
      </c>
      <c r="U19" s="13" t="str">
        <f aca="false">IF(AE19=0,"",IF(NOT(LH_Ready),"",SUMIFS(INDEX(LH_Data,0,LH_ColAcc),INDEX(LH_Data,0,LH_ColFirst),$A19,INDEX(LH_Data,0,LH_ColSur),$B19,INDEX(LH_Data,0,LH_ColCat),BonusCat)*UnitFactor))</f>
        <v/>
      </c>
      <c r="V19" s="13" t="str">
        <f aca="false">IF(AE19=0,"",IF(NOT(LH_Ready),"",SUMIFS(INDEX(LH_Data,0,LH_ColTaken),INDEX(LH_Data,0,LH_ColFirst),$A19,INDEX(LH_Data,0,LH_ColSur),$B19,INDEX(LH_Data,0,LH_ColCat),BonusCat)*UnitFactor))</f>
        <v/>
      </c>
      <c r="W19" s="13" t="str">
        <f aca="false">IF(AE19=0,"",IF(NOT(LH_Ready),"",IF(BB19=0,0,INDEX(INDEX(LH_Data,0,LH_ColClose),BB19-1)*UnitFactor)))</f>
        <v/>
      </c>
      <c r="X19" s="13" t="str">
        <f aca="false">IF(AE19=0,"",(AX19-AY19)*HoursPerDay)</f>
        <v/>
      </c>
      <c r="Y19" s="13" t="str">
        <f aca="false">IF(AE19=0,"",IF(NOT(LH_Ready),"",IF(BA19=0,N19,X19-N(U19))))</f>
        <v/>
      </c>
      <c r="Z19" s="12" t="str">
        <f aca="false">IF(OR(AE19=0,Y19=""),"",IF(Y19&gt;0,"Yes","No"))</f>
        <v/>
      </c>
      <c r="AA19" s="12" t="str">
        <f aca="false">IF(AE19=0,IF(LEN($A19&amp;$B19)=0,"","FIX INPUT - StartDate missing"),IF(AD19&lt;&gt;"","FIX INPUT - "&amp;AD19,IF(NOT(LH_Ready),"Paste Leave History export (Settings must show YES)",IF(Y19&gt;0,"ACCRUE "&amp;ROUND(Y19,2)&amp;" hrs ("&amp;ROUND(Y19/HoursPerDay,2)&amp;" days)"&amp;IF(BA19=0," - no Bonus Leave in EH yet, full catch-up since start",""),IF(Y19&lt;0,"CHECK - EH accrued "&amp;ROUND(-Y19,2)&amp;""&amp;" hrs more than policy",IF(O19&gt;0,"OK - nothing to add",IF(AQ19="None",R19,"Not yet - first day on "&amp;TEXT(S19,"dd/mm/yyyy"))))))))</f>
        <v/>
      </c>
      <c r="AB19" s="13" t="str">
        <f aca="false">IF(OR(AE19=0,T19=""),"",AY19*HoursPerDay-T19)</f>
        <v/>
      </c>
      <c r="AC19" s="12" t="str">
        <f aca="false">IF(AE19=0,"",BA19)</f>
        <v/>
      </c>
      <c r="AD19" s="12" t="str">
        <f aca="false">IF(AE19=0,"",TRIM(IF(IF($C19="","",IF(OR(ISNUMBER(SEARCH("full",$C19)),UPPER(TRIM($C19))="FT",UPPER(TRIM($C19))="FTE"),"Full-Time",IF(OR(ISNUMBER(SEARCH("part",$C19)),UPPER(TRIM($C19))="PT",UPPER(TRIM($C19))="PTE"),"Part-Time",IF(OR(ISNUMBER(SEARCH("cas",$C19)),UPPER(TRIM($C19))="CAS"),"Casual","Unknown"))))="Unknown","EmploymentType not recognised - use Full-Time, Part-Time or Casual. ","")&amp;IF(AND(AG19&gt;=1,IF(AG19&gt;=3,AM19,IF(AG19=2,AL19,AK19))&lt;&gt;IF($C19="","",IF(OR(ISNUMBER(SEARCH("full",$C19)),UPPER(TRIM($C19))="FT",UPPER(TRIM($C19))="FTE"),"Full-Time",IF(OR(ISNUMBER(SEARCH("part",$C19)),UPPER(TRIM($C19))="PT",UPPER(TRIM($C19))="PTE"),"Part-Time",IF(OR(ISNUMBER(SEARCH("cas",$C19)),UPPER(TRIM($C19))="CAS"),"Casual","Unknown"))))),"EmploymentType does not match latest start date ("&amp;IF(AG19&gt;=3,AM19,IF(AG19=2,AL19,AK19))&amp;"). ","")&amp;IF(AND(AG19&gt;=1,AH19&lt;&gt;$F19),"Earliest type date should equal StartDate. ","")&amp;IF(AND(AG19&gt;=2,AH19=AI19),"Two types start on the same date. ","")&amp;IF(AND(OR(ISNUMBER(SEARCH("part",$C19)),UPPER(TRIM($C19))="PT",UPPER(TRIM($C19))="PTE"),$P19=""),"Part-time: enter PT Hrs/Week (blank = 24+). ","")))</f>
        <v/>
      </c>
      <c r="AE19" s="12" t="n">
        <f aca="false">IF(OR(LEN($A19&amp;$B19)=0,$F19=""),0,1)</f>
        <v>0</v>
      </c>
      <c r="AF19" s="10" t="str">
        <f aca="false">IF(AE19=0,"",IF($J19&lt;&gt;"",$J19,$F19))</f>
        <v/>
      </c>
      <c r="AG19" s="12" t="str">
        <f aca="false">IF(AE19=0,"",COUNT($G19:$I19))</f>
        <v/>
      </c>
      <c r="AH19" s="10" t="str">
        <f aca="false">IF(AE19=0,"",IFERROR(SMALL($G19:$I19,1),""))</f>
        <v/>
      </c>
      <c r="AI19" s="10" t="str">
        <f aca="false">IF(AE19=0,"",IFERROR(SMALL($G19:$I19,2),""))</f>
        <v/>
      </c>
      <c r="AJ19" s="10" t="str">
        <f aca="false">IF(AE19=0,"",IFERROR(SMALL($G19:$I19,3),""))</f>
        <v/>
      </c>
      <c r="AK19" s="12" t="str">
        <f aca="false">IF(AE19=0,"",IF(AH19="","",IF(AH19=$G19,"Part-Time",IF(AH19=$H19,"Full-Time","Casual"))))</f>
        <v/>
      </c>
      <c r="AL19" s="12" t="str">
        <f aca="false">IF(AE19=0,"",IF(AI19="","",IF(AI19=$G19,"Part-Time",IF(AI19=$H19,"Full-Time","Casual"))))</f>
        <v/>
      </c>
      <c r="AM19" s="12" t="str">
        <f aca="false">IF(AE19=0,"",IF(AJ19="","",IF(AJ19=$G19,"Part-Time",IF(AJ19=$H19,"Full-Time","Casual"))))</f>
        <v/>
      </c>
      <c r="AN19" s="12" t="str">
        <f aca="false">IF(AE19=0,"",IF(AG19=0,IF(OR(ISNUMBER(SEARCH("full",$C19)),UPPER(TRIM($C19))="FT",UPPER(TRIM($C19))="FTE"),"FT",IF(AND(OR(ISNUMBER(SEARCH("part",$C19)),UPPER(TRIM($C19))="PT",UPPER(TRIM($C19))="PTE"),OR($P19="",N($P19)&gt;=PT_MinHours)),"PT","None")),IF(OR(ISNUMBER(SEARCH("full",AK19)),UPPER(TRIM(AK19))="FT",UPPER(TRIM(AK19))="FTE"),"FT",IF(AND(OR(ISNUMBER(SEARCH("part",AK19)),UPPER(TRIM(AK19))="PT",UPPER(TRIM(AK19))="PTE"),OR($P19="",N($P19)&gt;=PT_MinHours)),"PT","None"))))</f>
        <v/>
      </c>
      <c r="AO19" s="12" t="str">
        <f aca="false">IF(AE19=0,"",IF(AG19&lt;2,"",IF(OR(ISNUMBER(SEARCH("full",AL19)),UPPER(TRIM(AL19))="FT",UPPER(TRIM(AL19))="FTE"),"FT",IF(AND(OR(ISNUMBER(SEARCH("part",AL19)),UPPER(TRIM(AL19))="PT",UPPER(TRIM(AL19))="PTE"),OR($P19="",N($P19)&gt;=PT_MinHours)),"PT","None"))))</f>
        <v/>
      </c>
      <c r="AP19" s="12" t="str">
        <f aca="false">IF(AE19=0,"",IF(AG19&lt;3,"",IF(OR(ISNUMBER(SEARCH("full",AM19)),UPPER(TRIM(AM19))="FT",UPPER(TRIM(AM19))="FTE"),"FT",IF(AND(OR(ISNUMBER(SEARCH("part",AM19)),UPPER(TRIM(AM19))="PT",UPPER(TRIM(AM19))="PTE"),OR($P19="",N($P19)&gt;=PT_MinHours)),"PT","None"))))</f>
        <v/>
      </c>
      <c r="AQ19" s="12" t="str">
        <f aca="false">IF(AE19=0,"",IF(AND(AG19&gt;=3,AJ19&lt;=AsOfDate),AP19,IF(AND(AG19&gt;=2,AI19&lt;=AsOfDate),AO19,AN19)))</f>
        <v/>
      </c>
      <c r="AR19" s="12" t="str">
        <f aca="false">IF(AE19=0,"",IF(AsOfDate&lt;AF19,-1,12*(YEAR(AsOfDate)-YEAR(AF19))+MONTH(AsOfDate)-MONTH(AF19)-IF(DAY(AsOfDate)&lt;MIN(DAY(AF19),DAY(EOMONTH(AsOfDate,0))),1,0)))</f>
        <v/>
      </c>
      <c r="AS19" s="12" t="str">
        <f aca="false">IF(AE19=0,"",IF(OR(AG19&lt;2,AI19&gt;AsOfDate),AR19,IF((AI19-1)&lt;AF19,-1,12*(YEAR((AI19-1))-YEAR(AF19))+MONTH((AI19-1))-MONTH(AF19)-IF(DAY((AI19-1))&lt;MIN(DAY(AF19),DAY(EOMONTH((AI19-1),0))),1,0))))</f>
        <v/>
      </c>
      <c r="AT19" s="12" t="str">
        <f aca="false">IF(AE19=0,"",IF(OR(AG19&lt;3,AJ19&gt;AsOfDate),AR19,IF((AJ19-1)&lt;AF19,-1,12*(YEAR((AJ19-1))-YEAR(AF19))+MONTH((AJ19-1))-MONTH(AF19)-IF(DAY((AJ19-1))&lt;MIN(DAY(AF19),DAY(EOMONTH((AJ19-1),0))),1,0))))</f>
        <v/>
      </c>
      <c r="AU19" s="12" t="str">
        <f aca="false">IF(AE19=0,"",IF(PFYDate&lt;AF19,-1,12*(YEAR(PFYDate)-YEAR(AF19))+MONTH(PFYDate)-MONTH(AF19)-IF(DAY(PFYDate)&lt;MIN(DAY(AF19),DAY(EOMONTH(PFYDate,0))),1,0)))</f>
        <v/>
      </c>
      <c r="AV19" s="12" t="str">
        <f aca="false">IF(AE19=0,"",IF(OR(AG19&lt;2,AI19&gt;PFYDate),AU19,IF((AI19-1)&lt;AF19,-1,12*(YEAR((AI19-1))-YEAR(AF19))+MONTH((AI19-1))-MONTH(AF19)-IF(DAY((AI19-1))&lt;MIN(DAY(AF19),DAY(EOMONTH((AI19-1),0))),1,0))))</f>
        <v/>
      </c>
      <c r="AW19" s="12" t="str">
        <f aca="false">IF(AE19=0,"",IF(OR(AG19&lt;3,AJ19&gt;PFYDate),AU19,IF((AJ19-1)&lt;AF19,-1,12*(YEAR((AJ19-1))-YEAR(AF19))+MONTH((AJ19-1))-MONTH(AF19)-IF(DAY((AJ19-1))&lt;MIN(DAY(AF19),DAY(EOMONTH((AJ19-1),0))),1,0))))</f>
        <v/>
      </c>
      <c r="AX19" s="12" t="str">
        <f aca="false">IF(AE19=0,"",IF(AN19="FT",IF(AS19&lt;FT_First,0,IF(AS19&lt;FT_Y5,1+INT((AS19-FT_First)/FT_Int1),FT_PreY5+FT_PerYear*INT((AS19-FT_Y5)/12)+FT_AnnivDays+INT(MOD(AS19-FT_Y5,12)/FT_Int2))),IF(AN19="PT",IF(AS19&lt;PT_First,0,1+INT((AS19-PT_First)/PT_Int)),0))+IF(AND(AG19&gt;=2,AI19&lt;=AsOfDate),IF(AO19="FT",IF(AT19&lt;FT_First,0,IF(AT19&lt;FT_Y5,1+INT((AT19-FT_First)/FT_Int1),FT_PreY5+FT_PerYear*INT((AT19-FT_Y5)/12)+FT_AnnivDays+INT(MOD(AT19-FT_Y5,12)/FT_Int2))),IF(AO19="PT",IF(AT19&lt;PT_First,0,1+INT((AT19-PT_First)/PT_Int)),0))-IF(AO19="FT",IF(AS19&lt;FT_First,0,IF(AS19&lt;FT_Y5,1+INT((AS19-FT_First)/FT_Int1),FT_PreY5+FT_PerYear*INT((AS19-FT_Y5)/12)+FT_AnnivDays+INT(MOD(AS19-FT_Y5,12)/FT_Int2))),IF(AO19="PT",IF(AS19&lt;PT_First,0,1+INT((AS19-PT_First)/PT_Int)),0)),0)+IF(AND(AG19&gt;=3,AJ19&lt;=AsOfDate),IF(AP19="FT",IF(AR19&lt;FT_First,0,IF(AR19&lt;FT_Y5,1+INT((AR19-FT_First)/FT_Int1),FT_PreY5+FT_PerYear*INT((AR19-FT_Y5)/12)+FT_AnnivDays+INT(MOD(AR19-FT_Y5,12)/FT_Int2))),IF(AP19="PT",IF(AR19&lt;PT_First,0,1+INT((AR19-PT_First)/PT_Int)),0))-IF(AP19="FT",IF(AT19&lt;FT_First,0,IF(AT19&lt;FT_Y5,1+INT((AT19-FT_First)/FT_Int1),FT_PreY5+FT_PerYear*INT((AT19-FT_Y5)/12)+FT_AnnivDays+INT(MOD(AT19-FT_Y5,12)/FT_Int2))),IF(AP19="PT",IF(AT19&lt;PT_First,0,1+INT((AT19-PT_First)/PT_Int)),0)),0))</f>
        <v/>
      </c>
      <c r="AY19" s="12" t="str">
        <f aca="false">IF(AE19=0,"",IF(AN19="FT",IF(AV19&lt;FT_First,0,IF(AV19&lt;FT_Y5,1+INT((AV19-FT_First)/FT_Int1),FT_PreY5+FT_PerYear*INT((AV19-FT_Y5)/12)+FT_AnnivDays+INT(MOD(AV19-FT_Y5,12)/FT_Int2))),IF(AN19="PT",IF(AV19&lt;PT_First,0,1+INT((AV19-PT_First)/PT_Int)),0))+IF(AND(AG19&gt;=2,AI19&lt;=PFYDate),IF(AO19="FT",IF(AW19&lt;FT_First,0,IF(AW19&lt;FT_Y5,1+INT((AW19-FT_First)/FT_Int1),FT_PreY5+FT_PerYear*INT((AW19-FT_Y5)/12)+FT_AnnivDays+INT(MOD(AW19-FT_Y5,12)/FT_Int2))),IF(AO19="PT",IF(AW19&lt;PT_First,0,1+INT((AW19-PT_First)/PT_Int)),0))-IF(AO19="FT",IF(AV19&lt;FT_First,0,IF(AV19&lt;FT_Y5,1+INT((AV19-FT_First)/FT_Int1),FT_PreY5+FT_PerYear*INT((AV19-FT_Y5)/12)+FT_AnnivDays+INT(MOD(AV19-FT_Y5,12)/FT_Int2))),IF(AO19="PT",IF(AV19&lt;PT_First,0,1+INT((AV19-PT_First)/PT_Int)),0)),0)+IF(AND(AG19&gt;=3,AJ19&lt;=PFYDate),IF(AP19="FT",IF(AU19&lt;FT_First,0,IF(AU19&lt;FT_Y5,1+INT((AU19-FT_First)/FT_Int1),FT_PreY5+FT_PerYear*INT((AU19-FT_Y5)/12)+FT_AnnivDays+INT(MOD(AU19-FT_Y5,12)/FT_Int2))),IF(AP19="PT",IF(AU19&lt;PT_First,0,1+INT((AU19-PT_First)/PT_Int)),0))-IF(AP19="FT",IF(AW19&lt;FT_First,0,IF(AW19&lt;FT_Y5,1+INT((AW19-FT_First)/FT_Int1),FT_PreY5+FT_PerYear*INT((AW19-FT_Y5)/12)+FT_AnnivDays+INT(MOD(AW19-FT_Y5,12)/FT_Int2))),IF(AP19="PT",IF(AW19&lt;PT_First,0,1+INT((AW19-PT_First)/PT_Int)),0)),0))</f>
        <v/>
      </c>
      <c r="AZ19" s="12" t="str">
        <f aca="false">IF(AE19=0,"",IF(AQ19="FT",IF(AR19&lt;FT_First,FT_First,IF(AR19&lt;FT_Y5,MIN(FT_Y5,FT_First+FT_Int1*(INT((AR19-FT_First)/FT_Int1)+1)),FT_Y5+12*INT((AR19-FT_Y5)/12)+FT_Int2*(INT(MOD(AR19-FT_Y5,12)/FT_Int2)+1))),IF(AQ19="PT",IF(AR19&lt;PT_First,PT_First,PT_First+PT_Int*(INT((AR19-PT_First)/PT_Int)+1)),"")))</f>
        <v/>
      </c>
      <c r="BA19" s="12" t="str">
        <f aca="false">IF(AE19=0,"",IF(NOT(LH_Ready),0,COUNTIFS(INDEX(LH_Data,0,LH_ColFirst),$A19,INDEX(LH_Data,0,LH_ColSur),$B19,INDEX(LH_Data,0,LH_ColCat),BonusCat)))</f>
        <v/>
      </c>
      <c r="BB19" s="12" t="str">
        <f aca="false">IF(AE19=0,"",IF(OR(NOT(LH_Ready),BA19=0),0,SUMPRODUCT(MAX((INDEX(LH_Data,0,LH_ColFirst)=$A19)*(INDEX(LH_Data,0,LH_ColSur)=$B19)*(INDEX(LH_Data,0,LH_ColCat)=BonusCat)*ROW(LH_Data)))))</f>
        <v/>
      </c>
    </row>
    <row r="20" customFormat="false" ht="15" hidden="false" customHeight="false" outlineLevel="0" collapsed="false">
      <c r="A20" s="15"/>
      <c r="B20" s="15"/>
      <c r="C20" s="15"/>
      <c r="D20" s="16"/>
      <c r="E20" s="10" t="str">
        <f aca="false">IF(OR(AE20=0,$D20=""),"",DATE(YEAR(AsOfDate)+IF(DATE(YEAR(AsOfDate),MONTH($D20),DAY($D20))&lt;=AsOfDate,1,0),MONTH($D20),DAY($D20)))</f>
        <v/>
      </c>
      <c r="F20" s="16"/>
      <c r="G20" s="16"/>
      <c r="H20" s="16"/>
      <c r="I20" s="16"/>
      <c r="J20" s="16"/>
      <c r="K20" s="10" t="str">
        <f aca="false">IF(AE20=0,"",DATE(YEAR(AsOfDate)+IF(DATE(YEAR(AsOfDate),MONTH($F20),DAY($F20))&lt;=AsOfDate,1,0),MONTH($F20),DAY($F20)))</f>
        <v/>
      </c>
      <c r="L20" s="11" t="str">
        <f aca="false">IF(AE20=0,"",ROUND((AsOfDate-$F20)/365.25,1))</f>
        <v/>
      </c>
      <c r="M20" s="12" t="str">
        <f aca="false">IF(AE20=0,"",IF(AsOfDate&lt;AF20,"-",DATEDIF(AF20,AsOfDate,"y")&amp;"y "&amp;DATEDIF(AF20,AsOfDate,"ym")&amp;"m "&amp;DATEDIF(AF20,AsOfDate,"md")&amp;"d"))</f>
        <v/>
      </c>
      <c r="N20" s="13" t="str">
        <f aca="false">IF(AE20=0,"",O20*HoursPerDay)</f>
        <v/>
      </c>
      <c r="O20" s="13" t="str">
        <f aca="false">IF(AE20=0,"",AX20)</f>
        <v/>
      </c>
      <c r="P20" s="17"/>
      <c r="Q20" s="12" t="str">
        <f aca="false">IF(AE20=0,"",IF(AG20&lt;2,"",AK20&amp;" to "&amp;AL20&amp;" on "&amp;TEXT(AI20,"dd/mm/yyyy")&amp;IF(AI20&gt;AsOfDate," (future)",IF(AN20=AO20,"",IF(AO20="None"," - STOPPED accruing",IF(AN20="None"," - now qualifying"," - pathway changed"))))&amp;IF(AG20&lt;3,"","; "&amp;AL20&amp;" to "&amp;AM20&amp;" on "&amp;TEXT(AJ20,"dd/mm/yyyy")&amp;IF(AJ20&gt;AsOfDate," (future)",IF(AO20=AP20,"",IF(AP20="None"," - STOPPED accruing",IF(AO20="None"," - now qualifying"," - pathway changed")))))))</f>
        <v/>
      </c>
      <c r="R20" s="12" t="str">
        <f aca="false">IF(AE20=0,"",IF(AQ20="None",IF(O20&gt;0,"No longer accruing","Not eligible - "&amp;IF(AND(OR(ISNUMBER(SEARCH("part",$C20)),UPPER(TRIM($C20))="PT",UPPER(TRIM($C20))="PTE"),$P20&lt;&gt;"",N($P20)&lt;PT_MinHours),"under "&amp;PT_MinHours&amp;" hrs",IF(IF($C20="","",IF(OR(ISNUMBER(SEARCH("full",$C20)),UPPER(TRIM($C20))="FT",UPPER(TRIM($C20))="FTE"),"Full-Time",IF(OR(ISNUMBER(SEARCH("part",$C20)),UPPER(TRIM($C20))="PT",UPPER(TRIM($C20))="PTE"),"Part-Time",IF(OR(ISNUMBER(SEARCH("cas",$C20)),UPPER(TRIM($C20))="CAS"),"Casual","Unknown"))))="Unknown","type not recognised",$C20))),IF(O20&gt;0,"Yes - accruing","Not yet - from "&amp;TEXT(S20,"dd/mm/yyyy"))))</f>
        <v/>
      </c>
      <c r="S20" s="10" t="str">
        <f aca="false">IF(AE20=0,"",IF(AQ20="None","",EDATE(AF20,AZ20)))</f>
        <v/>
      </c>
      <c r="T20" s="13" t="str">
        <f aca="false">IF(OR(AE20=0,W20=""),"",W20-U20+V20)</f>
        <v/>
      </c>
      <c r="U20" s="13" t="str">
        <f aca="false">IF(AE20=0,"",IF(NOT(LH_Ready),"",SUMIFS(INDEX(LH_Data,0,LH_ColAcc),INDEX(LH_Data,0,LH_ColFirst),$A20,INDEX(LH_Data,0,LH_ColSur),$B20,INDEX(LH_Data,0,LH_ColCat),BonusCat)*UnitFactor))</f>
        <v/>
      </c>
      <c r="V20" s="13" t="str">
        <f aca="false">IF(AE20=0,"",IF(NOT(LH_Ready),"",SUMIFS(INDEX(LH_Data,0,LH_ColTaken),INDEX(LH_Data,0,LH_ColFirst),$A20,INDEX(LH_Data,0,LH_ColSur),$B20,INDEX(LH_Data,0,LH_ColCat),BonusCat)*UnitFactor))</f>
        <v/>
      </c>
      <c r="W20" s="13" t="str">
        <f aca="false">IF(AE20=0,"",IF(NOT(LH_Ready),"",IF(BB20=0,0,INDEX(INDEX(LH_Data,0,LH_ColClose),BB20-1)*UnitFactor)))</f>
        <v/>
      </c>
      <c r="X20" s="13" t="str">
        <f aca="false">IF(AE20=0,"",(AX20-AY20)*HoursPerDay)</f>
        <v/>
      </c>
      <c r="Y20" s="13" t="str">
        <f aca="false">IF(AE20=0,"",IF(NOT(LH_Ready),"",IF(BA20=0,N20,X20-N(U20))))</f>
        <v/>
      </c>
      <c r="Z20" s="12" t="str">
        <f aca="false">IF(OR(AE20=0,Y20=""),"",IF(Y20&gt;0,"Yes","No"))</f>
        <v/>
      </c>
      <c r="AA20" s="12" t="str">
        <f aca="false">IF(AE20=0,IF(LEN($A20&amp;$B20)=0,"","FIX INPUT - StartDate missing"),IF(AD20&lt;&gt;"","FIX INPUT - "&amp;AD20,IF(NOT(LH_Ready),"Paste Leave History export (Settings must show YES)",IF(Y20&gt;0,"ACCRUE "&amp;ROUND(Y20,2)&amp;" hrs ("&amp;ROUND(Y20/HoursPerDay,2)&amp;" days)"&amp;IF(BA20=0," - no Bonus Leave in EH yet, full catch-up since start",""),IF(Y20&lt;0,"CHECK - EH accrued "&amp;ROUND(-Y20,2)&amp;""&amp;" hrs more than policy",IF(O20&gt;0,"OK - nothing to add",IF(AQ20="None",R20,"Not yet - first day on "&amp;TEXT(S20,"dd/mm/yyyy"))))))))</f>
        <v/>
      </c>
      <c r="AB20" s="13" t="str">
        <f aca="false">IF(OR(AE20=0,T20=""),"",AY20*HoursPerDay-T20)</f>
        <v/>
      </c>
      <c r="AC20" s="12" t="str">
        <f aca="false">IF(AE20=0,"",BA20)</f>
        <v/>
      </c>
      <c r="AD20" s="12" t="str">
        <f aca="false">IF(AE20=0,"",TRIM(IF(IF($C20="","",IF(OR(ISNUMBER(SEARCH("full",$C20)),UPPER(TRIM($C20))="FT",UPPER(TRIM($C20))="FTE"),"Full-Time",IF(OR(ISNUMBER(SEARCH("part",$C20)),UPPER(TRIM($C20))="PT",UPPER(TRIM($C20))="PTE"),"Part-Time",IF(OR(ISNUMBER(SEARCH("cas",$C20)),UPPER(TRIM($C20))="CAS"),"Casual","Unknown"))))="Unknown","EmploymentType not recognised - use Full-Time, Part-Time or Casual. ","")&amp;IF(AND(AG20&gt;=1,IF(AG20&gt;=3,AM20,IF(AG20=2,AL20,AK20))&lt;&gt;IF($C20="","",IF(OR(ISNUMBER(SEARCH("full",$C20)),UPPER(TRIM($C20))="FT",UPPER(TRIM($C20))="FTE"),"Full-Time",IF(OR(ISNUMBER(SEARCH("part",$C20)),UPPER(TRIM($C20))="PT",UPPER(TRIM($C20))="PTE"),"Part-Time",IF(OR(ISNUMBER(SEARCH("cas",$C20)),UPPER(TRIM($C20))="CAS"),"Casual","Unknown"))))),"EmploymentType does not match latest start date ("&amp;IF(AG20&gt;=3,AM20,IF(AG20=2,AL20,AK20))&amp;"). ","")&amp;IF(AND(AG20&gt;=1,AH20&lt;&gt;$F20),"Earliest type date should equal StartDate. ","")&amp;IF(AND(AG20&gt;=2,AH20=AI20),"Two types start on the same date. ","")&amp;IF(AND(OR(ISNUMBER(SEARCH("part",$C20)),UPPER(TRIM($C20))="PT",UPPER(TRIM($C20))="PTE"),$P20=""),"Part-time: enter PT Hrs/Week (blank = 24+). ","")))</f>
        <v/>
      </c>
      <c r="AE20" s="12" t="n">
        <f aca="false">IF(OR(LEN($A20&amp;$B20)=0,$F20=""),0,1)</f>
        <v>0</v>
      </c>
      <c r="AF20" s="10" t="str">
        <f aca="false">IF(AE20=0,"",IF($J20&lt;&gt;"",$J20,$F20))</f>
        <v/>
      </c>
      <c r="AG20" s="12" t="str">
        <f aca="false">IF(AE20=0,"",COUNT($G20:$I20))</f>
        <v/>
      </c>
      <c r="AH20" s="10" t="str">
        <f aca="false">IF(AE20=0,"",IFERROR(SMALL($G20:$I20,1),""))</f>
        <v/>
      </c>
      <c r="AI20" s="10" t="str">
        <f aca="false">IF(AE20=0,"",IFERROR(SMALL($G20:$I20,2),""))</f>
        <v/>
      </c>
      <c r="AJ20" s="10" t="str">
        <f aca="false">IF(AE20=0,"",IFERROR(SMALL($G20:$I20,3),""))</f>
        <v/>
      </c>
      <c r="AK20" s="12" t="str">
        <f aca="false">IF(AE20=0,"",IF(AH20="","",IF(AH20=$G20,"Part-Time",IF(AH20=$H20,"Full-Time","Casual"))))</f>
        <v/>
      </c>
      <c r="AL20" s="12" t="str">
        <f aca="false">IF(AE20=0,"",IF(AI20="","",IF(AI20=$G20,"Part-Time",IF(AI20=$H20,"Full-Time","Casual"))))</f>
        <v/>
      </c>
      <c r="AM20" s="12" t="str">
        <f aca="false">IF(AE20=0,"",IF(AJ20="","",IF(AJ20=$G20,"Part-Time",IF(AJ20=$H20,"Full-Time","Casual"))))</f>
        <v/>
      </c>
      <c r="AN20" s="12" t="str">
        <f aca="false">IF(AE20=0,"",IF(AG20=0,IF(OR(ISNUMBER(SEARCH("full",$C20)),UPPER(TRIM($C20))="FT",UPPER(TRIM($C20))="FTE"),"FT",IF(AND(OR(ISNUMBER(SEARCH("part",$C20)),UPPER(TRIM($C20))="PT",UPPER(TRIM($C20))="PTE"),OR($P20="",N($P20)&gt;=PT_MinHours)),"PT","None")),IF(OR(ISNUMBER(SEARCH("full",AK20)),UPPER(TRIM(AK20))="FT",UPPER(TRIM(AK20))="FTE"),"FT",IF(AND(OR(ISNUMBER(SEARCH("part",AK20)),UPPER(TRIM(AK20))="PT",UPPER(TRIM(AK20))="PTE"),OR($P20="",N($P20)&gt;=PT_MinHours)),"PT","None"))))</f>
        <v/>
      </c>
      <c r="AO20" s="12" t="str">
        <f aca="false">IF(AE20=0,"",IF(AG20&lt;2,"",IF(OR(ISNUMBER(SEARCH("full",AL20)),UPPER(TRIM(AL20))="FT",UPPER(TRIM(AL20))="FTE"),"FT",IF(AND(OR(ISNUMBER(SEARCH("part",AL20)),UPPER(TRIM(AL20))="PT",UPPER(TRIM(AL20))="PTE"),OR($P20="",N($P20)&gt;=PT_MinHours)),"PT","None"))))</f>
        <v/>
      </c>
      <c r="AP20" s="12" t="str">
        <f aca="false">IF(AE20=0,"",IF(AG20&lt;3,"",IF(OR(ISNUMBER(SEARCH("full",AM20)),UPPER(TRIM(AM20))="FT",UPPER(TRIM(AM20))="FTE"),"FT",IF(AND(OR(ISNUMBER(SEARCH("part",AM20)),UPPER(TRIM(AM20))="PT",UPPER(TRIM(AM20))="PTE"),OR($P20="",N($P20)&gt;=PT_MinHours)),"PT","None"))))</f>
        <v/>
      </c>
      <c r="AQ20" s="12" t="str">
        <f aca="false">IF(AE20=0,"",IF(AND(AG20&gt;=3,AJ20&lt;=AsOfDate),AP20,IF(AND(AG20&gt;=2,AI20&lt;=AsOfDate),AO20,AN20)))</f>
        <v/>
      </c>
      <c r="AR20" s="12" t="str">
        <f aca="false">IF(AE20=0,"",IF(AsOfDate&lt;AF20,-1,12*(YEAR(AsOfDate)-YEAR(AF20))+MONTH(AsOfDate)-MONTH(AF20)-IF(DAY(AsOfDate)&lt;MIN(DAY(AF20),DAY(EOMONTH(AsOfDate,0))),1,0)))</f>
        <v/>
      </c>
      <c r="AS20" s="12" t="str">
        <f aca="false">IF(AE20=0,"",IF(OR(AG20&lt;2,AI20&gt;AsOfDate),AR20,IF((AI20-1)&lt;AF20,-1,12*(YEAR((AI20-1))-YEAR(AF20))+MONTH((AI20-1))-MONTH(AF20)-IF(DAY((AI20-1))&lt;MIN(DAY(AF20),DAY(EOMONTH((AI20-1),0))),1,0))))</f>
        <v/>
      </c>
      <c r="AT20" s="12" t="str">
        <f aca="false">IF(AE20=0,"",IF(OR(AG20&lt;3,AJ20&gt;AsOfDate),AR20,IF((AJ20-1)&lt;AF20,-1,12*(YEAR((AJ20-1))-YEAR(AF20))+MONTH((AJ20-1))-MONTH(AF20)-IF(DAY((AJ20-1))&lt;MIN(DAY(AF20),DAY(EOMONTH((AJ20-1),0))),1,0))))</f>
        <v/>
      </c>
      <c r="AU20" s="12" t="str">
        <f aca="false">IF(AE20=0,"",IF(PFYDate&lt;AF20,-1,12*(YEAR(PFYDate)-YEAR(AF20))+MONTH(PFYDate)-MONTH(AF20)-IF(DAY(PFYDate)&lt;MIN(DAY(AF20),DAY(EOMONTH(PFYDate,0))),1,0)))</f>
        <v/>
      </c>
      <c r="AV20" s="12" t="str">
        <f aca="false">IF(AE20=0,"",IF(OR(AG20&lt;2,AI20&gt;PFYDate),AU20,IF((AI20-1)&lt;AF20,-1,12*(YEAR((AI20-1))-YEAR(AF20))+MONTH((AI20-1))-MONTH(AF20)-IF(DAY((AI20-1))&lt;MIN(DAY(AF20),DAY(EOMONTH((AI20-1),0))),1,0))))</f>
        <v/>
      </c>
      <c r="AW20" s="12" t="str">
        <f aca="false">IF(AE20=0,"",IF(OR(AG20&lt;3,AJ20&gt;PFYDate),AU20,IF((AJ20-1)&lt;AF20,-1,12*(YEAR((AJ20-1))-YEAR(AF20))+MONTH((AJ20-1))-MONTH(AF20)-IF(DAY((AJ20-1))&lt;MIN(DAY(AF20),DAY(EOMONTH((AJ20-1),0))),1,0))))</f>
        <v/>
      </c>
      <c r="AX20" s="12" t="str">
        <f aca="false">IF(AE20=0,"",IF(AN20="FT",IF(AS20&lt;FT_First,0,IF(AS20&lt;FT_Y5,1+INT((AS20-FT_First)/FT_Int1),FT_PreY5+FT_PerYear*INT((AS20-FT_Y5)/12)+FT_AnnivDays+INT(MOD(AS20-FT_Y5,12)/FT_Int2))),IF(AN20="PT",IF(AS20&lt;PT_First,0,1+INT((AS20-PT_First)/PT_Int)),0))+IF(AND(AG20&gt;=2,AI20&lt;=AsOfDate),IF(AO20="FT",IF(AT20&lt;FT_First,0,IF(AT20&lt;FT_Y5,1+INT((AT20-FT_First)/FT_Int1),FT_PreY5+FT_PerYear*INT((AT20-FT_Y5)/12)+FT_AnnivDays+INT(MOD(AT20-FT_Y5,12)/FT_Int2))),IF(AO20="PT",IF(AT20&lt;PT_First,0,1+INT((AT20-PT_First)/PT_Int)),0))-IF(AO20="FT",IF(AS20&lt;FT_First,0,IF(AS20&lt;FT_Y5,1+INT((AS20-FT_First)/FT_Int1),FT_PreY5+FT_PerYear*INT((AS20-FT_Y5)/12)+FT_AnnivDays+INT(MOD(AS20-FT_Y5,12)/FT_Int2))),IF(AO20="PT",IF(AS20&lt;PT_First,0,1+INT((AS20-PT_First)/PT_Int)),0)),0)+IF(AND(AG20&gt;=3,AJ20&lt;=AsOfDate),IF(AP20="FT",IF(AR20&lt;FT_First,0,IF(AR20&lt;FT_Y5,1+INT((AR20-FT_First)/FT_Int1),FT_PreY5+FT_PerYear*INT((AR20-FT_Y5)/12)+FT_AnnivDays+INT(MOD(AR20-FT_Y5,12)/FT_Int2))),IF(AP20="PT",IF(AR20&lt;PT_First,0,1+INT((AR20-PT_First)/PT_Int)),0))-IF(AP20="FT",IF(AT20&lt;FT_First,0,IF(AT20&lt;FT_Y5,1+INT((AT20-FT_First)/FT_Int1),FT_PreY5+FT_PerYear*INT((AT20-FT_Y5)/12)+FT_AnnivDays+INT(MOD(AT20-FT_Y5,12)/FT_Int2))),IF(AP20="PT",IF(AT20&lt;PT_First,0,1+INT((AT20-PT_First)/PT_Int)),0)),0))</f>
        <v/>
      </c>
      <c r="AY20" s="12" t="str">
        <f aca="false">IF(AE20=0,"",IF(AN20="FT",IF(AV20&lt;FT_First,0,IF(AV20&lt;FT_Y5,1+INT((AV20-FT_First)/FT_Int1),FT_PreY5+FT_PerYear*INT((AV20-FT_Y5)/12)+FT_AnnivDays+INT(MOD(AV20-FT_Y5,12)/FT_Int2))),IF(AN20="PT",IF(AV20&lt;PT_First,0,1+INT((AV20-PT_First)/PT_Int)),0))+IF(AND(AG20&gt;=2,AI20&lt;=PFYDate),IF(AO20="FT",IF(AW20&lt;FT_First,0,IF(AW20&lt;FT_Y5,1+INT((AW20-FT_First)/FT_Int1),FT_PreY5+FT_PerYear*INT((AW20-FT_Y5)/12)+FT_AnnivDays+INT(MOD(AW20-FT_Y5,12)/FT_Int2))),IF(AO20="PT",IF(AW20&lt;PT_First,0,1+INT((AW20-PT_First)/PT_Int)),0))-IF(AO20="FT",IF(AV20&lt;FT_First,0,IF(AV20&lt;FT_Y5,1+INT((AV20-FT_First)/FT_Int1),FT_PreY5+FT_PerYear*INT((AV20-FT_Y5)/12)+FT_AnnivDays+INT(MOD(AV20-FT_Y5,12)/FT_Int2))),IF(AO20="PT",IF(AV20&lt;PT_First,0,1+INT((AV20-PT_First)/PT_Int)),0)),0)+IF(AND(AG20&gt;=3,AJ20&lt;=PFYDate),IF(AP20="FT",IF(AU20&lt;FT_First,0,IF(AU20&lt;FT_Y5,1+INT((AU20-FT_First)/FT_Int1),FT_PreY5+FT_PerYear*INT((AU20-FT_Y5)/12)+FT_AnnivDays+INT(MOD(AU20-FT_Y5,12)/FT_Int2))),IF(AP20="PT",IF(AU20&lt;PT_First,0,1+INT((AU20-PT_First)/PT_Int)),0))-IF(AP20="FT",IF(AW20&lt;FT_First,0,IF(AW20&lt;FT_Y5,1+INT((AW20-FT_First)/FT_Int1),FT_PreY5+FT_PerYear*INT((AW20-FT_Y5)/12)+FT_AnnivDays+INT(MOD(AW20-FT_Y5,12)/FT_Int2))),IF(AP20="PT",IF(AW20&lt;PT_First,0,1+INT((AW20-PT_First)/PT_Int)),0)),0))</f>
        <v/>
      </c>
      <c r="AZ20" s="12" t="str">
        <f aca="false">IF(AE20=0,"",IF(AQ20="FT",IF(AR20&lt;FT_First,FT_First,IF(AR20&lt;FT_Y5,MIN(FT_Y5,FT_First+FT_Int1*(INT((AR20-FT_First)/FT_Int1)+1)),FT_Y5+12*INT((AR20-FT_Y5)/12)+FT_Int2*(INT(MOD(AR20-FT_Y5,12)/FT_Int2)+1))),IF(AQ20="PT",IF(AR20&lt;PT_First,PT_First,PT_First+PT_Int*(INT((AR20-PT_First)/PT_Int)+1)),"")))</f>
        <v/>
      </c>
      <c r="BA20" s="12" t="str">
        <f aca="false">IF(AE20=0,"",IF(NOT(LH_Ready),0,COUNTIFS(INDEX(LH_Data,0,LH_ColFirst),$A20,INDEX(LH_Data,0,LH_ColSur),$B20,INDEX(LH_Data,0,LH_ColCat),BonusCat)))</f>
        <v/>
      </c>
      <c r="BB20" s="12" t="str">
        <f aca="false">IF(AE20=0,"",IF(OR(NOT(LH_Ready),BA20=0),0,SUMPRODUCT(MAX((INDEX(LH_Data,0,LH_ColFirst)=$A20)*(INDEX(LH_Data,0,LH_ColSur)=$B20)*(INDEX(LH_Data,0,LH_ColCat)=BonusCat)*ROW(LH_Data)))))</f>
        <v/>
      </c>
    </row>
    <row r="21" customFormat="false" ht="15" hidden="false" customHeight="false" outlineLevel="0" collapsed="false">
      <c r="A21" s="15"/>
      <c r="B21" s="15"/>
      <c r="C21" s="15"/>
      <c r="D21" s="16"/>
      <c r="E21" s="10" t="str">
        <f aca="false">IF(OR(AE21=0,$D21=""),"",DATE(YEAR(AsOfDate)+IF(DATE(YEAR(AsOfDate),MONTH($D21),DAY($D21))&lt;=AsOfDate,1,0),MONTH($D21),DAY($D21)))</f>
        <v/>
      </c>
      <c r="F21" s="16"/>
      <c r="G21" s="16"/>
      <c r="H21" s="16"/>
      <c r="I21" s="16"/>
      <c r="J21" s="16"/>
      <c r="K21" s="10" t="str">
        <f aca="false">IF(AE21=0,"",DATE(YEAR(AsOfDate)+IF(DATE(YEAR(AsOfDate),MONTH($F21),DAY($F21))&lt;=AsOfDate,1,0),MONTH($F21),DAY($F21)))</f>
        <v/>
      </c>
      <c r="L21" s="11" t="str">
        <f aca="false">IF(AE21=0,"",ROUND((AsOfDate-$F21)/365.25,1))</f>
        <v/>
      </c>
      <c r="M21" s="12" t="str">
        <f aca="false">IF(AE21=0,"",IF(AsOfDate&lt;AF21,"-",DATEDIF(AF21,AsOfDate,"y")&amp;"y "&amp;DATEDIF(AF21,AsOfDate,"ym")&amp;"m "&amp;DATEDIF(AF21,AsOfDate,"md")&amp;"d"))</f>
        <v/>
      </c>
      <c r="N21" s="13" t="str">
        <f aca="false">IF(AE21=0,"",O21*HoursPerDay)</f>
        <v/>
      </c>
      <c r="O21" s="13" t="str">
        <f aca="false">IF(AE21=0,"",AX21)</f>
        <v/>
      </c>
      <c r="P21" s="17"/>
      <c r="Q21" s="12" t="str">
        <f aca="false">IF(AE21=0,"",IF(AG21&lt;2,"",AK21&amp;" to "&amp;AL21&amp;" on "&amp;TEXT(AI21,"dd/mm/yyyy")&amp;IF(AI21&gt;AsOfDate," (future)",IF(AN21=AO21,"",IF(AO21="None"," - STOPPED accruing",IF(AN21="None"," - now qualifying"," - pathway changed"))))&amp;IF(AG21&lt;3,"","; "&amp;AL21&amp;" to "&amp;AM21&amp;" on "&amp;TEXT(AJ21,"dd/mm/yyyy")&amp;IF(AJ21&gt;AsOfDate," (future)",IF(AO21=AP21,"",IF(AP21="None"," - STOPPED accruing",IF(AO21="None"," - now qualifying"," - pathway changed")))))))</f>
        <v/>
      </c>
      <c r="R21" s="12" t="str">
        <f aca="false">IF(AE21=0,"",IF(AQ21="None",IF(O21&gt;0,"No longer accruing","Not eligible - "&amp;IF(AND(OR(ISNUMBER(SEARCH("part",$C21)),UPPER(TRIM($C21))="PT",UPPER(TRIM($C21))="PTE"),$P21&lt;&gt;"",N($P21)&lt;PT_MinHours),"under "&amp;PT_MinHours&amp;" hrs",IF(IF($C21="","",IF(OR(ISNUMBER(SEARCH("full",$C21)),UPPER(TRIM($C21))="FT",UPPER(TRIM($C21))="FTE"),"Full-Time",IF(OR(ISNUMBER(SEARCH("part",$C21)),UPPER(TRIM($C21))="PT",UPPER(TRIM($C21))="PTE"),"Part-Time",IF(OR(ISNUMBER(SEARCH("cas",$C21)),UPPER(TRIM($C21))="CAS"),"Casual","Unknown"))))="Unknown","type not recognised",$C21))),IF(O21&gt;0,"Yes - accruing","Not yet - from "&amp;TEXT(S21,"dd/mm/yyyy"))))</f>
        <v/>
      </c>
      <c r="S21" s="10" t="str">
        <f aca="false">IF(AE21=0,"",IF(AQ21="None","",EDATE(AF21,AZ21)))</f>
        <v/>
      </c>
      <c r="T21" s="13" t="str">
        <f aca="false">IF(OR(AE21=0,W21=""),"",W21-U21+V21)</f>
        <v/>
      </c>
      <c r="U21" s="13" t="str">
        <f aca="false">IF(AE21=0,"",IF(NOT(LH_Ready),"",SUMIFS(INDEX(LH_Data,0,LH_ColAcc),INDEX(LH_Data,0,LH_ColFirst),$A21,INDEX(LH_Data,0,LH_ColSur),$B21,INDEX(LH_Data,0,LH_ColCat),BonusCat)*UnitFactor))</f>
        <v/>
      </c>
      <c r="V21" s="13" t="str">
        <f aca="false">IF(AE21=0,"",IF(NOT(LH_Ready),"",SUMIFS(INDEX(LH_Data,0,LH_ColTaken),INDEX(LH_Data,0,LH_ColFirst),$A21,INDEX(LH_Data,0,LH_ColSur),$B21,INDEX(LH_Data,0,LH_ColCat),BonusCat)*UnitFactor))</f>
        <v/>
      </c>
      <c r="W21" s="13" t="str">
        <f aca="false">IF(AE21=0,"",IF(NOT(LH_Ready),"",IF(BB21=0,0,INDEX(INDEX(LH_Data,0,LH_ColClose),BB21-1)*UnitFactor)))</f>
        <v/>
      </c>
      <c r="X21" s="13" t="str">
        <f aca="false">IF(AE21=0,"",(AX21-AY21)*HoursPerDay)</f>
        <v/>
      </c>
      <c r="Y21" s="13" t="str">
        <f aca="false">IF(AE21=0,"",IF(NOT(LH_Ready),"",IF(BA21=0,N21,X21-N(U21))))</f>
        <v/>
      </c>
      <c r="Z21" s="12" t="str">
        <f aca="false">IF(OR(AE21=0,Y21=""),"",IF(Y21&gt;0,"Yes","No"))</f>
        <v/>
      </c>
      <c r="AA21" s="12" t="str">
        <f aca="false">IF(AE21=0,IF(LEN($A21&amp;$B21)=0,"","FIX INPUT - StartDate missing"),IF(AD21&lt;&gt;"","FIX INPUT - "&amp;AD21,IF(NOT(LH_Ready),"Paste Leave History export (Settings must show YES)",IF(Y21&gt;0,"ACCRUE "&amp;ROUND(Y21,2)&amp;" hrs ("&amp;ROUND(Y21/HoursPerDay,2)&amp;" days)"&amp;IF(BA21=0," - no Bonus Leave in EH yet, full catch-up since start",""),IF(Y21&lt;0,"CHECK - EH accrued "&amp;ROUND(-Y21,2)&amp;""&amp;" hrs more than policy",IF(O21&gt;0,"OK - nothing to add",IF(AQ21="None",R21,"Not yet - first day on "&amp;TEXT(S21,"dd/mm/yyyy"))))))))</f>
        <v/>
      </c>
      <c r="AB21" s="13" t="str">
        <f aca="false">IF(OR(AE21=0,T21=""),"",AY21*HoursPerDay-T21)</f>
        <v/>
      </c>
      <c r="AC21" s="12" t="str">
        <f aca="false">IF(AE21=0,"",BA21)</f>
        <v/>
      </c>
      <c r="AD21" s="12" t="str">
        <f aca="false">IF(AE21=0,"",TRIM(IF(IF($C21="","",IF(OR(ISNUMBER(SEARCH("full",$C21)),UPPER(TRIM($C21))="FT",UPPER(TRIM($C21))="FTE"),"Full-Time",IF(OR(ISNUMBER(SEARCH("part",$C21)),UPPER(TRIM($C21))="PT",UPPER(TRIM($C21))="PTE"),"Part-Time",IF(OR(ISNUMBER(SEARCH("cas",$C21)),UPPER(TRIM($C21))="CAS"),"Casual","Unknown"))))="Unknown","EmploymentType not recognised - use Full-Time, Part-Time or Casual. ","")&amp;IF(AND(AG21&gt;=1,IF(AG21&gt;=3,AM21,IF(AG21=2,AL21,AK21))&lt;&gt;IF($C21="","",IF(OR(ISNUMBER(SEARCH("full",$C21)),UPPER(TRIM($C21))="FT",UPPER(TRIM($C21))="FTE"),"Full-Time",IF(OR(ISNUMBER(SEARCH("part",$C21)),UPPER(TRIM($C21))="PT",UPPER(TRIM($C21))="PTE"),"Part-Time",IF(OR(ISNUMBER(SEARCH("cas",$C21)),UPPER(TRIM($C21))="CAS"),"Casual","Unknown"))))),"EmploymentType does not match latest start date ("&amp;IF(AG21&gt;=3,AM21,IF(AG21=2,AL21,AK21))&amp;"). ","")&amp;IF(AND(AG21&gt;=1,AH21&lt;&gt;$F21),"Earliest type date should equal StartDate. ","")&amp;IF(AND(AG21&gt;=2,AH21=AI21),"Two types start on the same date. ","")&amp;IF(AND(OR(ISNUMBER(SEARCH("part",$C21)),UPPER(TRIM($C21))="PT",UPPER(TRIM($C21))="PTE"),$P21=""),"Part-time: enter PT Hrs/Week (blank = 24+). ","")))</f>
        <v/>
      </c>
      <c r="AE21" s="12" t="n">
        <f aca="false">IF(OR(LEN($A21&amp;$B21)=0,$F21=""),0,1)</f>
        <v>0</v>
      </c>
      <c r="AF21" s="10" t="str">
        <f aca="false">IF(AE21=0,"",IF($J21&lt;&gt;"",$J21,$F21))</f>
        <v/>
      </c>
      <c r="AG21" s="12" t="str">
        <f aca="false">IF(AE21=0,"",COUNT($G21:$I21))</f>
        <v/>
      </c>
      <c r="AH21" s="10" t="str">
        <f aca="false">IF(AE21=0,"",IFERROR(SMALL($G21:$I21,1),""))</f>
        <v/>
      </c>
      <c r="AI21" s="10" t="str">
        <f aca="false">IF(AE21=0,"",IFERROR(SMALL($G21:$I21,2),""))</f>
        <v/>
      </c>
      <c r="AJ21" s="10" t="str">
        <f aca="false">IF(AE21=0,"",IFERROR(SMALL($G21:$I21,3),""))</f>
        <v/>
      </c>
      <c r="AK21" s="12" t="str">
        <f aca="false">IF(AE21=0,"",IF(AH21="","",IF(AH21=$G21,"Part-Time",IF(AH21=$H21,"Full-Time","Casual"))))</f>
        <v/>
      </c>
      <c r="AL21" s="12" t="str">
        <f aca="false">IF(AE21=0,"",IF(AI21="","",IF(AI21=$G21,"Part-Time",IF(AI21=$H21,"Full-Time","Casual"))))</f>
        <v/>
      </c>
      <c r="AM21" s="12" t="str">
        <f aca="false">IF(AE21=0,"",IF(AJ21="","",IF(AJ21=$G21,"Part-Time",IF(AJ21=$H21,"Full-Time","Casual"))))</f>
        <v/>
      </c>
      <c r="AN21" s="12" t="str">
        <f aca="false">IF(AE21=0,"",IF(AG21=0,IF(OR(ISNUMBER(SEARCH("full",$C21)),UPPER(TRIM($C21))="FT",UPPER(TRIM($C21))="FTE"),"FT",IF(AND(OR(ISNUMBER(SEARCH("part",$C21)),UPPER(TRIM($C21))="PT",UPPER(TRIM($C21))="PTE"),OR($P21="",N($P21)&gt;=PT_MinHours)),"PT","None")),IF(OR(ISNUMBER(SEARCH("full",AK21)),UPPER(TRIM(AK21))="FT",UPPER(TRIM(AK21))="FTE"),"FT",IF(AND(OR(ISNUMBER(SEARCH("part",AK21)),UPPER(TRIM(AK21))="PT",UPPER(TRIM(AK21))="PTE"),OR($P21="",N($P21)&gt;=PT_MinHours)),"PT","None"))))</f>
        <v/>
      </c>
      <c r="AO21" s="12" t="str">
        <f aca="false">IF(AE21=0,"",IF(AG21&lt;2,"",IF(OR(ISNUMBER(SEARCH("full",AL21)),UPPER(TRIM(AL21))="FT",UPPER(TRIM(AL21))="FTE"),"FT",IF(AND(OR(ISNUMBER(SEARCH("part",AL21)),UPPER(TRIM(AL21))="PT",UPPER(TRIM(AL21))="PTE"),OR($P21="",N($P21)&gt;=PT_MinHours)),"PT","None"))))</f>
        <v/>
      </c>
      <c r="AP21" s="12" t="str">
        <f aca="false">IF(AE21=0,"",IF(AG21&lt;3,"",IF(OR(ISNUMBER(SEARCH("full",AM21)),UPPER(TRIM(AM21))="FT",UPPER(TRIM(AM21))="FTE"),"FT",IF(AND(OR(ISNUMBER(SEARCH("part",AM21)),UPPER(TRIM(AM21))="PT",UPPER(TRIM(AM21))="PTE"),OR($P21="",N($P21)&gt;=PT_MinHours)),"PT","None"))))</f>
        <v/>
      </c>
      <c r="AQ21" s="12" t="str">
        <f aca="false">IF(AE21=0,"",IF(AND(AG21&gt;=3,AJ21&lt;=AsOfDate),AP21,IF(AND(AG21&gt;=2,AI21&lt;=AsOfDate),AO21,AN21)))</f>
        <v/>
      </c>
      <c r="AR21" s="12" t="str">
        <f aca="false">IF(AE21=0,"",IF(AsOfDate&lt;AF21,-1,12*(YEAR(AsOfDate)-YEAR(AF21))+MONTH(AsOfDate)-MONTH(AF21)-IF(DAY(AsOfDate)&lt;MIN(DAY(AF21),DAY(EOMONTH(AsOfDate,0))),1,0)))</f>
        <v/>
      </c>
      <c r="AS21" s="12" t="str">
        <f aca="false">IF(AE21=0,"",IF(OR(AG21&lt;2,AI21&gt;AsOfDate),AR21,IF((AI21-1)&lt;AF21,-1,12*(YEAR((AI21-1))-YEAR(AF21))+MONTH((AI21-1))-MONTH(AF21)-IF(DAY((AI21-1))&lt;MIN(DAY(AF21),DAY(EOMONTH((AI21-1),0))),1,0))))</f>
        <v/>
      </c>
      <c r="AT21" s="12" t="str">
        <f aca="false">IF(AE21=0,"",IF(OR(AG21&lt;3,AJ21&gt;AsOfDate),AR21,IF((AJ21-1)&lt;AF21,-1,12*(YEAR((AJ21-1))-YEAR(AF21))+MONTH((AJ21-1))-MONTH(AF21)-IF(DAY((AJ21-1))&lt;MIN(DAY(AF21),DAY(EOMONTH((AJ21-1),0))),1,0))))</f>
        <v/>
      </c>
      <c r="AU21" s="12" t="str">
        <f aca="false">IF(AE21=0,"",IF(PFYDate&lt;AF21,-1,12*(YEAR(PFYDate)-YEAR(AF21))+MONTH(PFYDate)-MONTH(AF21)-IF(DAY(PFYDate)&lt;MIN(DAY(AF21),DAY(EOMONTH(PFYDate,0))),1,0)))</f>
        <v/>
      </c>
      <c r="AV21" s="12" t="str">
        <f aca="false">IF(AE21=0,"",IF(OR(AG21&lt;2,AI21&gt;PFYDate),AU21,IF((AI21-1)&lt;AF21,-1,12*(YEAR((AI21-1))-YEAR(AF21))+MONTH((AI21-1))-MONTH(AF21)-IF(DAY((AI21-1))&lt;MIN(DAY(AF21),DAY(EOMONTH((AI21-1),0))),1,0))))</f>
        <v/>
      </c>
      <c r="AW21" s="12" t="str">
        <f aca="false">IF(AE21=0,"",IF(OR(AG21&lt;3,AJ21&gt;PFYDate),AU21,IF((AJ21-1)&lt;AF21,-1,12*(YEAR((AJ21-1))-YEAR(AF21))+MONTH((AJ21-1))-MONTH(AF21)-IF(DAY((AJ21-1))&lt;MIN(DAY(AF21),DAY(EOMONTH((AJ21-1),0))),1,0))))</f>
        <v/>
      </c>
      <c r="AX21" s="12" t="str">
        <f aca="false">IF(AE21=0,"",IF(AN21="FT",IF(AS21&lt;FT_First,0,IF(AS21&lt;FT_Y5,1+INT((AS21-FT_First)/FT_Int1),FT_PreY5+FT_PerYear*INT((AS21-FT_Y5)/12)+FT_AnnivDays+INT(MOD(AS21-FT_Y5,12)/FT_Int2))),IF(AN21="PT",IF(AS21&lt;PT_First,0,1+INT((AS21-PT_First)/PT_Int)),0))+IF(AND(AG21&gt;=2,AI21&lt;=AsOfDate),IF(AO21="FT",IF(AT21&lt;FT_First,0,IF(AT21&lt;FT_Y5,1+INT((AT21-FT_First)/FT_Int1),FT_PreY5+FT_PerYear*INT((AT21-FT_Y5)/12)+FT_AnnivDays+INT(MOD(AT21-FT_Y5,12)/FT_Int2))),IF(AO21="PT",IF(AT21&lt;PT_First,0,1+INT((AT21-PT_First)/PT_Int)),0))-IF(AO21="FT",IF(AS21&lt;FT_First,0,IF(AS21&lt;FT_Y5,1+INT((AS21-FT_First)/FT_Int1),FT_PreY5+FT_PerYear*INT((AS21-FT_Y5)/12)+FT_AnnivDays+INT(MOD(AS21-FT_Y5,12)/FT_Int2))),IF(AO21="PT",IF(AS21&lt;PT_First,0,1+INT((AS21-PT_First)/PT_Int)),0)),0)+IF(AND(AG21&gt;=3,AJ21&lt;=AsOfDate),IF(AP21="FT",IF(AR21&lt;FT_First,0,IF(AR21&lt;FT_Y5,1+INT((AR21-FT_First)/FT_Int1),FT_PreY5+FT_PerYear*INT((AR21-FT_Y5)/12)+FT_AnnivDays+INT(MOD(AR21-FT_Y5,12)/FT_Int2))),IF(AP21="PT",IF(AR21&lt;PT_First,0,1+INT((AR21-PT_First)/PT_Int)),0))-IF(AP21="FT",IF(AT21&lt;FT_First,0,IF(AT21&lt;FT_Y5,1+INT((AT21-FT_First)/FT_Int1),FT_PreY5+FT_PerYear*INT((AT21-FT_Y5)/12)+FT_AnnivDays+INT(MOD(AT21-FT_Y5,12)/FT_Int2))),IF(AP21="PT",IF(AT21&lt;PT_First,0,1+INT((AT21-PT_First)/PT_Int)),0)),0))</f>
        <v/>
      </c>
      <c r="AY21" s="12" t="str">
        <f aca="false">IF(AE21=0,"",IF(AN21="FT",IF(AV21&lt;FT_First,0,IF(AV21&lt;FT_Y5,1+INT((AV21-FT_First)/FT_Int1),FT_PreY5+FT_PerYear*INT((AV21-FT_Y5)/12)+FT_AnnivDays+INT(MOD(AV21-FT_Y5,12)/FT_Int2))),IF(AN21="PT",IF(AV21&lt;PT_First,0,1+INT((AV21-PT_First)/PT_Int)),0))+IF(AND(AG21&gt;=2,AI21&lt;=PFYDate),IF(AO21="FT",IF(AW21&lt;FT_First,0,IF(AW21&lt;FT_Y5,1+INT((AW21-FT_First)/FT_Int1),FT_PreY5+FT_PerYear*INT((AW21-FT_Y5)/12)+FT_AnnivDays+INT(MOD(AW21-FT_Y5,12)/FT_Int2))),IF(AO21="PT",IF(AW21&lt;PT_First,0,1+INT((AW21-PT_First)/PT_Int)),0))-IF(AO21="FT",IF(AV21&lt;FT_First,0,IF(AV21&lt;FT_Y5,1+INT((AV21-FT_First)/FT_Int1),FT_PreY5+FT_PerYear*INT((AV21-FT_Y5)/12)+FT_AnnivDays+INT(MOD(AV21-FT_Y5,12)/FT_Int2))),IF(AO21="PT",IF(AV21&lt;PT_First,0,1+INT((AV21-PT_First)/PT_Int)),0)),0)+IF(AND(AG21&gt;=3,AJ21&lt;=PFYDate),IF(AP21="FT",IF(AU21&lt;FT_First,0,IF(AU21&lt;FT_Y5,1+INT((AU21-FT_First)/FT_Int1),FT_PreY5+FT_PerYear*INT((AU21-FT_Y5)/12)+FT_AnnivDays+INT(MOD(AU21-FT_Y5,12)/FT_Int2))),IF(AP21="PT",IF(AU21&lt;PT_First,0,1+INT((AU21-PT_First)/PT_Int)),0))-IF(AP21="FT",IF(AW21&lt;FT_First,0,IF(AW21&lt;FT_Y5,1+INT((AW21-FT_First)/FT_Int1),FT_PreY5+FT_PerYear*INT((AW21-FT_Y5)/12)+FT_AnnivDays+INT(MOD(AW21-FT_Y5,12)/FT_Int2))),IF(AP21="PT",IF(AW21&lt;PT_First,0,1+INT((AW21-PT_First)/PT_Int)),0)),0))</f>
        <v/>
      </c>
      <c r="AZ21" s="12" t="str">
        <f aca="false">IF(AE21=0,"",IF(AQ21="FT",IF(AR21&lt;FT_First,FT_First,IF(AR21&lt;FT_Y5,MIN(FT_Y5,FT_First+FT_Int1*(INT((AR21-FT_First)/FT_Int1)+1)),FT_Y5+12*INT((AR21-FT_Y5)/12)+FT_Int2*(INT(MOD(AR21-FT_Y5,12)/FT_Int2)+1))),IF(AQ21="PT",IF(AR21&lt;PT_First,PT_First,PT_First+PT_Int*(INT((AR21-PT_First)/PT_Int)+1)),"")))</f>
        <v/>
      </c>
      <c r="BA21" s="12" t="str">
        <f aca="false">IF(AE21=0,"",IF(NOT(LH_Ready),0,COUNTIFS(INDEX(LH_Data,0,LH_ColFirst),$A21,INDEX(LH_Data,0,LH_ColSur),$B21,INDEX(LH_Data,0,LH_ColCat),BonusCat)))</f>
        <v/>
      </c>
      <c r="BB21" s="12" t="str">
        <f aca="false">IF(AE21=0,"",IF(OR(NOT(LH_Ready),BA21=0),0,SUMPRODUCT(MAX((INDEX(LH_Data,0,LH_ColFirst)=$A21)*(INDEX(LH_Data,0,LH_ColSur)=$B21)*(INDEX(LH_Data,0,LH_ColCat)=BonusCat)*ROW(LH_Data)))))</f>
        <v/>
      </c>
    </row>
    <row r="22" customFormat="false" ht="15" hidden="false" customHeight="false" outlineLevel="0" collapsed="false">
      <c r="A22" s="15"/>
      <c r="B22" s="15"/>
      <c r="C22" s="15"/>
      <c r="D22" s="16"/>
      <c r="E22" s="10" t="str">
        <f aca="false">IF(OR(AE22=0,$D22=""),"",DATE(YEAR(AsOfDate)+IF(DATE(YEAR(AsOfDate),MONTH($D22),DAY($D22))&lt;=AsOfDate,1,0),MONTH($D22),DAY($D22)))</f>
        <v/>
      </c>
      <c r="F22" s="16"/>
      <c r="G22" s="16"/>
      <c r="H22" s="16"/>
      <c r="I22" s="16"/>
      <c r="J22" s="16"/>
      <c r="K22" s="10" t="str">
        <f aca="false">IF(AE22=0,"",DATE(YEAR(AsOfDate)+IF(DATE(YEAR(AsOfDate),MONTH($F22),DAY($F22))&lt;=AsOfDate,1,0),MONTH($F22),DAY($F22)))</f>
        <v/>
      </c>
      <c r="L22" s="11" t="str">
        <f aca="false">IF(AE22=0,"",ROUND((AsOfDate-$F22)/365.25,1))</f>
        <v/>
      </c>
      <c r="M22" s="12" t="str">
        <f aca="false">IF(AE22=0,"",IF(AsOfDate&lt;AF22,"-",DATEDIF(AF22,AsOfDate,"y")&amp;"y "&amp;DATEDIF(AF22,AsOfDate,"ym")&amp;"m "&amp;DATEDIF(AF22,AsOfDate,"md")&amp;"d"))</f>
        <v/>
      </c>
      <c r="N22" s="13" t="str">
        <f aca="false">IF(AE22=0,"",O22*HoursPerDay)</f>
        <v/>
      </c>
      <c r="O22" s="13" t="str">
        <f aca="false">IF(AE22=0,"",AX22)</f>
        <v/>
      </c>
      <c r="P22" s="17"/>
      <c r="Q22" s="12" t="str">
        <f aca="false">IF(AE22=0,"",IF(AG22&lt;2,"",AK22&amp;" to "&amp;AL22&amp;" on "&amp;TEXT(AI22,"dd/mm/yyyy")&amp;IF(AI22&gt;AsOfDate," (future)",IF(AN22=AO22,"",IF(AO22="None"," - STOPPED accruing",IF(AN22="None"," - now qualifying"," - pathway changed"))))&amp;IF(AG22&lt;3,"","; "&amp;AL22&amp;" to "&amp;AM22&amp;" on "&amp;TEXT(AJ22,"dd/mm/yyyy")&amp;IF(AJ22&gt;AsOfDate," (future)",IF(AO22=AP22,"",IF(AP22="None"," - STOPPED accruing",IF(AO22="None"," - now qualifying"," - pathway changed")))))))</f>
        <v/>
      </c>
      <c r="R22" s="12" t="str">
        <f aca="false">IF(AE22=0,"",IF(AQ22="None",IF(O22&gt;0,"No longer accruing","Not eligible - "&amp;IF(AND(OR(ISNUMBER(SEARCH("part",$C22)),UPPER(TRIM($C22))="PT",UPPER(TRIM($C22))="PTE"),$P22&lt;&gt;"",N($P22)&lt;PT_MinHours),"under "&amp;PT_MinHours&amp;" hrs",IF(IF($C22="","",IF(OR(ISNUMBER(SEARCH("full",$C22)),UPPER(TRIM($C22))="FT",UPPER(TRIM($C22))="FTE"),"Full-Time",IF(OR(ISNUMBER(SEARCH("part",$C22)),UPPER(TRIM($C22))="PT",UPPER(TRIM($C22))="PTE"),"Part-Time",IF(OR(ISNUMBER(SEARCH("cas",$C22)),UPPER(TRIM($C22))="CAS"),"Casual","Unknown"))))="Unknown","type not recognised",$C22))),IF(O22&gt;0,"Yes - accruing","Not yet - from "&amp;TEXT(S22,"dd/mm/yyyy"))))</f>
        <v/>
      </c>
      <c r="S22" s="10" t="str">
        <f aca="false">IF(AE22=0,"",IF(AQ22="None","",EDATE(AF22,AZ22)))</f>
        <v/>
      </c>
      <c r="T22" s="13" t="str">
        <f aca="false">IF(OR(AE22=0,W22=""),"",W22-U22+V22)</f>
        <v/>
      </c>
      <c r="U22" s="13" t="str">
        <f aca="false">IF(AE22=0,"",IF(NOT(LH_Ready),"",SUMIFS(INDEX(LH_Data,0,LH_ColAcc),INDEX(LH_Data,0,LH_ColFirst),$A22,INDEX(LH_Data,0,LH_ColSur),$B22,INDEX(LH_Data,0,LH_ColCat),BonusCat)*UnitFactor))</f>
        <v/>
      </c>
      <c r="V22" s="13" t="str">
        <f aca="false">IF(AE22=0,"",IF(NOT(LH_Ready),"",SUMIFS(INDEX(LH_Data,0,LH_ColTaken),INDEX(LH_Data,0,LH_ColFirst),$A22,INDEX(LH_Data,0,LH_ColSur),$B22,INDEX(LH_Data,0,LH_ColCat),BonusCat)*UnitFactor))</f>
        <v/>
      </c>
      <c r="W22" s="13" t="str">
        <f aca="false">IF(AE22=0,"",IF(NOT(LH_Ready),"",IF(BB22=0,0,INDEX(INDEX(LH_Data,0,LH_ColClose),BB22-1)*UnitFactor)))</f>
        <v/>
      </c>
      <c r="X22" s="13" t="str">
        <f aca="false">IF(AE22=0,"",(AX22-AY22)*HoursPerDay)</f>
        <v/>
      </c>
      <c r="Y22" s="13" t="str">
        <f aca="false">IF(AE22=0,"",IF(NOT(LH_Ready),"",IF(BA22=0,N22,X22-N(U22))))</f>
        <v/>
      </c>
      <c r="Z22" s="12" t="str">
        <f aca="false">IF(OR(AE22=0,Y22=""),"",IF(Y22&gt;0,"Yes","No"))</f>
        <v/>
      </c>
      <c r="AA22" s="12" t="str">
        <f aca="false">IF(AE22=0,IF(LEN($A22&amp;$B22)=0,"","FIX INPUT - StartDate missing"),IF(AD22&lt;&gt;"","FIX INPUT - "&amp;AD22,IF(NOT(LH_Ready),"Paste Leave History export (Settings must show YES)",IF(Y22&gt;0,"ACCRUE "&amp;ROUND(Y22,2)&amp;" hrs ("&amp;ROUND(Y22/HoursPerDay,2)&amp;" days)"&amp;IF(BA22=0," - no Bonus Leave in EH yet, full catch-up since start",""),IF(Y22&lt;0,"CHECK - EH accrued "&amp;ROUND(-Y22,2)&amp;""&amp;" hrs more than policy",IF(O22&gt;0,"OK - nothing to add",IF(AQ22="None",R22,"Not yet - first day on "&amp;TEXT(S22,"dd/mm/yyyy"))))))))</f>
        <v/>
      </c>
      <c r="AB22" s="13" t="str">
        <f aca="false">IF(OR(AE22=0,T22=""),"",AY22*HoursPerDay-T22)</f>
        <v/>
      </c>
      <c r="AC22" s="12" t="str">
        <f aca="false">IF(AE22=0,"",BA22)</f>
        <v/>
      </c>
      <c r="AD22" s="12" t="str">
        <f aca="false">IF(AE22=0,"",TRIM(IF(IF($C22="","",IF(OR(ISNUMBER(SEARCH("full",$C22)),UPPER(TRIM($C22))="FT",UPPER(TRIM($C22))="FTE"),"Full-Time",IF(OR(ISNUMBER(SEARCH("part",$C22)),UPPER(TRIM($C22))="PT",UPPER(TRIM($C22))="PTE"),"Part-Time",IF(OR(ISNUMBER(SEARCH("cas",$C22)),UPPER(TRIM($C22))="CAS"),"Casual","Unknown"))))="Unknown","EmploymentType not recognised - use Full-Time, Part-Time or Casual. ","")&amp;IF(AND(AG22&gt;=1,IF(AG22&gt;=3,AM22,IF(AG22=2,AL22,AK22))&lt;&gt;IF($C22="","",IF(OR(ISNUMBER(SEARCH("full",$C22)),UPPER(TRIM($C22))="FT",UPPER(TRIM($C22))="FTE"),"Full-Time",IF(OR(ISNUMBER(SEARCH("part",$C22)),UPPER(TRIM($C22))="PT",UPPER(TRIM($C22))="PTE"),"Part-Time",IF(OR(ISNUMBER(SEARCH("cas",$C22)),UPPER(TRIM($C22))="CAS"),"Casual","Unknown"))))),"EmploymentType does not match latest start date ("&amp;IF(AG22&gt;=3,AM22,IF(AG22=2,AL22,AK22))&amp;"). ","")&amp;IF(AND(AG22&gt;=1,AH22&lt;&gt;$F22),"Earliest type date should equal StartDate. ","")&amp;IF(AND(AG22&gt;=2,AH22=AI22),"Two types start on the same date. ","")&amp;IF(AND(OR(ISNUMBER(SEARCH("part",$C22)),UPPER(TRIM($C22))="PT",UPPER(TRIM($C22))="PTE"),$P22=""),"Part-time: enter PT Hrs/Week (blank = 24+). ","")))</f>
        <v/>
      </c>
      <c r="AE22" s="12" t="n">
        <f aca="false">IF(OR(LEN($A22&amp;$B22)=0,$F22=""),0,1)</f>
        <v>0</v>
      </c>
      <c r="AF22" s="10" t="str">
        <f aca="false">IF(AE22=0,"",IF($J22&lt;&gt;"",$J22,$F22))</f>
        <v/>
      </c>
      <c r="AG22" s="12" t="str">
        <f aca="false">IF(AE22=0,"",COUNT($G22:$I22))</f>
        <v/>
      </c>
      <c r="AH22" s="10" t="str">
        <f aca="false">IF(AE22=0,"",IFERROR(SMALL($G22:$I22,1),""))</f>
        <v/>
      </c>
      <c r="AI22" s="10" t="str">
        <f aca="false">IF(AE22=0,"",IFERROR(SMALL($G22:$I22,2),""))</f>
        <v/>
      </c>
      <c r="AJ22" s="10" t="str">
        <f aca="false">IF(AE22=0,"",IFERROR(SMALL($G22:$I22,3),""))</f>
        <v/>
      </c>
      <c r="AK22" s="12" t="str">
        <f aca="false">IF(AE22=0,"",IF(AH22="","",IF(AH22=$G22,"Part-Time",IF(AH22=$H22,"Full-Time","Casual"))))</f>
        <v/>
      </c>
      <c r="AL22" s="12" t="str">
        <f aca="false">IF(AE22=0,"",IF(AI22="","",IF(AI22=$G22,"Part-Time",IF(AI22=$H22,"Full-Time","Casual"))))</f>
        <v/>
      </c>
      <c r="AM22" s="12" t="str">
        <f aca="false">IF(AE22=0,"",IF(AJ22="","",IF(AJ22=$G22,"Part-Time",IF(AJ22=$H22,"Full-Time","Casual"))))</f>
        <v/>
      </c>
      <c r="AN22" s="12" t="str">
        <f aca="false">IF(AE22=0,"",IF(AG22=0,IF(OR(ISNUMBER(SEARCH("full",$C22)),UPPER(TRIM($C22))="FT",UPPER(TRIM($C22))="FTE"),"FT",IF(AND(OR(ISNUMBER(SEARCH("part",$C22)),UPPER(TRIM($C22))="PT",UPPER(TRIM($C22))="PTE"),OR($P22="",N($P22)&gt;=PT_MinHours)),"PT","None")),IF(OR(ISNUMBER(SEARCH("full",AK22)),UPPER(TRIM(AK22))="FT",UPPER(TRIM(AK22))="FTE"),"FT",IF(AND(OR(ISNUMBER(SEARCH("part",AK22)),UPPER(TRIM(AK22))="PT",UPPER(TRIM(AK22))="PTE"),OR($P22="",N($P22)&gt;=PT_MinHours)),"PT","None"))))</f>
        <v/>
      </c>
      <c r="AO22" s="12" t="str">
        <f aca="false">IF(AE22=0,"",IF(AG22&lt;2,"",IF(OR(ISNUMBER(SEARCH("full",AL22)),UPPER(TRIM(AL22))="FT",UPPER(TRIM(AL22))="FTE"),"FT",IF(AND(OR(ISNUMBER(SEARCH("part",AL22)),UPPER(TRIM(AL22))="PT",UPPER(TRIM(AL22))="PTE"),OR($P22="",N($P22)&gt;=PT_MinHours)),"PT","None"))))</f>
        <v/>
      </c>
      <c r="AP22" s="12" t="str">
        <f aca="false">IF(AE22=0,"",IF(AG22&lt;3,"",IF(OR(ISNUMBER(SEARCH("full",AM22)),UPPER(TRIM(AM22))="FT",UPPER(TRIM(AM22))="FTE"),"FT",IF(AND(OR(ISNUMBER(SEARCH("part",AM22)),UPPER(TRIM(AM22))="PT",UPPER(TRIM(AM22))="PTE"),OR($P22="",N($P22)&gt;=PT_MinHours)),"PT","None"))))</f>
        <v/>
      </c>
      <c r="AQ22" s="12" t="str">
        <f aca="false">IF(AE22=0,"",IF(AND(AG22&gt;=3,AJ22&lt;=AsOfDate),AP22,IF(AND(AG22&gt;=2,AI22&lt;=AsOfDate),AO22,AN22)))</f>
        <v/>
      </c>
      <c r="AR22" s="12" t="str">
        <f aca="false">IF(AE22=0,"",IF(AsOfDate&lt;AF22,-1,12*(YEAR(AsOfDate)-YEAR(AF22))+MONTH(AsOfDate)-MONTH(AF22)-IF(DAY(AsOfDate)&lt;MIN(DAY(AF22),DAY(EOMONTH(AsOfDate,0))),1,0)))</f>
        <v/>
      </c>
      <c r="AS22" s="12" t="str">
        <f aca="false">IF(AE22=0,"",IF(OR(AG22&lt;2,AI22&gt;AsOfDate),AR22,IF((AI22-1)&lt;AF22,-1,12*(YEAR((AI22-1))-YEAR(AF22))+MONTH((AI22-1))-MONTH(AF22)-IF(DAY((AI22-1))&lt;MIN(DAY(AF22),DAY(EOMONTH((AI22-1),0))),1,0))))</f>
        <v/>
      </c>
      <c r="AT22" s="12" t="str">
        <f aca="false">IF(AE22=0,"",IF(OR(AG22&lt;3,AJ22&gt;AsOfDate),AR22,IF((AJ22-1)&lt;AF22,-1,12*(YEAR((AJ22-1))-YEAR(AF22))+MONTH((AJ22-1))-MONTH(AF22)-IF(DAY((AJ22-1))&lt;MIN(DAY(AF22),DAY(EOMONTH((AJ22-1),0))),1,0))))</f>
        <v/>
      </c>
      <c r="AU22" s="12" t="str">
        <f aca="false">IF(AE22=0,"",IF(PFYDate&lt;AF22,-1,12*(YEAR(PFYDate)-YEAR(AF22))+MONTH(PFYDate)-MONTH(AF22)-IF(DAY(PFYDate)&lt;MIN(DAY(AF22),DAY(EOMONTH(PFYDate,0))),1,0)))</f>
        <v/>
      </c>
      <c r="AV22" s="12" t="str">
        <f aca="false">IF(AE22=0,"",IF(OR(AG22&lt;2,AI22&gt;PFYDate),AU22,IF((AI22-1)&lt;AF22,-1,12*(YEAR((AI22-1))-YEAR(AF22))+MONTH((AI22-1))-MONTH(AF22)-IF(DAY((AI22-1))&lt;MIN(DAY(AF22),DAY(EOMONTH((AI22-1),0))),1,0))))</f>
        <v/>
      </c>
      <c r="AW22" s="12" t="str">
        <f aca="false">IF(AE22=0,"",IF(OR(AG22&lt;3,AJ22&gt;PFYDate),AU22,IF((AJ22-1)&lt;AF22,-1,12*(YEAR((AJ22-1))-YEAR(AF22))+MONTH((AJ22-1))-MONTH(AF22)-IF(DAY((AJ22-1))&lt;MIN(DAY(AF22),DAY(EOMONTH((AJ22-1),0))),1,0))))</f>
        <v/>
      </c>
      <c r="AX22" s="12" t="str">
        <f aca="false">IF(AE22=0,"",IF(AN22="FT",IF(AS22&lt;FT_First,0,IF(AS22&lt;FT_Y5,1+INT((AS22-FT_First)/FT_Int1),FT_PreY5+FT_PerYear*INT((AS22-FT_Y5)/12)+FT_AnnivDays+INT(MOD(AS22-FT_Y5,12)/FT_Int2))),IF(AN22="PT",IF(AS22&lt;PT_First,0,1+INT((AS22-PT_First)/PT_Int)),0))+IF(AND(AG22&gt;=2,AI22&lt;=AsOfDate),IF(AO22="FT",IF(AT22&lt;FT_First,0,IF(AT22&lt;FT_Y5,1+INT((AT22-FT_First)/FT_Int1),FT_PreY5+FT_PerYear*INT((AT22-FT_Y5)/12)+FT_AnnivDays+INT(MOD(AT22-FT_Y5,12)/FT_Int2))),IF(AO22="PT",IF(AT22&lt;PT_First,0,1+INT((AT22-PT_First)/PT_Int)),0))-IF(AO22="FT",IF(AS22&lt;FT_First,0,IF(AS22&lt;FT_Y5,1+INT((AS22-FT_First)/FT_Int1),FT_PreY5+FT_PerYear*INT((AS22-FT_Y5)/12)+FT_AnnivDays+INT(MOD(AS22-FT_Y5,12)/FT_Int2))),IF(AO22="PT",IF(AS22&lt;PT_First,0,1+INT((AS22-PT_First)/PT_Int)),0)),0)+IF(AND(AG22&gt;=3,AJ22&lt;=AsOfDate),IF(AP22="FT",IF(AR22&lt;FT_First,0,IF(AR22&lt;FT_Y5,1+INT((AR22-FT_First)/FT_Int1),FT_PreY5+FT_PerYear*INT((AR22-FT_Y5)/12)+FT_AnnivDays+INT(MOD(AR22-FT_Y5,12)/FT_Int2))),IF(AP22="PT",IF(AR22&lt;PT_First,0,1+INT((AR22-PT_First)/PT_Int)),0))-IF(AP22="FT",IF(AT22&lt;FT_First,0,IF(AT22&lt;FT_Y5,1+INT((AT22-FT_First)/FT_Int1),FT_PreY5+FT_PerYear*INT((AT22-FT_Y5)/12)+FT_AnnivDays+INT(MOD(AT22-FT_Y5,12)/FT_Int2))),IF(AP22="PT",IF(AT22&lt;PT_First,0,1+INT((AT22-PT_First)/PT_Int)),0)),0))</f>
        <v/>
      </c>
      <c r="AY22" s="12" t="str">
        <f aca="false">IF(AE22=0,"",IF(AN22="FT",IF(AV22&lt;FT_First,0,IF(AV22&lt;FT_Y5,1+INT((AV22-FT_First)/FT_Int1),FT_PreY5+FT_PerYear*INT((AV22-FT_Y5)/12)+FT_AnnivDays+INT(MOD(AV22-FT_Y5,12)/FT_Int2))),IF(AN22="PT",IF(AV22&lt;PT_First,0,1+INT((AV22-PT_First)/PT_Int)),0))+IF(AND(AG22&gt;=2,AI22&lt;=PFYDate),IF(AO22="FT",IF(AW22&lt;FT_First,0,IF(AW22&lt;FT_Y5,1+INT((AW22-FT_First)/FT_Int1),FT_PreY5+FT_PerYear*INT((AW22-FT_Y5)/12)+FT_AnnivDays+INT(MOD(AW22-FT_Y5,12)/FT_Int2))),IF(AO22="PT",IF(AW22&lt;PT_First,0,1+INT((AW22-PT_First)/PT_Int)),0))-IF(AO22="FT",IF(AV22&lt;FT_First,0,IF(AV22&lt;FT_Y5,1+INT((AV22-FT_First)/FT_Int1),FT_PreY5+FT_PerYear*INT((AV22-FT_Y5)/12)+FT_AnnivDays+INT(MOD(AV22-FT_Y5,12)/FT_Int2))),IF(AO22="PT",IF(AV22&lt;PT_First,0,1+INT((AV22-PT_First)/PT_Int)),0)),0)+IF(AND(AG22&gt;=3,AJ22&lt;=PFYDate),IF(AP22="FT",IF(AU22&lt;FT_First,0,IF(AU22&lt;FT_Y5,1+INT((AU22-FT_First)/FT_Int1),FT_PreY5+FT_PerYear*INT((AU22-FT_Y5)/12)+FT_AnnivDays+INT(MOD(AU22-FT_Y5,12)/FT_Int2))),IF(AP22="PT",IF(AU22&lt;PT_First,0,1+INT((AU22-PT_First)/PT_Int)),0))-IF(AP22="FT",IF(AW22&lt;FT_First,0,IF(AW22&lt;FT_Y5,1+INT((AW22-FT_First)/FT_Int1),FT_PreY5+FT_PerYear*INT((AW22-FT_Y5)/12)+FT_AnnivDays+INT(MOD(AW22-FT_Y5,12)/FT_Int2))),IF(AP22="PT",IF(AW22&lt;PT_First,0,1+INT((AW22-PT_First)/PT_Int)),0)),0))</f>
        <v/>
      </c>
      <c r="AZ22" s="12" t="str">
        <f aca="false">IF(AE22=0,"",IF(AQ22="FT",IF(AR22&lt;FT_First,FT_First,IF(AR22&lt;FT_Y5,MIN(FT_Y5,FT_First+FT_Int1*(INT((AR22-FT_First)/FT_Int1)+1)),FT_Y5+12*INT((AR22-FT_Y5)/12)+FT_Int2*(INT(MOD(AR22-FT_Y5,12)/FT_Int2)+1))),IF(AQ22="PT",IF(AR22&lt;PT_First,PT_First,PT_First+PT_Int*(INT((AR22-PT_First)/PT_Int)+1)),"")))</f>
        <v/>
      </c>
      <c r="BA22" s="12" t="str">
        <f aca="false">IF(AE22=0,"",IF(NOT(LH_Ready),0,COUNTIFS(INDEX(LH_Data,0,LH_ColFirst),$A22,INDEX(LH_Data,0,LH_ColSur),$B22,INDEX(LH_Data,0,LH_ColCat),BonusCat)))</f>
        <v/>
      </c>
      <c r="BB22" s="12" t="str">
        <f aca="false">IF(AE22=0,"",IF(OR(NOT(LH_Ready),BA22=0),0,SUMPRODUCT(MAX((INDEX(LH_Data,0,LH_ColFirst)=$A22)*(INDEX(LH_Data,0,LH_ColSur)=$B22)*(INDEX(LH_Data,0,LH_ColCat)=BonusCat)*ROW(LH_Data)))))</f>
        <v/>
      </c>
    </row>
    <row r="23" customFormat="false" ht="15" hidden="false" customHeight="false" outlineLevel="0" collapsed="false">
      <c r="A23" s="15"/>
      <c r="B23" s="15"/>
      <c r="C23" s="15"/>
      <c r="D23" s="16"/>
      <c r="E23" s="10" t="str">
        <f aca="false">IF(OR(AE23=0,$D23=""),"",DATE(YEAR(AsOfDate)+IF(DATE(YEAR(AsOfDate),MONTH($D23),DAY($D23))&lt;=AsOfDate,1,0),MONTH($D23),DAY($D23)))</f>
        <v/>
      </c>
      <c r="F23" s="16"/>
      <c r="G23" s="16"/>
      <c r="H23" s="16"/>
      <c r="I23" s="16"/>
      <c r="J23" s="16"/>
      <c r="K23" s="10" t="str">
        <f aca="false">IF(AE23=0,"",DATE(YEAR(AsOfDate)+IF(DATE(YEAR(AsOfDate),MONTH($F23),DAY($F23))&lt;=AsOfDate,1,0),MONTH($F23),DAY($F23)))</f>
        <v/>
      </c>
      <c r="L23" s="11" t="str">
        <f aca="false">IF(AE23=0,"",ROUND((AsOfDate-$F23)/365.25,1))</f>
        <v/>
      </c>
      <c r="M23" s="12" t="str">
        <f aca="false">IF(AE23=0,"",IF(AsOfDate&lt;AF23,"-",DATEDIF(AF23,AsOfDate,"y")&amp;"y "&amp;DATEDIF(AF23,AsOfDate,"ym")&amp;"m "&amp;DATEDIF(AF23,AsOfDate,"md")&amp;"d"))</f>
        <v/>
      </c>
      <c r="N23" s="13" t="str">
        <f aca="false">IF(AE23=0,"",O23*HoursPerDay)</f>
        <v/>
      </c>
      <c r="O23" s="13" t="str">
        <f aca="false">IF(AE23=0,"",AX23)</f>
        <v/>
      </c>
      <c r="P23" s="17"/>
      <c r="Q23" s="12" t="str">
        <f aca="false">IF(AE23=0,"",IF(AG23&lt;2,"",AK23&amp;" to "&amp;AL23&amp;" on "&amp;TEXT(AI23,"dd/mm/yyyy")&amp;IF(AI23&gt;AsOfDate," (future)",IF(AN23=AO23,"",IF(AO23="None"," - STOPPED accruing",IF(AN23="None"," - now qualifying"," - pathway changed"))))&amp;IF(AG23&lt;3,"","; "&amp;AL23&amp;" to "&amp;AM23&amp;" on "&amp;TEXT(AJ23,"dd/mm/yyyy")&amp;IF(AJ23&gt;AsOfDate," (future)",IF(AO23=AP23,"",IF(AP23="None"," - STOPPED accruing",IF(AO23="None"," - now qualifying"," - pathway changed")))))))</f>
        <v/>
      </c>
      <c r="R23" s="12" t="str">
        <f aca="false">IF(AE23=0,"",IF(AQ23="None",IF(O23&gt;0,"No longer accruing","Not eligible - "&amp;IF(AND(OR(ISNUMBER(SEARCH("part",$C23)),UPPER(TRIM($C23))="PT",UPPER(TRIM($C23))="PTE"),$P23&lt;&gt;"",N($P23)&lt;PT_MinHours),"under "&amp;PT_MinHours&amp;" hrs",IF(IF($C23="","",IF(OR(ISNUMBER(SEARCH("full",$C23)),UPPER(TRIM($C23))="FT",UPPER(TRIM($C23))="FTE"),"Full-Time",IF(OR(ISNUMBER(SEARCH("part",$C23)),UPPER(TRIM($C23))="PT",UPPER(TRIM($C23))="PTE"),"Part-Time",IF(OR(ISNUMBER(SEARCH("cas",$C23)),UPPER(TRIM($C23))="CAS"),"Casual","Unknown"))))="Unknown","type not recognised",$C23))),IF(O23&gt;0,"Yes - accruing","Not yet - from "&amp;TEXT(S23,"dd/mm/yyyy"))))</f>
        <v/>
      </c>
      <c r="S23" s="10" t="str">
        <f aca="false">IF(AE23=0,"",IF(AQ23="None","",EDATE(AF23,AZ23)))</f>
        <v/>
      </c>
      <c r="T23" s="13" t="str">
        <f aca="false">IF(OR(AE23=0,W23=""),"",W23-U23+V23)</f>
        <v/>
      </c>
      <c r="U23" s="13" t="str">
        <f aca="false">IF(AE23=0,"",IF(NOT(LH_Ready),"",SUMIFS(INDEX(LH_Data,0,LH_ColAcc),INDEX(LH_Data,0,LH_ColFirst),$A23,INDEX(LH_Data,0,LH_ColSur),$B23,INDEX(LH_Data,0,LH_ColCat),BonusCat)*UnitFactor))</f>
        <v/>
      </c>
      <c r="V23" s="13" t="str">
        <f aca="false">IF(AE23=0,"",IF(NOT(LH_Ready),"",SUMIFS(INDEX(LH_Data,0,LH_ColTaken),INDEX(LH_Data,0,LH_ColFirst),$A23,INDEX(LH_Data,0,LH_ColSur),$B23,INDEX(LH_Data,0,LH_ColCat),BonusCat)*UnitFactor))</f>
        <v/>
      </c>
      <c r="W23" s="13" t="str">
        <f aca="false">IF(AE23=0,"",IF(NOT(LH_Ready),"",IF(BB23=0,0,INDEX(INDEX(LH_Data,0,LH_ColClose),BB23-1)*UnitFactor)))</f>
        <v/>
      </c>
      <c r="X23" s="13" t="str">
        <f aca="false">IF(AE23=0,"",(AX23-AY23)*HoursPerDay)</f>
        <v/>
      </c>
      <c r="Y23" s="13" t="str">
        <f aca="false">IF(AE23=0,"",IF(NOT(LH_Ready),"",IF(BA23=0,N23,X23-N(U23))))</f>
        <v/>
      </c>
      <c r="Z23" s="12" t="str">
        <f aca="false">IF(OR(AE23=0,Y23=""),"",IF(Y23&gt;0,"Yes","No"))</f>
        <v/>
      </c>
      <c r="AA23" s="12" t="str">
        <f aca="false">IF(AE23=0,IF(LEN($A23&amp;$B23)=0,"","FIX INPUT - StartDate missing"),IF(AD23&lt;&gt;"","FIX INPUT - "&amp;AD23,IF(NOT(LH_Ready),"Paste Leave History export (Settings must show YES)",IF(Y23&gt;0,"ACCRUE "&amp;ROUND(Y23,2)&amp;" hrs ("&amp;ROUND(Y23/HoursPerDay,2)&amp;" days)"&amp;IF(BA23=0," - no Bonus Leave in EH yet, full catch-up since start",""),IF(Y23&lt;0,"CHECK - EH accrued "&amp;ROUND(-Y23,2)&amp;""&amp;" hrs more than policy",IF(O23&gt;0,"OK - nothing to add",IF(AQ23="None",R23,"Not yet - first day on "&amp;TEXT(S23,"dd/mm/yyyy"))))))))</f>
        <v/>
      </c>
      <c r="AB23" s="13" t="str">
        <f aca="false">IF(OR(AE23=0,T23=""),"",AY23*HoursPerDay-T23)</f>
        <v/>
      </c>
      <c r="AC23" s="12" t="str">
        <f aca="false">IF(AE23=0,"",BA23)</f>
        <v/>
      </c>
      <c r="AD23" s="12" t="str">
        <f aca="false">IF(AE23=0,"",TRIM(IF(IF($C23="","",IF(OR(ISNUMBER(SEARCH("full",$C23)),UPPER(TRIM($C23))="FT",UPPER(TRIM($C23))="FTE"),"Full-Time",IF(OR(ISNUMBER(SEARCH("part",$C23)),UPPER(TRIM($C23))="PT",UPPER(TRIM($C23))="PTE"),"Part-Time",IF(OR(ISNUMBER(SEARCH("cas",$C23)),UPPER(TRIM($C23))="CAS"),"Casual","Unknown"))))="Unknown","EmploymentType not recognised - use Full-Time, Part-Time or Casual. ","")&amp;IF(AND(AG23&gt;=1,IF(AG23&gt;=3,AM23,IF(AG23=2,AL23,AK23))&lt;&gt;IF($C23="","",IF(OR(ISNUMBER(SEARCH("full",$C23)),UPPER(TRIM($C23))="FT",UPPER(TRIM($C23))="FTE"),"Full-Time",IF(OR(ISNUMBER(SEARCH("part",$C23)),UPPER(TRIM($C23))="PT",UPPER(TRIM($C23))="PTE"),"Part-Time",IF(OR(ISNUMBER(SEARCH("cas",$C23)),UPPER(TRIM($C23))="CAS"),"Casual","Unknown"))))),"EmploymentType does not match latest start date ("&amp;IF(AG23&gt;=3,AM23,IF(AG23=2,AL23,AK23))&amp;"). ","")&amp;IF(AND(AG23&gt;=1,AH23&lt;&gt;$F23),"Earliest type date should equal StartDate. ","")&amp;IF(AND(AG23&gt;=2,AH23=AI23),"Two types start on the same date. ","")&amp;IF(AND(OR(ISNUMBER(SEARCH("part",$C23)),UPPER(TRIM($C23))="PT",UPPER(TRIM($C23))="PTE"),$P23=""),"Part-time: enter PT Hrs/Week (blank = 24+). ","")))</f>
        <v/>
      </c>
      <c r="AE23" s="12" t="n">
        <f aca="false">IF(OR(LEN($A23&amp;$B23)=0,$F23=""),0,1)</f>
        <v>0</v>
      </c>
      <c r="AF23" s="10" t="str">
        <f aca="false">IF(AE23=0,"",IF($J23&lt;&gt;"",$J23,$F23))</f>
        <v/>
      </c>
      <c r="AG23" s="12" t="str">
        <f aca="false">IF(AE23=0,"",COUNT($G23:$I23))</f>
        <v/>
      </c>
      <c r="AH23" s="10" t="str">
        <f aca="false">IF(AE23=0,"",IFERROR(SMALL($G23:$I23,1),""))</f>
        <v/>
      </c>
      <c r="AI23" s="10" t="str">
        <f aca="false">IF(AE23=0,"",IFERROR(SMALL($G23:$I23,2),""))</f>
        <v/>
      </c>
      <c r="AJ23" s="10" t="str">
        <f aca="false">IF(AE23=0,"",IFERROR(SMALL($G23:$I23,3),""))</f>
        <v/>
      </c>
      <c r="AK23" s="12" t="str">
        <f aca="false">IF(AE23=0,"",IF(AH23="","",IF(AH23=$G23,"Part-Time",IF(AH23=$H23,"Full-Time","Casual"))))</f>
        <v/>
      </c>
      <c r="AL23" s="12" t="str">
        <f aca="false">IF(AE23=0,"",IF(AI23="","",IF(AI23=$G23,"Part-Time",IF(AI23=$H23,"Full-Time","Casual"))))</f>
        <v/>
      </c>
      <c r="AM23" s="12" t="str">
        <f aca="false">IF(AE23=0,"",IF(AJ23="","",IF(AJ23=$G23,"Part-Time",IF(AJ23=$H23,"Full-Time","Casual"))))</f>
        <v/>
      </c>
      <c r="AN23" s="12" t="str">
        <f aca="false">IF(AE23=0,"",IF(AG23=0,IF(OR(ISNUMBER(SEARCH("full",$C23)),UPPER(TRIM($C23))="FT",UPPER(TRIM($C23))="FTE"),"FT",IF(AND(OR(ISNUMBER(SEARCH("part",$C23)),UPPER(TRIM($C23))="PT",UPPER(TRIM($C23))="PTE"),OR($P23="",N($P23)&gt;=PT_MinHours)),"PT","None")),IF(OR(ISNUMBER(SEARCH("full",AK23)),UPPER(TRIM(AK23))="FT",UPPER(TRIM(AK23))="FTE"),"FT",IF(AND(OR(ISNUMBER(SEARCH("part",AK23)),UPPER(TRIM(AK23))="PT",UPPER(TRIM(AK23))="PTE"),OR($P23="",N($P23)&gt;=PT_MinHours)),"PT","None"))))</f>
        <v/>
      </c>
      <c r="AO23" s="12" t="str">
        <f aca="false">IF(AE23=0,"",IF(AG23&lt;2,"",IF(OR(ISNUMBER(SEARCH("full",AL23)),UPPER(TRIM(AL23))="FT",UPPER(TRIM(AL23))="FTE"),"FT",IF(AND(OR(ISNUMBER(SEARCH("part",AL23)),UPPER(TRIM(AL23))="PT",UPPER(TRIM(AL23))="PTE"),OR($P23="",N($P23)&gt;=PT_MinHours)),"PT","None"))))</f>
        <v/>
      </c>
      <c r="AP23" s="12" t="str">
        <f aca="false">IF(AE23=0,"",IF(AG23&lt;3,"",IF(OR(ISNUMBER(SEARCH("full",AM23)),UPPER(TRIM(AM23))="FT",UPPER(TRIM(AM23))="FTE"),"FT",IF(AND(OR(ISNUMBER(SEARCH("part",AM23)),UPPER(TRIM(AM23))="PT",UPPER(TRIM(AM23))="PTE"),OR($P23="",N($P23)&gt;=PT_MinHours)),"PT","None"))))</f>
        <v/>
      </c>
      <c r="AQ23" s="12" t="str">
        <f aca="false">IF(AE23=0,"",IF(AND(AG23&gt;=3,AJ23&lt;=AsOfDate),AP23,IF(AND(AG23&gt;=2,AI23&lt;=AsOfDate),AO23,AN23)))</f>
        <v/>
      </c>
      <c r="AR23" s="12" t="str">
        <f aca="false">IF(AE23=0,"",IF(AsOfDate&lt;AF23,-1,12*(YEAR(AsOfDate)-YEAR(AF23))+MONTH(AsOfDate)-MONTH(AF23)-IF(DAY(AsOfDate)&lt;MIN(DAY(AF23),DAY(EOMONTH(AsOfDate,0))),1,0)))</f>
        <v/>
      </c>
      <c r="AS23" s="12" t="str">
        <f aca="false">IF(AE23=0,"",IF(OR(AG23&lt;2,AI23&gt;AsOfDate),AR23,IF((AI23-1)&lt;AF23,-1,12*(YEAR((AI23-1))-YEAR(AF23))+MONTH((AI23-1))-MONTH(AF23)-IF(DAY((AI23-1))&lt;MIN(DAY(AF23),DAY(EOMONTH((AI23-1),0))),1,0))))</f>
        <v/>
      </c>
      <c r="AT23" s="12" t="str">
        <f aca="false">IF(AE23=0,"",IF(OR(AG23&lt;3,AJ23&gt;AsOfDate),AR23,IF((AJ23-1)&lt;AF23,-1,12*(YEAR((AJ23-1))-YEAR(AF23))+MONTH((AJ23-1))-MONTH(AF23)-IF(DAY((AJ23-1))&lt;MIN(DAY(AF23),DAY(EOMONTH((AJ23-1),0))),1,0))))</f>
        <v/>
      </c>
      <c r="AU23" s="12" t="str">
        <f aca="false">IF(AE23=0,"",IF(PFYDate&lt;AF23,-1,12*(YEAR(PFYDate)-YEAR(AF23))+MONTH(PFYDate)-MONTH(AF23)-IF(DAY(PFYDate)&lt;MIN(DAY(AF23),DAY(EOMONTH(PFYDate,0))),1,0)))</f>
        <v/>
      </c>
      <c r="AV23" s="12" t="str">
        <f aca="false">IF(AE23=0,"",IF(OR(AG23&lt;2,AI23&gt;PFYDate),AU23,IF((AI23-1)&lt;AF23,-1,12*(YEAR((AI23-1))-YEAR(AF23))+MONTH((AI23-1))-MONTH(AF23)-IF(DAY((AI23-1))&lt;MIN(DAY(AF23),DAY(EOMONTH((AI23-1),0))),1,0))))</f>
        <v/>
      </c>
      <c r="AW23" s="12" t="str">
        <f aca="false">IF(AE23=0,"",IF(OR(AG23&lt;3,AJ23&gt;PFYDate),AU23,IF((AJ23-1)&lt;AF23,-1,12*(YEAR((AJ23-1))-YEAR(AF23))+MONTH((AJ23-1))-MONTH(AF23)-IF(DAY((AJ23-1))&lt;MIN(DAY(AF23),DAY(EOMONTH((AJ23-1),0))),1,0))))</f>
        <v/>
      </c>
      <c r="AX23" s="12" t="str">
        <f aca="false">IF(AE23=0,"",IF(AN23="FT",IF(AS23&lt;FT_First,0,IF(AS23&lt;FT_Y5,1+INT((AS23-FT_First)/FT_Int1),FT_PreY5+FT_PerYear*INT((AS23-FT_Y5)/12)+FT_AnnivDays+INT(MOD(AS23-FT_Y5,12)/FT_Int2))),IF(AN23="PT",IF(AS23&lt;PT_First,0,1+INT((AS23-PT_First)/PT_Int)),0))+IF(AND(AG23&gt;=2,AI23&lt;=AsOfDate),IF(AO23="FT",IF(AT23&lt;FT_First,0,IF(AT23&lt;FT_Y5,1+INT((AT23-FT_First)/FT_Int1),FT_PreY5+FT_PerYear*INT((AT23-FT_Y5)/12)+FT_AnnivDays+INT(MOD(AT23-FT_Y5,12)/FT_Int2))),IF(AO23="PT",IF(AT23&lt;PT_First,0,1+INT((AT23-PT_First)/PT_Int)),0))-IF(AO23="FT",IF(AS23&lt;FT_First,0,IF(AS23&lt;FT_Y5,1+INT((AS23-FT_First)/FT_Int1),FT_PreY5+FT_PerYear*INT((AS23-FT_Y5)/12)+FT_AnnivDays+INT(MOD(AS23-FT_Y5,12)/FT_Int2))),IF(AO23="PT",IF(AS23&lt;PT_First,0,1+INT((AS23-PT_First)/PT_Int)),0)),0)+IF(AND(AG23&gt;=3,AJ23&lt;=AsOfDate),IF(AP23="FT",IF(AR23&lt;FT_First,0,IF(AR23&lt;FT_Y5,1+INT((AR23-FT_First)/FT_Int1),FT_PreY5+FT_PerYear*INT((AR23-FT_Y5)/12)+FT_AnnivDays+INT(MOD(AR23-FT_Y5,12)/FT_Int2))),IF(AP23="PT",IF(AR23&lt;PT_First,0,1+INT((AR23-PT_First)/PT_Int)),0))-IF(AP23="FT",IF(AT23&lt;FT_First,0,IF(AT23&lt;FT_Y5,1+INT((AT23-FT_First)/FT_Int1),FT_PreY5+FT_PerYear*INT((AT23-FT_Y5)/12)+FT_AnnivDays+INT(MOD(AT23-FT_Y5,12)/FT_Int2))),IF(AP23="PT",IF(AT23&lt;PT_First,0,1+INT((AT23-PT_First)/PT_Int)),0)),0))</f>
        <v/>
      </c>
      <c r="AY23" s="12" t="str">
        <f aca="false">IF(AE23=0,"",IF(AN23="FT",IF(AV23&lt;FT_First,0,IF(AV23&lt;FT_Y5,1+INT((AV23-FT_First)/FT_Int1),FT_PreY5+FT_PerYear*INT((AV23-FT_Y5)/12)+FT_AnnivDays+INT(MOD(AV23-FT_Y5,12)/FT_Int2))),IF(AN23="PT",IF(AV23&lt;PT_First,0,1+INT((AV23-PT_First)/PT_Int)),0))+IF(AND(AG23&gt;=2,AI23&lt;=PFYDate),IF(AO23="FT",IF(AW23&lt;FT_First,0,IF(AW23&lt;FT_Y5,1+INT((AW23-FT_First)/FT_Int1),FT_PreY5+FT_PerYear*INT((AW23-FT_Y5)/12)+FT_AnnivDays+INT(MOD(AW23-FT_Y5,12)/FT_Int2))),IF(AO23="PT",IF(AW23&lt;PT_First,0,1+INT((AW23-PT_First)/PT_Int)),0))-IF(AO23="FT",IF(AV23&lt;FT_First,0,IF(AV23&lt;FT_Y5,1+INT((AV23-FT_First)/FT_Int1),FT_PreY5+FT_PerYear*INT((AV23-FT_Y5)/12)+FT_AnnivDays+INT(MOD(AV23-FT_Y5,12)/FT_Int2))),IF(AO23="PT",IF(AV23&lt;PT_First,0,1+INT((AV23-PT_First)/PT_Int)),0)),0)+IF(AND(AG23&gt;=3,AJ23&lt;=PFYDate),IF(AP23="FT",IF(AU23&lt;FT_First,0,IF(AU23&lt;FT_Y5,1+INT((AU23-FT_First)/FT_Int1),FT_PreY5+FT_PerYear*INT((AU23-FT_Y5)/12)+FT_AnnivDays+INT(MOD(AU23-FT_Y5,12)/FT_Int2))),IF(AP23="PT",IF(AU23&lt;PT_First,0,1+INT((AU23-PT_First)/PT_Int)),0))-IF(AP23="FT",IF(AW23&lt;FT_First,0,IF(AW23&lt;FT_Y5,1+INT((AW23-FT_First)/FT_Int1),FT_PreY5+FT_PerYear*INT((AW23-FT_Y5)/12)+FT_AnnivDays+INT(MOD(AW23-FT_Y5,12)/FT_Int2))),IF(AP23="PT",IF(AW23&lt;PT_First,0,1+INT((AW23-PT_First)/PT_Int)),0)),0))</f>
        <v/>
      </c>
      <c r="AZ23" s="12" t="str">
        <f aca="false">IF(AE23=0,"",IF(AQ23="FT",IF(AR23&lt;FT_First,FT_First,IF(AR23&lt;FT_Y5,MIN(FT_Y5,FT_First+FT_Int1*(INT((AR23-FT_First)/FT_Int1)+1)),FT_Y5+12*INT((AR23-FT_Y5)/12)+FT_Int2*(INT(MOD(AR23-FT_Y5,12)/FT_Int2)+1))),IF(AQ23="PT",IF(AR23&lt;PT_First,PT_First,PT_First+PT_Int*(INT((AR23-PT_First)/PT_Int)+1)),"")))</f>
        <v/>
      </c>
      <c r="BA23" s="12" t="str">
        <f aca="false">IF(AE23=0,"",IF(NOT(LH_Ready),0,COUNTIFS(INDEX(LH_Data,0,LH_ColFirst),$A23,INDEX(LH_Data,0,LH_ColSur),$B23,INDEX(LH_Data,0,LH_ColCat),BonusCat)))</f>
        <v/>
      </c>
      <c r="BB23" s="12" t="str">
        <f aca="false">IF(AE23=0,"",IF(OR(NOT(LH_Ready),BA23=0),0,SUMPRODUCT(MAX((INDEX(LH_Data,0,LH_ColFirst)=$A23)*(INDEX(LH_Data,0,LH_ColSur)=$B23)*(INDEX(LH_Data,0,LH_ColCat)=BonusCat)*ROW(LH_Data)))))</f>
        <v/>
      </c>
    </row>
    <row r="24" customFormat="false" ht="15" hidden="false" customHeight="false" outlineLevel="0" collapsed="false">
      <c r="A24" s="15"/>
      <c r="B24" s="15"/>
      <c r="C24" s="15"/>
      <c r="D24" s="16"/>
      <c r="E24" s="10" t="str">
        <f aca="false">IF(OR(AE24=0,$D24=""),"",DATE(YEAR(AsOfDate)+IF(DATE(YEAR(AsOfDate),MONTH($D24),DAY($D24))&lt;=AsOfDate,1,0),MONTH($D24),DAY($D24)))</f>
        <v/>
      </c>
      <c r="F24" s="16"/>
      <c r="G24" s="16"/>
      <c r="H24" s="16"/>
      <c r="I24" s="16"/>
      <c r="J24" s="16"/>
      <c r="K24" s="10" t="str">
        <f aca="false">IF(AE24=0,"",DATE(YEAR(AsOfDate)+IF(DATE(YEAR(AsOfDate),MONTH($F24),DAY($F24))&lt;=AsOfDate,1,0),MONTH($F24),DAY($F24)))</f>
        <v/>
      </c>
      <c r="L24" s="11" t="str">
        <f aca="false">IF(AE24=0,"",ROUND((AsOfDate-$F24)/365.25,1))</f>
        <v/>
      </c>
      <c r="M24" s="12" t="str">
        <f aca="false">IF(AE24=0,"",IF(AsOfDate&lt;AF24,"-",DATEDIF(AF24,AsOfDate,"y")&amp;"y "&amp;DATEDIF(AF24,AsOfDate,"ym")&amp;"m "&amp;DATEDIF(AF24,AsOfDate,"md")&amp;"d"))</f>
        <v/>
      </c>
      <c r="N24" s="13" t="str">
        <f aca="false">IF(AE24=0,"",O24*HoursPerDay)</f>
        <v/>
      </c>
      <c r="O24" s="13" t="str">
        <f aca="false">IF(AE24=0,"",AX24)</f>
        <v/>
      </c>
      <c r="P24" s="17"/>
      <c r="Q24" s="12" t="str">
        <f aca="false">IF(AE24=0,"",IF(AG24&lt;2,"",AK24&amp;" to "&amp;AL24&amp;" on "&amp;TEXT(AI24,"dd/mm/yyyy")&amp;IF(AI24&gt;AsOfDate," (future)",IF(AN24=AO24,"",IF(AO24="None"," - STOPPED accruing",IF(AN24="None"," - now qualifying"," - pathway changed"))))&amp;IF(AG24&lt;3,"","; "&amp;AL24&amp;" to "&amp;AM24&amp;" on "&amp;TEXT(AJ24,"dd/mm/yyyy")&amp;IF(AJ24&gt;AsOfDate," (future)",IF(AO24=AP24,"",IF(AP24="None"," - STOPPED accruing",IF(AO24="None"," - now qualifying"," - pathway changed")))))))</f>
        <v/>
      </c>
      <c r="R24" s="12" t="str">
        <f aca="false">IF(AE24=0,"",IF(AQ24="None",IF(O24&gt;0,"No longer accruing","Not eligible - "&amp;IF(AND(OR(ISNUMBER(SEARCH("part",$C24)),UPPER(TRIM($C24))="PT",UPPER(TRIM($C24))="PTE"),$P24&lt;&gt;"",N($P24)&lt;PT_MinHours),"under "&amp;PT_MinHours&amp;" hrs",IF(IF($C24="","",IF(OR(ISNUMBER(SEARCH("full",$C24)),UPPER(TRIM($C24))="FT",UPPER(TRIM($C24))="FTE"),"Full-Time",IF(OR(ISNUMBER(SEARCH("part",$C24)),UPPER(TRIM($C24))="PT",UPPER(TRIM($C24))="PTE"),"Part-Time",IF(OR(ISNUMBER(SEARCH("cas",$C24)),UPPER(TRIM($C24))="CAS"),"Casual","Unknown"))))="Unknown","type not recognised",$C24))),IF(O24&gt;0,"Yes - accruing","Not yet - from "&amp;TEXT(S24,"dd/mm/yyyy"))))</f>
        <v/>
      </c>
      <c r="S24" s="10" t="str">
        <f aca="false">IF(AE24=0,"",IF(AQ24="None","",EDATE(AF24,AZ24)))</f>
        <v/>
      </c>
      <c r="T24" s="13" t="str">
        <f aca="false">IF(OR(AE24=0,W24=""),"",W24-U24+V24)</f>
        <v/>
      </c>
      <c r="U24" s="13" t="str">
        <f aca="false">IF(AE24=0,"",IF(NOT(LH_Ready),"",SUMIFS(INDEX(LH_Data,0,LH_ColAcc),INDEX(LH_Data,0,LH_ColFirst),$A24,INDEX(LH_Data,0,LH_ColSur),$B24,INDEX(LH_Data,0,LH_ColCat),BonusCat)*UnitFactor))</f>
        <v/>
      </c>
      <c r="V24" s="13" t="str">
        <f aca="false">IF(AE24=0,"",IF(NOT(LH_Ready),"",SUMIFS(INDEX(LH_Data,0,LH_ColTaken),INDEX(LH_Data,0,LH_ColFirst),$A24,INDEX(LH_Data,0,LH_ColSur),$B24,INDEX(LH_Data,0,LH_ColCat),BonusCat)*UnitFactor))</f>
        <v/>
      </c>
      <c r="W24" s="13" t="str">
        <f aca="false">IF(AE24=0,"",IF(NOT(LH_Ready),"",IF(BB24=0,0,INDEX(INDEX(LH_Data,0,LH_ColClose),BB24-1)*UnitFactor)))</f>
        <v/>
      </c>
      <c r="X24" s="13" t="str">
        <f aca="false">IF(AE24=0,"",(AX24-AY24)*HoursPerDay)</f>
        <v/>
      </c>
      <c r="Y24" s="13" t="str">
        <f aca="false">IF(AE24=0,"",IF(NOT(LH_Ready),"",IF(BA24=0,N24,X24-N(U24))))</f>
        <v/>
      </c>
      <c r="Z24" s="12" t="str">
        <f aca="false">IF(OR(AE24=0,Y24=""),"",IF(Y24&gt;0,"Yes","No"))</f>
        <v/>
      </c>
      <c r="AA24" s="12" t="str">
        <f aca="false">IF(AE24=0,IF(LEN($A24&amp;$B24)=0,"","FIX INPUT - StartDate missing"),IF(AD24&lt;&gt;"","FIX INPUT - "&amp;AD24,IF(NOT(LH_Ready),"Paste Leave History export (Settings must show YES)",IF(Y24&gt;0,"ACCRUE "&amp;ROUND(Y24,2)&amp;" hrs ("&amp;ROUND(Y24/HoursPerDay,2)&amp;" days)"&amp;IF(BA24=0," - no Bonus Leave in EH yet, full catch-up since start",""),IF(Y24&lt;0,"CHECK - EH accrued "&amp;ROUND(-Y24,2)&amp;""&amp;" hrs more than policy",IF(O24&gt;0,"OK - nothing to add",IF(AQ24="None",R24,"Not yet - first day on "&amp;TEXT(S24,"dd/mm/yyyy"))))))))</f>
        <v/>
      </c>
      <c r="AB24" s="13" t="str">
        <f aca="false">IF(OR(AE24=0,T24=""),"",AY24*HoursPerDay-T24)</f>
        <v/>
      </c>
      <c r="AC24" s="12" t="str">
        <f aca="false">IF(AE24=0,"",BA24)</f>
        <v/>
      </c>
      <c r="AD24" s="12" t="str">
        <f aca="false">IF(AE24=0,"",TRIM(IF(IF($C24="","",IF(OR(ISNUMBER(SEARCH("full",$C24)),UPPER(TRIM($C24))="FT",UPPER(TRIM($C24))="FTE"),"Full-Time",IF(OR(ISNUMBER(SEARCH("part",$C24)),UPPER(TRIM($C24))="PT",UPPER(TRIM($C24))="PTE"),"Part-Time",IF(OR(ISNUMBER(SEARCH("cas",$C24)),UPPER(TRIM($C24))="CAS"),"Casual","Unknown"))))="Unknown","EmploymentType not recognised - use Full-Time, Part-Time or Casual. ","")&amp;IF(AND(AG24&gt;=1,IF(AG24&gt;=3,AM24,IF(AG24=2,AL24,AK24))&lt;&gt;IF($C24="","",IF(OR(ISNUMBER(SEARCH("full",$C24)),UPPER(TRIM($C24))="FT",UPPER(TRIM($C24))="FTE"),"Full-Time",IF(OR(ISNUMBER(SEARCH("part",$C24)),UPPER(TRIM($C24))="PT",UPPER(TRIM($C24))="PTE"),"Part-Time",IF(OR(ISNUMBER(SEARCH("cas",$C24)),UPPER(TRIM($C24))="CAS"),"Casual","Unknown"))))),"EmploymentType does not match latest start date ("&amp;IF(AG24&gt;=3,AM24,IF(AG24=2,AL24,AK24))&amp;"). ","")&amp;IF(AND(AG24&gt;=1,AH24&lt;&gt;$F24),"Earliest type date should equal StartDate. ","")&amp;IF(AND(AG24&gt;=2,AH24=AI24),"Two types start on the same date. ","")&amp;IF(AND(OR(ISNUMBER(SEARCH("part",$C24)),UPPER(TRIM($C24))="PT",UPPER(TRIM($C24))="PTE"),$P24=""),"Part-time: enter PT Hrs/Week (blank = 24+). ","")))</f>
        <v/>
      </c>
      <c r="AE24" s="12" t="n">
        <f aca="false">IF(OR(LEN($A24&amp;$B24)=0,$F24=""),0,1)</f>
        <v>0</v>
      </c>
      <c r="AF24" s="10" t="str">
        <f aca="false">IF(AE24=0,"",IF($J24&lt;&gt;"",$J24,$F24))</f>
        <v/>
      </c>
      <c r="AG24" s="12" t="str">
        <f aca="false">IF(AE24=0,"",COUNT($G24:$I24))</f>
        <v/>
      </c>
      <c r="AH24" s="10" t="str">
        <f aca="false">IF(AE24=0,"",IFERROR(SMALL($G24:$I24,1),""))</f>
        <v/>
      </c>
      <c r="AI24" s="10" t="str">
        <f aca="false">IF(AE24=0,"",IFERROR(SMALL($G24:$I24,2),""))</f>
        <v/>
      </c>
      <c r="AJ24" s="10" t="str">
        <f aca="false">IF(AE24=0,"",IFERROR(SMALL($G24:$I24,3),""))</f>
        <v/>
      </c>
      <c r="AK24" s="12" t="str">
        <f aca="false">IF(AE24=0,"",IF(AH24="","",IF(AH24=$G24,"Part-Time",IF(AH24=$H24,"Full-Time","Casual"))))</f>
        <v/>
      </c>
      <c r="AL24" s="12" t="str">
        <f aca="false">IF(AE24=0,"",IF(AI24="","",IF(AI24=$G24,"Part-Time",IF(AI24=$H24,"Full-Time","Casual"))))</f>
        <v/>
      </c>
      <c r="AM24" s="12" t="str">
        <f aca="false">IF(AE24=0,"",IF(AJ24="","",IF(AJ24=$G24,"Part-Time",IF(AJ24=$H24,"Full-Time","Casual"))))</f>
        <v/>
      </c>
      <c r="AN24" s="12" t="str">
        <f aca="false">IF(AE24=0,"",IF(AG24=0,IF(OR(ISNUMBER(SEARCH("full",$C24)),UPPER(TRIM($C24))="FT",UPPER(TRIM($C24))="FTE"),"FT",IF(AND(OR(ISNUMBER(SEARCH("part",$C24)),UPPER(TRIM($C24))="PT",UPPER(TRIM($C24))="PTE"),OR($P24="",N($P24)&gt;=PT_MinHours)),"PT","None")),IF(OR(ISNUMBER(SEARCH("full",AK24)),UPPER(TRIM(AK24))="FT",UPPER(TRIM(AK24))="FTE"),"FT",IF(AND(OR(ISNUMBER(SEARCH("part",AK24)),UPPER(TRIM(AK24))="PT",UPPER(TRIM(AK24))="PTE"),OR($P24="",N($P24)&gt;=PT_MinHours)),"PT","None"))))</f>
        <v/>
      </c>
      <c r="AO24" s="12" t="str">
        <f aca="false">IF(AE24=0,"",IF(AG24&lt;2,"",IF(OR(ISNUMBER(SEARCH("full",AL24)),UPPER(TRIM(AL24))="FT",UPPER(TRIM(AL24))="FTE"),"FT",IF(AND(OR(ISNUMBER(SEARCH("part",AL24)),UPPER(TRIM(AL24))="PT",UPPER(TRIM(AL24))="PTE"),OR($P24="",N($P24)&gt;=PT_MinHours)),"PT","None"))))</f>
        <v/>
      </c>
      <c r="AP24" s="12" t="str">
        <f aca="false">IF(AE24=0,"",IF(AG24&lt;3,"",IF(OR(ISNUMBER(SEARCH("full",AM24)),UPPER(TRIM(AM24))="FT",UPPER(TRIM(AM24))="FTE"),"FT",IF(AND(OR(ISNUMBER(SEARCH("part",AM24)),UPPER(TRIM(AM24))="PT",UPPER(TRIM(AM24))="PTE"),OR($P24="",N($P24)&gt;=PT_MinHours)),"PT","None"))))</f>
        <v/>
      </c>
      <c r="AQ24" s="12" t="str">
        <f aca="false">IF(AE24=0,"",IF(AND(AG24&gt;=3,AJ24&lt;=AsOfDate),AP24,IF(AND(AG24&gt;=2,AI24&lt;=AsOfDate),AO24,AN24)))</f>
        <v/>
      </c>
      <c r="AR24" s="12" t="str">
        <f aca="false">IF(AE24=0,"",IF(AsOfDate&lt;AF24,-1,12*(YEAR(AsOfDate)-YEAR(AF24))+MONTH(AsOfDate)-MONTH(AF24)-IF(DAY(AsOfDate)&lt;MIN(DAY(AF24),DAY(EOMONTH(AsOfDate,0))),1,0)))</f>
        <v/>
      </c>
      <c r="AS24" s="12" t="str">
        <f aca="false">IF(AE24=0,"",IF(OR(AG24&lt;2,AI24&gt;AsOfDate),AR24,IF((AI24-1)&lt;AF24,-1,12*(YEAR((AI24-1))-YEAR(AF24))+MONTH((AI24-1))-MONTH(AF24)-IF(DAY((AI24-1))&lt;MIN(DAY(AF24),DAY(EOMONTH((AI24-1),0))),1,0))))</f>
        <v/>
      </c>
      <c r="AT24" s="12" t="str">
        <f aca="false">IF(AE24=0,"",IF(OR(AG24&lt;3,AJ24&gt;AsOfDate),AR24,IF((AJ24-1)&lt;AF24,-1,12*(YEAR((AJ24-1))-YEAR(AF24))+MONTH((AJ24-1))-MONTH(AF24)-IF(DAY((AJ24-1))&lt;MIN(DAY(AF24),DAY(EOMONTH((AJ24-1),0))),1,0))))</f>
        <v/>
      </c>
      <c r="AU24" s="12" t="str">
        <f aca="false">IF(AE24=0,"",IF(PFYDate&lt;AF24,-1,12*(YEAR(PFYDate)-YEAR(AF24))+MONTH(PFYDate)-MONTH(AF24)-IF(DAY(PFYDate)&lt;MIN(DAY(AF24),DAY(EOMONTH(PFYDate,0))),1,0)))</f>
        <v/>
      </c>
      <c r="AV24" s="12" t="str">
        <f aca="false">IF(AE24=0,"",IF(OR(AG24&lt;2,AI24&gt;PFYDate),AU24,IF((AI24-1)&lt;AF24,-1,12*(YEAR((AI24-1))-YEAR(AF24))+MONTH((AI24-1))-MONTH(AF24)-IF(DAY((AI24-1))&lt;MIN(DAY(AF24),DAY(EOMONTH((AI24-1),0))),1,0))))</f>
        <v/>
      </c>
      <c r="AW24" s="12" t="str">
        <f aca="false">IF(AE24=0,"",IF(OR(AG24&lt;3,AJ24&gt;PFYDate),AU24,IF((AJ24-1)&lt;AF24,-1,12*(YEAR((AJ24-1))-YEAR(AF24))+MONTH((AJ24-1))-MONTH(AF24)-IF(DAY((AJ24-1))&lt;MIN(DAY(AF24),DAY(EOMONTH((AJ24-1),0))),1,0))))</f>
        <v/>
      </c>
      <c r="AX24" s="12" t="str">
        <f aca="false">IF(AE24=0,"",IF(AN24="FT",IF(AS24&lt;FT_First,0,IF(AS24&lt;FT_Y5,1+INT((AS24-FT_First)/FT_Int1),FT_PreY5+FT_PerYear*INT((AS24-FT_Y5)/12)+FT_AnnivDays+INT(MOD(AS24-FT_Y5,12)/FT_Int2))),IF(AN24="PT",IF(AS24&lt;PT_First,0,1+INT((AS24-PT_First)/PT_Int)),0))+IF(AND(AG24&gt;=2,AI24&lt;=AsOfDate),IF(AO24="FT",IF(AT24&lt;FT_First,0,IF(AT24&lt;FT_Y5,1+INT((AT24-FT_First)/FT_Int1),FT_PreY5+FT_PerYear*INT((AT24-FT_Y5)/12)+FT_AnnivDays+INT(MOD(AT24-FT_Y5,12)/FT_Int2))),IF(AO24="PT",IF(AT24&lt;PT_First,0,1+INT((AT24-PT_First)/PT_Int)),0))-IF(AO24="FT",IF(AS24&lt;FT_First,0,IF(AS24&lt;FT_Y5,1+INT((AS24-FT_First)/FT_Int1),FT_PreY5+FT_PerYear*INT((AS24-FT_Y5)/12)+FT_AnnivDays+INT(MOD(AS24-FT_Y5,12)/FT_Int2))),IF(AO24="PT",IF(AS24&lt;PT_First,0,1+INT((AS24-PT_First)/PT_Int)),0)),0)+IF(AND(AG24&gt;=3,AJ24&lt;=AsOfDate),IF(AP24="FT",IF(AR24&lt;FT_First,0,IF(AR24&lt;FT_Y5,1+INT((AR24-FT_First)/FT_Int1),FT_PreY5+FT_PerYear*INT((AR24-FT_Y5)/12)+FT_AnnivDays+INT(MOD(AR24-FT_Y5,12)/FT_Int2))),IF(AP24="PT",IF(AR24&lt;PT_First,0,1+INT((AR24-PT_First)/PT_Int)),0))-IF(AP24="FT",IF(AT24&lt;FT_First,0,IF(AT24&lt;FT_Y5,1+INT((AT24-FT_First)/FT_Int1),FT_PreY5+FT_PerYear*INT((AT24-FT_Y5)/12)+FT_AnnivDays+INT(MOD(AT24-FT_Y5,12)/FT_Int2))),IF(AP24="PT",IF(AT24&lt;PT_First,0,1+INT((AT24-PT_First)/PT_Int)),0)),0))</f>
        <v/>
      </c>
      <c r="AY24" s="12" t="str">
        <f aca="false">IF(AE24=0,"",IF(AN24="FT",IF(AV24&lt;FT_First,0,IF(AV24&lt;FT_Y5,1+INT((AV24-FT_First)/FT_Int1),FT_PreY5+FT_PerYear*INT((AV24-FT_Y5)/12)+FT_AnnivDays+INT(MOD(AV24-FT_Y5,12)/FT_Int2))),IF(AN24="PT",IF(AV24&lt;PT_First,0,1+INT((AV24-PT_First)/PT_Int)),0))+IF(AND(AG24&gt;=2,AI24&lt;=PFYDate),IF(AO24="FT",IF(AW24&lt;FT_First,0,IF(AW24&lt;FT_Y5,1+INT((AW24-FT_First)/FT_Int1),FT_PreY5+FT_PerYear*INT((AW24-FT_Y5)/12)+FT_AnnivDays+INT(MOD(AW24-FT_Y5,12)/FT_Int2))),IF(AO24="PT",IF(AW24&lt;PT_First,0,1+INT((AW24-PT_First)/PT_Int)),0))-IF(AO24="FT",IF(AV24&lt;FT_First,0,IF(AV24&lt;FT_Y5,1+INT((AV24-FT_First)/FT_Int1),FT_PreY5+FT_PerYear*INT((AV24-FT_Y5)/12)+FT_AnnivDays+INT(MOD(AV24-FT_Y5,12)/FT_Int2))),IF(AO24="PT",IF(AV24&lt;PT_First,0,1+INT((AV24-PT_First)/PT_Int)),0)),0)+IF(AND(AG24&gt;=3,AJ24&lt;=PFYDate),IF(AP24="FT",IF(AU24&lt;FT_First,0,IF(AU24&lt;FT_Y5,1+INT((AU24-FT_First)/FT_Int1),FT_PreY5+FT_PerYear*INT((AU24-FT_Y5)/12)+FT_AnnivDays+INT(MOD(AU24-FT_Y5,12)/FT_Int2))),IF(AP24="PT",IF(AU24&lt;PT_First,0,1+INT((AU24-PT_First)/PT_Int)),0))-IF(AP24="FT",IF(AW24&lt;FT_First,0,IF(AW24&lt;FT_Y5,1+INT((AW24-FT_First)/FT_Int1),FT_PreY5+FT_PerYear*INT((AW24-FT_Y5)/12)+FT_AnnivDays+INT(MOD(AW24-FT_Y5,12)/FT_Int2))),IF(AP24="PT",IF(AW24&lt;PT_First,0,1+INT((AW24-PT_First)/PT_Int)),0)),0))</f>
        <v/>
      </c>
      <c r="AZ24" s="12" t="str">
        <f aca="false">IF(AE24=0,"",IF(AQ24="FT",IF(AR24&lt;FT_First,FT_First,IF(AR24&lt;FT_Y5,MIN(FT_Y5,FT_First+FT_Int1*(INT((AR24-FT_First)/FT_Int1)+1)),FT_Y5+12*INT((AR24-FT_Y5)/12)+FT_Int2*(INT(MOD(AR24-FT_Y5,12)/FT_Int2)+1))),IF(AQ24="PT",IF(AR24&lt;PT_First,PT_First,PT_First+PT_Int*(INT((AR24-PT_First)/PT_Int)+1)),"")))</f>
        <v/>
      </c>
      <c r="BA24" s="12" t="str">
        <f aca="false">IF(AE24=0,"",IF(NOT(LH_Ready),0,COUNTIFS(INDEX(LH_Data,0,LH_ColFirst),$A24,INDEX(LH_Data,0,LH_ColSur),$B24,INDEX(LH_Data,0,LH_ColCat),BonusCat)))</f>
        <v/>
      </c>
      <c r="BB24" s="12" t="str">
        <f aca="false">IF(AE24=0,"",IF(OR(NOT(LH_Ready),BA24=0),0,SUMPRODUCT(MAX((INDEX(LH_Data,0,LH_ColFirst)=$A24)*(INDEX(LH_Data,0,LH_ColSur)=$B24)*(INDEX(LH_Data,0,LH_ColCat)=BonusCat)*ROW(LH_Data)))))</f>
        <v/>
      </c>
    </row>
    <row r="25" customFormat="false" ht="15" hidden="false" customHeight="false" outlineLevel="0" collapsed="false">
      <c r="A25" s="15"/>
      <c r="B25" s="15"/>
      <c r="C25" s="15"/>
      <c r="D25" s="16"/>
      <c r="E25" s="10" t="str">
        <f aca="false">IF(OR(AE25=0,$D25=""),"",DATE(YEAR(AsOfDate)+IF(DATE(YEAR(AsOfDate),MONTH($D25),DAY($D25))&lt;=AsOfDate,1,0),MONTH($D25),DAY($D25)))</f>
        <v/>
      </c>
      <c r="F25" s="16"/>
      <c r="G25" s="16"/>
      <c r="H25" s="16"/>
      <c r="I25" s="16"/>
      <c r="J25" s="16"/>
      <c r="K25" s="10" t="str">
        <f aca="false">IF(AE25=0,"",DATE(YEAR(AsOfDate)+IF(DATE(YEAR(AsOfDate),MONTH($F25),DAY($F25))&lt;=AsOfDate,1,0),MONTH($F25),DAY($F25)))</f>
        <v/>
      </c>
      <c r="L25" s="11" t="str">
        <f aca="false">IF(AE25=0,"",ROUND((AsOfDate-$F25)/365.25,1))</f>
        <v/>
      </c>
      <c r="M25" s="12" t="str">
        <f aca="false">IF(AE25=0,"",IF(AsOfDate&lt;AF25,"-",DATEDIF(AF25,AsOfDate,"y")&amp;"y "&amp;DATEDIF(AF25,AsOfDate,"ym")&amp;"m "&amp;DATEDIF(AF25,AsOfDate,"md")&amp;"d"))</f>
        <v/>
      </c>
      <c r="N25" s="13" t="str">
        <f aca="false">IF(AE25=0,"",O25*HoursPerDay)</f>
        <v/>
      </c>
      <c r="O25" s="13" t="str">
        <f aca="false">IF(AE25=0,"",AX25)</f>
        <v/>
      </c>
      <c r="P25" s="17"/>
      <c r="Q25" s="12" t="str">
        <f aca="false">IF(AE25=0,"",IF(AG25&lt;2,"",AK25&amp;" to "&amp;AL25&amp;" on "&amp;TEXT(AI25,"dd/mm/yyyy")&amp;IF(AI25&gt;AsOfDate," (future)",IF(AN25=AO25,"",IF(AO25="None"," - STOPPED accruing",IF(AN25="None"," - now qualifying"," - pathway changed"))))&amp;IF(AG25&lt;3,"","; "&amp;AL25&amp;" to "&amp;AM25&amp;" on "&amp;TEXT(AJ25,"dd/mm/yyyy")&amp;IF(AJ25&gt;AsOfDate," (future)",IF(AO25=AP25,"",IF(AP25="None"," - STOPPED accruing",IF(AO25="None"," - now qualifying"," - pathway changed")))))))</f>
        <v/>
      </c>
      <c r="R25" s="12" t="str">
        <f aca="false">IF(AE25=0,"",IF(AQ25="None",IF(O25&gt;0,"No longer accruing","Not eligible - "&amp;IF(AND(OR(ISNUMBER(SEARCH("part",$C25)),UPPER(TRIM($C25))="PT",UPPER(TRIM($C25))="PTE"),$P25&lt;&gt;"",N($P25)&lt;PT_MinHours),"under "&amp;PT_MinHours&amp;" hrs",IF(IF($C25="","",IF(OR(ISNUMBER(SEARCH("full",$C25)),UPPER(TRIM($C25))="FT",UPPER(TRIM($C25))="FTE"),"Full-Time",IF(OR(ISNUMBER(SEARCH("part",$C25)),UPPER(TRIM($C25))="PT",UPPER(TRIM($C25))="PTE"),"Part-Time",IF(OR(ISNUMBER(SEARCH("cas",$C25)),UPPER(TRIM($C25))="CAS"),"Casual","Unknown"))))="Unknown","type not recognised",$C25))),IF(O25&gt;0,"Yes - accruing","Not yet - from "&amp;TEXT(S25,"dd/mm/yyyy"))))</f>
        <v/>
      </c>
      <c r="S25" s="10" t="str">
        <f aca="false">IF(AE25=0,"",IF(AQ25="None","",EDATE(AF25,AZ25)))</f>
        <v/>
      </c>
      <c r="T25" s="13" t="str">
        <f aca="false">IF(OR(AE25=0,W25=""),"",W25-U25+V25)</f>
        <v/>
      </c>
      <c r="U25" s="13" t="str">
        <f aca="false">IF(AE25=0,"",IF(NOT(LH_Ready),"",SUMIFS(INDEX(LH_Data,0,LH_ColAcc),INDEX(LH_Data,0,LH_ColFirst),$A25,INDEX(LH_Data,0,LH_ColSur),$B25,INDEX(LH_Data,0,LH_ColCat),BonusCat)*UnitFactor))</f>
        <v/>
      </c>
      <c r="V25" s="13" t="str">
        <f aca="false">IF(AE25=0,"",IF(NOT(LH_Ready),"",SUMIFS(INDEX(LH_Data,0,LH_ColTaken),INDEX(LH_Data,0,LH_ColFirst),$A25,INDEX(LH_Data,0,LH_ColSur),$B25,INDEX(LH_Data,0,LH_ColCat),BonusCat)*UnitFactor))</f>
        <v/>
      </c>
      <c r="W25" s="13" t="str">
        <f aca="false">IF(AE25=0,"",IF(NOT(LH_Ready),"",IF(BB25=0,0,INDEX(INDEX(LH_Data,0,LH_ColClose),BB25-1)*UnitFactor)))</f>
        <v/>
      </c>
      <c r="X25" s="13" t="str">
        <f aca="false">IF(AE25=0,"",(AX25-AY25)*HoursPerDay)</f>
        <v/>
      </c>
      <c r="Y25" s="13" t="str">
        <f aca="false">IF(AE25=0,"",IF(NOT(LH_Ready),"",IF(BA25=0,N25,X25-N(U25))))</f>
        <v/>
      </c>
      <c r="Z25" s="12" t="str">
        <f aca="false">IF(OR(AE25=0,Y25=""),"",IF(Y25&gt;0,"Yes","No"))</f>
        <v/>
      </c>
      <c r="AA25" s="12" t="str">
        <f aca="false">IF(AE25=0,IF(LEN($A25&amp;$B25)=0,"","FIX INPUT - StartDate missing"),IF(AD25&lt;&gt;"","FIX INPUT - "&amp;AD25,IF(NOT(LH_Ready),"Paste Leave History export (Settings must show YES)",IF(Y25&gt;0,"ACCRUE "&amp;ROUND(Y25,2)&amp;" hrs ("&amp;ROUND(Y25/HoursPerDay,2)&amp;" days)"&amp;IF(BA25=0," - no Bonus Leave in EH yet, full catch-up since start",""),IF(Y25&lt;0,"CHECK - EH accrued "&amp;ROUND(-Y25,2)&amp;""&amp;" hrs more than policy",IF(O25&gt;0,"OK - nothing to add",IF(AQ25="None",R25,"Not yet - first day on "&amp;TEXT(S25,"dd/mm/yyyy"))))))))</f>
        <v/>
      </c>
      <c r="AB25" s="13" t="str">
        <f aca="false">IF(OR(AE25=0,T25=""),"",AY25*HoursPerDay-T25)</f>
        <v/>
      </c>
      <c r="AC25" s="12" t="str">
        <f aca="false">IF(AE25=0,"",BA25)</f>
        <v/>
      </c>
      <c r="AD25" s="12" t="str">
        <f aca="false">IF(AE25=0,"",TRIM(IF(IF($C25="","",IF(OR(ISNUMBER(SEARCH("full",$C25)),UPPER(TRIM($C25))="FT",UPPER(TRIM($C25))="FTE"),"Full-Time",IF(OR(ISNUMBER(SEARCH("part",$C25)),UPPER(TRIM($C25))="PT",UPPER(TRIM($C25))="PTE"),"Part-Time",IF(OR(ISNUMBER(SEARCH("cas",$C25)),UPPER(TRIM($C25))="CAS"),"Casual","Unknown"))))="Unknown","EmploymentType not recognised - use Full-Time, Part-Time or Casual. ","")&amp;IF(AND(AG25&gt;=1,IF(AG25&gt;=3,AM25,IF(AG25=2,AL25,AK25))&lt;&gt;IF($C25="","",IF(OR(ISNUMBER(SEARCH("full",$C25)),UPPER(TRIM($C25))="FT",UPPER(TRIM($C25))="FTE"),"Full-Time",IF(OR(ISNUMBER(SEARCH("part",$C25)),UPPER(TRIM($C25))="PT",UPPER(TRIM($C25))="PTE"),"Part-Time",IF(OR(ISNUMBER(SEARCH("cas",$C25)),UPPER(TRIM($C25))="CAS"),"Casual","Unknown"))))),"EmploymentType does not match latest start date ("&amp;IF(AG25&gt;=3,AM25,IF(AG25=2,AL25,AK25))&amp;"). ","")&amp;IF(AND(AG25&gt;=1,AH25&lt;&gt;$F25),"Earliest type date should equal StartDate. ","")&amp;IF(AND(AG25&gt;=2,AH25=AI25),"Two types start on the same date. ","")&amp;IF(AND(OR(ISNUMBER(SEARCH("part",$C25)),UPPER(TRIM($C25))="PT",UPPER(TRIM($C25))="PTE"),$P25=""),"Part-time: enter PT Hrs/Week (blank = 24+). ","")))</f>
        <v/>
      </c>
      <c r="AE25" s="12" t="n">
        <f aca="false">IF(OR(LEN($A25&amp;$B25)=0,$F25=""),0,1)</f>
        <v>0</v>
      </c>
      <c r="AF25" s="10" t="str">
        <f aca="false">IF(AE25=0,"",IF($J25&lt;&gt;"",$J25,$F25))</f>
        <v/>
      </c>
      <c r="AG25" s="12" t="str">
        <f aca="false">IF(AE25=0,"",COUNT($G25:$I25))</f>
        <v/>
      </c>
      <c r="AH25" s="10" t="str">
        <f aca="false">IF(AE25=0,"",IFERROR(SMALL($G25:$I25,1),""))</f>
        <v/>
      </c>
      <c r="AI25" s="10" t="str">
        <f aca="false">IF(AE25=0,"",IFERROR(SMALL($G25:$I25,2),""))</f>
        <v/>
      </c>
      <c r="AJ25" s="10" t="str">
        <f aca="false">IF(AE25=0,"",IFERROR(SMALL($G25:$I25,3),""))</f>
        <v/>
      </c>
      <c r="AK25" s="12" t="str">
        <f aca="false">IF(AE25=0,"",IF(AH25="","",IF(AH25=$G25,"Part-Time",IF(AH25=$H25,"Full-Time","Casual"))))</f>
        <v/>
      </c>
      <c r="AL25" s="12" t="str">
        <f aca="false">IF(AE25=0,"",IF(AI25="","",IF(AI25=$G25,"Part-Time",IF(AI25=$H25,"Full-Time","Casual"))))</f>
        <v/>
      </c>
      <c r="AM25" s="12" t="str">
        <f aca="false">IF(AE25=0,"",IF(AJ25="","",IF(AJ25=$G25,"Part-Time",IF(AJ25=$H25,"Full-Time","Casual"))))</f>
        <v/>
      </c>
      <c r="AN25" s="12" t="str">
        <f aca="false">IF(AE25=0,"",IF(AG25=0,IF(OR(ISNUMBER(SEARCH("full",$C25)),UPPER(TRIM($C25))="FT",UPPER(TRIM($C25))="FTE"),"FT",IF(AND(OR(ISNUMBER(SEARCH("part",$C25)),UPPER(TRIM($C25))="PT",UPPER(TRIM($C25))="PTE"),OR($P25="",N($P25)&gt;=PT_MinHours)),"PT","None")),IF(OR(ISNUMBER(SEARCH("full",AK25)),UPPER(TRIM(AK25))="FT",UPPER(TRIM(AK25))="FTE"),"FT",IF(AND(OR(ISNUMBER(SEARCH("part",AK25)),UPPER(TRIM(AK25))="PT",UPPER(TRIM(AK25))="PTE"),OR($P25="",N($P25)&gt;=PT_MinHours)),"PT","None"))))</f>
        <v/>
      </c>
      <c r="AO25" s="12" t="str">
        <f aca="false">IF(AE25=0,"",IF(AG25&lt;2,"",IF(OR(ISNUMBER(SEARCH("full",AL25)),UPPER(TRIM(AL25))="FT",UPPER(TRIM(AL25))="FTE"),"FT",IF(AND(OR(ISNUMBER(SEARCH("part",AL25)),UPPER(TRIM(AL25))="PT",UPPER(TRIM(AL25))="PTE"),OR($P25="",N($P25)&gt;=PT_MinHours)),"PT","None"))))</f>
        <v/>
      </c>
      <c r="AP25" s="12" t="str">
        <f aca="false">IF(AE25=0,"",IF(AG25&lt;3,"",IF(OR(ISNUMBER(SEARCH("full",AM25)),UPPER(TRIM(AM25))="FT",UPPER(TRIM(AM25))="FTE"),"FT",IF(AND(OR(ISNUMBER(SEARCH("part",AM25)),UPPER(TRIM(AM25))="PT",UPPER(TRIM(AM25))="PTE"),OR($P25="",N($P25)&gt;=PT_MinHours)),"PT","None"))))</f>
        <v/>
      </c>
      <c r="AQ25" s="12" t="str">
        <f aca="false">IF(AE25=0,"",IF(AND(AG25&gt;=3,AJ25&lt;=AsOfDate),AP25,IF(AND(AG25&gt;=2,AI25&lt;=AsOfDate),AO25,AN25)))</f>
        <v/>
      </c>
      <c r="AR25" s="12" t="str">
        <f aca="false">IF(AE25=0,"",IF(AsOfDate&lt;AF25,-1,12*(YEAR(AsOfDate)-YEAR(AF25))+MONTH(AsOfDate)-MONTH(AF25)-IF(DAY(AsOfDate)&lt;MIN(DAY(AF25),DAY(EOMONTH(AsOfDate,0))),1,0)))</f>
        <v/>
      </c>
      <c r="AS25" s="12" t="str">
        <f aca="false">IF(AE25=0,"",IF(OR(AG25&lt;2,AI25&gt;AsOfDate),AR25,IF((AI25-1)&lt;AF25,-1,12*(YEAR((AI25-1))-YEAR(AF25))+MONTH((AI25-1))-MONTH(AF25)-IF(DAY((AI25-1))&lt;MIN(DAY(AF25),DAY(EOMONTH((AI25-1),0))),1,0))))</f>
        <v/>
      </c>
      <c r="AT25" s="12" t="str">
        <f aca="false">IF(AE25=0,"",IF(OR(AG25&lt;3,AJ25&gt;AsOfDate),AR25,IF((AJ25-1)&lt;AF25,-1,12*(YEAR((AJ25-1))-YEAR(AF25))+MONTH((AJ25-1))-MONTH(AF25)-IF(DAY((AJ25-1))&lt;MIN(DAY(AF25),DAY(EOMONTH((AJ25-1),0))),1,0))))</f>
        <v/>
      </c>
      <c r="AU25" s="12" t="str">
        <f aca="false">IF(AE25=0,"",IF(PFYDate&lt;AF25,-1,12*(YEAR(PFYDate)-YEAR(AF25))+MONTH(PFYDate)-MONTH(AF25)-IF(DAY(PFYDate)&lt;MIN(DAY(AF25),DAY(EOMONTH(PFYDate,0))),1,0)))</f>
        <v/>
      </c>
      <c r="AV25" s="12" t="str">
        <f aca="false">IF(AE25=0,"",IF(OR(AG25&lt;2,AI25&gt;PFYDate),AU25,IF((AI25-1)&lt;AF25,-1,12*(YEAR((AI25-1))-YEAR(AF25))+MONTH((AI25-1))-MONTH(AF25)-IF(DAY((AI25-1))&lt;MIN(DAY(AF25),DAY(EOMONTH((AI25-1),0))),1,0))))</f>
        <v/>
      </c>
      <c r="AW25" s="12" t="str">
        <f aca="false">IF(AE25=0,"",IF(OR(AG25&lt;3,AJ25&gt;PFYDate),AU25,IF((AJ25-1)&lt;AF25,-1,12*(YEAR((AJ25-1))-YEAR(AF25))+MONTH((AJ25-1))-MONTH(AF25)-IF(DAY((AJ25-1))&lt;MIN(DAY(AF25),DAY(EOMONTH((AJ25-1),0))),1,0))))</f>
        <v/>
      </c>
      <c r="AX25" s="12" t="str">
        <f aca="false">IF(AE25=0,"",IF(AN25="FT",IF(AS25&lt;FT_First,0,IF(AS25&lt;FT_Y5,1+INT((AS25-FT_First)/FT_Int1),FT_PreY5+FT_PerYear*INT((AS25-FT_Y5)/12)+FT_AnnivDays+INT(MOD(AS25-FT_Y5,12)/FT_Int2))),IF(AN25="PT",IF(AS25&lt;PT_First,0,1+INT((AS25-PT_First)/PT_Int)),0))+IF(AND(AG25&gt;=2,AI25&lt;=AsOfDate),IF(AO25="FT",IF(AT25&lt;FT_First,0,IF(AT25&lt;FT_Y5,1+INT((AT25-FT_First)/FT_Int1),FT_PreY5+FT_PerYear*INT((AT25-FT_Y5)/12)+FT_AnnivDays+INT(MOD(AT25-FT_Y5,12)/FT_Int2))),IF(AO25="PT",IF(AT25&lt;PT_First,0,1+INT((AT25-PT_First)/PT_Int)),0))-IF(AO25="FT",IF(AS25&lt;FT_First,0,IF(AS25&lt;FT_Y5,1+INT((AS25-FT_First)/FT_Int1),FT_PreY5+FT_PerYear*INT((AS25-FT_Y5)/12)+FT_AnnivDays+INT(MOD(AS25-FT_Y5,12)/FT_Int2))),IF(AO25="PT",IF(AS25&lt;PT_First,0,1+INT((AS25-PT_First)/PT_Int)),0)),0)+IF(AND(AG25&gt;=3,AJ25&lt;=AsOfDate),IF(AP25="FT",IF(AR25&lt;FT_First,0,IF(AR25&lt;FT_Y5,1+INT((AR25-FT_First)/FT_Int1),FT_PreY5+FT_PerYear*INT((AR25-FT_Y5)/12)+FT_AnnivDays+INT(MOD(AR25-FT_Y5,12)/FT_Int2))),IF(AP25="PT",IF(AR25&lt;PT_First,0,1+INT((AR25-PT_First)/PT_Int)),0))-IF(AP25="FT",IF(AT25&lt;FT_First,0,IF(AT25&lt;FT_Y5,1+INT((AT25-FT_First)/FT_Int1),FT_PreY5+FT_PerYear*INT((AT25-FT_Y5)/12)+FT_AnnivDays+INT(MOD(AT25-FT_Y5,12)/FT_Int2))),IF(AP25="PT",IF(AT25&lt;PT_First,0,1+INT((AT25-PT_First)/PT_Int)),0)),0))</f>
        <v/>
      </c>
      <c r="AY25" s="12" t="str">
        <f aca="false">IF(AE25=0,"",IF(AN25="FT",IF(AV25&lt;FT_First,0,IF(AV25&lt;FT_Y5,1+INT((AV25-FT_First)/FT_Int1),FT_PreY5+FT_PerYear*INT((AV25-FT_Y5)/12)+FT_AnnivDays+INT(MOD(AV25-FT_Y5,12)/FT_Int2))),IF(AN25="PT",IF(AV25&lt;PT_First,0,1+INT((AV25-PT_First)/PT_Int)),0))+IF(AND(AG25&gt;=2,AI25&lt;=PFYDate),IF(AO25="FT",IF(AW25&lt;FT_First,0,IF(AW25&lt;FT_Y5,1+INT((AW25-FT_First)/FT_Int1),FT_PreY5+FT_PerYear*INT((AW25-FT_Y5)/12)+FT_AnnivDays+INT(MOD(AW25-FT_Y5,12)/FT_Int2))),IF(AO25="PT",IF(AW25&lt;PT_First,0,1+INT((AW25-PT_First)/PT_Int)),0))-IF(AO25="FT",IF(AV25&lt;FT_First,0,IF(AV25&lt;FT_Y5,1+INT((AV25-FT_First)/FT_Int1),FT_PreY5+FT_PerYear*INT((AV25-FT_Y5)/12)+FT_AnnivDays+INT(MOD(AV25-FT_Y5,12)/FT_Int2))),IF(AO25="PT",IF(AV25&lt;PT_First,0,1+INT((AV25-PT_First)/PT_Int)),0)),0)+IF(AND(AG25&gt;=3,AJ25&lt;=PFYDate),IF(AP25="FT",IF(AU25&lt;FT_First,0,IF(AU25&lt;FT_Y5,1+INT((AU25-FT_First)/FT_Int1),FT_PreY5+FT_PerYear*INT((AU25-FT_Y5)/12)+FT_AnnivDays+INT(MOD(AU25-FT_Y5,12)/FT_Int2))),IF(AP25="PT",IF(AU25&lt;PT_First,0,1+INT((AU25-PT_First)/PT_Int)),0))-IF(AP25="FT",IF(AW25&lt;FT_First,0,IF(AW25&lt;FT_Y5,1+INT((AW25-FT_First)/FT_Int1),FT_PreY5+FT_PerYear*INT((AW25-FT_Y5)/12)+FT_AnnivDays+INT(MOD(AW25-FT_Y5,12)/FT_Int2))),IF(AP25="PT",IF(AW25&lt;PT_First,0,1+INT((AW25-PT_First)/PT_Int)),0)),0))</f>
        <v/>
      </c>
      <c r="AZ25" s="12" t="str">
        <f aca="false">IF(AE25=0,"",IF(AQ25="FT",IF(AR25&lt;FT_First,FT_First,IF(AR25&lt;FT_Y5,MIN(FT_Y5,FT_First+FT_Int1*(INT((AR25-FT_First)/FT_Int1)+1)),FT_Y5+12*INT((AR25-FT_Y5)/12)+FT_Int2*(INT(MOD(AR25-FT_Y5,12)/FT_Int2)+1))),IF(AQ25="PT",IF(AR25&lt;PT_First,PT_First,PT_First+PT_Int*(INT((AR25-PT_First)/PT_Int)+1)),"")))</f>
        <v/>
      </c>
      <c r="BA25" s="12" t="str">
        <f aca="false">IF(AE25=0,"",IF(NOT(LH_Ready),0,COUNTIFS(INDEX(LH_Data,0,LH_ColFirst),$A25,INDEX(LH_Data,0,LH_ColSur),$B25,INDEX(LH_Data,0,LH_ColCat),BonusCat)))</f>
        <v/>
      </c>
      <c r="BB25" s="12" t="str">
        <f aca="false">IF(AE25=0,"",IF(OR(NOT(LH_Ready),BA25=0),0,SUMPRODUCT(MAX((INDEX(LH_Data,0,LH_ColFirst)=$A25)*(INDEX(LH_Data,0,LH_ColSur)=$B25)*(INDEX(LH_Data,0,LH_ColCat)=BonusCat)*ROW(LH_Data)))))</f>
        <v/>
      </c>
    </row>
    <row r="26" customFormat="false" ht="15" hidden="false" customHeight="false" outlineLevel="0" collapsed="false">
      <c r="A26" s="15"/>
      <c r="B26" s="15"/>
      <c r="C26" s="15"/>
      <c r="D26" s="16"/>
      <c r="E26" s="10" t="str">
        <f aca="false">IF(OR(AE26=0,$D26=""),"",DATE(YEAR(AsOfDate)+IF(DATE(YEAR(AsOfDate),MONTH($D26),DAY($D26))&lt;=AsOfDate,1,0),MONTH($D26),DAY($D26)))</f>
        <v/>
      </c>
      <c r="F26" s="16"/>
      <c r="G26" s="16"/>
      <c r="H26" s="16"/>
      <c r="I26" s="16"/>
      <c r="J26" s="16"/>
      <c r="K26" s="10" t="str">
        <f aca="false">IF(AE26=0,"",DATE(YEAR(AsOfDate)+IF(DATE(YEAR(AsOfDate),MONTH($F26),DAY($F26))&lt;=AsOfDate,1,0),MONTH($F26),DAY($F26)))</f>
        <v/>
      </c>
      <c r="L26" s="11" t="str">
        <f aca="false">IF(AE26=0,"",ROUND((AsOfDate-$F26)/365.25,1))</f>
        <v/>
      </c>
      <c r="M26" s="12" t="str">
        <f aca="false">IF(AE26=0,"",IF(AsOfDate&lt;AF26,"-",DATEDIF(AF26,AsOfDate,"y")&amp;"y "&amp;DATEDIF(AF26,AsOfDate,"ym")&amp;"m "&amp;DATEDIF(AF26,AsOfDate,"md")&amp;"d"))</f>
        <v/>
      </c>
      <c r="N26" s="13" t="str">
        <f aca="false">IF(AE26=0,"",O26*HoursPerDay)</f>
        <v/>
      </c>
      <c r="O26" s="13" t="str">
        <f aca="false">IF(AE26=0,"",AX26)</f>
        <v/>
      </c>
      <c r="P26" s="17"/>
      <c r="Q26" s="12" t="str">
        <f aca="false">IF(AE26=0,"",IF(AG26&lt;2,"",AK26&amp;" to "&amp;AL26&amp;" on "&amp;TEXT(AI26,"dd/mm/yyyy")&amp;IF(AI26&gt;AsOfDate," (future)",IF(AN26=AO26,"",IF(AO26="None"," - STOPPED accruing",IF(AN26="None"," - now qualifying"," - pathway changed"))))&amp;IF(AG26&lt;3,"","; "&amp;AL26&amp;" to "&amp;AM26&amp;" on "&amp;TEXT(AJ26,"dd/mm/yyyy")&amp;IF(AJ26&gt;AsOfDate," (future)",IF(AO26=AP26,"",IF(AP26="None"," - STOPPED accruing",IF(AO26="None"," - now qualifying"," - pathway changed")))))))</f>
        <v/>
      </c>
      <c r="R26" s="12" t="str">
        <f aca="false">IF(AE26=0,"",IF(AQ26="None",IF(O26&gt;0,"No longer accruing","Not eligible - "&amp;IF(AND(OR(ISNUMBER(SEARCH("part",$C26)),UPPER(TRIM($C26))="PT",UPPER(TRIM($C26))="PTE"),$P26&lt;&gt;"",N($P26)&lt;PT_MinHours),"under "&amp;PT_MinHours&amp;" hrs",IF(IF($C26="","",IF(OR(ISNUMBER(SEARCH("full",$C26)),UPPER(TRIM($C26))="FT",UPPER(TRIM($C26))="FTE"),"Full-Time",IF(OR(ISNUMBER(SEARCH("part",$C26)),UPPER(TRIM($C26))="PT",UPPER(TRIM($C26))="PTE"),"Part-Time",IF(OR(ISNUMBER(SEARCH("cas",$C26)),UPPER(TRIM($C26))="CAS"),"Casual","Unknown"))))="Unknown","type not recognised",$C26))),IF(O26&gt;0,"Yes - accruing","Not yet - from "&amp;TEXT(S26,"dd/mm/yyyy"))))</f>
        <v/>
      </c>
      <c r="S26" s="10" t="str">
        <f aca="false">IF(AE26=0,"",IF(AQ26="None","",EDATE(AF26,AZ26)))</f>
        <v/>
      </c>
      <c r="T26" s="13" t="str">
        <f aca="false">IF(OR(AE26=0,W26=""),"",W26-U26+V26)</f>
        <v/>
      </c>
      <c r="U26" s="13" t="str">
        <f aca="false">IF(AE26=0,"",IF(NOT(LH_Ready),"",SUMIFS(INDEX(LH_Data,0,LH_ColAcc),INDEX(LH_Data,0,LH_ColFirst),$A26,INDEX(LH_Data,0,LH_ColSur),$B26,INDEX(LH_Data,0,LH_ColCat),BonusCat)*UnitFactor))</f>
        <v/>
      </c>
      <c r="V26" s="13" t="str">
        <f aca="false">IF(AE26=0,"",IF(NOT(LH_Ready),"",SUMIFS(INDEX(LH_Data,0,LH_ColTaken),INDEX(LH_Data,0,LH_ColFirst),$A26,INDEX(LH_Data,0,LH_ColSur),$B26,INDEX(LH_Data,0,LH_ColCat),BonusCat)*UnitFactor))</f>
        <v/>
      </c>
      <c r="W26" s="13" t="str">
        <f aca="false">IF(AE26=0,"",IF(NOT(LH_Ready),"",IF(BB26=0,0,INDEX(INDEX(LH_Data,0,LH_ColClose),BB26-1)*UnitFactor)))</f>
        <v/>
      </c>
      <c r="X26" s="13" t="str">
        <f aca="false">IF(AE26=0,"",(AX26-AY26)*HoursPerDay)</f>
        <v/>
      </c>
      <c r="Y26" s="13" t="str">
        <f aca="false">IF(AE26=0,"",IF(NOT(LH_Ready),"",IF(BA26=0,N26,X26-N(U26))))</f>
        <v/>
      </c>
      <c r="Z26" s="12" t="str">
        <f aca="false">IF(OR(AE26=0,Y26=""),"",IF(Y26&gt;0,"Yes","No"))</f>
        <v/>
      </c>
      <c r="AA26" s="12" t="str">
        <f aca="false">IF(AE26=0,IF(LEN($A26&amp;$B26)=0,"","FIX INPUT - StartDate missing"),IF(AD26&lt;&gt;"","FIX INPUT - "&amp;AD26,IF(NOT(LH_Ready),"Paste Leave History export (Settings must show YES)",IF(Y26&gt;0,"ACCRUE "&amp;ROUND(Y26,2)&amp;" hrs ("&amp;ROUND(Y26/HoursPerDay,2)&amp;" days)"&amp;IF(BA26=0," - no Bonus Leave in EH yet, full catch-up since start",""),IF(Y26&lt;0,"CHECK - EH accrued "&amp;ROUND(-Y26,2)&amp;""&amp;" hrs more than policy",IF(O26&gt;0,"OK - nothing to add",IF(AQ26="None",R26,"Not yet - first day on "&amp;TEXT(S26,"dd/mm/yyyy"))))))))</f>
        <v/>
      </c>
      <c r="AB26" s="13" t="str">
        <f aca="false">IF(OR(AE26=0,T26=""),"",AY26*HoursPerDay-T26)</f>
        <v/>
      </c>
      <c r="AC26" s="12" t="str">
        <f aca="false">IF(AE26=0,"",BA26)</f>
        <v/>
      </c>
      <c r="AD26" s="12" t="str">
        <f aca="false">IF(AE26=0,"",TRIM(IF(IF($C26="","",IF(OR(ISNUMBER(SEARCH("full",$C26)),UPPER(TRIM($C26))="FT",UPPER(TRIM($C26))="FTE"),"Full-Time",IF(OR(ISNUMBER(SEARCH("part",$C26)),UPPER(TRIM($C26))="PT",UPPER(TRIM($C26))="PTE"),"Part-Time",IF(OR(ISNUMBER(SEARCH("cas",$C26)),UPPER(TRIM($C26))="CAS"),"Casual","Unknown"))))="Unknown","EmploymentType not recognised - use Full-Time, Part-Time or Casual. ","")&amp;IF(AND(AG26&gt;=1,IF(AG26&gt;=3,AM26,IF(AG26=2,AL26,AK26))&lt;&gt;IF($C26="","",IF(OR(ISNUMBER(SEARCH("full",$C26)),UPPER(TRIM($C26))="FT",UPPER(TRIM($C26))="FTE"),"Full-Time",IF(OR(ISNUMBER(SEARCH("part",$C26)),UPPER(TRIM($C26))="PT",UPPER(TRIM($C26))="PTE"),"Part-Time",IF(OR(ISNUMBER(SEARCH("cas",$C26)),UPPER(TRIM($C26))="CAS"),"Casual","Unknown"))))),"EmploymentType does not match latest start date ("&amp;IF(AG26&gt;=3,AM26,IF(AG26=2,AL26,AK26))&amp;"). ","")&amp;IF(AND(AG26&gt;=1,AH26&lt;&gt;$F26),"Earliest type date should equal StartDate. ","")&amp;IF(AND(AG26&gt;=2,AH26=AI26),"Two types start on the same date. ","")&amp;IF(AND(OR(ISNUMBER(SEARCH("part",$C26)),UPPER(TRIM($C26))="PT",UPPER(TRIM($C26))="PTE"),$P26=""),"Part-time: enter PT Hrs/Week (blank = 24+). ","")))</f>
        <v/>
      </c>
      <c r="AE26" s="12" t="n">
        <f aca="false">IF(OR(LEN($A26&amp;$B26)=0,$F26=""),0,1)</f>
        <v>0</v>
      </c>
      <c r="AF26" s="10" t="str">
        <f aca="false">IF(AE26=0,"",IF($J26&lt;&gt;"",$J26,$F26))</f>
        <v/>
      </c>
      <c r="AG26" s="12" t="str">
        <f aca="false">IF(AE26=0,"",COUNT($G26:$I26))</f>
        <v/>
      </c>
      <c r="AH26" s="10" t="str">
        <f aca="false">IF(AE26=0,"",IFERROR(SMALL($G26:$I26,1),""))</f>
        <v/>
      </c>
      <c r="AI26" s="10" t="str">
        <f aca="false">IF(AE26=0,"",IFERROR(SMALL($G26:$I26,2),""))</f>
        <v/>
      </c>
      <c r="AJ26" s="10" t="str">
        <f aca="false">IF(AE26=0,"",IFERROR(SMALL($G26:$I26,3),""))</f>
        <v/>
      </c>
      <c r="AK26" s="12" t="str">
        <f aca="false">IF(AE26=0,"",IF(AH26="","",IF(AH26=$G26,"Part-Time",IF(AH26=$H26,"Full-Time","Casual"))))</f>
        <v/>
      </c>
      <c r="AL26" s="12" t="str">
        <f aca="false">IF(AE26=0,"",IF(AI26="","",IF(AI26=$G26,"Part-Time",IF(AI26=$H26,"Full-Time","Casual"))))</f>
        <v/>
      </c>
      <c r="AM26" s="12" t="str">
        <f aca="false">IF(AE26=0,"",IF(AJ26="","",IF(AJ26=$G26,"Part-Time",IF(AJ26=$H26,"Full-Time","Casual"))))</f>
        <v/>
      </c>
      <c r="AN26" s="12" t="str">
        <f aca="false">IF(AE26=0,"",IF(AG26=0,IF(OR(ISNUMBER(SEARCH("full",$C26)),UPPER(TRIM($C26))="FT",UPPER(TRIM($C26))="FTE"),"FT",IF(AND(OR(ISNUMBER(SEARCH("part",$C26)),UPPER(TRIM($C26))="PT",UPPER(TRIM($C26))="PTE"),OR($P26="",N($P26)&gt;=PT_MinHours)),"PT","None")),IF(OR(ISNUMBER(SEARCH("full",AK26)),UPPER(TRIM(AK26))="FT",UPPER(TRIM(AK26))="FTE"),"FT",IF(AND(OR(ISNUMBER(SEARCH("part",AK26)),UPPER(TRIM(AK26))="PT",UPPER(TRIM(AK26))="PTE"),OR($P26="",N($P26)&gt;=PT_MinHours)),"PT","None"))))</f>
        <v/>
      </c>
      <c r="AO26" s="12" t="str">
        <f aca="false">IF(AE26=0,"",IF(AG26&lt;2,"",IF(OR(ISNUMBER(SEARCH("full",AL26)),UPPER(TRIM(AL26))="FT",UPPER(TRIM(AL26))="FTE"),"FT",IF(AND(OR(ISNUMBER(SEARCH("part",AL26)),UPPER(TRIM(AL26))="PT",UPPER(TRIM(AL26))="PTE"),OR($P26="",N($P26)&gt;=PT_MinHours)),"PT","None"))))</f>
        <v/>
      </c>
      <c r="AP26" s="12" t="str">
        <f aca="false">IF(AE26=0,"",IF(AG26&lt;3,"",IF(OR(ISNUMBER(SEARCH("full",AM26)),UPPER(TRIM(AM26))="FT",UPPER(TRIM(AM26))="FTE"),"FT",IF(AND(OR(ISNUMBER(SEARCH("part",AM26)),UPPER(TRIM(AM26))="PT",UPPER(TRIM(AM26))="PTE"),OR($P26="",N($P26)&gt;=PT_MinHours)),"PT","None"))))</f>
        <v/>
      </c>
      <c r="AQ26" s="12" t="str">
        <f aca="false">IF(AE26=0,"",IF(AND(AG26&gt;=3,AJ26&lt;=AsOfDate),AP26,IF(AND(AG26&gt;=2,AI26&lt;=AsOfDate),AO26,AN26)))</f>
        <v/>
      </c>
      <c r="AR26" s="12" t="str">
        <f aca="false">IF(AE26=0,"",IF(AsOfDate&lt;AF26,-1,12*(YEAR(AsOfDate)-YEAR(AF26))+MONTH(AsOfDate)-MONTH(AF26)-IF(DAY(AsOfDate)&lt;MIN(DAY(AF26),DAY(EOMONTH(AsOfDate,0))),1,0)))</f>
        <v/>
      </c>
      <c r="AS26" s="12" t="str">
        <f aca="false">IF(AE26=0,"",IF(OR(AG26&lt;2,AI26&gt;AsOfDate),AR26,IF((AI26-1)&lt;AF26,-1,12*(YEAR((AI26-1))-YEAR(AF26))+MONTH((AI26-1))-MONTH(AF26)-IF(DAY((AI26-1))&lt;MIN(DAY(AF26),DAY(EOMONTH((AI26-1),0))),1,0))))</f>
        <v/>
      </c>
      <c r="AT26" s="12" t="str">
        <f aca="false">IF(AE26=0,"",IF(OR(AG26&lt;3,AJ26&gt;AsOfDate),AR26,IF((AJ26-1)&lt;AF26,-1,12*(YEAR((AJ26-1))-YEAR(AF26))+MONTH((AJ26-1))-MONTH(AF26)-IF(DAY((AJ26-1))&lt;MIN(DAY(AF26),DAY(EOMONTH((AJ26-1),0))),1,0))))</f>
        <v/>
      </c>
      <c r="AU26" s="12" t="str">
        <f aca="false">IF(AE26=0,"",IF(PFYDate&lt;AF26,-1,12*(YEAR(PFYDate)-YEAR(AF26))+MONTH(PFYDate)-MONTH(AF26)-IF(DAY(PFYDate)&lt;MIN(DAY(AF26),DAY(EOMONTH(PFYDate,0))),1,0)))</f>
        <v/>
      </c>
      <c r="AV26" s="12" t="str">
        <f aca="false">IF(AE26=0,"",IF(OR(AG26&lt;2,AI26&gt;PFYDate),AU26,IF((AI26-1)&lt;AF26,-1,12*(YEAR((AI26-1))-YEAR(AF26))+MONTH((AI26-1))-MONTH(AF26)-IF(DAY((AI26-1))&lt;MIN(DAY(AF26),DAY(EOMONTH((AI26-1),0))),1,0))))</f>
        <v/>
      </c>
      <c r="AW26" s="12" t="str">
        <f aca="false">IF(AE26=0,"",IF(OR(AG26&lt;3,AJ26&gt;PFYDate),AU26,IF((AJ26-1)&lt;AF26,-1,12*(YEAR((AJ26-1))-YEAR(AF26))+MONTH((AJ26-1))-MONTH(AF26)-IF(DAY((AJ26-1))&lt;MIN(DAY(AF26),DAY(EOMONTH((AJ26-1),0))),1,0))))</f>
        <v/>
      </c>
      <c r="AX26" s="12" t="str">
        <f aca="false">IF(AE26=0,"",IF(AN26="FT",IF(AS26&lt;FT_First,0,IF(AS26&lt;FT_Y5,1+INT((AS26-FT_First)/FT_Int1),FT_PreY5+FT_PerYear*INT((AS26-FT_Y5)/12)+FT_AnnivDays+INT(MOD(AS26-FT_Y5,12)/FT_Int2))),IF(AN26="PT",IF(AS26&lt;PT_First,0,1+INT((AS26-PT_First)/PT_Int)),0))+IF(AND(AG26&gt;=2,AI26&lt;=AsOfDate),IF(AO26="FT",IF(AT26&lt;FT_First,0,IF(AT26&lt;FT_Y5,1+INT((AT26-FT_First)/FT_Int1),FT_PreY5+FT_PerYear*INT((AT26-FT_Y5)/12)+FT_AnnivDays+INT(MOD(AT26-FT_Y5,12)/FT_Int2))),IF(AO26="PT",IF(AT26&lt;PT_First,0,1+INT((AT26-PT_First)/PT_Int)),0))-IF(AO26="FT",IF(AS26&lt;FT_First,0,IF(AS26&lt;FT_Y5,1+INT((AS26-FT_First)/FT_Int1),FT_PreY5+FT_PerYear*INT((AS26-FT_Y5)/12)+FT_AnnivDays+INT(MOD(AS26-FT_Y5,12)/FT_Int2))),IF(AO26="PT",IF(AS26&lt;PT_First,0,1+INT((AS26-PT_First)/PT_Int)),0)),0)+IF(AND(AG26&gt;=3,AJ26&lt;=AsOfDate),IF(AP26="FT",IF(AR26&lt;FT_First,0,IF(AR26&lt;FT_Y5,1+INT((AR26-FT_First)/FT_Int1),FT_PreY5+FT_PerYear*INT((AR26-FT_Y5)/12)+FT_AnnivDays+INT(MOD(AR26-FT_Y5,12)/FT_Int2))),IF(AP26="PT",IF(AR26&lt;PT_First,0,1+INT((AR26-PT_First)/PT_Int)),0))-IF(AP26="FT",IF(AT26&lt;FT_First,0,IF(AT26&lt;FT_Y5,1+INT((AT26-FT_First)/FT_Int1),FT_PreY5+FT_PerYear*INT((AT26-FT_Y5)/12)+FT_AnnivDays+INT(MOD(AT26-FT_Y5,12)/FT_Int2))),IF(AP26="PT",IF(AT26&lt;PT_First,0,1+INT((AT26-PT_First)/PT_Int)),0)),0))</f>
        <v/>
      </c>
      <c r="AY26" s="12" t="str">
        <f aca="false">IF(AE26=0,"",IF(AN26="FT",IF(AV26&lt;FT_First,0,IF(AV26&lt;FT_Y5,1+INT((AV26-FT_First)/FT_Int1),FT_PreY5+FT_PerYear*INT((AV26-FT_Y5)/12)+FT_AnnivDays+INT(MOD(AV26-FT_Y5,12)/FT_Int2))),IF(AN26="PT",IF(AV26&lt;PT_First,0,1+INT((AV26-PT_First)/PT_Int)),0))+IF(AND(AG26&gt;=2,AI26&lt;=PFYDate),IF(AO26="FT",IF(AW26&lt;FT_First,0,IF(AW26&lt;FT_Y5,1+INT((AW26-FT_First)/FT_Int1),FT_PreY5+FT_PerYear*INT((AW26-FT_Y5)/12)+FT_AnnivDays+INT(MOD(AW26-FT_Y5,12)/FT_Int2))),IF(AO26="PT",IF(AW26&lt;PT_First,0,1+INT((AW26-PT_First)/PT_Int)),0))-IF(AO26="FT",IF(AV26&lt;FT_First,0,IF(AV26&lt;FT_Y5,1+INT((AV26-FT_First)/FT_Int1),FT_PreY5+FT_PerYear*INT((AV26-FT_Y5)/12)+FT_AnnivDays+INT(MOD(AV26-FT_Y5,12)/FT_Int2))),IF(AO26="PT",IF(AV26&lt;PT_First,0,1+INT((AV26-PT_First)/PT_Int)),0)),0)+IF(AND(AG26&gt;=3,AJ26&lt;=PFYDate),IF(AP26="FT",IF(AU26&lt;FT_First,0,IF(AU26&lt;FT_Y5,1+INT((AU26-FT_First)/FT_Int1),FT_PreY5+FT_PerYear*INT((AU26-FT_Y5)/12)+FT_AnnivDays+INT(MOD(AU26-FT_Y5,12)/FT_Int2))),IF(AP26="PT",IF(AU26&lt;PT_First,0,1+INT((AU26-PT_First)/PT_Int)),0))-IF(AP26="FT",IF(AW26&lt;FT_First,0,IF(AW26&lt;FT_Y5,1+INT((AW26-FT_First)/FT_Int1),FT_PreY5+FT_PerYear*INT((AW26-FT_Y5)/12)+FT_AnnivDays+INT(MOD(AW26-FT_Y5,12)/FT_Int2))),IF(AP26="PT",IF(AW26&lt;PT_First,0,1+INT((AW26-PT_First)/PT_Int)),0)),0))</f>
        <v/>
      </c>
      <c r="AZ26" s="12" t="str">
        <f aca="false">IF(AE26=0,"",IF(AQ26="FT",IF(AR26&lt;FT_First,FT_First,IF(AR26&lt;FT_Y5,MIN(FT_Y5,FT_First+FT_Int1*(INT((AR26-FT_First)/FT_Int1)+1)),FT_Y5+12*INT((AR26-FT_Y5)/12)+FT_Int2*(INT(MOD(AR26-FT_Y5,12)/FT_Int2)+1))),IF(AQ26="PT",IF(AR26&lt;PT_First,PT_First,PT_First+PT_Int*(INT((AR26-PT_First)/PT_Int)+1)),"")))</f>
        <v/>
      </c>
      <c r="BA26" s="12" t="str">
        <f aca="false">IF(AE26=0,"",IF(NOT(LH_Ready),0,COUNTIFS(INDEX(LH_Data,0,LH_ColFirst),$A26,INDEX(LH_Data,0,LH_ColSur),$B26,INDEX(LH_Data,0,LH_ColCat),BonusCat)))</f>
        <v/>
      </c>
      <c r="BB26" s="12" t="str">
        <f aca="false">IF(AE26=0,"",IF(OR(NOT(LH_Ready),BA26=0),0,SUMPRODUCT(MAX((INDEX(LH_Data,0,LH_ColFirst)=$A26)*(INDEX(LH_Data,0,LH_ColSur)=$B26)*(INDEX(LH_Data,0,LH_ColCat)=BonusCat)*ROW(LH_Data)))))</f>
        <v/>
      </c>
    </row>
    <row r="27" customFormat="false" ht="15" hidden="false" customHeight="false" outlineLevel="0" collapsed="false">
      <c r="A27" s="15"/>
      <c r="B27" s="15"/>
      <c r="C27" s="15"/>
      <c r="D27" s="16"/>
      <c r="E27" s="10" t="str">
        <f aca="false">IF(OR(AE27=0,$D27=""),"",DATE(YEAR(AsOfDate)+IF(DATE(YEAR(AsOfDate),MONTH($D27),DAY($D27))&lt;=AsOfDate,1,0),MONTH($D27),DAY($D27)))</f>
        <v/>
      </c>
      <c r="F27" s="16"/>
      <c r="G27" s="16"/>
      <c r="H27" s="16"/>
      <c r="I27" s="16"/>
      <c r="J27" s="16"/>
      <c r="K27" s="10" t="str">
        <f aca="false">IF(AE27=0,"",DATE(YEAR(AsOfDate)+IF(DATE(YEAR(AsOfDate),MONTH($F27),DAY($F27))&lt;=AsOfDate,1,0),MONTH($F27),DAY($F27)))</f>
        <v/>
      </c>
      <c r="L27" s="11" t="str">
        <f aca="false">IF(AE27=0,"",ROUND((AsOfDate-$F27)/365.25,1))</f>
        <v/>
      </c>
      <c r="M27" s="12" t="str">
        <f aca="false">IF(AE27=0,"",IF(AsOfDate&lt;AF27,"-",DATEDIF(AF27,AsOfDate,"y")&amp;"y "&amp;DATEDIF(AF27,AsOfDate,"ym")&amp;"m "&amp;DATEDIF(AF27,AsOfDate,"md")&amp;"d"))</f>
        <v/>
      </c>
      <c r="N27" s="13" t="str">
        <f aca="false">IF(AE27=0,"",O27*HoursPerDay)</f>
        <v/>
      </c>
      <c r="O27" s="13" t="str">
        <f aca="false">IF(AE27=0,"",AX27)</f>
        <v/>
      </c>
      <c r="P27" s="17"/>
      <c r="Q27" s="12" t="str">
        <f aca="false">IF(AE27=0,"",IF(AG27&lt;2,"",AK27&amp;" to "&amp;AL27&amp;" on "&amp;TEXT(AI27,"dd/mm/yyyy")&amp;IF(AI27&gt;AsOfDate," (future)",IF(AN27=AO27,"",IF(AO27="None"," - STOPPED accruing",IF(AN27="None"," - now qualifying"," - pathway changed"))))&amp;IF(AG27&lt;3,"","; "&amp;AL27&amp;" to "&amp;AM27&amp;" on "&amp;TEXT(AJ27,"dd/mm/yyyy")&amp;IF(AJ27&gt;AsOfDate," (future)",IF(AO27=AP27,"",IF(AP27="None"," - STOPPED accruing",IF(AO27="None"," - now qualifying"," - pathway changed")))))))</f>
        <v/>
      </c>
      <c r="R27" s="12" t="str">
        <f aca="false">IF(AE27=0,"",IF(AQ27="None",IF(O27&gt;0,"No longer accruing","Not eligible - "&amp;IF(AND(OR(ISNUMBER(SEARCH("part",$C27)),UPPER(TRIM($C27))="PT",UPPER(TRIM($C27))="PTE"),$P27&lt;&gt;"",N($P27)&lt;PT_MinHours),"under "&amp;PT_MinHours&amp;" hrs",IF(IF($C27="","",IF(OR(ISNUMBER(SEARCH("full",$C27)),UPPER(TRIM($C27))="FT",UPPER(TRIM($C27))="FTE"),"Full-Time",IF(OR(ISNUMBER(SEARCH("part",$C27)),UPPER(TRIM($C27))="PT",UPPER(TRIM($C27))="PTE"),"Part-Time",IF(OR(ISNUMBER(SEARCH("cas",$C27)),UPPER(TRIM($C27))="CAS"),"Casual","Unknown"))))="Unknown","type not recognised",$C27))),IF(O27&gt;0,"Yes - accruing","Not yet - from "&amp;TEXT(S27,"dd/mm/yyyy"))))</f>
        <v/>
      </c>
      <c r="S27" s="10" t="str">
        <f aca="false">IF(AE27=0,"",IF(AQ27="None","",EDATE(AF27,AZ27)))</f>
        <v/>
      </c>
      <c r="T27" s="13" t="str">
        <f aca="false">IF(OR(AE27=0,W27=""),"",W27-U27+V27)</f>
        <v/>
      </c>
      <c r="U27" s="13" t="str">
        <f aca="false">IF(AE27=0,"",IF(NOT(LH_Ready),"",SUMIFS(INDEX(LH_Data,0,LH_ColAcc),INDEX(LH_Data,0,LH_ColFirst),$A27,INDEX(LH_Data,0,LH_ColSur),$B27,INDEX(LH_Data,0,LH_ColCat),BonusCat)*UnitFactor))</f>
        <v/>
      </c>
      <c r="V27" s="13" t="str">
        <f aca="false">IF(AE27=0,"",IF(NOT(LH_Ready),"",SUMIFS(INDEX(LH_Data,0,LH_ColTaken),INDEX(LH_Data,0,LH_ColFirst),$A27,INDEX(LH_Data,0,LH_ColSur),$B27,INDEX(LH_Data,0,LH_ColCat),BonusCat)*UnitFactor))</f>
        <v/>
      </c>
      <c r="W27" s="13" t="str">
        <f aca="false">IF(AE27=0,"",IF(NOT(LH_Ready),"",IF(BB27=0,0,INDEX(INDEX(LH_Data,0,LH_ColClose),BB27-1)*UnitFactor)))</f>
        <v/>
      </c>
      <c r="X27" s="13" t="str">
        <f aca="false">IF(AE27=0,"",(AX27-AY27)*HoursPerDay)</f>
        <v/>
      </c>
      <c r="Y27" s="13" t="str">
        <f aca="false">IF(AE27=0,"",IF(NOT(LH_Ready),"",IF(BA27=0,N27,X27-N(U27))))</f>
        <v/>
      </c>
      <c r="Z27" s="12" t="str">
        <f aca="false">IF(OR(AE27=0,Y27=""),"",IF(Y27&gt;0,"Yes","No"))</f>
        <v/>
      </c>
      <c r="AA27" s="12" t="str">
        <f aca="false">IF(AE27=0,IF(LEN($A27&amp;$B27)=0,"","FIX INPUT - StartDate missing"),IF(AD27&lt;&gt;"","FIX INPUT - "&amp;AD27,IF(NOT(LH_Ready),"Paste Leave History export (Settings must show YES)",IF(Y27&gt;0,"ACCRUE "&amp;ROUND(Y27,2)&amp;" hrs ("&amp;ROUND(Y27/HoursPerDay,2)&amp;" days)"&amp;IF(BA27=0," - no Bonus Leave in EH yet, full catch-up since start",""),IF(Y27&lt;0,"CHECK - EH accrued "&amp;ROUND(-Y27,2)&amp;""&amp;" hrs more than policy",IF(O27&gt;0,"OK - nothing to add",IF(AQ27="None",R27,"Not yet - first day on "&amp;TEXT(S27,"dd/mm/yyyy"))))))))</f>
        <v/>
      </c>
      <c r="AB27" s="13" t="str">
        <f aca="false">IF(OR(AE27=0,T27=""),"",AY27*HoursPerDay-T27)</f>
        <v/>
      </c>
      <c r="AC27" s="12" t="str">
        <f aca="false">IF(AE27=0,"",BA27)</f>
        <v/>
      </c>
      <c r="AD27" s="12" t="str">
        <f aca="false">IF(AE27=0,"",TRIM(IF(IF($C27="","",IF(OR(ISNUMBER(SEARCH("full",$C27)),UPPER(TRIM($C27))="FT",UPPER(TRIM($C27))="FTE"),"Full-Time",IF(OR(ISNUMBER(SEARCH("part",$C27)),UPPER(TRIM($C27))="PT",UPPER(TRIM($C27))="PTE"),"Part-Time",IF(OR(ISNUMBER(SEARCH("cas",$C27)),UPPER(TRIM($C27))="CAS"),"Casual","Unknown"))))="Unknown","EmploymentType not recognised - use Full-Time, Part-Time or Casual. ","")&amp;IF(AND(AG27&gt;=1,IF(AG27&gt;=3,AM27,IF(AG27=2,AL27,AK27))&lt;&gt;IF($C27="","",IF(OR(ISNUMBER(SEARCH("full",$C27)),UPPER(TRIM($C27))="FT",UPPER(TRIM($C27))="FTE"),"Full-Time",IF(OR(ISNUMBER(SEARCH("part",$C27)),UPPER(TRIM($C27))="PT",UPPER(TRIM($C27))="PTE"),"Part-Time",IF(OR(ISNUMBER(SEARCH("cas",$C27)),UPPER(TRIM($C27))="CAS"),"Casual","Unknown"))))),"EmploymentType does not match latest start date ("&amp;IF(AG27&gt;=3,AM27,IF(AG27=2,AL27,AK27))&amp;"). ","")&amp;IF(AND(AG27&gt;=1,AH27&lt;&gt;$F27),"Earliest type date should equal StartDate. ","")&amp;IF(AND(AG27&gt;=2,AH27=AI27),"Two types start on the same date. ","")&amp;IF(AND(OR(ISNUMBER(SEARCH("part",$C27)),UPPER(TRIM($C27))="PT",UPPER(TRIM($C27))="PTE"),$P27=""),"Part-time: enter PT Hrs/Week (blank = 24+). ","")))</f>
        <v/>
      </c>
      <c r="AE27" s="12" t="n">
        <f aca="false">IF(OR(LEN($A27&amp;$B27)=0,$F27=""),0,1)</f>
        <v>0</v>
      </c>
      <c r="AF27" s="10" t="str">
        <f aca="false">IF(AE27=0,"",IF($J27&lt;&gt;"",$J27,$F27))</f>
        <v/>
      </c>
      <c r="AG27" s="12" t="str">
        <f aca="false">IF(AE27=0,"",COUNT($G27:$I27))</f>
        <v/>
      </c>
      <c r="AH27" s="10" t="str">
        <f aca="false">IF(AE27=0,"",IFERROR(SMALL($G27:$I27,1),""))</f>
        <v/>
      </c>
      <c r="AI27" s="10" t="str">
        <f aca="false">IF(AE27=0,"",IFERROR(SMALL($G27:$I27,2),""))</f>
        <v/>
      </c>
      <c r="AJ27" s="10" t="str">
        <f aca="false">IF(AE27=0,"",IFERROR(SMALL($G27:$I27,3),""))</f>
        <v/>
      </c>
      <c r="AK27" s="12" t="str">
        <f aca="false">IF(AE27=0,"",IF(AH27="","",IF(AH27=$G27,"Part-Time",IF(AH27=$H27,"Full-Time","Casual"))))</f>
        <v/>
      </c>
      <c r="AL27" s="12" t="str">
        <f aca="false">IF(AE27=0,"",IF(AI27="","",IF(AI27=$G27,"Part-Time",IF(AI27=$H27,"Full-Time","Casual"))))</f>
        <v/>
      </c>
      <c r="AM27" s="12" t="str">
        <f aca="false">IF(AE27=0,"",IF(AJ27="","",IF(AJ27=$G27,"Part-Time",IF(AJ27=$H27,"Full-Time","Casual"))))</f>
        <v/>
      </c>
      <c r="AN27" s="12" t="str">
        <f aca="false">IF(AE27=0,"",IF(AG27=0,IF(OR(ISNUMBER(SEARCH("full",$C27)),UPPER(TRIM($C27))="FT",UPPER(TRIM($C27))="FTE"),"FT",IF(AND(OR(ISNUMBER(SEARCH("part",$C27)),UPPER(TRIM($C27))="PT",UPPER(TRIM($C27))="PTE"),OR($P27="",N($P27)&gt;=PT_MinHours)),"PT","None")),IF(OR(ISNUMBER(SEARCH("full",AK27)),UPPER(TRIM(AK27))="FT",UPPER(TRIM(AK27))="FTE"),"FT",IF(AND(OR(ISNUMBER(SEARCH("part",AK27)),UPPER(TRIM(AK27))="PT",UPPER(TRIM(AK27))="PTE"),OR($P27="",N($P27)&gt;=PT_MinHours)),"PT","None"))))</f>
        <v/>
      </c>
      <c r="AO27" s="12" t="str">
        <f aca="false">IF(AE27=0,"",IF(AG27&lt;2,"",IF(OR(ISNUMBER(SEARCH("full",AL27)),UPPER(TRIM(AL27))="FT",UPPER(TRIM(AL27))="FTE"),"FT",IF(AND(OR(ISNUMBER(SEARCH("part",AL27)),UPPER(TRIM(AL27))="PT",UPPER(TRIM(AL27))="PTE"),OR($P27="",N($P27)&gt;=PT_MinHours)),"PT","None"))))</f>
        <v/>
      </c>
      <c r="AP27" s="12" t="str">
        <f aca="false">IF(AE27=0,"",IF(AG27&lt;3,"",IF(OR(ISNUMBER(SEARCH("full",AM27)),UPPER(TRIM(AM27))="FT",UPPER(TRIM(AM27))="FTE"),"FT",IF(AND(OR(ISNUMBER(SEARCH("part",AM27)),UPPER(TRIM(AM27))="PT",UPPER(TRIM(AM27))="PTE"),OR($P27="",N($P27)&gt;=PT_MinHours)),"PT","None"))))</f>
        <v/>
      </c>
      <c r="AQ27" s="12" t="str">
        <f aca="false">IF(AE27=0,"",IF(AND(AG27&gt;=3,AJ27&lt;=AsOfDate),AP27,IF(AND(AG27&gt;=2,AI27&lt;=AsOfDate),AO27,AN27)))</f>
        <v/>
      </c>
      <c r="AR27" s="12" t="str">
        <f aca="false">IF(AE27=0,"",IF(AsOfDate&lt;AF27,-1,12*(YEAR(AsOfDate)-YEAR(AF27))+MONTH(AsOfDate)-MONTH(AF27)-IF(DAY(AsOfDate)&lt;MIN(DAY(AF27),DAY(EOMONTH(AsOfDate,0))),1,0)))</f>
        <v/>
      </c>
      <c r="AS27" s="12" t="str">
        <f aca="false">IF(AE27=0,"",IF(OR(AG27&lt;2,AI27&gt;AsOfDate),AR27,IF((AI27-1)&lt;AF27,-1,12*(YEAR((AI27-1))-YEAR(AF27))+MONTH((AI27-1))-MONTH(AF27)-IF(DAY((AI27-1))&lt;MIN(DAY(AF27),DAY(EOMONTH((AI27-1),0))),1,0))))</f>
        <v/>
      </c>
      <c r="AT27" s="12" t="str">
        <f aca="false">IF(AE27=0,"",IF(OR(AG27&lt;3,AJ27&gt;AsOfDate),AR27,IF((AJ27-1)&lt;AF27,-1,12*(YEAR((AJ27-1))-YEAR(AF27))+MONTH((AJ27-1))-MONTH(AF27)-IF(DAY((AJ27-1))&lt;MIN(DAY(AF27),DAY(EOMONTH((AJ27-1),0))),1,0))))</f>
        <v/>
      </c>
      <c r="AU27" s="12" t="str">
        <f aca="false">IF(AE27=0,"",IF(PFYDate&lt;AF27,-1,12*(YEAR(PFYDate)-YEAR(AF27))+MONTH(PFYDate)-MONTH(AF27)-IF(DAY(PFYDate)&lt;MIN(DAY(AF27),DAY(EOMONTH(PFYDate,0))),1,0)))</f>
        <v/>
      </c>
      <c r="AV27" s="12" t="str">
        <f aca="false">IF(AE27=0,"",IF(OR(AG27&lt;2,AI27&gt;PFYDate),AU27,IF((AI27-1)&lt;AF27,-1,12*(YEAR((AI27-1))-YEAR(AF27))+MONTH((AI27-1))-MONTH(AF27)-IF(DAY((AI27-1))&lt;MIN(DAY(AF27),DAY(EOMONTH((AI27-1),0))),1,0))))</f>
        <v/>
      </c>
      <c r="AW27" s="12" t="str">
        <f aca="false">IF(AE27=0,"",IF(OR(AG27&lt;3,AJ27&gt;PFYDate),AU27,IF((AJ27-1)&lt;AF27,-1,12*(YEAR((AJ27-1))-YEAR(AF27))+MONTH((AJ27-1))-MONTH(AF27)-IF(DAY((AJ27-1))&lt;MIN(DAY(AF27),DAY(EOMONTH((AJ27-1),0))),1,0))))</f>
        <v/>
      </c>
      <c r="AX27" s="12" t="str">
        <f aca="false">IF(AE27=0,"",IF(AN27="FT",IF(AS27&lt;FT_First,0,IF(AS27&lt;FT_Y5,1+INT((AS27-FT_First)/FT_Int1),FT_PreY5+FT_PerYear*INT((AS27-FT_Y5)/12)+FT_AnnivDays+INT(MOD(AS27-FT_Y5,12)/FT_Int2))),IF(AN27="PT",IF(AS27&lt;PT_First,0,1+INT((AS27-PT_First)/PT_Int)),0))+IF(AND(AG27&gt;=2,AI27&lt;=AsOfDate),IF(AO27="FT",IF(AT27&lt;FT_First,0,IF(AT27&lt;FT_Y5,1+INT((AT27-FT_First)/FT_Int1),FT_PreY5+FT_PerYear*INT((AT27-FT_Y5)/12)+FT_AnnivDays+INT(MOD(AT27-FT_Y5,12)/FT_Int2))),IF(AO27="PT",IF(AT27&lt;PT_First,0,1+INT((AT27-PT_First)/PT_Int)),0))-IF(AO27="FT",IF(AS27&lt;FT_First,0,IF(AS27&lt;FT_Y5,1+INT((AS27-FT_First)/FT_Int1),FT_PreY5+FT_PerYear*INT((AS27-FT_Y5)/12)+FT_AnnivDays+INT(MOD(AS27-FT_Y5,12)/FT_Int2))),IF(AO27="PT",IF(AS27&lt;PT_First,0,1+INT((AS27-PT_First)/PT_Int)),0)),0)+IF(AND(AG27&gt;=3,AJ27&lt;=AsOfDate),IF(AP27="FT",IF(AR27&lt;FT_First,0,IF(AR27&lt;FT_Y5,1+INT((AR27-FT_First)/FT_Int1),FT_PreY5+FT_PerYear*INT((AR27-FT_Y5)/12)+FT_AnnivDays+INT(MOD(AR27-FT_Y5,12)/FT_Int2))),IF(AP27="PT",IF(AR27&lt;PT_First,0,1+INT((AR27-PT_First)/PT_Int)),0))-IF(AP27="FT",IF(AT27&lt;FT_First,0,IF(AT27&lt;FT_Y5,1+INT((AT27-FT_First)/FT_Int1),FT_PreY5+FT_PerYear*INT((AT27-FT_Y5)/12)+FT_AnnivDays+INT(MOD(AT27-FT_Y5,12)/FT_Int2))),IF(AP27="PT",IF(AT27&lt;PT_First,0,1+INT((AT27-PT_First)/PT_Int)),0)),0))</f>
        <v/>
      </c>
      <c r="AY27" s="12" t="str">
        <f aca="false">IF(AE27=0,"",IF(AN27="FT",IF(AV27&lt;FT_First,0,IF(AV27&lt;FT_Y5,1+INT((AV27-FT_First)/FT_Int1),FT_PreY5+FT_PerYear*INT((AV27-FT_Y5)/12)+FT_AnnivDays+INT(MOD(AV27-FT_Y5,12)/FT_Int2))),IF(AN27="PT",IF(AV27&lt;PT_First,0,1+INT((AV27-PT_First)/PT_Int)),0))+IF(AND(AG27&gt;=2,AI27&lt;=PFYDate),IF(AO27="FT",IF(AW27&lt;FT_First,0,IF(AW27&lt;FT_Y5,1+INT((AW27-FT_First)/FT_Int1),FT_PreY5+FT_PerYear*INT((AW27-FT_Y5)/12)+FT_AnnivDays+INT(MOD(AW27-FT_Y5,12)/FT_Int2))),IF(AO27="PT",IF(AW27&lt;PT_First,0,1+INT((AW27-PT_First)/PT_Int)),0))-IF(AO27="FT",IF(AV27&lt;FT_First,0,IF(AV27&lt;FT_Y5,1+INT((AV27-FT_First)/FT_Int1),FT_PreY5+FT_PerYear*INT((AV27-FT_Y5)/12)+FT_AnnivDays+INT(MOD(AV27-FT_Y5,12)/FT_Int2))),IF(AO27="PT",IF(AV27&lt;PT_First,0,1+INT((AV27-PT_First)/PT_Int)),0)),0)+IF(AND(AG27&gt;=3,AJ27&lt;=PFYDate),IF(AP27="FT",IF(AU27&lt;FT_First,0,IF(AU27&lt;FT_Y5,1+INT((AU27-FT_First)/FT_Int1),FT_PreY5+FT_PerYear*INT((AU27-FT_Y5)/12)+FT_AnnivDays+INT(MOD(AU27-FT_Y5,12)/FT_Int2))),IF(AP27="PT",IF(AU27&lt;PT_First,0,1+INT((AU27-PT_First)/PT_Int)),0))-IF(AP27="FT",IF(AW27&lt;FT_First,0,IF(AW27&lt;FT_Y5,1+INT((AW27-FT_First)/FT_Int1),FT_PreY5+FT_PerYear*INT((AW27-FT_Y5)/12)+FT_AnnivDays+INT(MOD(AW27-FT_Y5,12)/FT_Int2))),IF(AP27="PT",IF(AW27&lt;PT_First,0,1+INT((AW27-PT_First)/PT_Int)),0)),0))</f>
        <v/>
      </c>
      <c r="AZ27" s="12" t="str">
        <f aca="false">IF(AE27=0,"",IF(AQ27="FT",IF(AR27&lt;FT_First,FT_First,IF(AR27&lt;FT_Y5,MIN(FT_Y5,FT_First+FT_Int1*(INT((AR27-FT_First)/FT_Int1)+1)),FT_Y5+12*INT((AR27-FT_Y5)/12)+FT_Int2*(INT(MOD(AR27-FT_Y5,12)/FT_Int2)+1))),IF(AQ27="PT",IF(AR27&lt;PT_First,PT_First,PT_First+PT_Int*(INT((AR27-PT_First)/PT_Int)+1)),"")))</f>
        <v/>
      </c>
      <c r="BA27" s="12" t="str">
        <f aca="false">IF(AE27=0,"",IF(NOT(LH_Ready),0,COUNTIFS(INDEX(LH_Data,0,LH_ColFirst),$A27,INDEX(LH_Data,0,LH_ColSur),$B27,INDEX(LH_Data,0,LH_ColCat),BonusCat)))</f>
        <v/>
      </c>
      <c r="BB27" s="12" t="str">
        <f aca="false">IF(AE27=0,"",IF(OR(NOT(LH_Ready),BA27=0),0,SUMPRODUCT(MAX((INDEX(LH_Data,0,LH_ColFirst)=$A27)*(INDEX(LH_Data,0,LH_ColSur)=$B27)*(INDEX(LH_Data,0,LH_ColCat)=BonusCat)*ROW(LH_Data)))))</f>
        <v/>
      </c>
    </row>
    <row r="28" customFormat="false" ht="15" hidden="false" customHeight="false" outlineLevel="0" collapsed="false">
      <c r="A28" s="15"/>
      <c r="B28" s="15"/>
      <c r="C28" s="15"/>
      <c r="D28" s="16"/>
      <c r="E28" s="10" t="str">
        <f aca="false">IF(OR(AE28=0,$D28=""),"",DATE(YEAR(AsOfDate)+IF(DATE(YEAR(AsOfDate),MONTH($D28),DAY($D28))&lt;=AsOfDate,1,0),MONTH($D28),DAY($D28)))</f>
        <v/>
      </c>
      <c r="F28" s="16"/>
      <c r="G28" s="16"/>
      <c r="H28" s="16"/>
      <c r="I28" s="16"/>
      <c r="J28" s="16"/>
      <c r="K28" s="10" t="str">
        <f aca="false">IF(AE28=0,"",DATE(YEAR(AsOfDate)+IF(DATE(YEAR(AsOfDate),MONTH($F28),DAY($F28))&lt;=AsOfDate,1,0),MONTH($F28),DAY($F28)))</f>
        <v/>
      </c>
      <c r="L28" s="11" t="str">
        <f aca="false">IF(AE28=0,"",ROUND((AsOfDate-$F28)/365.25,1))</f>
        <v/>
      </c>
      <c r="M28" s="12" t="str">
        <f aca="false">IF(AE28=0,"",IF(AsOfDate&lt;AF28,"-",DATEDIF(AF28,AsOfDate,"y")&amp;"y "&amp;DATEDIF(AF28,AsOfDate,"ym")&amp;"m "&amp;DATEDIF(AF28,AsOfDate,"md")&amp;"d"))</f>
        <v/>
      </c>
      <c r="N28" s="13" t="str">
        <f aca="false">IF(AE28=0,"",O28*HoursPerDay)</f>
        <v/>
      </c>
      <c r="O28" s="13" t="str">
        <f aca="false">IF(AE28=0,"",AX28)</f>
        <v/>
      </c>
      <c r="P28" s="17"/>
      <c r="Q28" s="12" t="str">
        <f aca="false">IF(AE28=0,"",IF(AG28&lt;2,"",AK28&amp;" to "&amp;AL28&amp;" on "&amp;TEXT(AI28,"dd/mm/yyyy")&amp;IF(AI28&gt;AsOfDate," (future)",IF(AN28=AO28,"",IF(AO28="None"," - STOPPED accruing",IF(AN28="None"," - now qualifying"," - pathway changed"))))&amp;IF(AG28&lt;3,"","; "&amp;AL28&amp;" to "&amp;AM28&amp;" on "&amp;TEXT(AJ28,"dd/mm/yyyy")&amp;IF(AJ28&gt;AsOfDate," (future)",IF(AO28=AP28,"",IF(AP28="None"," - STOPPED accruing",IF(AO28="None"," - now qualifying"," - pathway changed")))))))</f>
        <v/>
      </c>
      <c r="R28" s="12" t="str">
        <f aca="false">IF(AE28=0,"",IF(AQ28="None",IF(O28&gt;0,"No longer accruing","Not eligible - "&amp;IF(AND(OR(ISNUMBER(SEARCH("part",$C28)),UPPER(TRIM($C28))="PT",UPPER(TRIM($C28))="PTE"),$P28&lt;&gt;"",N($P28)&lt;PT_MinHours),"under "&amp;PT_MinHours&amp;" hrs",IF(IF($C28="","",IF(OR(ISNUMBER(SEARCH("full",$C28)),UPPER(TRIM($C28))="FT",UPPER(TRIM($C28))="FTE"),"Full-Time",IF(OR(ISNUMBER(SEARCH("part",$C28)),UPPER(TRIM($C28))="PT",UPPER(TRIM($C28))="PTE"),"Part-Time",IF(OR(ISNUMBER(SEARCH("cas",$C28)),UPPER(TRIM($C28))="CAS"),"Casual","Unknown"))))="Unknown","type not recognised",$C28))),IF(O28&gt;0,"Yes - accruing","Not yet - from "&amp;TEXT(S28,"dd/mm/yyyy"))))</f>
        <v/>
      </c>
      <c r="S28" s="10" t="str">
        <f aca="false">IF(AE28=0,"",IF(AQ28="None","",EDATE(AF28,AZ28)))</f>
        <v/>
      </c>
      <c r="T28" s="13" t="str">
        <f aca="false">IF(OR(AE28=0,W28=""),"",W28-U28+V28)</f>
        <v/>
      </c>
      <c r="U28" s="13" t="str">
        <f aca="false">IF(AE28=0,"",IF(NOT(LH_Ready),"",SUMIFS(INDEX(LH_Data,0,LH_ColAcc),INDEX(LH_Data,0,LH_ColFirst),$A28,INDEX(LH_Data,0,LH_ColSur),$B28,INDEX(LH_Data,0,LH_ColCat),BonusCat)*UnitFactor))</f>
        <v/>
      </c>
      <c r="V28" s="13" t="str">
        <f aca="false">IF(AE28=0,"",IF(NOT(LH_Ready),"",SUMIFS(INDEX(LH_Data,0,LH_ColTaken),INDEX(LH_Data,0,LH_ColFirst),$A28,INDEX(LH_Data,0,LH_ColSur),$B28,INDEX(LH_Data,0,LH_ColCat),BonusCat)*UnitFactor))</f>
        <v/>
      </c>
      <c r="W28" s="13" t="str">
        <f aca="false">IF(AE28=0,"",IF(NOT(LH_Ready),"",IF(BB28=0,0,INDEX(INDEX(LH_Data,0,LH_ColClose),BB28-1)*UnitFactor)))</f>
        <v/>
      </c>
      <c r="X28" s="13" t="str">
        <f aca="false">IF(AE28=0,"",(AX28-AY28)*HoursPerDay)</f>
        <v/>
      </c>
      <c r="Y28" s="13" t="str">
        <f aca="false">IF(AE28=0,"",IF(NOT(LH_Ready),"",IF(BA28=0,N28,X28-N(U28))))</f>
        <v/>
      </c>
      <c r="Z28" s="12" t="str">
        <f aca="false">IF(OR(AE28=0,Y28=""),"",IF(Y28&gt;0,"Yes","No"))</f>
        <v/>
      </c>
      <c r="AA28" s="12" t="str">
        <f aca="false">IF(AE28=0,IF(LEN($A28&amp;$B28)=0,"","FIX INPUT - StartDate missing"),IF(AD28&lt;&gt;"","FIX INPUT - "&amp;AD28,IF(NOT(LH_Ready),"Paste Leave History export (Settings must show YES)",IF(Y28&gt;0,"ACCRUE "&amp;ROUND(Y28,2)&amp;" hrs ("&amp;ROUND(Y28/HoursPerDay,2)&amp;" days)"&amp;IF(BA28=0," - no Bonus Leave in EH yet, full catch-up since start",""),IF(Y28&lt;0,"CHECK - EH accrued "&amp;ROUND(-Y28,2)&amp;""&amp;" hrs more than policy",IF(O28&gt;0,"OK - nothing to add",IF(AQ28="None",R28,"Not yet - first day on "&amp;TEXT(S28,"dd/mm/yyyy"))))))))</f>
        <v/>
      </c>
      <c r="AB28" s="13" t="str">
        <f aca="false">IF(OR(AE28=0,T28=""),"",AY28*HoursPerDay-T28)</f>
        <v/>
      </c>
      <c r="AC28" s="12" t="str">
        <f aca="false">IF(AE28=0,"",BA28)</f>
        <v/>
      </c>
      <c r="AD28" s="12" t="str">
        <f aca="false">IF(AE28=0,"",TRIM(IF(IF($C28="","",IF(OR(ISNUMBER(SEARCH("full",$C28)),UPPER(TRIM($C28))="FT",UPPER(TRIM($C28))="FTE"),"Full-Time",IF(OR(ISNUMBER(SEARCH("part",$C28)),UPPER(TRIM($C28))="PT",UPPER(TRIM($C28))="PTE"),"Part-Time",IF(OR(ISNUMBER(SEARCH("cas",$C28)),UPPER(TRIM($C28))="CAS"),"Casual","Unknown"))))="Unknown","EmploymentType not recognised - use Full-Time, Part-Time or Casual. ","")&amp;IF(AND(AG28&gt;=1,IF(AG28&gt;=3,AM28,IF(AG28=2,AL28,AK28))&lt;&gt;IF($C28="","",IF(OR(ISNUMBER(SEARCH("full",$C28)),UPPER(TRIM($C28))="FT",UPPER(TRIM($C28))="FTE"),"Full-Time",IF(OR(ISNUMBER(SEARCH("part",$C28)),UPPER(TRIM($C28))="PT",UPPER(TRIM($C28))="PTE"),"Part-Time",IF(OR(ISNUMBER(SEARCH("cas",$C28)),UPPER(TRIM($C28))="CAS"),"Casual","Unknown"))))),"EmploymentType does not match latest start date ("&amp;IF(AG28&gt;=3,AM28,IF(AG28=2,AL28,AK28))&amp;"). ","")&amp;IF(AND(AG28&gt;=1,AH28&lt;&gt;$F28),"Earliest type date should equal StartDate. ","")&amp;IF(AND(AG28&gt;=2,AH28=AI28),"Two types start on the same date. ","")&amp;IF(AND(OR(ISNUMBER(SEARCH("part",$C28)),UPPER(TRIM($C28))="PT",UPPER(TRIM($C28))="PTE"),$P28=""),"Part-time: enter PT Hrs/Week (blank = 24+). ","")))</f>
        <v/>
      </c>
      <c r="AE28" s="12" t="n">
        <f aca="false">IF(OR(LEN($A28&amp;$B28)=0,$F28=""),0,1)</f>
        <v>0</v>
      </c>
      <c r="AF28" s="10" t="str">
        <f aca="false">IF(AE28=0,"",IF($J28&lt;&gt;"",$J28,$F28))</f>
        <v/>
      </c>
      <c r="AG28" s="12" t="str">
        <f aca="false">IF(AE28=0,"",COUNT($G28:$I28))</f>
        <v/>
      </c>
      <c r="AH28" s="10" t="str">
        <f aca="false">IF(AE28=0,"",IFERROR(SMALL($G28:$I28,1),""))</f>
        <v/>
      </c>
      <c r="AI28" s="10" t="str">
        <f aca="false">IF(AE28=0,"",IFERROR(SMALL($G28:$I28,2),""))</f>
        <v/>
      </c>
      <c r="AJ28" s="10" t="str">
        <f aca="false">IF(AE28=0,"",IFERROR(SMALL($G28:$I28,3),""))</f>
        <v/>
      </c>
      <c r="AK28" s="12" t="str">
        <f aca="false">IF(AE28=0,"",IF(AH28="","",IF(AH28=$G28,"Part-Time",IF(AH28=$H28,"Full-Time","Casual"))))</f>
        <v/>
      </c>
      <c r="AL28" s="12" t="str">
        <f aca="false">IF(AE28=0,"",IF(AI28="","",IF(AI28=$G28,"Part-Time",IF(AI28=$H28,"Full-Time","Casual"))))</f>
        <v/>
      </c>
      <c r="AM28" s="12" t="str">
        <f aca="false">IF(AE28=0,"",IF(AJ28="","",IF(AJ28=$G28,"Part-Time",IF(AJ28=$H28,"Full-Time","Casual"))))</f>
        <v/>
      </c>
      <c r="AN28" s="12" t="str">
        <f aca="false">IF(AE28=0,"",IF(AG28=0,IF(OR(ISNUMBER(SEARCH("full",$C28)),UPPER(TRIM($C28))="FT",UPPER(TRIM($C28))="FTE"),"FT",IF(AND(OR(ISNUMBER(SEARCH("part",$C28)),UPPER(TRIM($C28))="PT",UPPER(TRIM($C28))="PTE"),OR($P28="",N($P28)&gt;=PT_MinHours)),"PT","None")),IF(OR(ISNUMBER(SEARCH("full",AK28)),UPPER(TRIM(AK28))="FT",UPPER(TRIM(AK28))="FTE"),"FT",IF(AND(OR(ISNUMBER(SEARCH("part",AK28)),UPPER(TRIM(AK28))="PT",UPPER(TRIM(AK28))="PTE"),OR($P28="",N($P28)&gt;=PT_MinHours)),"PT","None"))))</f>
        <v/>
      </c>
      <c r="AO28" s="12" t="str">
        <f aca="false">IF(AE28=0,"",IF(AG28&lt;2,"",IF(OR(ISNUMBER(SEARCH("full",AL28)),UPPER(TRIM(AL28))="FT",UPPER(TRIM(AL28))="FTE"),"FT",IF(AND(OR(ISNUMBER(SEARCH("part",AL28)),UPPER(TRIM(AL28))="PT",UPPER(TRIM(AL28))="PTE"),OR($P28="",N($P28)&gt;=PT_MinHours)),"PT","None"))))</f>
        <v/>
      </c>
      <c r="AP28" s="12" t="str">
        <f aca="false">IF(AE28=0,"",IF(AG28&lt;3,"",IF(OR(ISNUMBER(SEARCH("full",AM28)),UPPER(TRIM(AM28))="FT",UPPER(TRIM(AM28))="FTE"),"FT",IF(AND(OR(ISNUMBER(SEARCH("part",AM28)),UPPER(TRIM(AM28))="PT",UPPER(TRIM(AM28))="PTE"),OR($P28="",N($P28)&gt;=PT_MinHours)),"PT","None"))))</f>
        <v/>
      </c>
      <c r="AQ28" s="12" t="str">
        <f aca="false">IF(AE28=0,"",IF(AND(AG28&gt;=3,AJ28&lt;=AsOfDate),AP28,IF(AND(AG28&gt;=2,AI28&lt;=AsOfDate),AO28,AN28)))</f>
        <v/>
      </c>
      <c r="AR28" s="12" t="str">
        <f aca="false">IF(AE28=0,"",IF(AsOfDate&lt;AF28,-1,12*(YEAR(AsOfDate)-YEAR(AF28))+MONTH(AsOfDate)-MONTH(AF28)-IF(DAY(AsOfDate)&lt;MIN(DAY(AF28),DAY(EOMONTH(AsOfDate,0))),1,0)))</f>
        <v/>
      </c>
      <c r="AS28" s="12" t="str">
        <f aca="false">IF(AE28=0,"",IF(OR(AG28&lt;2,AI28&gt;AsOfDate),AR28,IF((AI28-1)&lt;AF28,-1,12*(YEAR((AI28-1))-YEAR(AF28))+MONTH((AI28-1))-MONTH(AF28)-IF(DAY((AI28-1))&lt;MIN(DAY(AF28),DAY(EOMONTH((AI28-1),0))),1,0))))</f>
        <v/>
      </c>
      <c r="AT28" s="12" t="str">
        <f aca="false">IF(AE28=0,"",IF(OR(AG28&lt;3,AJ28&gt;AsOfDate),AR28,IF((AJ28-1)&lt;AF28,-1,12*(YEAR((AJ28-1))-YEAR(AF28))+MONTH((AJ28-1))-MONTH(AF28)-IF(DAY((AJ28-1))&lt;MIN(DAY(AF28),DAY(EOMONTH((AJ28-1),0))),1,0))))</f>
        <v/>
      </c>
      <c r="AU28" s="12" t="str">
        <f aca="false">IF(AE28=0,"",IF(PFYDate&lt;AF28,-1,12*(YEAR(PFYDate)-YEAR(AF28))+MONTH(PFYDate)-MONTH(AF28)-IF(DAY(PFYDate)&lt;MIN(DAY(AF28),DAY(EOMONTH(PFYDate,0))),1,0)))</f>
        <v/>
      </c>
      <c r="AV28" s="12" t="str">
        <f aca="false">IF(AE28=0,"",IF(OR(AG28&lt;2,AI28&gt;PFYDate),AU28,IF((AI28-1)&lt;AF28,-1,12*(YEAR((AI28-1))-YEAR(AF28))+MONTH((AI28-1))-MONTH(AF28)-IF(DAY((AI28-1))&lt;MIN(DAY(AF28),DAY(EOMONTH((AI28-1),0))),1,0))))</f>
        <v/>
      </c>
      <c r="AW28" s="12" t="str">
        <f aca="false">IF(AE28=0,"",IF(OR(AG28&lt;3,AJ28&gt;PFYDate),AU28,IF((AJ28-1)&lt;AF28,-1,12*(YEAR((AJ28-1))-YEAR(AF28))+MONTH((AJ28-1))-MONTH(AF28)-IF(DAY((AJ28-1))&lt;MIN(DAY(AF28),DAY(EOMONTH((AJ28-1),0))),1,0))))</f>
        <v/>
      </c>
      <c r="AX28" s="12" t="str">
        <f aca="false">IF(AE28=0,"",IF(AN28="FT",IF(AS28&lt;FT_First,0,IF(AS28&lt;FT_Y5,1+INT((AS28-FT_First)/FT_Int1),FT_PreY5+FT_PerYear*INT((AS28-FT_Y5)/12)+FT_AnnivDays+INT(MOD(AS28-FT_Y5,12)/FT_Int2))),IF(AN28="PT",IF(AS28&lt;PT_First,0,1+INT((AS28-PT_First)/PT_Int)),0))+IF(AND(AG28&gt;=2,AI28&lt;=AsOfDate),IF(AO28="FT",IF(AT28&lt;FT_First,0,IF(AT28&lt;FT_Y5,1+INT((AT28-FT_First)/FT_Int1),FT_PreY5+FT_PerYear*INT((AT28-FT_Y5)/12)+FT_AnnivDays+INT(MOD(AT28-FT_Y5,12)/FT_Int2))),IF(AO28="PT",IF(AT28&lt;PT_First,0,1+INT((AT28-PT_First)/PT_Int)),0))-IF(AO28="FT",IF(AS28&lt;FT_First,0,IF(AS28&lt;FT_Y5,1+INT((AS28-FT_First)/FT_Int1),FT_PreY5+FT_PerYear*INT((AS28-FT_Y5)/12)+FT_AnnivDays+INT(MOD(AS28-FT_Y5,12)/FT_Int2))),IF(AO28="PT",IF(AS28&lt;PT_First,0,1+INT((AS28-PT_First)/PT_Int)),0)),0)+IF(AND(AG28&gt;=3,AJ28&lt;=AsOfDate),IF(AP28="FT",IF(AR28&lt;FT_First,0,IF(AR28&lt;FT_Y5,1+INT((AR28-FT_First)/FT_Int1),FT_PreY5+FT_PerYear*INT((AR28-FT_Y5)/12)+FT_AnnivDays+INT(MOD(AR28-FT_Y5,12)/FT_Int2))),IF(AP28="PT",IF(AR28&lt;PT_First,0,1+INT((AR28-PT_First)/PT_Int)),0))-IF(AP28="FT",IF(AT28&lt;FT_First,0,IF(AT28&lt;FT_Y5,1+INT((AT28-FT_First)/FT_Int1),FT_PreY5+FT_PerYear*INT((AT28-FT_Y5)/12)+FT_AnnivDays+INT(MOD(AT28-FT_Y5,12)/FT_Int2))),IF(AP28="PT",IF(AT28&lt;PT_First,0,1+INT((AT28-PT_First)/PT_Int)),0)),0))</f>
        <v/>
      </c>
      <c r="AY28" s="12" t="str">
        <f aca="false">IF(AE28=0,"",IF(AN28="FT",IF(AV28&lt;FT_First,0,IF(AV28&lt;FT_Y5,1+INT((AV28-FT_First)/FT_Int1),FT_PreY5+FT_PerYear*INT((AV28-FT_Y5)/12)+FT_AnnivDays+INT(MOD(AV28-FT_Y5,12)/FT_Int2))),IF(AN28="PT",IF(AV28&lt;PT_First,0,1+INT((AV28-PT_First)/PT_Int)),0))+IF(AND(AG28&gt;=2,AI28&lt;=PFYDate),IF(AO28="FT",IF(AW28&lt;FT_First,0,IF(AW28&lt;FT_Y5,1+INT((AW28-FT_First)/FT_Int1),FT_PreY5+FT_PerYear*INT((AW28-FT_Y5)/12)+FT_AnnivDays+INT(MOD(AW28-FT_Y5,12)/FT_Int2))),IF(AO28="PT",IF(AW28&lt;PT_First,0,1+INT((AW28-PT_First)/PT_Int)),0))-IF(AO28="FT",IF(AV28&lt;FT_First,0,IF(AV28&lt;FT_Y5,1+INT((AV28-FT_First)/FT_Int1),FT_PreY5+FT_PerYear*INT((AV28-FT_Y5)/12)+FT_AnnivDays+INT(MOD(AV28-FT_Y5,12)/FT_Int2))),IF(AO28="PT",IF(AV28&lt;PT_First,0,1+INT((AV28-PT_First)/PT_Int)),0)),0)+IF(AND(AG28&gt;=3,AJ28&lt;=PFYDate),IF(AP28="FT",IF(AU28&lt;FT_First,0,IF(AU28&lt;FT_Y5,1+INT((AU28-FT_First)/FT_Int1),FT_PreY5+FT_PerYear*INT((AU28-FT_Y5)/12)+FT_AnnivDays+INT(MOD(AU28-FT_Y5,12)/FT_Int2))),IF(AP28="PT",IF(AU28&lt;PT_First,0,1+INT((AU28-PT_First)/PT_Int)),0))-IF(AP28="FT",IF(AW28&lt;FT_First,0,IF(AW28&lt;FT_Y5,1+INT((AW28-FT_First)/FT_Int1),FT_PreY5+FT_PerYear*INT((AW28-FT_Y5)/12)+FT_AnnivDays+INT(MOD(AW28-FT_Y5,12)/FT_Int2))),IF(AP28="PT",IF(AW28&lt;PT_First,0,1+INT((AW28-PT_First)/PT_Int)),0)),0))</f>
        <v/>
      </c>
      <c r="AZ28" s="12" t="str">
        <f aca="false">IF(AE28=0,"",IF(AQ28="FT",IF(AR28&lt;FT_First,FT_First,IF(AR28&lt;FT_Y5,MIN(FT_Y5,FT_First+FT_Int1*(INT((AR28-FT_First)/FT_Int1)+1)),FT_Y5+12*INT((AR28-FT_Y5)/12)+FT_Int2*(INT(MOD(AR28-FT_Y5,12)/FT_Int2)+1))),IF(AQ28="PT",IF(AR28&lt;PT_First,PT_First,PT_First+PT_Int*(INT((AR28-PT_First)/PT_Int)+1)),"")))</f>
        <v/>
      </c>
      <c r="BA28" s="12" t="str">
        <f aca="false">IF(AE28=0,"",IF(NOT(LH_Ready),0,COUNTIFS(INDEX(LH_Data,0,LH_ColFirst),$A28,INDEX(LH_Data,0,LH_ColSur),$B28,INDEX(LH_Data,0,LH_ColCat),BonusCat)))</f>
        <v/>
      </c>
      <c r="BB28" s="12" t="str">
        <f aca="false">IF(AE28=0,"",IF(OR(NOT(LH_Ready),BA28=0),0,SUMPRODUCT(MAX((INDEX(LH_Data,0,LH_ColFirst)=$A28)*(INDEX(LH_Data,0,LH_ColSur)=$B28)*(INDEX(LH_Data,0,LH_ColCat)=BonusCat)*ROW(LH_Data)))))</f>
        <v/>
      </c>
    </row>
    <row r="29" customFormat="false" ht="15" hidden="false" customHeight="false" outlineLevel="0" collapsed="false">
      <c r="A29" s="15"/>
      <c r="B29" s="15"/>
      <c r="C29" s="15"/>
      <c r="D29" s="16"/>
      <c r="E29" s="10" t="str">
        <f aca="false">IF(OR(AE29=0,$D29=""),"",DATE(YEAR(AsOfDate)+IF(DATE(YEAR(AsOfDate),MONTH($D29),DAY($D29))&lt;=AsOfDate,1,0),MONTH($D29),DAY($D29)))</f>
        <v/>
      </c>
      <c r="F29" s="16"/>
      <c r="G29" s="16"/>
      <c r="H29" s="16"/>
      <c r="I29" s="16"/>
      <c r="J29" s="16"/>
      <c r="K29" s="10" t="str">
        <f aca="false">IF(AE29=0,"",DATE(YEAR(AsOfDate)+IF(DATE(YEAR(AsOfDate),MONTH($F29),DAY($F29))&lt;=AsOfDate,1,0),MONTH($F29),DAY($F29)))</f>
        <v/>
      </c>
      <c r="L29" s="11" t="str">
        <f aca="false">IF(AE29=0,"",ROUND((AsOfDate-$F29)/365.25,1))</f>
        <v/>
      </c>
      <c r="M29" s="12" t="str">
        <f aca="false">IF(AE29=0,"",IF(AsOfDate&lt;AF29,"-",DATEDIF(AF29,AsOfDate,"y")&amp;"y "&amp;DATEDIF(AF29,AsOfDate,"ym")&amp;"m "&amp;DATEDIF(AF29,AsOfDate,"md")&amp;"d"))</f>
        <v/>
      </c>
      <c r="N29" s="13" t="str">
        <f aca="false">IF(AE29=0,"",O29*HoursPerDay)</f>
        <v/>
      </c>
      <c r="O29" s="13" t="str">
        <f aca="false">IF(AE29=0,"",AX29)</f>
        <v/>
      </c>
      <c r="P29" s="17"/>
      <c r="Q29" s="12" t="str">
        <f aca="false">IF(AE29=0,"",IF(AG29&lt;2,"",AK29&amp;" to "&amp;AL29&amp;" on "&amp;TEXT(AI29,"dd/mm/yyyy")&amp;IF(AI29&gt;AsOfDate," (future)",IF(AN29=AO29,"",IF(AO29="None"," - STOPPED accruing",IF(AN29="None"," - now qualifying"," - pathway changed"))))&amp;IF(AG29&lt;3,"","; "&amp;AL29&amp;" to "&amp;AM29&amp;" on "&amp;TEXT(AJ29,"dd/mm/yyyy")&amp;IF(AJ29&gt;AsOfDate," (future)",IF(AO29=AP29,"",IF(AP29="None"," - STOPPED accruing",IF(AO29="None"," - now qualifying"," - pathway changed")))))))</f>
        <v/>
      </c>
      <c r="R29" s="12" t="str">
        <f aca="false">IF(AE29=0,"",IF(AQ29="None",IF(O29&gt;0,"No longer accruing","Not eligible - "&amp;IF(AND(OR(ISNUMBER(SEARCH("part",$C29)),UPPER(TRIM($C29))="PT",UPPER(TRIM($C29))="PTE"),$P29&lt;&gt;"",N($P29)&lt;PT_MinHours),"under "&amp;PT_MinHours&amp;" hrs",IF(IF($C29="","",IF(OR(ISNUMBER(SEARCH("full",$C29)),UPPER(TRIM($C29))="FT",UPPER(TRIM($C29))="FTE"),"Full-Time",IF(OR(ISNUMBER(SEARCH("part",$C29)),UPPER(TRIM($C29))="PT",UPPER(TRIM($C29))="PTE"),"Part-Time",IF(OR(ISNUMBER(SEARCH("cas",$C29)),UPPER(TRIM($C29))="CAS"),"Casual","Unknown"))))="Unknown","type not recognised",$C29))),IF(O29&gt;0,"Yes - accruing","Not yet - from "&amp;TEXT(S29,"dd/mm/yyyy"))))</f>
        <v/>
      </c>
      <c r="S29" s="10" t="str">
        <f aca="false">IF(AE29=0,"",IF(AQ29="None","",EDATE(AF29,AZ29)))</f>
        <v/>
      </c>
      <c r="T29" s="13" t="str">
        <f aca="false">IF(OR(AE29=0,W29=""),"",W29-U29+V29)</f>
        <v/>
      </c>
      <c r="U29" s="13" t="str">
        <f aca="false">IF(AE29=0,"",IF(NOT(LH_Ready),"",SUMIFS(INDEX(LH_Data,0,LH_ColAcc),INDEX(LH_Data,0,LH_ColFirst),$A29,INDEX(LH_Data,0,LH_ColSur),$B29,INDEX(LH_Data,0,LH_ColCat),BonusCat)*UnitFactor))</f>
        <v/>
      </c>
      <c r="V29" s="13" t="str">
        <f aca="false">IF(AE29=0,"",IF(NOT(LH_Ready),"",SUMIFS(INDEX(LH_Data,0,LH_ColTaken),INDEX(LH_Data,0,LH_ColFirst),$A29,INDEX(LH_Data,0,LH_ColSur),$B29,INDEX(LH_Data,0,LH_ColCat),BonusCat)*UnitFactor))</f>
        <v/>
      </c>
      <c r="W29" s="13" t="str">
        <f aca="false">IF(AE29=0,"",IF(NOT(LH_Ready),"",IF(BB29=0,0,INDEX(INDEX(LH_Data,0,LH_ColClose),BB29-1)*UnitFactor)))</f>
        <v/>
      </c>
      <c r="X29" s="13" t="str">
        <f aca="false">IF(AE29=0,"",(AX29-AY29)*HoursPerDay)</f>
        <v/>
      </c>
      <c r="Y29" s="13" t="str">
        <f aca="false">IF(AE29=0,"",IF(NOT(LH_Ready),"",IF(BA29=0,N29,X29-N(U29))))</f>
        <v/>
      </c>
      <c r="Z29" s="12" t="str">
        <f aca="false">IF(OR(AE29=0,Y29=""),"",IF(Y29&gt;0,"Yes","No"))</f>
        <v/>
      </c>
      <c r="AA29" s="12" t="str">
        <f aca="false">IF(AE29=0,IF(LEN($A29&amp;$B29)=0,"","FIX INPUT - StartDate missing"),IF(AD29&lt;&gt;"","FIX INPUT - "&amp;AD29,IF(NOT(LH_Ready),"Paste Leave History export (Settings must show YES)",IF(Y29&gt;0,"ACCRUE "&amp;ROUND(Y29,2)&amp;" hrs ("&amp;ROUND(Y29/HoursPerDay,2)&amp;" days)"&amp;IF(BA29=0," - no Bonus Leave in EH yet, full catch-up since start",""),IF(Y29&lt;0,"CHECK - EH accrued "&amp;ROUND(-Y29,2)&amp;""&amp;" hrs more than policy",IF(O29&gt;0,"OK - nothing to add",IF(AQ29="None",R29,"Not yet - first day on "&amp;TEXT(S29,"dd/mm/yyyy"))))))))</f>
        <v/>
      </c>
      <c r="AB29" s="13" t="str">
        <f aca="false">IF(OR(AE29=0,T29=""),"",AY29*HoursPerDay-T29)</f>
        <v/>
      </c>
      <c r="AC29" s="12" t="str">
        <f aca="false">IF(AE29=0,"",BA29)</f>
        <v/>
      </c>
      <c r="AD29" s="12" t="str">
        <f aca="false">IF(AE29=0,"",TRIM(IF(IF($C29="","",IF(OR(ISNUMBER(SEARCH("full",$C29)),UPPER(TRIM($C29))="FT",UPPER(TRIM($C29))="FTE"),"Full-Time",IF(OR(ISNUMBER(SEARCH("part",$C29)),UPPER(TRIM($C29))="PT",UPPER(TRIM($C29))="PTE"),"Part-Time",IF(OR(ISNUMBER(SEARCH("cas",$C29)),UPPER(TRIM($C29))="CAS"),"Casual","Unknown"))))="Unknown","EmploymentType not recognised - use Full-Time, Part-Time or Casual. ","")&amp;IF(AND(AG29&gt;=1,IF(AG29&gt;=3,AM29,IF(AG29=2,AL29,AK29))&lt;&gt;IF($C29="","",IF(OR(ISNUMBER(SEARCH("full",$C29)),UPPER(TRIM($C29))="FT",UPPER(TRIM($C29))="FTE"),"Full-Time",IF(OR(ISNUMBER(SEARCH("part",$C29)),UPPER(TRIM($C29))="PT",UPPER(TRIM($C29))="PTE"),"Part-Time",IF(OR(ISNUMBER(SEARCH("cas",$C29)),UPPER(TRIM($C29))="CAS"),"Casual","Unknown"))))),"EmploymentType does not match latest start date ("&amp;IF(AG29&gt;=3,AM29,IF(AG29=2,AL29,AK29))&amp;"). ","")&amp;IF(AND(AG29&gt;=1,AH29&lt;&gt;$F29),"Earliest type date should equal StartDate. ","")&amp;IF(AND(AG29&gt;=2,AH29=AI29),"Two types start on the same date. ","")&amp;IF(AND(OR(ISNUMBER(SEARCH("part",$C29)),UPPER(TRIM($C29))="PT",UPPER(TRIM($C29))="PTE"),$P29=""),"Part-time: enter PT Hrs/Week (blank = 24+). ","")))</f>
        <v/>
      </c>
      <c r="AE29" s="12" t="n">
        <f aca="false">IF(OR(LEN($A29&amp;$B29)=0,$F29=""),0,1)</f>
        <v>0</v>
      </c>
      <c r="AF29" s="10" t="str">
        <f aca="false">IF(AE29=0,"",IF($J29&lt;&gt;"",$J29,$F29))</f>
        <v/>
      </c>
      <c r="AG29" s="12" t="str">
        <f aca="false">IF(AE29=0,"",COUNT($G29:$I29))</f>
        <v/>
      </c>
      <c r="AH29" s="10" t="str">
        <f aca="false">IF(AE29=0,"",IFERROR(SMALL($G29:$I29,1),""))</f>
        <v/>
      </c>
      <c r="AI29" s="10" t="str">
        <f aca="false">IF(AE29=0,"",IFERROR(SMALL($G29:$I29,2),""))</f>
        <v/>
      </c>
      <c r="AJ29" s="10" t="str">
        <f aca="false">IF(AE29=0,"",IFERROR(SMALL($G29:$I29,3),""))</f>
        <v/>
      </c>
      <c r="AK29" s="12" t="str">
        <f aca="false">IF(AE29=0,"",IF(AH29="","",IF(AH29=$G29,"Part-Time",IF(AH29=$H29,"Full-Time","Casual"))))</f>
        <v/>
      </c>
      <c r="AL29" s="12" t="str">
        <f aca="false">IF(AE29=0,"",IF(AI29="","",IF(AI29=$G29,"Part-Time",IF(AI29=$H29,"Full-Time","Casual"))))</f>
        <v/>
      </c>
      <c r="AM29" s="12" t="str">
        <f aca="false">IF(AE29=0,"",IF(AJ29="","",IF(AJ29=$G29,"Part-Time",IF(AJ29=$H29,"Full-Time","Casual"))))</f>
        <v/>
      </c>
      <c r="AN29" s="12" t="str">
        <f aca="false">IF(AE29=0,"",IF(AG29=0,IF(OR(ISNUMBER(SEARCH("full",$C29)),UPPER(TRIM($C29))="FT",UPPER(TRIM($C29))="FTE"),"FT",IF(AND(OR(ISNUMBER(SEARCH("part",$C29)),UPPER(TRIM($C29))="PT",UPPER(TRIM($C29))="PTE"),OR($P29="",N($P29)&gt;=PT_MinHours)),"PT","None")),IF(OR(ISNUMBER(SEARCH("full",AK29)),UPPER(TRIM(AK29))="FT",UPPER(TRIM(AK29))="FTE"),"FT",IF(AND(OR(ISNUMBER(SEARCH("part",AK29)),UPPER(TRIM(AK29))="PT",UPPER(TRIM(AK29))="PTE"),OR($P29="",N($P29)&gt;=PT_MinHours)),"PT","None"))))</f>
        <v/>
      </c>
      <c r="AO29" s="12" t="str">
        <f aca="false">IF(AE29=0,"",IF(AG29&lt;2,"",IF(OR(ISNUMBER(SEARCH("full",AL29)),UPPER(TRIM(AL29))="FT",UPPER(TRIM(AL29))="FTE"),"FT",IF(AND(OR(ISNUMBER(SEARCH("part",AL29)),UPPER(TRIM(AL29))="PT",UPPER(TRIM(AL29))="PTE"),OR($P29="",N($P29)&gt;=PT_MinHours)),"PT","None"))))</f>
        <v/>
      </c>
      <c r="AP29" s="12" t="str">
        <f aca="false">IF(AE29=0,"",IF(AG29&lt;3,"",IF(OR(ISNUMBER(SEARCH("full",AM29)),UPPER(TRIM(AM29))="FT",UPPER(TRIM(AM29))="FTE"),"FT",IF(AND(OR(ISNUMBER(SEARCH("part",AM29)),UPPER(TRIM(AM29))="PT",UPPER(TRIM(AM29))="PTE"),OR($P29="",N($P29)&gt;=PT_MinHours)),"PT","None"))))</f>
        <v/>
      </c>
      <c r="AQ29" s="12" t="str">
        <f aca="false">IF(AE29=0,"",IF(AND(AG29&gt;=3,AJ29&lt;=AsOfDate),AP29,IF(AND(AG29&gt;=2,AI29&lt;=AsOfDate),AO29,AN29)))</f>
        <v/>
      </c>
      <c r="AR29" s="12" t="str">
        <f aca="false">IF(AE29=0,"",IF(AsOfDate&lt;AF29,-1,12*(YEAR(AsOfDate)-YEAR(AF29))+MONTH(AsOfDate)-MONTH(AF29)-IF(DAY(AsOfDate)&lt;MIN(DAY(AF29),DAY(EOMONTH(AsOfDate,0))),1,0)))</f>
        <v/>
      </c>
      <c r="AS29" s="12" t="str">
        <f aca="false">IF(AE29=0,"",IF(OR(AG29&lt;2,AI29&gt;AsOfDate),AR29,IF((AI29-1)&lt;AF29,-1,12*(YEAR((AI29-1))-YEAR(AF29))+MONTH((AI29-1))-MONTH(AF29)-IF(DAY((AI29-1))&lt;MIN(DAY(AF29),DAY(EOMONTH((AI29-1),0))),1,0))))</f>
        <v/>
      </c>
      <c r="AT29" s="12" t="str">
        <f aca="false">IF(AE29=0,"",IF(OR(AG29&lt;3,AJ29&gt;AsOfDate),AR29,IF((AJ29-1)&lt;AF29,-1,12*(YEAR((AJ29-1))-YEAR(AF29))+MONTH((AJ29-1))-MONTH(AF29)-IF(DAY((AJ29-1))&lt;MIN(DAY(AF29),DAY(EOMONTH((AJ29-1),0))),1,0))))</f>
        <v/>
      </c>
      <c r="AU29" s="12" t="str">
        <f aca="false">IF(AE29=0,"",IF(PFYDate&lt;AF29,-1,12*(YEAR(PFYDate)-YEAR(AF29))+MONTH(PFYDate)-MONTH(AF29)-IF(DAY(PFYDate)&lt;MIN(DAY(AF29),DAY(EOMONTH(PFYDate,0))),1,0)))</f>
        <v/>
      </c>
      <c r="AV29" s="12" t="str">
        <f aca="false">IF(AE29=0,"",IF(OR(AG29&lt;2,AI29&gt;PFYDate),AU29,IF((AI29-1)&lt;AF29,-1,12*(YEAR((AI29-1))-YEAR(AF29))+MONTH((AI29-1))-MONTH(AF29)-IF(DAY((AI29-1))&lt;MIN(DAY(AF29),DAY(EOMONTH((AI29-1),0))),1,0))))</f>
        <v/>
      </c>
      <c r="AW29" s="12" t="str">
        <f aca="false">IF(AE29=0,"",IF(OR(AG29&lt;3,AJ29&gt;PFYDate),AU29,IF((AJ29-1)&lt;AF29,-1,12*(YEAR((AJ29-1))-YEAR(AF29))+MONTH((AJ29-1))-MONTH(AF29)-IF(DAY((AJ29-1))&lt;MIN(DAY(AF29),DAY(EOMONTH((AJ29-1),0))),1,0))))</f>
        <v/>
      </c>
      <c r="AX29" s="12" t="str">
        <f aca="false">IF(AE29=0,"",IF(AN29="FT",IF(AS29&lt;FT_First,0,IF(AS29&lt;FT_Y5,1+INT((AS29-FT_First)/FT_Int1),FT_PreY5+FT_PerYear*INT((AS29-FT_Y5)/12)+FT_AnnivDays+INT(MOD(AS29-FT_Y5,12)/FT_Int2))),IF(AN29="PT",IF(AS29&lt;PT_First,0,1+INT((AS29-PT_First)/PT_Int)),0))+IF(AND(AG29&gt;=2,AI29&lt;=AsOfDate),IF(AO29="FT",IF(AT29&lt;FT_First,0,IF(AT29&lt;FT_Y5,1+INT((AT29-FT_First)/FT_Int1),FT_PreY5+FT_PerYear*INT((AT29-FT_Y5)/12)+FT_AnnivDays+INT(MOD(AT29-FT_Y5,12)/FT_Int2))),IF(AO29="PT",IF(AT29&lt;PT_First,0,1+INT((AT29-PT_First)/PT_Int)),0))-IF(AO29="FT",IF(AS29&lt;FT_First,0,IF(AS29&lt;FT_Y5,1+INT((AS29-FT_First)/FT_Int1),FT_PreY5+FT_PerYear*INT((AS29-FT_Y5)/12)+FT_AnnivDays+INT(MOD(AS29-FT_Y5,12)/FT_Int2))),IF(AO29="PT",IF(AS29&lt;PT_First,0,1+INT((AS29-PT_First)/PT_Int)),0)),0)+IF(AND(AG29&gt;=3,AJ29&lt;=AsOfDate),IF(AP29="FT",IF(AR29&lt;FT_First,0,IF(AR29&lt;FT_Y5,1+INT((AR29-FT_First)/FT_Int1),FT_PreY5+FT_PerYear*INT((AR29-FT_Y5)/12)+FT_AnnivDays+INT(MOD(AR29-FT_Y5,12)/FT_Int2))),IF(AP29="PT",IF(AR29&lt;PT_First,0,1+INT((AR29-PT_First)/PT_Int)),0))-IF(AP29="FT",IF(AT29&lt;FT_First,0,IF(AT29&lt;FT_Y5,1+INT((AT29-FT_First)/FT_Int1),FT_PreY5+FT_PerYear*INT((AT29-FT_Y5)/12)+FT_AnnivDays+INT(MOD(AT29-FT_Y5,12)/FT_Int2))),IF(AP29="PT",IF(AT29&lt;PT_First,0,1+INT((AT29-PT_First)/PT_Int)),0)),0))</f>
        <v/>
      </c>
      <c r="AY29" s="12" t="str">
        <f aca="false">IF(AE29=0,"",IF(AN29="FT",IF(AV29&lt;FT_First,0,IF(AV29&lt;FT_Y5,1+INT((AV29-FT_First)/FT_Int1),FT_PreY5+FT_PerYear*INT((AV29-FT_Y5)/12)+FT_AnnivDays+INT(MOD(AV29-FT_Y5,12)/FT_Int2))),IF(AN29="PT",IF(AV29&lt;PT_First,0,1+INT((AV29-PT_First)/PT_Int)),0))+IF(AND(AG29&gt;=2,AI29&lt;=PFYDate),IF(AO29="FT",IF(AW29&lt;FT_First,0,IF(AW29&lt;FT_Y5,1+INT((AW29-FT_First)/FT_Int1),FT_PreY5+FT_PerYear*INT((AW29-FT_Y5)/12)+FT_AnnivDays+INT(MOD(AW29-FT_Y5,12)/FT_Int2))),IF(AO29="PT",IF(AW29&lt;PT_First,0,1+INT((AW29-PT_First)/PT_Int)),0))-IF(AO29="FT",IF(AV29&lt;FT_First,0,IF(AV29&lt;FT_Y5,1+INT((AV29-FT_First)/FT_Int1),FT_PreY5+FT_PerYear*INT((AV29-FT_Y5)/12)+FT_AnnivDays+INT(MOD(AV29-FT_Y5,12)/FT_Int2))),IF(AO29="PT",IF(AV29&lt;PT_First,0,1+INT((AV29-PT_First)/PT_Int)),0)),0)+IF(AND(AG29&gt;=3,AJ29&lt;=PFYDate),IF(AP29="FT",IF(AU29&lt;FT_First,0,IF(AU29&lt;FT_Y5,1+INT((AU29-FT_First)/FT_Int1),FT_PreY5+FT_PerYear*INT((AU29-FT_Y5)/12)+FT_AnnivDays+INT(MOD(AU29-FT_Y5,12)/FT_Int2))),IF(AP29="PT",IF(AU29&lt;PT_First,0,1+INT((AU29-PT_First)/PT_Int)),0))-IF(AP29="FT",IF(AW29&lt;FT_First,0,IF(AW29&lt;FT_Y5,1+INT((AW29-FT_First)/FT_Int1),FT_PreY5+FT_PerYear*INT((AW29-FT_Y5)/12)+FT_AnnivDays+INT(MOD(AW29-FT_Y5,12)/FT_Int2))),IF(AP29="PT",IF(AW29&lt;PT_First,0,1+INT((AW29-PT_First)/PT_Int)),0)),0))</f>
        <v/>
      </c>
      <c r="AZ29" s="12" t="str">
        <f aca="false">IF(AE29=0,"",IF(AQ29="FT",IF(AR29&lt;FT_First,FT_First,IF(AR29&lt;FT_Y5,MIN(FT_Y5,FT_First+FT_Int1*(INT((AR29-FT_First)/FT_Int1)+1)),FT_Y5+12*INT((AR29-FT_Y5)/12)+FT_Int2*(INT(MOD(AR29-FT_Y5,12)/FT_Int2)+1))),IF(AQ29="PT",IF(AR29&lt;PT_First,PT_First,PT_First+PT_Int*(INT((AR29-PT_First)/PT_Int)+1)),"")))</f>
        <v/>
      </c>
      <c r="BA29" s="12" t="str">
        <f aca="false">IF(AE29=0,"",IF(NOT(LH_Ready),0,COUNTIFS(INDEX(LH_Data,0,LH_ColFirst),$A29,INDEX(LH_Data,0,LH_ColSur),$B29,INDEX(LH_Data,0,LH_ColCat),BonusCat)))</f>
        <v/>
      </c>
      <c r="BB29" s="12" t="str">
        <f aca="false">IF(AE29=0,"",IF(OR(NOT(LH_Ready),BA29=0),0,SUMPRODUCT(MAX((INDEX(LH_Data,0,LH_ColFirst)=$A29)*(INDEX(LH_Data,0,LH_ColSur)=$B29)*(INDEX(LH_Data,0,LH_ColCat)=BonusCat)*ROW(LH_Data)))))</f>
        <v/>
      </c>
    </row>
    <row r="30" customFormat="false" ht="15" hidden="false" customHeight="false" outlineLevel="0" collapsed="false">
      <c r="A30" s="15"/>
      <c r="B30" s="15"/>
      <c r="C30" s="15"/>
      <c r="D30" s="16"/>
      <c r="E30" s="10" t="str">
        <f aca="false">IF(OR(AE30=0,$D30=""),"",DATE(YEAR(AsOfDate)+IF(DATE(YEAR(AsOfDate),MONTH($D30),DAY($D30))&lt;=AsOfDate,1,0),MONTH($D30),DAY($D30)))</f>
        <v/>
      </c>
      <c r="F30" s="16"/>
      <c r="G30" s="16"/>
      <c r="H30" s="16"/>
      <c r="I30" s="16"/>
      <c r="J30" s="16"/>
      <c r="K30" s="10" t="str">
        <f aca="false">IF(AE30=0,"",DATE(YEAR(AsOfDate)+IF(DATE(YEAR(AsOfDate),MONTH($F30),DAY($F30))&lt;=AsOfDate,1,0),MONTH($F30),DAY($F30)))</f>
        <v/>
      </c>
      <c r="L30" s="11" t="str">
        <f aca="false">IF(AE30=0,"",ROUND((AsOfDate-$F30)/365.25,1))</f>
        <v/>
      </c>
      <c r="M30" s="12" t="str">
        <f aca="false">IF(AE30=0,"",IF(AsOfDate&lt;AF30,"-",DATEDIF(AF30,AsOfDate,"y")&amp;"y "&amp;DATEDIF(AF30,AsOfDate,"ym")&amp;"m "&amp;DATEDIF(AF30,AsOfDate,"md")&amp;"d"))</f>
        <v/>
      </c>
      <c r="N30" s="13" t="str">
        <f aca="false">IF(AE30=0,"",O30*HoursPerDay)</f>
        <v/>
      </c>
      <c r="O30" s="13" t="str">
        <f aca="false">IF(AE30=0,"",AX30)</f>
        <v/>
      </c>
      <c r="P30" s="17"/>
      <c r="Q30" s="12" t="str">
        <f aca="false">IF(AE30=0,"",IF(AG30&lt;2,"",AK30&amp;" to "&amp;AL30&amp;" on "&amp;TEXT(AI30,"dd/mm/yyyy")&amp;IF(AI30&gt;AsOfDate," (future)",IF(AN30=AO30,"",IF(AO30="None"," - STOPPED accruing",IF(AN30="None"," - now qualifying"," - pathway changed"))))&amp;IF(AG30&lt;3,"","; "&amp;AL30&amp;" to "&amp;AM30&amp;" on "&amp;TEXT(AJ30,"dd/mm/yyyy")&amp;IF(AJ30&gt;AsOfDate," (future)",IF(AO30=AP30,"",IF(AP30="None"," - STOPPED accruing",IF(AO30="None"," - now qualifying"," - pathway changed")))))))</f>
        <v/>
      </c>
      <c r="R30" s="12" t="str">
        <f aca="false">IF(AE30=0,"",IF(AQ30="None",IF(O30&gt;0,"No longer accruing","Not eligible - "&amp;IF(AND(OR(ISNUMBER(SEARCH("part",$C30)),UPPER(TRIM($C30))="PT",UPPER(TRIM($C30))="PTE"),$P30&lt;&gt;"",N($P30)&lt;PT_MinHours),"under "&amp;PT_MinHours&amp;" hrs",IF(IF($C30="","",IF(OR(ISNUMBER(SEARCH("full",$C30)),UPPER(TRIM($C30))="FT",UPPER(TRIM($C30))="FTE"),"Full-Time",IF(OR(ISNUMBER(SEARCH("part",$C30)),UPPER(TRIM($C30))="PT",UPPER(TRIM($C30))="PTE"),"Part-Time",IF(OR(ISNUMBER(SEARCH("cas",$C30)),UPPER(TRIM($C30))="CAS"),"Casual","Unknown"))))="Unknown","type not recognised",$C30))),IF(O30&gt;0,"Yes - accruing","Not yet - from "&amp;TEXT(S30,"dd/mm/yyyy"))))</f>
        <v/>
      </c>
      <c r="S30" s="10" t="str">
        <f aca="false">IF(AE30=0,"",IF(AQ30="None","",EDATE(AF30,AZ30)))</f>
        <v/>
      </c>
      <c r="T30" s="13" t="str">
        <f aca="false">IF(OR(AE30=0,W30=""),"",W30-U30+V30)</f>
        <v/>
      </c>
      <c r="U30" s="13" t="str">
        <f aca="false">IF(AE30=0,"",IF(NOT(LH_Ready),"",SUMIFS(INDEX(LH_Data,0,LH_ColAcc),INDEX(LH_Data,0,LH_ColFirst),$A30,INDEX(LH_Data,0,LH_ColSur),$B30,INDEX(LH_Data,0,LH_ColCat),BonusCat)*UnitFactor))</f>
        <v/>
      </c>
      <c r="V30" s="13" t="str">
        <f aca="false">IF(AE30=0,"",IF(NOT(LH_Ready),"",SUMIFS(INDEX(LH_Data,0,LH_ColTaken),INDEX(LH_Data,0,LH_ColFirst),$A30,INDEX(LH_Data,0,LH_ColSur),$B30,INDEX(LH_Data,0,LH_ColCat),BonusCat)*UnitFactor))</f>
        <v/>
      </c>
      <c r="W30" s="13" t="str">
        <f aca="false">IF(AE30=0,"",IF(NOT(LH_Ready),"",IF(BB30=0,0,INDEX(INDEX(LH_Data,0,LH_ColClose),BB30-1)*UnitFactor)))</f>
        <v/>
      </c>
      <c r="X30" s="13" t="str">
        <f aca="false">IF(AE30=0,"",(AX30-AY30)*HoursPerDay)</f>
        <v/>
      </c>
      <c r="Y30" s="13" t="str">
        <f aca="false">IF(AE30=0,"",IF(NOT(LH_Ready),"",IF(BA30=0,N30,X30-N(U30))))</f>
        <v/>
      </c>
      <c r="Z30" s="12" t="str">
        <f aca="false">IF(OR(AE30=0,Y30=""),"",IF(Y30&gt;0,"Yes","No"))</f>
        <v/>
      </c>
      <c r="AA30" s="12" t="str">
        <f aca="false">IF(AE30=0,IF(LEN($A30&amp;$B30)=0,"","FIX INPUT - StartDate missing"),IF(AD30&lt;&gt;"","FIX INPUT - "&amp;AD30,IF(NOT(LH_Ready),"Paste Leave History export (Settings must show YES)",IF(Y30&gt;0,"ACCRUE "&amp;ROUND(Y30,2)&amp;" hrs ("&amp;ROUND(Y30/HoursPerDay,2)&amp;" days)"&amp;IF(BA30=0," - no Bonus Leave in EH yet, full catch-up since start",""),IF(Y30&lt;0,"CHECK - EH accrued "&amp;ROUND(-Y30,2)&amp;""&amp;" hrs more than policy",IF(O30&gt;0,"OK - nothing to add",IF(AQ30="None",R30,"Not yet - first day on "&amp;TEXT(S30,"dd/mm/yyyy"))))))))</f>
        <v/>
      </c>
      <c r="AB30" s="13" t="str">
        <f aca="false">IF(OR(AE30=0,T30=""),"",AY30*HoursPerDay-T30)</f>
        <v/>
      </c>
      <c r="AC30" s="12" t="str">
        <f aca="false">IF(AE30=0,"",BA30)</f>
        <v/>
      </c>
      <c r="AD30" s="12" t="str">
        <f aca="false">IF(AE30=0,"",TRIM(IF(IF($C30="","",IF(OR(ISNUMBER(SEARCH("full",$C30)),UPPER(TRIM($C30))="FT",UPPER(TRIM($C30))="FTE"),"Full-Time",IF(OR(ISNUMBER(SEARCH("part",$C30)),UPPER(TRIM($C30))="PT",UPPER(TRIM($C30))="PTE"),"Part-Time",IF(OR(ISNUMBER(SEARCH("cas",$C30)),UPPER(TRIM($C30))="CAS"),"Casual","Unknown"))))="Unknown","EmploymentType not recognised - use Full-Time, Part-Time or Casual. ","")&amp;IF(AND(AG30&gt;=1,IF(AG30&gt;=3,AM30,IF(AG30=2,AL30,AK30))&lt;&gt;IF($C30="","",IF(OR(ISNUMBER(SEARCH("full",$C30)),UPPER(TRIM($C30))="FT",UPPER(TRIM($C30))="FTE"),"Full-Time",IF(OR(ISNUMBER(SEARCH("part",$C30)),UPPER(TRIM($C30))="PT",UPPER(TRIM($C30))="PTE"),"Part-Time",IF(OR(ISNUMBER(SEARCH("cas",$C30)),UPPER(TRIM($C30))="CAS"),"Casual","Unknown"))))),"EmploymentType does not match latest start date ("&amp;IF(AG30&gt;=3,AM30,IF(AG30=2,AL30,AK30))&amp;"). ","")&amp;IF(AND(AG30&gt;=1,AH30&lt;&gt;$F30),"Earliest type date should equal StartDate. ","")&amp;IF(AND(AG30&gt;=2,AH30=AI30),"Two types start on the same date. ","")&amp;IF(AND(OR(ISNUMBER(SEARCH("part",$C30)),UPPER(TRIM($C30))="PT",UPPER(TRIM($C30))="PTE"),$P30=""),"Part-time: enter PT Hrs/Week (blank = 24+). ","")))</f>
        <v/>
      </c>
      <c r="AE30" s="12" t="n">
        <f aca="false">IF(OR(LEN($A30&amp;$B30)=0,$F30=""),0,1)</f>
        <v>0</v>
      </c>
      <c r="AF30" s="10" t="str">
        <f aca="false">IF(AE30=0,"",IF($J30&lt;&gt;"",$J30,$F30))</f>
        <v/>
      </c>
      <c r="AG30" s="12" t="str">
        <f aca="false">IF(AE30=0,"",COUNT($G30:$I30))</f>
        <v/>
      </c>
      <c r="AH30" s="10" t="str">
        <f aca="false">IF(AE30=0,"",IFERROR(SMALL($G30:$I30,1),""))</f>
        <v/>
      </c>
      <c r="AI30" s="10" t="str">
        <f aca="false">IF(AE30=0,"",IFERROR(SMALL($G30:$I30,2),""))</f>
        <v/>
      </c>
      <c r="AJ30" s="10" t="str">
        <f aca="false">IF(AE30=0,"",IFERROR(SMALL($G30:$I30,3),""))</f>
        <v/>
      </c>
      <c r="AK30" s="12" t="str">
        <f aca="false">IF(AE30=0,"",IF(AH30="","",IF(AH30=$G30,"Part-Time",IF(AH30=$H30,"Full-Time","Casual"))))</f>
        <v/>
      </c>
      <c r="AL30" s="12" t="str">
        <f aca="false">IF(AE30=0,"",IF(AI30="","",IF(AI30=$G30,"Part-Time",IF(AI30=$H30,"Full-Time","Casual"))))</f>
        <v/>
      </c>
      <c r="AM30" s="12" t="str">
        <f aca="false">IF(AE30=0,"",IF(AJ30="","",IF(AJ30=$G30,"Part-Time",IF(AJ30=$H30,"Full-Time","Casual"))))</f>
        <v/>
      </c>
      <c r="AN30" s="12" t="str">
        <f aca="false">IF(AE30=0,"",IF(AG30=0,IF(OR(ISNUMBER(SEARCH("full",$C30)),UPPER(TRIM($C30))="FT",UPPER(TRIM($C30))="FTE"),"FT",IF(AND(OR(ISNUMBER(SEARCH("part",$C30)),UPPER(TRIM($C30))="PT",UPPER(TRIM($C30))="PTE"),OR($P30="",N($P30)&gt;=PT_MinHours)),"PT","None")),IF(OR(ISNUMBER(SEARCH("full",AK30)),UPPER(TRIM(AK30))="FT",UPPER(TRIM(AK30))="FTE"),"FT",IF(AND(OR(ISNUMBER(SEARCH("part",AK30)),UPPER(TRIM(AK30))="PT",UPPER(TRIM(AK30))="PTE"),OR($P30="",N($P30)&gt;=PT_MinHours)),"PT","None"))))</f>
        <v/>
      </c>
      <c r="AO30" s="12" t="str">
        <f aca="false">IF(AE30=0,"",IF(AG30&lt;2,"",IF(OR(ISNUMBER(SEARCH("full",AL30)),UPPER(TRIM(AL30))="FT",UPPER(TRIM(AL30))="FTE"),"FT",IF(AND(OR(ISNUMBER(SEARCH("part",AL30)),UPPER(TRIM(AL30))="PT",UPPER(TRIM(AL30))="PTE"),OR($P30="",N($P30)&gt;=PT_MinHours)),"PT","None"))))</f>
        <v/>
      </c>
      <c r="AP30" s="12" t="str">
        <f aca="false">IF(AE30=0,"",IF(AG30&lt;3,"",IF(OR(ISNUMBER(SEARCH("full",AM30)),UPPER(TRIM(AM30))="FT",UPPER(TRIM(AM30))="FTE"),"FT",IF(AND(OR(ISNUMBER(SEARCH("part",AM30)),UPPER(TRIM(AM30))="PT",UPPER(TRIM(AM30))="PTE"),OR($P30="",N($P30)&gt;=PT_MinHours)),"PT","None"))))</f>
        <v/>
      </c>
      <c r="AQ30" s="12" t="str">
        <f aca="false">IF(AE30=0,"",IF(AND(AG30&gt;=3,AJ30&lt;=AsOfDate),AP30,IF(AND(AG30&gt;=2,AI30&lt;=AsOfDate),AO30,AN30)))</f>
        <v/>
      </c>
      <c r="AR30" s="12" t="str">
        <f aca="false">IF(AE30=0,"",IF(AsOfDate&lt;AF30,-1,12*(YEAR(AsOfDate)-YEAR(AF30))+MONTH(AsOfDate)-MONTH(AF30)-IF(DAY(AsOfDate)&lt;MIN(DAY(AF30),DAY(EOMONTH(AsOfDate,0))),1,0)))</f>
        <v/>
      </c>
      <c r="AS30" s="12" t="str">
        <f aca="false">IF(AE30=0,"",IF(OR(AG30&lt;2,AI30&gt;AsOfDate),AR30,IF((AI30-1)&lt;AF30,-1,12*(YEAR((AI30-1))-YEAR(AF30))+MONTH((AI30-1))-MONTH(AF30)-IF(DAY((AI30-1))&lt;MIN(DAY(AF30),DAY(EOMONTH((AI30-1),0))),1,0))))</f>
        <v/>
      </c>
      <c r="AT30" s="12" t="str">
        <f aca="false">IF(AE30=0,"",IF(OR(AG30&lt;3,AJ30&gt;AsOfDate),AR30,IF((AJ30-1)&lt;AF30,-1,12*(YEAR((AJ30-1))-YEAR(AF30))+MONTH((AJ30-1))-MONTH(AF30)-IF(DAY((AJ30-1))&lt;MIN(DAY(AF30),DAY(EOMONTH((AJ30-1),0))),1,0))))</f>
        <v/>
      </c>
      <c r="AU30" s="12" t="str">
        <f aca="false">IF(AE30=0,"",IF(PFYDate&lt;AF30,-1,12*(YEAR(PFYDate)-YEAR(AF30))+MONTH(PFYDate)-MONTH(AF30)-IF(DAY(PFYDate)&lt;MIN(DAY(AF30),DAY(EOMONTH(PFYDate,0))),1,0)))</f>
        <v/>
      </c>
      <c r="AV30" s="12" t="str">
        <f aca="false">IF(AE30=0,"",IF(OR(AG30&lt;2,AI30&gt;PFYDate),AU30,IF((AI30-1)&lt;AF30,-1,12*(YEAR((AI30-1))-YEAR(AF30))+MONTH((AI30-1))-MONTH(AF30)-IF(DAY((AI30-1))&lt;MIN(DAY(AF30),DAY(EOMONTH((AI30-1),0))),1,0))))</f>
        <v/>
      </c>
      <c r="AW30" s="12" t="str">
        <f aca="false">IF(AE30=0,"",IF(OR(AG30&lt;3,AJ30&gt;PFYDate),AU30,IF((AJ30-1)&lt;AF30,-1,12*(YEAR((AJ30-1))-YEAR(AF30))+MONTH((AJ30-1))-MONTH(AF30)-IF(DAY((AJ30-1))&lt;MIN(DAY(AF30),DAY(EOMONTH((AJ30-1),0))),1,0))))</f>
        <v/>
      </c>
      <c r="AX30" s="12" t="str">
        <f aca="false">IF(AE30=0,"",IF(AN30="FT",IF(AS30&lt;FT_First,0,IF(AS30&lt;FT_Y5,1+INT((AS30-FT_First)/FT_Int1),FT_PreY5+FT_PerYear*INT((AS30-FT_Y5)/12)+FT_AnnivDays+INT(MOD(AS30-FT_Y5,12)/FT_Int2))),IF(AN30="PT",IF(AS30&lt;PT_First,0,1+INT((AS30-PT_First)/PT_Int)),0))+IF(AND(AG30&gt;=2,AI30&lt;=AsOfDate),IF(AO30="FT",IF(AT30&lt;FT_First,0,IF(AT30&lt;FT_Y5,1+INT((AT30-FT_First)/FT_Int1),FT_PreY5+FT_PerYear*INT((AT30-FT_Y5)/12)+FT_AnnivDays+INT(MOD(AT30-FT_Y5,12)/FT_Int2))),IF(AO30="PT",IF(AT30&lt;PT_First,0,1+INT((AT30-PT_First)/PT_Int)),0))-IF(AO30="FT",IF(AS30&lt;FT_First,0,IF(AS30&lt;FT_Y5,1+INT((AS30-FT_First)/FT_Int1),FT_PreY5+FT_PerYear*INT((AS30-FT_Y5)/12)+FT_AnnivDays+INT(MOD(AS30-FT_Y5,12)/FT_Int2))),IF(AO30="PT",IF(AS30&lt;PT_First,0,1+INT((AS30-PT_First)/PT_Int)),0)),0)+IF(AND(AG30&gt;=3,AJ30&lt;=AsOfDate),IF(AP30="FT",IF(AR30&lt;FT_First,0,IF(AR30&lt;FT_Y5,1+INT((AR30-FT_First)/FT_Int1),FT_PreY5+FT_PerYear*INT((AR30-FT_Y5)/12)+FT_AnnivDays+INT(MOD(AR30-FT_Y5,12)/FT_Int2))),IF(AP30="PT",IF(AR30&lt;PT_First,0,1+INT((AR30-PT_First)/PT_Int)),0))-IF(AP30="FT",IF(AT30&lt;FT_First,0,IF(AT30&lt;FT_Y5,1+INT((AT30-FT_First)/FT_Int1),FT_PreY5+FT_PerYear*INT((AT30-FT_Y5)/12)+FT_AnnivDays+INT(MOD(AT30-FT_Y5,12)/FT_Int2))),IF(AP30="PT",IF(AT30&lt;PT_First,0,1+INT((AT30-PT_First)/PT_Int)),0)),0))</f>
        <v/>
      </c>
      <c r="AY30" s="12" t="str">
        <f aca="false">IF(AE30=0,"",IF(AN30="FT",IF(AV30&lt;FT_First,0,IF(AV30&lt;FT_Y5,1+INT((AV30-FT_First)/FT_Int1),FT_PreY5+FT_PerYear*INT((AV30-FT_Y5)/12)+FT_AnnivDays+INT(MOD(AV30-FT_Y5,12)/FT_Int2))),IF(AN30="PT",IF(AV30&lt;PT_First,0,1+INT((AV30-PT_First)/PT_Int)),0))+IF(AND(AG30&gt;=2,AI30&lt;=PFYDate),IF(AO30="FT",IF(AW30&lt;FT_First,0,IF(AW30&lt;FT_Y5,1+INT((AW30-FT_First)/FT_Int1),FT_PreY5+FT_PerYear*INT((AW30-FT_Y5)/12)+FT_AnnivDays+INT(MOD(AW30-FT_Y5,12)/FT_Int2))),IF(AO30="PT",IF(AW30&lt;PT_First,0,1+INT((AW30-PT_First)/PT_Int)),0))-IF(AO30="FT",IF(AV30&lt;FT_First,0,IF(AV30&lt;FT_Y5,1+INT((AV30-FT_First)/FT_Int1),FT_PreY5+FT_PerYear*INT((AV30-FT_Y5)/12)+FT_AnnivDays+INT(MOD(AV30-FT_Y5,12)/FT_Int2))),IF(AO30="PT",IF(AV30&lt;PT_First,0,1+INT((AV30-PT_First)/PT_Int)),0)),0)+IF(AND(AG30&gt;=3,AJ30&lt;=PFYDate),IF(AP30="FT",IF(AU30&lt;FT_First,0,IF(AU30&lt;FT_Y5,1+INT((AU30-FT_First)/FT_Int1),FT_PreY5+FT_PerYear*INT((AU30-FT_Y5)/12)+FT_AnnivDays+INT(MOD(AU30-FT_Y5,12)/FT_Int2))),IF(AP30="PT",IF(AU30&lt;PT_First,0,1+INT((AU30-PT_First)/PT_Int)),0))-IF(AP30="FT",IF(AW30&lt;FT_First,0,IF(AW30&lt;FT_Y5,1+INT((AW30-FT_First)/FT_Int1),FT_PreY5+FT_PerYear*INT((AW30-FT_Y5)/12)+FT_AnnivDays+INT(MOD(AW30-FT_Y5,12)/FT_Int2))),IF(AP30="PT",IF(AW30&lt;PT_First,0,1+INT((AW30-PT_First)/PT_Int)),0)),0))</f>
        <v/>
      </c>
      <c r="AZ30" s="12" t="str">
        <f aca="false">IF(AE30=0,"",IF(AQ30="FT",IF(AR30&lt;FT_First,FT_First,IF(AR30&lt;FT_Y5,MIN(FT_Y5,FT_First+FT_Int1*(INT((AR30-FT_First)/FT_Int1)+1)),FT_Y5+12*INT((AR30-FT_Y5)/12)+FT_Int2*(INT(MOD(AR30-FT_Y5,12)/FT_Int2)+1))),IF(AQ30="PT",IF(AR30&lt;PT_First,PT_First,PT_First+PT_Int*(INT((AR30-PT_First)/PT_Int)+1)),"")))</f>
        <v/>
      </c>
      <c r="BA30" s="12" t="str">
        <f aca="false">IF(AE30=0,"",IF(NOT(LH_Ready),0,COUNTIFS(INDEX(LH_Data,0,LH_ColFirst),$A30,INDEX(LH_Data,0,LH_ColSur),$B30,INDEX(LH_Data,0,LH_ColCat),BonusCat)))</f>
        <v/>
      </c>
      <c r="BB30" s="12" t="str">
        <f aca="false">IF(AE30=0,"",IF(OR(NOT(LH_Ready),BA30=0),0,SUMPRODUCT(MAX((INDEX(LH_Data,0,LH_ColFirst)=$A30)*(INDEX(LH_Data,0,LH_ColSur)=$B30)*(INDEX(LH_Data,0,LH_ColCat)=BonusCat)*ROW(LH_Data)))))</f>
        <v/>
      </c>
    </row>
    <row r="31" customFormat="false" ht="15" hidden="false" customHeight="false" outlineLevel="0" collapsed="false">
      <c r="A31" s="15"/>
      <c r="B31" s="15"/>
      <c r="C31" s="15"/>
      <c r="D31" s="16"/>
      <c r="E31" s="10" t="str">
        <f aca="false">IF(OR(AE31=0,$D31=""),"",DATE(YEAR(AsOfDate)+IF(DATE(YEAR(AsOfDate),MONTH($D31),DAY($D31))&lt;=AsOfDate,1,0),MONTH($D31),DAY($D31)))</f>
        <v/>
      </c>
      <c r="F31" s="16"/>
      <c r="G31" s="16"/>
      <c r="H31" s="16"/>
      <c r="I31" s="16"/>
      <c r="J31" s="16"/>
      <c r="K31" s="10" t="str">
        <f aca="false">IF(AE31=0,"",DATE(YEAR(AsOfDate)+IF(DATE(YEAR(AsOfDate),MONTH($F31),DAY($F31))&lt;=AsOfDate,1,0),MONTH($F31),DAY($F31)))</f>
        <v/>
      </c>
      <c r="L31" s="11" t="str">
        <f aca="false">IF(AE31=0,"",ROUND((AsOfDate-$F31)/365.25,1))</f>
        <v/>
      </c>
      <c r="M31" s="12" t="str">
        <f aca="false">IF(AE31=0,"",IF(AsOfDate&lt;AF31,"-",DATEDIF(AF31,AsOfDate,"y")&amp;"y "&amp;DATEDIF(AF31,AsOfDate,"ym")&amp;"m "&amp;DATEDIF(AF31,AsOfDate,"md")&amp;"d"))</f>
        <v/>
      </c>
      <c r="N31" s="13" t="str">
        <f aca="false">IF(AE31=0,"",O31*HoursPerDay)</f>
        <v/>
      </c>
      <c r="O31" s="13" t="str">
        <f aca="false">IF(AE31=0,"",AX31)</f>
        <v/>
      </c>
      <c r="P31" s="17"/>
      <c r="Q31" s="12" t="str">
        <f aca="false">IF(AE31=0,"",IF(AG31&lt;2,"",AK31&amp;" to "&amp;AL31&amp;" on "&amp;TEXT(AI31,"dd/mm/yyyy")&amp;IF(AI31&gt;AsOfDate," (future)",IF(AN31=AO31,"",IF(AO31="None"," - STOPPED accruing",IF(AN31="None"," - now qualifying"," - pathway changed"))))&amp;IF(AG31&lt;3,"","; "&amp;AL31&amp;" to "&amp;AM31&amp;" on "&amp;TEXT(AJ31,"dd/mm/yyyy")&amp;IF(AJ31&gt;AsOfDate," (future)",IF(AO31=AP31,"",IF(AP31="None"," - STOPPED accruing",IF(AO31="None"," - now qualifying"," - pathway changed")))))))</f>
        <v/>
      </c>
      <c r="R31" s="12" t="str">
        <f aca="false">IF(AE31=0,"",IF(AQ31="None",IF(O31&gt;0,"No longer accruing","Not eligible - "&amp;IF(AND(OR(ISNUMBER(SEARCH("part",$C31)),UPPER(TRIM($C31))="PT",UPPER(TRIM($C31))="PTE"),$P31&lt;&gt;"",N($P31)&lt;PT_MinHours),"under "&amp;PT_MinHours&amp;" hrs",IF(IF($C31="","",IF(OR(ISNUMBER(SEARCH("full",$C31)),UPPER(TRIM($C31))="FT",UPPER(TRIM($C31))="FTE"),"Full-Time",IF(OR(ISNUMBER(SEARCH("part",$C31)),UPPER(TRIM($C31))="PT",UPPER(TRIM($C31))="PTE"),"Part-Time",IF(OR(ISNUMBER(SEARCH("cas",$C31)),UPPER(TRIM($C31))="CAS"),"Casual","Unknown"))))="Unknown","type not recognised",$C31))),IF(O31&gt;0,"Yes - accruing","Not yet - from "&amp;TEXT(S31,"dd/mm/yyyy"))))</f>
        <v/>
      </c>
      <c r="S31" s="10" t="str">
        <f aca="false">IF(AE31=0,"",IF(AQ31="None","",EDATE(AF31,AZ31)))</f>
        <v/>
      </c>
      <c r="T31" s="13" t="str">
        <f aca="false">IF(OR(AE31=0,W31=""),"",W31-U31+V31)</f>
        <v/>
      </c>
      <c r="U31" s="13" t="str">
        <f aca="false">IF(AE31=0,"",IF(NOT(LH_Ready),"",SUMIFS(INDEX(LH_Data,0,LH_ColAcc),INDEX(LH_Data,0,LH_ColFirst),$A31,INDEX(LH_Data,0,LH_ColSur),$B31,INDEX(LH_Data,0,LH_ColCat),BonusCat)*UnitFactor))</f>
        <v/>
      </c>
      <c r="V31" s="13" t="str">
        <f aca="false">IF(AE31=0,"",IF(NOT(LH_Ready),"",SUMIFS(INDEX(LH_Data,0,LH_ColTaken),INDEX(LH_Data,0,LH_ColFirst),$A31,INDEX(LH_Data,0,LH_ColSur),$B31,INDEX(LH_Data,0,LH_ColCat),BonusCat)*UnitFactor))</f>
        <v/>
      </c>
      <c r="W31" s="13" t="str">
        <f aca="false">IF(AE31=0,"",IF(NOT(LH_Ready),"",IF(BB31=0,0,INDEX(INDEX(LH_Data,0,LH_ColClose),BB31-1)*UnitFactor)))</f>
        <v/>
      </c>
      <c r="X31" s="13" t="str">
        <f aca="false">IF(AE31=0,"",(AX31-AY31)*HoursPerDay)</f>
        <v/>
      </c>
      <c r="Y31" s="13" t="str">
        <f aca="false">IF(AE31=0,"",IF(NOT(LH_Ready),"",IF(BA31=0,N31,X31-N(U31))))</f>
        <v/>
      </c>
      <c r="Z31" s="12" t="str">
        <f aca="false">IF(OR(AE31=0,Y31=""),"",IF(Y31&gt;0,"Yes","No"))</f>
        <v/>
      </c>
      <c r="AA31" s="12" t="str">
        <f aca="false">IF(AE31=0,IF(LEN($A31&amp;$B31)=0,"","FIX INPUT - StartDate missing"),IF(AD31&lt;&gt;"","FIX INPUT - "&amp;AD31,IF(NOT(LH_Ready),"Paste Leave History export (Settings must show YES)",IF(Y31&gt;0,"ACCRUE "&amp;ROUND(Y31,2)&amp;" hrs ("&amp;ROUND(Y31/HoursPerDay,2)&amp;" days)"&amp;IF(BA31=0," - no Bonus Leave in EH yet, full catch-up since start",""),IF(Y31&lt;0,"CHECK - EH accrued "&amp;ROUND(-Y31,2)&amp;""&amp;" hrs more than policy",IF(O31&gt;0,"OK - nothing to add",IF(AQ31="None",R31,"Not yet - first day on "&amp;TEXT(S31,"dd/mm/yyyy"))))))))</f>
        <v/>
      </c>
      <c r="AB31" s="13" t="str">
        <f aca="false">IF(OR(AE31=0,T31=""),"",AY31*HoursPerDay-T31)</f>
        <v/>
      </c>
      <c r="AC31" s="12" t="str">
        <f aca="false">IF(AE31=0,"",BA31)</f>
        <v/>
      </c>
      <c r="AD31" s="12" t="str">
        <f aca="false">IF(AE31=0,"",TRIM(IF(IF($C31="","",IF(OR(ISNUMBER(SEARCH("full",$C31)),UPPER(TRIM($C31))="FT",UPPER(TRIM($C31))="FTE"),"Full-Time",IF(OR(ISNUMBER(SEARCH("part",$C31)),UPPER(TRIM($C31))="PT",UPPER(TRIM($C31))="PTE"),"Part-Time",IF(OR(ISNUMBER(SEARCH("cas",$C31)),UPPER(TRIM($C31))="CAS"),"Casual","Unknown"))))="Unknown","EmploymentType not recognised - use Full-Time, Part-Time or Casual. ","")&amp;IF(AND(AG31&gt;=1,IF(AG31&gt;=3,AM31,IF(AG31=2,AL31,AK31))&lt;&gt;IF($C31="","",IF(OR(ISNUMBER(SEARCH("full",$C31)),UPPER(TRIM($C31))="FT",UPPER(TRIM($C31))="FTE"),"Full-Time",IF(OR(ISNUMBER(SEARCH("part",$C31)),UPPER(TRIM($C31))="PT",UPPER(TRIM($C31))="PTE"),"Part-Time",IF(OR(ISNUMBER(SEARCH("cas",$C31)),UPPER(TRIM($C31))="CAS"),"Casual","Unknown"))))),"EmploymentType does not match latest start date ("&amp;IF(AG31&gt;=3,AM31,IF(AG31=2,AL31,AK31))&amp;"). ","")&amp;IF(AND(AG31&gt;=1,AH31&lt;&gt;$F31),"Earliest type date should equal StartDate. ","")&amp;IF(AND(AG31&gt;=2,AH31=AI31),"Two types start on the same date. ","")&amp;IF(AND(OR(ISNUMBER(SEARCH("part",$C31)),UPPER(TRIM($C31))="PT",UPPER(TRIM($C31))="PTE"),$P31=""),"Part-time: enter PT Hrs/Week (blank = 24+). ","")))</f>
        <v/>
      </c>
      <c r="AE31" s="12" t="n">
        <f aca="false">IF(OR(LEN($A31&amp;$B31)=0,$F31=""),0,1)</f>
        <v>0</v>
      </c>
      <c r="AF31" s="10" t="str">
        <f aca="false">IF(AE31=0,"",IF($J31&lt;&gt;"",$J31,$F31))</f>
        <v/>
      </c>
      <c r="AG31" s="12" t="str">
        <f aca="false">IF(AE31=0,"",COUNT($G31:$I31))</f>
        <v/>
      </c>
      <c r="AH31" s="10" t="str">
        <f aca="false">IF(AE31=0,"",IFERROR(SMALL($G31:$I31,1),""))</f>
        <v/>
      </c>
      <c r="AI31" s="10" t="str">
        <f aca="false">IF(AE31=0,"",IFERROR(SMALL($G31:$I31,2),""))</f>
        <v/>
      </c>
      <c r="AJ31" s="10" t="str">
        <f aca="false">IF(AE31=0,"",IFERROR(SMALL($G31:$I31,3),""))</f>
        <v/>
      </c>
      <c r="AK31" s="12" t="str">
        <f aca="false">IF(AE31=0,"",IF(AH31="","",IF(AH31=$G31,"Part-Time",IF(AH31=$H31,"Full-Time","Casual"))))</f>
        <v/>
      </c>
      <c r="AL31" s="12" t="str">
        <f aca="false">IF(AE31=0,"",IF(AI31="","",IF(AI31=$G31,"Part-Time",IF(AI31=$H31,"Full-Time","Casual"))))</f>
        <v/>
      </c>
      <c r="AM31" s="12" t="str">
        <f aca="false">IF(AE31=0,"",IF(AJ31="","",IF(AJ31=$G31,"Part-Time",IF(AJ31=$H31,"Full-Time","Casual"))))</f>
        <v/>
      </c>
      <c r="AN31" s="12" t="str">
        <f aca="false">IF(AE31=0,"",IF(AG31=0,IF(OR(ISNUMBER(SEARCH("full",$C31)),UPPER(TRIM($C31))="FT",UPPER(TRIM($C31))="FTE"),"FT",IF(AND(OR(ISNUMBER(SEARCH("part",$C31)),UPPER(TRIM($C31))="PT",UPPER(TRIM($C31))="PTE"),OR($P31="",N($P31)&gt;=PT_MinHours)),"PT","None")),IF(OR(ISNUMBER(SEARCH("full",AK31)),UPPER(TRIM(AK31))="FT",UPPER(TRIM(AK31))="FTE"),"FT",IF(AND(OR(ISNUMBER(SEARCH("part",AK31)),UPPER(TRIM(AK31))="PT",UPPER(TRIM(AK31))="PTE"),OR($P31="",N($P31)&gt;=PT_MinHours)),"PT","None"))))</f>
        <v/>
      </c>
      <c r="AO31" s="12" t="str">
        <f aca="false">IF(AE31=0,"",IF(AG31&lt;2,"",IF(OR(ISNUMBER(SEARCH("full",AL31)),UPPER(TRIM(AL31))="FT",UPPER(TRIM(AL31))="FTE"),"FT",IF(AND(OR(ISNUMBER(SEARCH("part",AL31)),UPPER(TRIM(AL31))="PT",UPPER(TRIM(AL31))="PTE"),OR($P31="",N($P31)&gt;=PT_MinHours)),"PT","None"))))</f>
        <v/>
      </c>
      <c r="AP31" s="12" t="str">
        <f aca="false">IF(AE31=0,"",IF(AG31&lt;3,"",IF(OR(ISNUMBER(SEARCH("full",AM31)),UPPER(TRIM(AM31))="FT",UPPER(TRIM(AM31))="FTE"),"FT",IF(AND(OR(ISNUMBER(SEARCH("part",AM31)),UPPER(TRIM(AM31))="PT",UPPER(TRIM(AM31))="PTE"),OR($P31="",N($P31)&gt;=PT_MinHours)),"PT","None"))))</f>
        <v/>
      </c>
      <c r="AQ31" s="12" t="str">
        <f aca="false">IF(AE31=0,"",IF(AND(AG31&gt;=3,AJ31&lt;=AsOfDate),AP31,IF(AND(AG31&gt;=2,AI31&lt;=AsOfDate),AO31,AN31)))</f>
        <v/>
      </c>
      <c r="AR31" s="12" t="str">
        <f aca="false">IF(AE31=0,"",IF(AsOfDate&lt;AF31,-1,12*(YEAR(AsOfDate)-YEAR(AF31))+MONTH(AsOfDate)-MONTH(AF31)-IF(DAY(AsOfDate)&lt;MIN(DAY(AF31),DAY(EOMONTH(AsOfDate,0))),1,0)))</f>
        <v/>
      </c>
      <c r="AS31" s="12" t="str">
        <f aca="false">IF(AE31=0,"",IF(OR(AG31&lt;2,AI31&gt;AsOfDate),AR31,IF((AI31-1)&lt;AF31,-1,12*(YEAR((AI31-1))-YEAR(AF31))+MONTH((AI31-1))-MONTH(AF31)-IF(DAY((AI31-1))&lt;MIN(DAY(AF31),DAY(EOMONTH((AI31-1),0))),1,0))))</f>
        <v/>
      </c>
      <c r="AT31" s="12" t="str">
        <f aca="false">IF(AE31=0,"",IF(OR(AG31&lt;3,AJ31&gt;AsOfDate),AR31,IF((AJ31-1)&lt;AF31,-1,12*(YEAR((AJ31-1))-YEAR(AF31))+MONTH((AJ31-1))-MONTH(AF31)-IF(DAY((AJ31-1))&lt;MIN(DAY(AF31),DAY(EOMONTH((AJ31-1),0))),1,0))))</f>
        <v/>
      </c>
      <c r="AU31" s="12" t="str">
        <f aca="false">IF(AE31=0,"",IF(PFYDate&lt;AF31,-1,12*(YEAR(PFYDate)-YEAR(AF31))+MONTH(PFYDate)-MONTH(AF31)-IF(DAY(PFYDate)&lt;MIN(DAY(AF31),DAY(EOMONTH(PFYDate,0))),1,0)))</f>
        <v/>
      </c>
      <c r="AV31" s="12" t="str">
        <f aca="false">IF(AE31=0,"",IF(OR(AG31&lt;2,AI31&gt;PFYDate),AU31,IF((AI31-1)&lt;AF31,-1,12*(YEAR((AI31-1))-YEAR(AF31))+MONTH((AI31-1))-MONTH(AF31)-IF(DAY((AI31-1))&lt;MIN(DAY(AF31),DAY(EOMONTH((AI31-1),0))),1,0))))</f>
        <v/>
      </c>
      <c r="AW31" s="12" t="str">
        <f aca="false">IF(AE31=0,"",IF(OR(AG31&lt;3,AJ31&gt;PFYDate),AU31,IF((AJ31-1)&lt;AF31,-1,12*(YEAR((AJ31-1))-YEAR(AF31))+MONTH((AJ31-1))-MONTH(AF31)-IF(DAY((AJ31-1))&lt;MIN(DAY(AF31),DAY(EOMONTH((AJ31-1),0))),1,0))))</f>
        <v/>
      </c>
      <c r="AX31" s="12" t="str">
        <f aca="false">IF(AE31=0,"",IF(AN31="FT",IF(AS31&lt;FT_First,0,IF(AS31&lt;FT_Y5,1+INT((AS31-FT_First)/FT_Int1),FT_PreY5+FT_PerYear*INT((AS31-FT_Y5)/12)+FT_AnnivDays+INT(MOD(AS31-FT_Y5,12)/FT_Int2))),IF(AN31="PT",IF(AS31&lt;PT_First,0,1+INT((AS31-PT_First)/PT_Int)),0))+IF(AND(AG31&gt;=2,AI31&lt;=AsOfDate),IF(AO31="FT",IF(AT31&lt;FT_First,0,IF(AT31&lt;FT_Y5,1+INT((AT31-FT_First)/FT_Int1),FT_PreY5+FT_PerYear*INT((AT31-FT_Y5)/12)+FT_AnnivDays+INT(MOD(AT31-FT_Y5,12)/FT_Int2))),IF(AO31="PT",IF(AT31&lt;PT_First,0,1+INT((AT31-PT_First)/PT_Int)),0))-IF(AO31="FT",IF(AS31&lt;FT_First,0,IF(AS31&lt;FT_Y5,1+INT((AS31-FT_First)/FT_Int1),FT_PreY5+FT_PerYear*INT((AS31-FT_Y5)/12)+FT_AnnivDays+INT(MOD(AS31-FT_Y5,12)/FT_Int2))),IF(AO31="PT",IF(AS31&lt;PT_First,0,1+INT((AS31-PT_First)/PT_Int)),0)),0)+IF(AND(AG31&gt;=3,AJ31&lt;=AsOfDate),IF(AP31="FT",IF(AR31&lt;FT_First,0,IF(AR31&lt;FT_Y5,1+INT((AR31-FT_First)/FT_Int1),FT_PreY5+FT_PerYear*INT((AR31-FT_Y5)/12)+FT_AnnivDays+INT(MOD(AR31-FT_Y5,12)/FT_Int2))),IF(AP31="PT",IF(AR31&lt;PT_First,0,1+INT((AR31-PT_First)/PT_Int)),0))-IF(AP31="FT",IF(AT31&lt;FT_First,0,IF(AT31&lt;FT_Y5,1+INT((AT31-FT_First)/FT_Int1),FT_PreY5+FT_PerYear*INT((AT31-FT_Y5)/12)+FT_AnnivDays+INT(MOD(AT31-FT_Y5,12)/FT_Int2))),IF(AP31="PT",IF(AT31&lt;PT_First,0,1+INT((AT31-PT_First)/PT_Int)),0)),0))</f>
        <v/>
      </c>
      <c r="AY31" s="12" t="str">
        <f aca="false">IF(AE31=0,"",IF(AN31="FT",IF(AV31&lt;FT_First,0,IF(AV31&lt;FT_Y5,1+INT((AV31-FT_First)/FT_Int1),FT_PreY5+FT_PerYear*INT((AV31-FT_Y5)/12)+FT_AnnivDays+INT(MOD(AV31-FT_Y5,12)/FT_Int2))),IF(AN31="PT",IF(AV31&lt;PT_First,0,1+INT((AV31-PT_First)/PT_Int)),0))+IF(AND(AG31&gt;=2,AI31&lt;=PFYDate),IF(AO31="FT",IF(AW31&lt;FT_First,0,IF(AW31&lt;FT_Y5,1+INT((AW31-FT_First)/FT_Int1),FT_PreY5+FT_PerYear*INT((AW31-FT_Y5)/12)+FT_AnnivDays+INT(MOD(AW31-FT_Y5,12)/FT_Int2))),IF(AO31="PT",IF(AW31&lt;PT_First,0,1+INT((AW31-PT_First)/PT_Int)),0))-IF(AO31="FT",IF(AV31&lt;FT_First,0,IF(AV31&lt;FT_Y5,1+INT((AV31-FT_First)/FT_Int1),FT_PreY5+FT_PerYear*INT((AV31-FT_Y5)/12)+FT_AnnivDays+INT(MOD(AV31-FT_Y5,12)/FT_Int2))),IF(AO31="PT",IF(AV31&lt;PT_First,0,1+INT((AV31-PT_First)/PT_Int)),0)),0)+IF(AND(AG31&gt;=3,AJ31&lt;=PFYDate),IF(AP31="FT",IF(AU31&lt;FT_First,0,IF(AU31&lt;FT_Y5,1+INT((AU31-FT_First)/FT_Int1),FT_PreY5+FT_PerYear*INT((AU31-FT_Y5)/12)+FT_AnnivDays+INT(MOD(AU31-FT_Y5,12)/FT_Int2))),IF(AP31="PT",IF(AU31&lt;PT_First,0,1+INT((AU31-PT_First)/PT_Int)),0))-IF(AP31="FT",IF(AW31&lt;FT_First,0,IF(AW31&lt;FT_Y5,1+INT((AW31-FT_First)/FT_Int1),FT_PreY5+FT_PerYear*INT((AW31-FT_Y5)/12)+FT_AnnivDays+INT(MOD(AW31-FT_Y5,12)/FT_Int2))),IF(AP31="PT",IF(AW31&lt;PT_First,0,1+INT((AW31-PT_First)/PT_Int)),0)),0))</f>
        <v/>
      </c>
      <c r="AZ31" s="12" t="str">
        <f aca="false">IF(AE31=0,"",IF(AQ31="FT",IF(AR31&lt;FT_First,FT_First,IF(AR31&lt;FT_Y5,MIN(FT_Y5,FT_First+FT_Int1*(INT((AR31-FT_First)/FT_Int1)+1)),FT_Y5+12*INT((AR31-FT_Y5)/12)+FT_Int2*(INT(MOD(AR31-FT_Y5,12)/FT_Int2)+1))),IF(AQ31="PT",IF(AR31&lt;PT_First,PT_First,PT_First+PT_Int*(INT((AR31-PT_First)/PT_Int)+1)),"")))</f>
        <v/>
      </c>
      <c r="BA31" s="12" t="str">
        <f aca="false">IF(AE31=0,"",IF(NOT(LH_Ready),0,COUNTIFS(INDEX(LH_Data,0,LH_ColFirst),$A31,INDEX(LH_Data,0,LH_ColSur),$B31,INDEX(LH_Data,0,LH_ColCat),BonusCat)))</f>
        <v/>
      </c>
      <c r="BB31" s="12" t="str">
        <f aca="false">IF(AE31=0,"",IF(OR(NOT(LH_Ready),BA31=0),0,SUMPRODUCT(MAX((INDEX(LH_Data,0,LH_ColFirst)=$A31)*(INDEX(LH_Data,0,LH_ColSur)=$B31)*(INDEX(LH_Data,0,LH_ColCat)=BonusCat)*ROW(LH_Data)))))</f>
        <v/>
      </c>
    </row>
    <row r="32" customFormat="false" ht="15" hidden="false" customHeight="false" outlineLevel="0" collapsed="false">
      <c r="A32" s="15"/>
      <c r="B32" s="15"/>
      <c r="C32" s="15"/>
      <c r="D32" s="16"/>
      <c r="E32" s="10" t="str">
        <f aca="false">IF(OR(AE32=0,$D32=""),"",DATE(YEAR(AsOfDate)+IF(DATE(YEAR(AsOfDate),MONTH($D32),DAY($D32))&lt;=AsOfDate,1,0),MONTH($D32),DAY($D32)))</f>
        <v/>
      </c>
      <c r="F32" s="16"/>
      <c r="G32" s="16"/>
      <c r="H32" s="16"/>
      <c r="I32" s="16"/>
      <c r="J32" s="16"/>
      <c r="K32" s="10" t="str">
        <f aca="false">IF(AE32=0,"",DATE(YEAR(AsOfDate)+IF(DATE(YEAR(AsOfDate),MONTH($F32),DAY($F32))&lt;=AsOfDate,1,0),MONTH($F32),DAY($F32)))</f>
        <v/>
      </c>
      <c r="L32" s="11" t="str">
        <f aca="false">IF(AE32=0,"",ROUND((AsOfDate-$F32)/365.25,1))</f>
        <v/>
      </c>
      <c r="M32" s="12" t="str">
        <f aca="false">IF(AE32=0,"",IF(AsOfDate&lt;AF32,"-",DATEDIF(AF32,AsOfDate,"y")&amp;"y "&amp;DATEDIF(AF32,AsOfDate,"ym")&amp;"m "&amp;DATEDIF(AF32,AsOfDate,"md")&amp;"d"))</f>
        <v/>
      </c>
      <c r="N32" s="13" t="str">
        <f aca="false">IF(AE32=0,"",O32*HoursPerDay)</f>
        <v/>
      </c>
      <c r="O32" s="13" t="str">
        <f aca="false">IF(AE32=0,"",AX32)</f>
        <v/>
      </c>
      <c r="P32" s="17"/>
      <c r="Q32" s="12" t="str">
        <f aca="false">IF(AE32=0,"",IF(AG32&lt;2,"",AK32&amp;" to "&amp;AL32&amp;" on "&amp;TEXT(AI32,"dd/mm/yyyy")&amp;IF(AI32&gt;AsOfDate," (future)",IF(AN32=AO32,"",IF(AO32="None"," - STOPPED accruing",IF(AN32="None"," - now qualifying"," - pathway changed"))))&amp;IF(AG32&lt;3,"","; "&amp;AL32&amp;" to "&amp;AM32&amp;" on "&amp;TEXT(AJ32,"dd/mm/yyyy")&amp;IF(AJ32&gt;AsOfDate," (future)",IF(AO32=AP32,"",IF(AP32="None"," - STOPPED accruing",IF(AO32="None"," - now qualifying"," - pathway changed")))))))</f>
        <v/>
      </c>
      <c r="R32" s="12" t="str">
        <f aca="false">IF(AE32=0,"",IF(AQ32="None",IF(O32&gt;0,"No longer accruing","Not eligible - "&amp;IF(AND(OR(ISNUMBER(SEARCH("part",$C32)),UPPER(TRIM($C32))="PT",UPPER(TRIM($C32))="PTE"),$P32&lt;&gt;"",N($P32)&lt;PT_MinHours),"under "&amp;PT_MinHours&amp;" hrs",IF(IF($C32="","",IF(OR(ISNUMBER(SEARCH("full",$C32)),UPPER(TRIM($C32))="FT",UPPER(TRIM($C32))="FTE"),"Full-Time",IF(OR(ISNUMBER(SEARCH("part",$C32)),UPPER(TRIM($C32))="PT",UPPER(TRIM($C32))="PTE"),"Part-Time",IF(OR(ISNUMBER(SEARCH("cas",$C32)),UPPER(TRIM($C32))="CAS"),"Casual","Unknown"))))="Unknown","type not recognised",$C32))),IF(O32&gt;0,"Yes - accruing","Not yet - from "&amp;TEXT(S32,"dd/mm/yyyy"))))</f>
        <v/>
      </c>
      <c r="S32" s="10" t="str">
        <f aca="false">IF(AE32=0,"",IF(AQ32="None","",EDATE(AF32,AZ32)))</f>
        <v/>
      </c>
      <c r="T32" s="13" t="str">
        <f aca="false">IF(OR(AE32=0,W32=""),"",W32-U32+V32)</f>
        <v/>
      </c>
      <c r="U32" s="13" t="str">
        <f aca="false">IF(AE32=0,"",IF(NOT(LH_Ready),"",SUMIFS(INDEX(LH_Data,0,LH_ColAcc),INDEX(LH_Data,0,LH_ColFirst),$A32,INDEX(LH_Data,0,LH_ColSur),$B32,INDEX(LH_Data,0,LH_ColCat),BonusCat)*UnitFactor))</f>
        <v/>
      </c>
      <c r="V32" s="13" t="str">
        <f aca="false">IF(AE32=0,"",IF(NOT(LH_Ready),"",SUMIFS(INDEX(LH_Data,0,LH_ColTaken),INDEX(LH_Data,0,LH_ColFirst),$A32,INDEX(LH_Data,0,LH_ColSur),$B32,INDEX(LH_Data,0,LH_ColCat),BonusCat)*UnitFactor))</f>
        <v/>
      </c>
      <c r="W32" s="13" t="str">
        <f aca="false">IF(AE32=0,"",IF(NOT(LH_Ready),"",IF(BB32=0,0,INDEX(INDEX(LH_Data,0,LH_ColClose),BB32-1)*UnitFactor)))</f>
        <v/>
      </c>
      <c r="X32" s="13" t="str">
        <f aca="false">IF(AE32=0,"",(AX32-AY32)*HoursPerDay)</f>
        <v/>
      </c>
      <c r="Y32" s="13" t="str">
        <f aca="false">IF(AE32=0,"",IF(NOT(LH_Ready),"",IF(BA32=0,N32,X32-N(U32))))</f>
        <v/>
      </c>
      <c r="Z32" s="12" t="str">
        <f aca="false">IF(OR(AE32=0,Y32=""),"",IF(Y32&gt;0,"Yes","No"))</f>
        <v/>
      </c>
      <c r="AA32" s="12" t="str">
        <f aca="false">IF(AE32=0,IF(LEN($A32&amp;$B32)=0,"","FIX INPUT - StartDate missing"),IF(AD32&lt;&gt;"","FIX INPUT - "&amp;AD32,IF(NOT(LH_Ready),"Paste Leave History export (Settings must show YES)",IF(Y32&gt;0,"ACCRUE "&amp;ROUND(Y32,2)&amp;" hrs ("&amp;ROUND(Y32/HoursPerDay,2)&amp;" days)"&amp;IF(BA32=0," - no Bonus Leave in EH yet, full catch-up since start",""),IF(Y32&lt;0,"CHECK - EH accrued "&amp;ROUND(-Y32,2)&amp;""&amp;" hrs more than policy",IF(O32&gt;0,"OK - nothing to add",IF(AQ32="None",R32,"Not yet - first day on "&amp;TEXT(S32,"dd/mm/yyyy"))))))))</f>
        <v/>
      </c>
      <c r="AB32" s="13" t="str">
        <f aca="false">IF(OR(AE32=0,T32=""),"",AY32*HoursPerDay-T32)</f>
        <v/>
      </c>
      <c r="AC32" s="12" t="str">
        <f aca="false">IF(AE32=0,"",BA32)</f>
        <v/>
      </c>
      <c r="AD32" s="12" t="str">
        <f aca="false">IF(AE32=0,"",TRIM(IF(IF($C32="","",IF(OR(ISNUMBER(SEARCH("full",$C32)),UPPER(TRIM($C32))="FT",UPPER(TRIM($C32))="FTE"),"Full-Time",IF(OR(ISNUMBER(SEARCH("part",$C32)),UPPER(TRIM($C32))="PT",UPPER(TRIM($C32))="PTE"),"Part-Time",IF(OR(ISNUMBER(SEARCH("cas",$C32)),UPPER(TRIM($C32))="CAS"),"Casual","Unknown"))))="Unknown","EmploymentType not recognised - use Full-Time, Part-Time or Casual. ","")&amp;IF(AND(AG32&gt;=1,IF(AG32&gt;=3,AM32,IF(AG32=2,AL32,AK32))&lt;&gt;IF($C32="","",IF(OR(ISNUMBER(SEARCH("full",$C32)),UPPER(TRIM($C32))="FT",UPPER(TRIM($C32))="FTE"),"Full-Time",IF(OR(ISNUMBER(SEARCH("part",$C32)),UPPER(TRIM($C32))="PT",UPPER(TRIM($C32))="PTE"),"Part-Time",IF(OR(ISNUMBER(SEARCH("cas",$C32)),UPPER(TRIM($C32))="CAS"),"Casual","Unknown"))))),"EmploymentType does not match latest start date ("&amp;IF(AG32&gt;=3,AM32,IF(AG32=2,AL32,AK32))&amp;"). ","")&amp;IF(AND(AG32&gt;=1,AH32&lt;&gt;$F32),"Earliest type date should equal StartDate. ","")&amp;IF(AND(AG32&gt;=2,AH32=AI32),"Two types start on the same date. ","")&amp;IF(AND(OR(ISNUMBER(SEARCH("part",$C32)),UPPER(TRIM($C32))="PT",UPPER(TRIM($C32))="PTE"),$P32=""),"Part-time: enter PT Hrs/Week (blank = 24+). ","")))</f>
        <v/>
      </c>
      <c r="AE32" s="12" t="n">
        <f aca="false">IF(OR(LEN($A32&amp;$B32)=0,$F32=""),0,1)</f>
        <v>0</v>
      </c>
      <c r="AF32" s="10" t="str">
        <f aca="false">IF(AE32=0,"",IF($J32&lt;&gt;"",$J32,$F32))</f>
        <v/>
      </c>
      <c r="AG32" s="12" t="str">
        <f aca="false">IF(AE32=0,"",COUNT($G32:$I32))</f>
        <v/>
      </c>
      <c r="AH32" s="10" t="str">
        <f aca="false">IF(AE32=0,"",IFERROR(SMALL($G32:$I32,1),""))</f>
        <v/>
      </c>
      <c r="AI32" s="10" t="str">
        <f aca="false">IF(AE32=0,"",IFERROR(SMALL($G32:$I32,2),""))</f>
        <v/>
      </c>
      <c r="AJ32" s="10" t="str">
        <f aca="false">IF(AE32=0,"",IFERROR(SMALL($G32:$I32,3),""))</f>
        <v/>
      </c>
      <c r="AK32" s="12" t="str">
        <f aca="false">IF(AE32=0,"",IF(AH32="","",IF(AH32=$G32,"Part-Time",IF(AH32=$H32,"Full-Time","Casual"))))</f>
        <v/>
      </c>
      <c r="AL32" s="12" t="str">
        <f aca="false">IF(AE32=0,"",IF(AI32="","",IF(AI32=$G32,"Part-Time",IF(AI32=$H32,"Full-Time","Casual"))))</f>
        <v/>
      </c>
      <c r="AM32" s="12" t="str">
        <f aca="false">IF(AE32=0,"",IF(AJ32="","",IF(AJ32=$G32,"Part-Time",IF(AJ32=$H32,"Full-Time","Casual"))))</f>
        <v/>
      </c>
      <c r="AN32" s="12" t="str">
        <f aca="false">IF(AE32=0,"",IF(AG32=0,IF(OR(ISNUMBER(SEARCH("full",$C32)),UPPER(TRIM($C32))="FT",UPPER(TRIM($C32))="FTE"),"FT",IF(AND(OR(ISNUMBER(SEARCH("part",$C32)),UPPER(TRIM($C32))="PT",UPPER(TRIM($C32))="PTE"),OR($P32="",N($P32)&gt;=PT_MinHours)),"PT","None")),IF(OR(ISNUMBER(SEARCH("full",AK32)),UPPER(TRIM(AK32))="FT",UPPER(TRIM(AK32))="FTE"),"FT",IF(AND(OR(ISNUMBER(SEARCH("part",AK32)),UPPER(TRIM(AK32))="PT",UPPER(TRIM(AK32))="PTE"),OR($P32="",N($P32)&gt;=PT_MinHours)),"PT","None"))))</f>
        <v/>
      </c>
      <c r="AO32" s="12" t="str">
        <f aca="false">IF(AE32=0,"",IF(AG32&lt;2,"",IF(OR(ISNUMBER(SEARCH("full",AL32)),UPPER(TRIM(AL32))="FT",UPPER(TRIM(AL32))="FTE"),"FT",IF(AND(OR(ISNUMBER(SEARCH("part",AL32)),UPPER(TRIM(AL32))="PT",UPPER(TRIM(AL32))="PTE"),OR($P32="",N($P32)&gt;=PT_MinHours)),"PT","None"))))</f>
        <v/>
      </c>
      <c r="AP32" s="12" t="str">
        <f aca="false">IF(AE32=0,"",IF(AG32&lt;3,"",IF(OR(ISNUMBER(SEARCH("full",AM32)),UPPER(TRIM(AM32))="FT",UPPER(TRIM(AM32))="FTE"),"FT",IF(AND(OR(ISNUMBER(SEARCH("part",AM32)),UPPER(TRIM(AM32))="PT",UPPER(TRIM(AM32))="PTE"),OR($P32="",N($P32)&gt;=PT_MinHours)),"PT","None"))))</f>
        <v/>
      </c>
      <c r="AQ32" s="12" t="str">
        <f aca="false">IF(AE32=0,"",IF(AND(AG32&gt;=3,AJ32&lt;=AsOfDate),AP32,IF(AND(AG32&gt;=2,AI32&lt;=AsOfDate),AO32,AN32)))</f>
        <v/>
      </c>
      <c r="AR32" s="12" t="str">
        <f aca="false">IF(AE32=0,"",IF(AsOfDate&lt;AF32,-1,12*(YEAR(AsOfDate)-YEAR(AF32))+MONTH(AsOfDate)-MONTH(AF32)-IF(DAY(AsOfDate)&lt;MIN(DAY(AF32),DAY(EOMONTH(AsOfDate,0))),1,0)))</f>
        <v/>
      </c>
      <c r="AS32" s="12" t="str">
        <f aca="false">IF(AE32=0,"",IF(OR(AG32&lt;2,AI32&gt;AsOfDate),AR32,IF((AI32-1)&lt;AF32,-1,12*(YEAR((AI32-1))-YEAR(AF32))+MONTH((AI32-1))-MONTH(AF32)-IF(DAY((AI32-1))&lt;MIN(DAY(AF32),DAY(EOMONTH((AI32-1),0))),1,0))))</f>
        <v/>
      </c>
      <c r="AT32" s="12" t="str">
        <f aca="false">IF(AE32=0,"",IF(OR(AG32&lt;3,AJ32&gt;AsOfDate),AR32,IF((AJ32-1)&lt;AF32,-1,12*(YEAR((AJ32-1))-YEAR(AF32))+MONTH((AJ32-1))-MONTH(AF32)-IF(DAY((AJ32-1))&lt;MIN(DAY(AF32),DAY(EOMONTH((AJ32-1),0))),1,0))))</f>
        <v/>
      </c>
      <c r="AU32" s="12" t="str">
        <f aca="false">IF(AE32=0,"",IF(PFYDate&lt;AF32,-1,12*(YEAR(PFYDate)-YEAR(AF32))+MONTH(PFYDate)-MONTH(AF32)-IF(DAY(PFYDate)&lt;MIN(DAY(AF32),DAY(EOMONTH(PFYDate,0))),1,0)))</f>
        <v/>
      </c>
      <c r="AV32" s="12" t="str">
        <f aca="false">IF(AE32=0,"",IF(OR(AG32&lt;2,AI32&gt;PFYDate),AU32,IF((AI32-1)&lt;AF32,-1,12*(YEAR((AI32-1))-YEAR(AF32))+MONTH((AI32-1))-MONTH(AF32)-IF(DAY((AI32-1))&lt;MIN(DAY(AF32),DAY(EOMONTH((AI32-1),0))),1,0))))</f>
        <v/>
      </c>
      <c r="AW32" s="12" t="str">
        <f aca="false">IF(AE32=0,"",IF(OR(AG32&lt;3,AJ32&gt;PFYDate),AU32,IF((AJ32-1)&lt;AF32,-1,12*(YEAR((AJ32-1))-YEAR(AF32))+MONTH((AJ32-1))-MONTH(AF32)-IF(DAY((AJ32-1))&lt;MIN(DAY(AF32),DAY(EOMONTH((AJ32-1),0))),1,0))))</f>
        <v/>
      </c>
      <c r="AX32" s="12" t="str">
        <f aca="false">IF(AE32=0,"",IF(AN32="FT",IF(AS32&lt;FT_First,0,IF(AS32&lt;FT_Y5,1+INT((AS32-FT_First)/FT_Int1),FT_PreY5+FT_PerYear*INT((AS32-FT_Y5)/12)+FT_AnnivDays+INT(MOD(AS32-FT_Y5,12)/FT_Int2))),IF(AN32="PT",IF(AS32&lt;PT_First,0,1+INT((AS32-PT_First)/PT_Int)),0))+IF(AND(AG32&gt;=2,AI32&lt;=AsOfDate),IF(AO32="FT",IF(AT32&lt;FT_First,0,IF(AT32&lt;FT_Y5,1+INT((AT32-FT_First)/FT_Int1),FT_PreY5+FT_PerYear*INT((AT32-FT_Y5)/12)+FT_AnnivDays+INT(MOD(AT32-FT_Y5,12)/FT_Int2))),IF(AO32="PT",IF(AT32&lt;PT_First,0,1+INT((AT32-PT_First)/PT_Int)),0))-IF(AO32="FT",IF(AS32&lt;FT_First,0,IF(AS32&lt;FT_Y5,1+INT((AS32-FT_First)/FT_Int1),FT_PreY5+FT_PerYear*INT((AS32-FT_Y5)/12)+FT_AnnivDays+INT(MOD(AS32-FT_Y5,12)/FT_Int2))),IF(AO32="PT",IF(AS32&lt;PT_First,0,1+INT((AS32-PT_First)/PT_Int)),0)),0)+IF(AND(AG32&gt;=3,AJ32&lt;=AsOfDate),IF(AP32="FT",IF(AR32&lt;FT_First,0,IF(AR32&lt;FT_Y5,1+INT((AR32-FT_First)/FT_Int1),FT_PreY5+FT_PerYear*INT((AR32-FT_Y5)/12)+FT_AnnivDays+INT(MOD(AR32-FT_Y5,12)/FT_Int2))),IF(AP32="PT",IF(AR32&lt;PT_First,0,1+INT((AR32-PT_First)/PT_Int)),0))-IF(AP32="FT",IF(AT32&lt;FT_First,0,IF(AT32&lt;FT_Y5,1+INT((AT32-FT_First)/FT_Int1),FT_PreY5+FT_PerYear*INT((AT32-FT_Y5)/12)+FT_AnnivDays+INT(MOD(AT32-FT_Y5,12)/FT_Int2))),IF(AP32="PT",IF(AT32&lt;PT_First,0,1+INT((AT32-PT_First)/PT_Int)),0)),0))</f>
        <v/>
      </c>
      <c r="AY32" s="12" t="str">
        <f aca="false">IF(AE32=0,"",IF(AN32="FT",IF(AV32&lt;FT_First,0,IF(AV32&lt;FT_Y5,1+INT((AV32-FT_First)/FT_Int1),FT_PreY5+FT_PerYear*INT((AV32-FT_Y5)/12)+FT_AnnivDays+INT(MOD(AV32-FT_Y5,12)/FT_Int2))),IF(AN32="PT",IF(AV32&lt;PT_First,0,1+INT((AV32-PT_First)/PT_Int)),0))+IF(AND(AG32&gt;=2,AI32&lt;=PFYDate),IF(AO32="FT",IF(AW32&lt;FT_First,0,IF(AW32&lt;FT_Y5,1+INT((AW32-FT_First)/FT_Int1),FT_PreY5+FT_PerYear*INT((AW32-FT_Y5)/12)+FT_AnnivDays+INT(MOD(AW32-FT_Y5,12)/FT_Int2))),IF(AO32="PT",IF(AW32&lt;PT_First,0,1+INT((AW32-PT_First)/PT_Int)),0))-IF(AO32="FT",IF(AV32&lt;FT_First,0,IF(AV32&lt;FT_Y5,1+INT((AV32-FT_First)/FT_Int1),FT_PreY5+FT_PerYear*INT((AV32-FT_Y5)/12)+FT_AnnivDays+INT(MOD(AV32-FT_Y5,12)/FT_Int2))),IF(AO32="PT",IF(AV32&lt;PT_First,0,1+INT((AV32-PT_First)/PT_Int)),0)),0)+IF(AND(AG32&gt;=3,AJ32&lt;=PFYDate),IF(AP32="FT",IF(AU32&lt;FT_First,0,IF(AU32&lt;FT_Y5,1+INT((AU32-FT_First)/FT_Int1),FT_PreY5+FT_PerYear*INT((AU32-FT_Y5)/12)+FT_AnnivDays+INT(MOD(AU32-FT_Y5,12)/FT_Int2))),IF(AP32="PT",IF(AU32&lt;PT_First,0,1+INT((AU32-PT_First)/PT_Int)),0))-IF(AP32="FT",IF(AW32&lt;FT_First,0,IF(AW32&lt;FT_Y5,1+INT((AW32-FT_First)/FT_Int1),FT_PreY5+FT_PerYear*INT((AW32-FT_Y5)/12)+FT_AnnivDays+INT(MOD(AW32-FT_Y5,12)/FT_Int2))),IF(AP32="PT",IF(AW32&lt;PT_First,0,1+INT((AW32-PT_First)/PT_Int)),0)),0))</f>
        <v/>
      </c>
      <c r="AZ32" s="12" t="str">
        <f aca="false">IF(AE32=0,"",IF(AQ32="FT",IF(AR32&lt;FT_First,FT_First,IF(AR32&lt;FT_Y5,MIN(FT_Y5,FT_First+FT_Int1*(INT((AR32-FT_First)/FT_Int1)+1)),FT_Y5+12*INT((AR32-FT_Y5)/12)+FT_Int2*(INT(MOD(AR32-FT_Y5,12)/FT_Int2)+1))),IF(AQ32="PT",IF(AR32&lt;PT_First,PT_First,PT_First+PT_Int*(INT((AR32-PT_First)/PT_Int)+1)),"")))</f>
        <v/>
      </c>
      <c r="BA32" s="12" t="str">
        <f aca="false">IF(AE32=0,"",IF(NOT(LH_Ready),0,COUNTIFS(INDEX(LH_Data,0,LH_ColFirst),$A32,INDEX(LH_Data,0,LH_ColSur),$B32,INDEX(LH_Data,0,LH_ColCat),BonusCat)))</f>
        <v/>
      </c>
      <c r="BB32" s="12" t="str">
        <f aca="false">IF(AE32=0,"",IF(OR(NOT(LH_Ready),BA32=0),0,SUMPRODUCT(MAX((INDEX(LH_Data,0,LH_ColFirst)=$A32)*(INDEX(LH_Data,0,LH_ColSur)=$B32)*(INDEX(LH_Data,0,LH_ColCat)=BonusCat)*ROW(LH_Data)))))</f>
        <v/>
      </c>
    </row>
    <row r="33" customFormat="false" ht="15" hidden="false" customHeight="false" outlineLevel="0" collapsed="false">
      <c r="A33" s="15"/>
      <c r="B33" s="15"/>
      <c r="C33" s="15"/>
      <c r="D33" s="16"/>
      <c r="E33" s="10" t="str">
        <f aca="false">IF(OR(AE33=0,$D33=""),"",DATE(YEAR(AsOfDate)+IF(DATE(YEAR(AsOfDate),MONTH($D33),DAY($D33))&lt;=AsOfDate,1,0),MONTH($D33),DAY($D33)))</f>
        <v/>
      </c>
      <c r="F33" s="16"/>
      <c r="G33" s="16"/>
      <c r="H33" s="16"/>
      <c r="I33" s="16"/>
      <c r="J33" s="16"/>
      <c r="K33" s="10" t="str">
        <f aca="false">IF(AE33=0,"",DATE(YEAR(AsOfDate)+IF(DATE(YEAR(AsOfDate),MONTH($F33),DAY($F33))&lt;=AsOfDate,1,0),MONTH($F33),DAY($F33)))</f>
        <v/>
      </c>
      <c r="L33" s="11" t="str">
        <f aca="false">IF(AE33=0,"",ROUND((AsOfDate-$F33)/365.25,1))</f>
        <v/>
      </c>
      <c r="M33" s="12" t="str">
        <f aca="false">IF(AE33=0,"",IF(AsOfDate&lt;AF33,"-",DATEDIF(AF33,AsOfDate,"y")&amp;"y "&amp;DATEDIF(AF33,AsOfDate,"ym")&amp;"m "&amp;DATEDIF(AF33,AsOfDate,"md")&amp;"d"))</f>
        <v/>
      </c>
      <c r="N33" s="13" t="str">
        <f aca="false">IF(AE33=0,"",O33*HoursPerDay)</f>
        <v/>
      </c>
      <c r="O33" s="13" t="str">
        <f aca="false">IF(AE33=0,"",AX33)</f>
        <v/>
      </c>
      <c r="P33" s="17"/>
      <c r="Q33" s="12" t="str">
        <f aca="false">IF(AE33=0,"",IF(AG33&lt;2,"",AK33&amp;" to "&amp;AL33&amp;" on "&amp;TEXT(AI33,"dd/mm/yyyy")&amp;IF(AI33&gt;AsOfDate," (future)",IF(AN33=AO33,"",IF(AO33="None"," - STOPPED accruing",IF(AN33="None"," - now qualifying"," - pathway changed"))))&amp;IF(AG33&lt;3,"","; "&amp;AL33&amp;" to "&amp;AM33&amp;" on "&amp;TEXT(AJ33,"dd/mm/yyyy")&amp;IF(AJ33&gt;AsOfDate," (future)",IF(AO33=AP33,"",IF(AP33="None"," - STOPPED accruing",IF(AO33="None"," - now qualifying"," - pathway changed")))))))</f>
        <v/>
      </c>
      <c r="R33" s="12" t="str">
        <f aca="false">IF(AE33=0,"",IF(AQ33="None",IF(O33&gt;0,"No longer accruing","Not eligible - "&amp;IF(AND(OR(ISNUMBER(SEARCH("part",$C33)),UPPER(TRIM($C33))="PT",UPPER(TRIM($C33))="PTE"),$P33&lt;&gt;"",N($P33)&lt;PT_MinHours),"under "&amp;PT_MinHours&amp;" hrs",IF(IF($C33="","",IF(OR(ISNUMBER(SEARCH("full",$C33)),UPPER(TRIM($C33))="FT",UPPER(TRIM($C33))="FTE"),"Full-Time",IF(OR(ISNUMBER(SEARCH("part",$C33)),UPPER(TRIM($C33))="PT",UPPER(TRIM($C33))="PTE"),"Part-Time",IF(OR(ISNUMBER(SEARCH("cas",$C33)),UPPER(TRIM($C33))="CAS"),"Casual","Unknown"))))="Unknown","type not recognised",$C33))),IF(O33&gt;0,"Yes - accruing","Not yet - from "&amp;TEXT(S33,"dd/mm/yyyy"))))</f>
        <v/>
      </c>
      <c r="S33" s="10" t="str">
        <f aca="false">IF(AE33=0,"",IF(AQ33="None","",EDATE(AF33,AZ33)))</f>
        <v/>
      </c>
      <c r="T33" s="13" t="str">
        <f aca="false">IF(OR(AE33=0,W33=""),"",W33-U33+V33)</f>
        <v/>
      </c>
      <c r="U33" s="13" t="str">
        <f aca="false">IF(AE33=0,"",IF(NOT(LH_Ready),"",SUMIFS(INDEX(LH_Data,0,LH_ColAcc),INDEX(LH_Data,0,LH_ColFirst),$A33,INDEX(LH_Data,0,LH_ColSur),$B33,INDEX(LH_Data,0,LH_ColCat),BonusCat)*UnitFactor))</f>
        <v/>
      </c>
      <c r="V33" s="13" t="str">
        <f aca="false">IF(AE33=0,"",IF(NOT(LH_Ready),"",SUMIFS(INDEX(LH_Data,0,LH_ColTaken),INDEX(LH_Data,0,LH_ColFirst),$A33,INDEX(LH_Data,0,LH_ColSur),$B33,INDEX(LH_Data,0,LH_ColCat),BonusCat)*UnitFactor))</f>
        <v/>
      </c>
      <c r="W33" s="13" t="str">
        <f aca="false">IF(AE33=0,"",IF(NOT(LH_Ready),"",IF(BB33=0,0,INDEX(INDEX(LH_Data,0,LH_ColClose),BB33-1)*UnitFactor)))</f>
        <v/>
      </c>
      <c r="X33" s="13" t="str">
        <f aca="false">IF(AE33=0,"",(AX33-AY33)*HoursPerDay)</f>
        <v/>
      </c>
      <c r="Y33" s="13" t="str">
        <f aca="false">IF(AE33=0,"",IF(NOT(LH_Ready),"",IF(BA33=0,N33,X33-N(U33))))</f>
        <v/>
      </c>
      <c r="Z33" s="12" t="str">
        <f aca="false">IF(OR(AE33=0,Y33=""),"",IF(Y33&gt;0,"Yes","No"))</f>
        <v/>
      </c>
      <c r="AA33" s="12" t="str">
        <f aca="false">IF(AE33=0,IF(LEN($A33&amp;$B33)=0,"","FIX INPUT - StartDate missing"),IF(AD33&lt;&gt;"","FIX INPUT - "&amp;AD33,IF(NOT(LH_Ready),"Paste Leave History export (Settings must show YES)",IF(Y33&gt;0,"ACCRUE "&amp;ROUND(Y33,2)&amp;" hrs ("&amp;ROUND(Y33/HoursPerDay,2)&amp;" days)"&amp;IF(BA33=0," - no Bonus Leave in EH yet, full catch-up since start",""),IF(Y33&lt;0,"CHECK - EH accrued "&amp;ROUND(-Y33,2)&amp;""&amp;" hrs more than policy",IF(O33&gt;0,"OK - nothing to add",IF(AQ33="None",R33,"Not yet - first day on "&amp;TEXT(S33,"dd/mm/yyyy"))))))))</f>
        <v/>
      </c>
      <c r="AB33" s="13" t="str">
        <f aca="false">IF(OR(AE33=0,T33=""),"",AY33*HoursPerDay-T33)</f>
        <v/>
      </c>
      <c r="AC33" s="12" t="str">
        <f aca="false">IF(AE33=0,"",BA33)</f>
        <v/>
      </c>
      <c r="AD33" s="12" t="str">
        <f aca="false">IF(AE33=0,"",TRIM(IF(IF($C33="","",IF(OR(ISNUMBER(SEARCH("full",$C33)),UPPER(TRIM($C33))="FT",UPPER(TRIM($C33))="FTE"),"Full-Time",IF(OR(ISNUMBER(SEARCH("part",$C33)),UPPER(TRIM($C33))="PT",UPPER(TRIM($C33))="PTE"),"Part-Time",IF(OR(ISNUMBER(SEARCH("cas",$C33)),UPPER(TRIM($C33))="CAS"),"Casual","Unknown"))))="Unknown","EmploymentType not recognised - use Full-Time, Part-Time or Casual. ","")&amp;IF(AND(AG33&gt;=1,IF(AG33&gt;=3,AM33,IF(AG33=2,AL33,AK33))&lt;&gt;IF($C33="","",IF(OR(ISNUMBER(SEARCH("full",$C33)),UPPER(TRIM($C33))="FT",UPPER(TRIM($C33))="FTE"),"Full-Time",IF(OR(ISNUMBER(SEARCH("part",$C33)),UPPER(TRIM($C33))="PT",UPPER(TRIM($C33))="PTE"),"Part-Time",IF(OR(ISNUMBER(SEARCH("cas",$C33)),UPPER(TRIM($C33))="CAS"),"Casual","Unknown"))))),"EmploymentType does not match latest start date ("&amp;IF(AG33&gt;=3,AM33,IF(AG33=2,AL33,AK33))&amp;"). ","")&amp;IF(AND(AG33&gt;=1,AH33&lt;&gt;$F33),"Earliest type date should equal StartDate. ","")&amp;IF(AND(AG33&gt;=2,AH33=AI33),"Two types start on the same date. ","")&amp;IF(AND(OR(ISNUMBER(SEARCH("part",$C33)),UPPER(TRIM($C33))="PT",UPPER(TRIM($C33))="PTE"),$P33=""),"Part-time: enter PT Hrs/Week (blank = 24+). ","")))</f>
        <v/>
      </c>
      <c r="AE33" s="12" t="n">
        <f aca="false">IF(OR(LEN($A33&amp;$B33)=0,$F33=""),0,1)</f>
        <v>0</v>
      </c>
      <c r="AF33" s="10" t="str">
        <f aca="false">IF(AE33=0,"",IF($J33&lt;&gt;"",$J33,$F33))</f>
        <v/>
      </c>
      <c r="AG33" s="12" t="str">
        <f aca="false">IF(AE33=0,"",COUNT($G33:$I33))</f>
        <v/>
      </c>
      <c r="AH33" s="10" t="str">
        <f aca="false">IF(AE33=0,"",IFERROR(SMALL($G33:$I33,1),""))</f>
        <v/>
      </c>
      <c r="AI33" s="10" t="str">
        <f aca="false">IF(AE33=0,"",IFERROR(SMALL($G33:$I33,2),""))</f>
        <v/>
      </c>
      <c r="AJ33" s="10" t="str">
        <f aca="false">IF(AE33=0,"",IFERROR(SMALL($G33:$I33,3),""))</f>
        <v/>
      </c>
      <c r="AK33" s="12" t="str">
        <f aca="false">IF(AE33=0,"",IF(AH33="","",IF(AH33=$G33,"Part-Time",IF(AH33=$H33,"Full-Time","Casual"))))</f>
        <v/>
      </c>
      <c r="AL33" s="12" t="str">
        <f aca="false">IF(AE33=0,"",IF(AI33="","",IF(AI33=$G33,"Part-Time",IF(AI33=$H33,"Full-Time","Casual"))))</f>
        <v/>
      </c>
      <c r="AM33" s="12" t="str">
        <f aca="false">IF(AE33=0,"",IF(AJ33="","",IF(AJ33=$G33,"Part-Time",IF(AJ33=$H33,"Full-Time","Casual"))))</f>
        <v/>
      </c>
      <c r="AN33" s="12" t="str">
        <f aca="false">IF(AE33=0,"",IF(AG33=0,IF(OR(ISNUMBER(SEARCH("full",$C33)),UPPER(TRIM($C33))="FT",UPPER(TRIM($C33))="FTE"),"FT",IF(AND(OR(ISNUMBER(SEARCH("part",$C33)),UPPER(TRIM($C33))="PT",UPPER(TRIM($C33))="PTE"),OR($P33="",N($P33)&gt;=PT_MinHours)),"PT","None")),IF(OR(ISNUMBER(SEARCH("full",AK33)),UPPER(TRIM(AK33))="FT",UPPER(TRIM(AK33))="FTE"),"FT",IF(AND(OR(ISNUMBER(SEARCH("part",AK33)),UPPER(TRIM(AK33))="PT",UPPER(TRIM(AK33))="PTE"),OR($P33="",N($P33)&gt;=PT_MinHours)),"PT","None"))))</f>
        <v/>
      </c>
      <c r="AO33" s="12" t="str">
        <f aca="false">IF(AE33=0,"",IF(AG33&lt;2,"",IF(OR(ISNUMBER(SEARCH("full",AL33)),UPPER(TRIM(AL33))="FT",UPPER(TRIM(AL33))="FTE"),"FT",IF(AND(OR(ISNUMBER(SEARCH("part",AL33)),UPPER(TRIM(AL33))="PT",UPPER(TRIM(AL33))="PTE"),OR($P33="",N($P33)&gt;=PT_MinHours)),"PT","None"))))</f>
        <v/>
      </c>
      <c r="AP33" s="12" t="str">
        <f aca="false">IF(AE33=0,"",IF(AG33&lt;3,"",IF(OR(ISNUMBER(SEARCH("full",AM33)),UPPER(TRIM(AM33))="FT",UPPER(TRIM(AM33))="FTE"),"FT",IF(AND(OR(ISNUMBER(SEARCH("part",AM33)),UPPER(TRIM(AM33))="PT",UPPER(TRIM(AM33))="PTE"),OR($P33="",N($P33)&gt;=PT_MinHours)),"PT","None"))))</f>
        <v/>
      </c>
      <c r="AQ33" s="12" t="str">
        <f aca="false">IF(AE33=0,"",IF(AND(AG33&gt;=3,AJ33&lt;=AsOfDate),AP33,IF(AND(AG33&gt;=2,AI33&lt;=AsOfDate),AO33,AN33)))</f>
        <v/>
      </c>
      <c r="AR33" s="12" t="str">
        <f aca="false">IF(AE33=0,"",IF(AsOfDate&lt;AF33,-1,12*(YEAR(AsOfDate)-YEAR(AF33))+MONTH(AsOfDate)-MONTH(AF33)-IF(DAY(AsOfDate)&lt;MIN(DAY(AF33),DAY(EOMONTH(AsOfDate,0))),1,0)))</f>
        <v/>
      </c>
      <c r="AS33" s="12" t="str">
        <f aca="false">IF(AE33=0,"",IF(OR(AG33&lt;2,AI33&gt;AsOfDate),AR33,IF((AI33-1)&lt;AF33,-1,12*(YEAR((AI33-1))-YEAR(AF33))+MONTH((AI33-1))-MONTH(AF33)-IF(DAY((AI33-1))&lt;MIN(DAY(AF33),DAY(EOMONTH((AI33-1),0))),1,0))))</f>
        <v/>
      </c>
      <c r="AT33" s="12" t="str">
        <f aca="false">IF(AE33=0,"",IF(OR(AG33&lt;3,AJ33&gt;AsOfDate),AR33,IF((AJ33-1)&lt;AF33,-1,12*(YEAR((AJ33-1))-YEAR(AF33))+MONTH((AJ33-1))-MONTH(AF33)-IF(DAY((AJ33-1))&lt;MIN(DAY(AF33),DAY(EOMONTH((AJ33-1),0))),1,0))))</f>
        <v/>
      </c>
      <c r="AU33" s="12" t="str">
        <f aca="false">IF(AE33=0,"",IF(PFYDate&lt;AF33,-1,12*(YEAR(PFYDate)-YEAR(AF33))+MONTH(PFYDate)-MONTH(AF33)-IF(DAY(PFYDate)&lt;MIN(DAY(AF33),DAY(EOMONTH(PFYDate,0))),1,0)))</f>
        <v/>
      </c>
      <c r="AV33" s="12" t="str">
        <f aca="false">IF(AE33=0,"",IF(OR(AG33&lt;2,AI33&gt;PFYDate),AU33,IF((AI33-1)&lt;AF33,-1,12*(YEAR((AI33-1))-YEAR(AF33))+MONTH((AI33-1))-MONTH(AF33)-IF(DAY((AI33-1))&lt;MIN(DAY(AF33),DAY(EOMONTH((AI33-1),0))),1,0))))</f>
        <v/>
      </c>
      <c r="AW33" s="12" t="str">
        <f aca="false">IF(AE33=0,"",IF(OR(AG33&lt;3,AJ33&gt;PFYDate),AU33,IF((AJ33-1)&lt;AF33,-1,12*(YEAR((AJ33-1))-YEAR(AF33))+MONTH((AJ33-1))-MONTH(AF33)-IF(DAY((AJ33-1))&lt;MIN(DAY(AF33),DAY(EOMONTH((AJ33-1),0))),1,0))))</f>
        <v/>
      </c>
      <c r="AX33" s="12" t="str">
        <f aca="false">IF(AE33=0,"",IF(AN33="FT",IF(AS33&lt;FT_First,0,IF(AS33&lt;FT_Y5,1+INT((AS33-FT_First)/FT_Int1),FT_PreY5+FT_PerYear*INT((AS33-FT_Y5)/12)+FT_AnnivDays+INT(MOD(AS33-FT_Y5,12)/FT_Int2))),IF(AN33="PT",IF(AS33&lt;PT_First,0,1+INT((AS33-PT_First)/PT_Int)),0))+IF(AND(AG33&gt;=2,AI33&lt;=AsOfDate),IF(AO33="FT",IF(AT33&lt;FT_First,0,IF(AT33&lt;FT_Y5,1+INT((AT33-FT_First)/FT_Int1),FT_PreY5+FT_PerYear*INT((AT33-FT_Y5)/12)+FT_AnnivDays+INT(MOD(AT33-FT_Y5,12)/FT_Int2))),IF(AO33="PT",IF(AT33&lt;PT_First,0,1+INT((AT33-PT_First)/PT_Int)),0))-IF(AO33="FT",IF(AS33&lt;FT_First,0,IF(AS33&lt;FT_Y5,1+INT((AS33-FT_First)/FT_Int1),FT_PreY5+FT_PerYear*INT((AS33-FT_Y5)/12)+FT_AnnivDays+INT(MOD(AS33-FT_Y5,12)/FT_Int2))),IF(AO33="PT",IF(AS33&lt;PT_First,0,1+INT((AS33-PT_First)/PT_Int)),0)),0)+IF(AND(AG33&gt;=3,AJ33&lt;=AsOfDate),IF(AP33="FT",IF(AR33&lt;FT_First,0,IF(AR33&lt;FT_Y5,1+INT((AR33-FT_First)/FT_Int1),FT_PreY5+FT_PerYear*INT((AR33-FT_Y5)/12)+FT_AnnivDays+INT(MOD(AR33-FT_Y5,12)/FT_Int2))),IF(AP33="PT",IF(AR33&lt;PT_First,0,1+INT((AR33-PT_First)/PT_Int)),0))-IF(AP33="FT",IF(AT33&lt;FT_First,0,IF(AT33&lt;FT_Y5,1+INT((AT33-FT_First)/FT_Int1),FT_PreY5+FT_PerYear*INT((AT33-FT_Y5)/12)+FT_AnnivDays+INT(MOD(AT33-FT_Y5,12)/FT_Int2))),IF(AP33="PT",IF(AT33&lt;PT_First,0,1+INT((AT33-PT_First)/PT_Int)),0)),0))</f>
        <v/>
      </c>
      <c r="AY33" s="12" t="str">
        <f aca="false">IF(AE33=0,"",IF(AN33="FT",IF(AV33&lt;FT_First,0,IF(AV33&lt;FT_Y5,1+INT((AV33-FT_First)/FT_Int1),FT_PreY5+FT_PerYear*INT((AV33-FT_Y5)/12)+FT_AnnivDays+INT(MOD(AV33-FT_Y5,12)/FT_Int2))),IF(AN33="PT",IF(AV33&lt;PT_First,0,1+INT((AV33-PT_First)/PT_Int)),0))+IF(AND(AG33&gt;=2,AI33&lt;=PFYDate),IF(AO33="FT",IF(AW33&lt;FT_First,0,IF(AW33&lt;FT_Y5,1+INT((AW33-FT_First)/FT_Int1),FT_PreY5+FT_PerYear*INT((AW33-FT_Y5)/12)+FT_AnnivDays+INT(MOD(AW33-FT_Y5,12)/FT_Int2))),IF(AO33="PT",IF(AW33&lt;PT_First,0,1+INT((AW33-PT_First)/PT_Int)),0))-IF(AO33="FT",IF(AV33&lt;FT_First,0,IF(AV33&lt;FT_Y5,1+INT((AV33-FT_First)/FT_Int1),FT_PreY5+FT_PerYear*INT((AV33-FT_Y5)/12)+FT_AnnivDays+INT(MOD(AV33-FT_Y5,12)/FT_Int2))),IF(AO33="PT",IF(AV33&lt;PT_First,0,1+INT((AV33-PT_First)/PT_Int)),0)),0)+IF(AND(AG33&gt;=3,AJ33&lt;=PFYDate),IF(AP33="FT",IF(AU33&lt;FT_First,0,IF(AU33&lt;FT_Y5,1+INT((AU33-FT_First)/FT_Int1),FT_PreY5+FT_PerYear*INT((AU33-FT_Y5)/12)+FT_AnnivDays+INT(MOD(AU33-FT_Y5,12)/FT_Int2))),IF(AP33="PT",IF(AU33&lt;PT_First,0,1+INT((AU33-PT_First)/PT_Int)),0))-IF(AP33="FT",IF(AW33&lt;FT_First,0,IF(AW33&lt;FT_Y5,1+INT((AW33-FT_First)/FT_Int1),FT_PreY5+FT_PerYear*INT((AW33-FT_Y5)/12)+FT_AnnivDays+INT(MOD(AW33-FT_Y5,12)/FT_Int2))),IF(AP33="PT",IF(AW33&lt;PT_First,0,1+INT((AW33-PT_First)/PT_Int)),0)),0))</f>
        <v/>
      </c>
      <c r="AZ33" s="12" t="str">
        <f aca="false">IF(AE33=0,"",IF(AQ33="FT",IF(AR33&lt;FT_First,FT_First,IF(AR33&lt;FT_Y5,MIN(FT_Y5,FT_First+FT_Int1*(INT((AR33-FT_First)/FT_Int1)+1)),FT_Y5+12*INT((AR33-FT_Y5)/12)+FT_Int2*(INT(MOD(AR33-FT_Y5,12)/FT_Int2)+1))),IF(AQ33="PT",IF(AR33&lt;PT_First,PT_First,PT_First+PT_Int*(INT((AR33-PT_First)/PT_Int)+1)),"")))</f>
        <v/>
      </c>
      <c r="BA33" s="12" t="str">
        <f aca="false">IF(AE33=0,"",IF(NOT(LH_Ready),0,COUNTIFS(INDEX(LH_Data,0,LH_ColFirst),$A33,INDEX(LH_Data,0,LH_ColSur),$B33,INDEX(LH_Data,0,LH_ColCat),BonusCat)))</f>
        <v/>
      </c>
      <c r="BB33" s="12" t="str">
        <f aca="false">IF(AE33=0,"",IF(OR(NOT(LH_Ready),BA33=0),0,SUMPRODUCT(MAX((INDEX(LH_Data,0,LH_ColFirst)=$A33)*(INDEX(LH_Data,0,LH_ColSur)=$B33)*(INDEX(LH_Data,0,LH_ColCat)=BonusCat)*ROW(LH_Data)))))</f>
        <v/>
      </c>
    </row>
    <row r="34" customFormat="false" ht="15" hidden="false" customHeight="false" outlineLevel="0" collapsed="false">
      <c r="A34" s="15"/>
      <c r="B34" s="15"/>
      <c r="C34" s="15"/>
      <c r="D34" s="16"/>
      <c r="E34" s="10" t="str">
        <f aca="false">IF(OR(AE34=0,$D34=""),"",DATE(YEAR(AsOfDate)+IF(DATE(YEAR(AsOfDate),MONTH($D34),DAY($D34))&lt;=AsOfDate,1,0),MONTH($D34),DAY($D34)))</f>
        <v/>
      </c>
      <c r="F34" s="16"/>
      <c r="G34" s="16"/>
      <c r="H34" s="16"/>
      <c r="I34" s="16"/>
      <c r="J34" s="16"/>
      <c r="K34" s="10" t="str">
        <f aca="false">IF(AE34=0,"",DATE(YEAR(AsOfDate)+IF(DATE(YEAR(AsOfDate),MONTH($F34),DAY($F34))&lt;=AsOfDate,1,0),MONTH($F34),DAY($F34)))</f>
        <v/>
      </c>
      <c r="L34" s="11" t="str">
        <f aca="false">IF(AE34=0,"",ROUND((AsOfDate-$F34)/365.25,1))</f>
        <v/>
      </c>
      <c r="M34" s="12" t="str">
        <f aca="false">IF(AE34=0,"",IF(AsOfDate&lt;AF34,"-",DATEDIF(AF34,AsOfDate,"y")&amp;"y "&amp;DATEDIF(AF34,AsOfDate,"ym")&amp;"m "&amp;DATEDIF(AF34,AsOfDate,"md")&amp;"d"))</f>
        <v/>
      </c>
      <c r="N34" s="13" t="str">
        <f aca="false">IF(AE34=0,"",O34*HoursPerDay)</f>
        <v/>
      </c>
      <c r="O34" s="13" t="str">
        <f aca="false">IF(AE34=0,"",AX34)</f>
        <v/>
      </c>
      <c r="P34" s="17"/>
      <c r="Q34" s="12" t="str">
        <f aca="false">IF(AE34=0,"",IF(AG34&lt;2,"",AK34&amp;" to "&amp;AL34&amp;" on "&amp;TEXT(AI34,"dd/mm/yyyy")&amp;IF(AI34&gt;AsOfDate," (future)",IF(AN34=AO34,"",IF(AO34="None"," - STOPPED accruing",IF(AN34="None"," - now qualifying"," - pathway changed"))))&amp;IF(AG34&lt;3,"","; "&amp;AL34&amp;" to "&amp;AM34&amp;" on "&amp;TEXT(AJ34,"dd/mm/yyyy")&amp;IF(AJ34&gt;AsOfDate," (future)",IF(AO34=AP34,"",IF(AP34="None"," - STOPPED accruing",IF(AO34="None"," - now qualifying"," - pathway changed")))))))</f>
        <v/>
      </c>
      <c r="R34" s="12" t="str">
        <f aca="false">IF(AE34=0,"",IF(AQ34="None",IF(O34&gt;0,"No longer accruing","Not eligible - "&amp;IF(AND(OR(ISNUMBER(SEARCH("part",$C34)),UPPER(TRIM($C34))="PT",UPPER(TRIM($C34))="PTE"),$P34&lt;&gt;"",N($P34)&lt;PT_MinHours),"under "&amp;PT_MinHours&amp;" hrs",IF(IF($C34="","",IF(OR(ISNUMBER(SEARCH("full",$C34)),UPPER(TRIM($C34))="FT",UPPER(TRIM($C34))="FTE"),"Full-Time",IF(OR(ISNUMBER(SEARCH("part",$C34)),UPPER(TRIM($C34))="PT",UPPER(TRIM($C34))="PTE"),"Part-Time",IF(OR(ISNUMBER(SEARCH("cas",$C34)),UPPER(TRIM($C34))="CAS"),"Casual","Unknown"))))="Unknown","type not recognised",$C34))),IF(O34&gt;0,"Yes - accruing","Not yet - from "&amp;TEXT(S34,"dd/mm/yyyy"))))</f>
        <v/>
      </c>
      <c r="S34" s="10" t="str">
        <f aca="false">IF(AE34=0,"",IF(AQ34="None","",EDATE(AF34,AZ34)))</f>
        <v/>
      </c>
      <c r="T34" s="13" t="str">
        <f aca="false">IF(OR(AE34=0,W34=""),"",W34-U34+V34)</f>
        <v/>
      </c>
      <c r="U34" s="13" t="str">
        <f aca="false">IF(AE34=0,"",IF(NOT(LH_Ready),"",SUMIFS(INDEX(LH_Data,0,LH_ColAcc),INDEX(LH_Data,0,LH_ColFirst),$A34,INDEX(LH_Data,0,LH_ColSur),$B34,INDEX(LH_Data,0,LH_ColCat),BonusCat)*UnitFactor))</f>
        <v/>
      </c>
      <c r="V34" s="13" t="str">
        <f aca="false">IF(AE34=0,"",IF(NOT(LH_Ready),"",SUMIFS(INDEX(LH_Data,0,LH_ColTaken),INDEX(LH_Data,0,LH_ColFirst),$A34,INDEX(LH_Data,0,LH_ColSur),$B34,INDEX(LH_Data,0,LH_ColCat),BonusCat)*UnitFactor))</f>
        <v/>
      </c>
      <c r="W34" s="13" t="str">
        <f aca="false">IF(AE34=0,"",IF(NOT(LH_Ready),"",IF(BB34=0,0,INDEX(INDEX(LH_Data,0,LH_ColClose),BB34-1)*UnitFactor)))</f>
        <v/>
      </c>
      <c r="X34" s="13" t="str">
        <f aca="false">IF(AE34=0,"",(AX34-AY34)*HoursPerDay)</f>
        <v/>
      </c>
      <c r="Y34" s="13" t="str">
        <f aca="false">IF(AE34=0,"",IF(NOT(LH_Ready),"",IF(BA34=0,N34,X34-N(U34))))</f>
        <v/>
      </c>
      <c r="Z34" s="12" t="str">
        <f aca="false">IF(OR(AE34=0,Y34=""),"",IF(Y34&gt;0,"Yes","No"))</f>
        <v/>
      </c>
      <c r="AA34" s="12" t="str">
        <f aca="false">IF(AE34=0,IF(LEN($A34&amp;$B34)=0,"","FIX INPUT - StartDate missing"),IF(AD34&lt;&gt;"","FIX INPUT - "&amp;AD34,IF(NOT(LH_Ready),"Paste Leave History export (Settings must show YES)",IF(Y34&gt;0,"ACCRUE "&amp;ROUND(Y34,2)&amp;" hrs ("&amp;ROUND(Y34/HoursPerDay,2)&amp;" days)"&amp;IF(BA34=0," - no Bonus Leave in EH yet, full catch-up since start",""),IF(Y34&lt;0,"CHECK - EH accrued "&amp;ROUND(-Y34,2)&amp;""&amp;" hrs more than policy",IF(O34&gt;0,"OK - nothing to add",IF(AQ34="None",R34,"Not yet - first day on "&amp;TEXT(S34,"dd/mm/yyyy"))))))))</f>
        <v/>
      </c>
      <c r="AB34" s="13" t="str">
        <f aca="false">IF(OR(AE34=0,T34=""),"",AY34*HoursPerDay-T34)</f>
        <v/>
      </c>
      <c r="AC34" s="12" t="str">
        <f aca="false">IF(AE34=0,"",BA34)</f>
        <v/>
      </c>
      <c r="AD34" s="12" t="str">
        <f aca="false">IF(AE34=0,"",TRIM(IF(IF($C34="","",IF(OR(ISNUMBER(SEARCH("full",$C34)),UPPER(TRIM($C34))="FT",UPPER(TRIM($C34))="FTE"),"Full-Time",IF(OR(ISNUMBER(SEARCH("part",$C34)),UPPER(TRIM($C34))="PT",UPPER(TRIM($C34))="PTE"),"Part-Time",IF(OR(ISNUMBER(SEARCH("cas",$C34)),UPPER(TRIM($C34))="CAS"),"Casual","Unknown"))))="Unknown","EmploymentType not recognised - use Full-Time, Part-Time or Casual. ","")&amp;IF(AND(AG34&gt;=1,IF(AG34&gt;=3,AM34,IF(AG34=2,AL34,AK34))&lt;&gt;IF($C34="","",IF(OR(ISNUMBER(SEARCH("full",$C34)),UPPER(TRIM($C34))="FT",UPPER(TRIM($C34))="FTE"),"Full-Time",IF(OR(ISNUMBER(SEARCH("part",$C34)),UPPER(TRIM($C34))="PT",UPPER(TRIM($C34))="PTE"),"Part-Time",IF(OR(ISNUMBER(SEARCH("cas",$C34)),UPPER(TRIM($C34))="CAS"),"Casual","Unknown"))))),"EmploymentType does not match latest start date ("&amp;IF(AG34&gt;=3,AM34,IF(AG34=2,AL34,AK34))&amp;"). ","")&amp;IF(AND(AG34&gt;=1,AH34&lt;&gt;$F34),"Earliest type date should equal StartDate. ","")&amp;IF(AND(AG34&gt;=2,AH34=AI34),"Two types start on the same date. ","")&amp;IF(AND(OR(ISNUMBER(SEARCH("part",$C34)),UPPER(TRIM($C34))="PT",UPPER(TRIM($C34))="PTE"),$P34=""),"Part-time: enter PT Hrs/Week (blank = 24+). ","")))</f>
        <v/>
      </c>
      <c r="AE34" s="12" t="n">
        <f aca="false">IF(OR(LEN($A34&amp;$B34)=0,$F34=""),0,1)</f>
        <v>0</v>
      </c>
      <c r="AF34" s="10" t="str">
        <f aca="false">IF(AE34=0,"",IF($J34&lt;&gt;"",$J34,$F34))</f>
        <v/>
      </c>
      <c r="AG34" s="12" t="str">
        <f aca="false">IF(AE34=0,"",COUNT($G34:$I34))</f>
        <v/>
      </c>
      <c r="AH34" s="10" t="str">
        <f aca="false">IF(AE34=0,"",IFERROR(SMALL($G34:$I34,1),""))</f>
        <v/>
      </c>
      <c r="AI34" s="10" t="str">
        <f aca="false">IF(AE34=0,"",IFERROR(SMALL($G34:$I34,2),""))</f>
        <v/>
      </c>
      <c r="AJ34" s="10" t="str">
        <f aca="false">IF(AE34=0,"",IFERROR(SMALL($G34:$I34,3),""))</f>
        <v/>
      </c>
      <c r="AK34" s="12" t="str">
        <f aca="false">IF(AE34=0,"",IF(AH34="","",IF(AH34=$G34,"Part-Time",IF(AH34=$H34,"Full-Time","Casual"))))</f>
        <v/>
      </c>
      <c r="AL34" s="12" t="str">
        <f aca="false">IF(AE34=0,"",IF(AI34="","",IF(AI34=$G34,"Part-Time",IF(AI34=$H34,"Full-Time","Casual"))))</f>
        <v/>
      </c>
      <c r="AM34" s="12" t="str">
        <f aca="false">IF(AE34=0,"",IF(AJ34="","",IF(AJ34=$G34,"Part-Time",IF(AJ34=$H34,"Full-Time","Casual"))))</f>
        <v/>
      </c>
      <c r="AN34" s="12" t="str">
        <f aca="false">IF(AE34=0,"",IF(AG34=0,IF(OR(ISNUMBER(SEARCH("full",$C34)),UPPER(TRIM($C34))="FT",UPPER(TRIM($C34))="FTE"),"FT",IF(AND(OR(ISNUMBER(SEARCH("part",$C34)),UPPER(TRIM($C34))="PT",UPPER(TRIM($C34))="PTE"),OR($P34="",N($P34)&gt;=PT_MinHours)),"PT","None")),IF(OR(ISNUMBER(SEARCH("full",AK34)),UPPER(TRIM(AK34))="FT",UPPER(TRIM(AK34))="FTE"),"FT",IF(AND(OR(ISNUMBER(SEARCH("part",AK34)),UPPER(TRIM(AK34))="PT",UPPER(TRIM(AK34))="PTE"),OR($P34="",N($P34)&gt;=PT_MinHours)),"PT","None"))))</f>
        <v/>
      </c>
      <c r="AO34" s="12" t="str">
        <f aca="false">IF(AE34=0,"",IF(AG34&lt;2,"",IF(OR(ISNUMBER(SEARCH("full",AL34)),UPPER(TRIM(AL34))="FT",UPPER(TRIM(AL34))="FTE"),"FT",IF(AND(OR(ISNUMBER(SEARCH("part",AL34)),UPPER(TRIM(AL34))="PT",UPPER(TRIM(AL34))="PTE"),OR($P34="",N($P34)&gt;=PT_MinHours)),"PT","None"))))</f>
        <v/>
      </c>
      <c r="AP34" s="12" t="str">
        <f aca="false">IF(AE34=0,"",IF(AG34&lt;3,"",IF(OR(ISNUMBER(SEARCH("full",AM34)),UPPER(TRIM(AM34))="FT",UPPER(TRIM(AM34))="FTE"),"FT",IF(AND(OR(ISNUMBER(SEARCH("part",AM34)),UPPER(TRIM(AM34))="PT",UPPER(TRIM(AM34))="PTE"),OR($P34="",N($P34)&gt;=PT_MinHours)),"PT","None"))))</f>
        <v/>
      </c>
      <c r="AQ34" s="12" t="str">
        <f aca="false">IF(AE34=0,"",IF(AND(AG34&gt;=3,AJ34&lt;=AsOfDate),AP34,IF(AND(AG34&gt;=2,AI34&lt;=AsOfDate),AO34,AN34)))</f>
        <v/>
      </c>
      <c r="AR34" s="12" t="str">
        <f aca="false">IF(AE34=0,"",IF(AsOfDate&lt;AF34,-1,12*(YEAR(AsOfDate)-YEAR(AF34))+MONTH(AsOfDate)-MONTH(AF34)-IF(DAY(AsOfDate)&lt;MIN(DAY(AF34),DAY(EOMONTH(AsOfDate,0))),1,0)))</f>
        <v/>
      </c>
      <c r="AS34" s="12" t="str">
        <f aca="false">IF(AE34=0,"",IF(OR(AG34&lt;2,AI34&gt;AsOfDate),AR34,IF((AI34-1)&lt;AF34,-1,12*(YEAR((AI34-1))-YEAR(AF34))+MONTH((AI34-1))-MONTH(AF34)-IF(DAY((AI34-1))&lt;MIN(DAY(AF34),DAY(EOMONTH((AI34-1),0))),1,0))))</f>
        <v/>
      </c>
      <c r="AT34" s="12" t="str">
        <f aca="false">IF(AE34=0,"",IF(OR(AG34&lt;3,AJ34&gt;AsOfDate),AR34,IF((AJ34-1)&lt;AF34,-1,12*(YEAR((AJ34-1))-YEAR(AF34))+MONTH((AJ34-1))-MONTH(AF34)-IF(DAY((AJ34-1))&lt;MIN(DAY(AF34),DAY(EOMONTH((AJ34-1),0))),1,0))))</f>
        <v/>
      </c>
      <c r="AU34" s="12" t="str">
        <f aca="false">IF(AE34=0,"",IF(PFYDate&lt;AF34,-1,12*(YEAR(PFYDate)-YEAR(AF34))+MONTH(PFYDate)-MONTH(AF34)-IF(DAY(PFYDate)&lt;MIN(DAY(AF34),DAY(EOMONTH(PFYDate,0))),1,0)))</f>
        <v/>
      </c>
      <c r="AV34" s="12" t="str">
        <f aca="false">IF(AE34=0,"",IF(OR(AG34&lt;2,AI34&gt;PFYDate),AU34,IF((AI34-1)&lt;AF34,-1,12*(YEAR((AI34-1))-YEAR(AF34))+MONTH((AI34-1))-MONTH(AF34)-IF(DAY((AI34-1))&lt;MIN(DAY(AF34),DAY(EOMONTH((AI34-1),0))),1,0))))</f>
        <v/>
      </c>
      <c r="AW34" s="12" t="str">
        <f aca="false">IF(AE34=0,"",IF(OR(AG34&lt;3,AJ34&gt;PFYDate),AU34,IF((AJ34-1)&lt;AF34,-1,12*(YEAR((AJ34-1))-YEAR(AF34))+MONTH((AJ34-1))-MONTH(AF34)-IF(DAY((AJ34-1))&lt;MIN(DAY(AF34),DAY(EOMONTH((AJ34-1),0))),1,0))))</f>
        <v/>
      </c>
      <c r="AX34" s="12" t="str">
        <f aca="false">IF(AE34=0,"",IF(AN34="FT",IF(AS34&lt;FT_First,0,IF(AS34&lt;FT_Y5,1+INT((AS34-FT_First)/FT_Int1),FT_PreY5+FT_PerYear*INT((AS34-FT_Y5)/12)+FT_AnnivDays+INT(MOD(AS34-FT_Y5,12)/FT_Int2))),IF(AN34="PT",IF(AS34&lt;PT_First,0,1+INT((AS34-PT_First)/PT_Int)),0))+IF(AND(AG34&gt;=2,AI34&lt;=AsOfDate),IF(AO34="FT",IF(AT34&lt;FT_First,0,IF(AT34&lt;FT_Y5,1+INT((AT34-FT_First)/FT_Int1),FT_PreY5+FT_PerYear*INT((AT34-FT_Y5)/12)+FT_AnnivDays+INT(MOD(AT34-FT_Y5,12)/FT_Int2))),IF(AO34="PT",IF(AT34&lt;PT_First,0,1+INT((AT34-PT_First)/PT_Int)),0))-IF(AO34="FT",IF(AS34&lt;FT_First,0,IF(AS34&lt;FT_Y5,1+INT((AS34-FT_First)/FT_Int1),FT_PreY5+FT_PerYear*INT((AS34-FT_Y5)/12)+FT_AnnivDays+INT(MOD(AS34-FT_Y5,12)/FT_Int2))),IF(AO34="PT",IF(AS34&lt;PT_First,0,1+INT((AS34-PT_First)/PT_Int)),0)),0)+IF(AND(AG34&gt;=3,AJ34&lt;=AsOfDate),IF(AP34="FT",IF(AR34&lt;FT_First,0,IF(AR34&lt;FT_Y5,1+INT((AR34-FT_First)/FT_Int1),FT_PreY5+FT_PerYear*INT((AR34-FT_Y5)/12)+FT_AnnivDays+INT(MOD(AR34-FT_Y5,12)/FT_Int2))),IF(AP34="PT",IF(AR34&lt;PT_First,0,1+INT((AR34-PT_First)/PT_Int)),0))-IF(AP34="FT",IF(AT34&lt;FT_First,0,IF(AT34&lt;FT_Y5,1+INT((AT34-FT_First)/FT_Int1),FT_PreY5+FT_PerYear*INT((AT34-FT_Y5)/12)+FT_AnnivDays+INT(MOD(AT34-FT_Y5,12)/FT_Int2))),IF(AP34="PT",IF(AT34&lt;PT_First,0,1+INT((AT34-PT_First)/PT_Int)),0)),0))</f>
        <v/>
      </c>
      <c r="AY34" s="12" t="str">
        <f aca="false">IF(AE34=0,"",IF(AN34="FT",IF(AV34&lt;FT_First,0,IF(AV34&lt;FT_Y5,1+INT((AV34-FT_First)/FT_Int1),FT_PreY5+FT_PerYear*INT((AV34-FT_Y5)/12)+FT_AnnivDays+INT(MOD(AV34-FT_Y5,12)/FT_Int2))),IF(AN34="PT",IF(AV34&lt;PT_First,0,1+INT((AV34-PT_First)/PT_Int)),0))+IF(AND(AG34&gt;=2,AI34&lt;=PFYDate),IF(AO34="FT",IF(AW34&lt;FT_First,0,IF(AW34&lt;FT_Y5,1+INT((AW34-FT_First)/FT_Int1),FT_PreY5+FT_PerYear*INT((AW34-FT_Y5)/12)+FT_AnnivDays+INT(MOD(AW34-FT_Y5,12)/FT_Int2))),IF(AO34="PT",IF(AW34&lt;PT_First,0,1+INT((AW34-PT_First)/PT_Int)),0))-IF(AO34="FT",IF(AV34&lt;FT_First,0,IF(AV34&lt;FT_Y5,1+INT((AV34-FT_First)/FT_Int1),FT_PreY5+FT_PerYear*INT((AV34-FT_Y5)/12)+FT_AnnivDays+INT(MOD(AV34-FT_Y5,12)/FT_Int2))),IF(AO34="PT",IF(AV34&lt;PT_First,0,1+INT((AV34-PT_First)/PT_Int)),0)),0)+IF(AND(AG34&gt;=3,AJ34&lt;=PFYDate),IF(AP34="FT",IF(AU34&lt;FT_First,0,IF(AU34&lt;FT_Y5,1+INT((AU34-FT_First)/FT_Int1),FT_PreY5+FT_PerYear*INT((AU34-FT_Y5)/12)+FT_AnnivDays+INT(MOD(AU34-FT_Y5,12)/FT_Int2))),IF(AP34="PT",IF(AU34&lt;PT_First,0,1+INT((AU34-PT_First)/PT_Int)),0))-IF(AP34="FT",IF(AW34&lt;FT_First,0,IF(AW34&lt;FT_Y5,1+INT((AW34-FT_First)/FT_Int1),FT_PreY5+FT_PerYear*INT((AW34-FT_Y5)/12)+FT_AnnivDays+INT(MOD(AW34-FT_Y5,12)/FT_Int2))),IF(AP34="PT",IF(AW34&lt;PT_First,0,1+INT((AW34-PT_First)/PT_Int)),0)),0))</f>
        <v/>
      </c>
      <c r="AZ34" s="12" t="str">
        <f aca="false">IF(AE34=0,"",IF(AQ34="FT",IF(AR34&lt;FT_First,FT_First,IF(AR34&lt;FT_Y5,MIN(FT_Y5,FT_First+FT_Int1*(INT((AR34-FT_First)/FT_Int1)+1)),FT_Y5+12*INT((AR34-FT_Y5)/12)+FT_Int2*(INT(MOD(AR34-FT_Y5,12)/FT_Int2)+1))),IF(AQ34="PT",IF(AR34&lt;PT_First,PT_First,PT_First+PT_Int*(INT((AR34-PT_First)/PT_Int)+1)),"")))</f>
        <v/>
      </c>
      <c r="BA34" s="12" t="str">
        <f aca="false">IF(AE34=0,"",IF(NOT(LH_Ready),0,COUNTIFS(INDEX(LH_Data,0,LH_ColFirst),$A34,INDEX(LH_Data,0,LH_ColSur),$B34,INDEX(LH_Data,0,LH_ColCat),BonusCat)))</f>
        <v/>
      </c>
      <c r="BB34" s="12" t="str">
        <f aca="false">IF(AE34=0,"",IF(OR(NOT(LH_Ready),BA34=0),0,SUMPRODUCT(MAX((INDEX(LH_Data,0,LH_ColFirst)=$A34)*(INDEX(LH_Data,0,LH_ColSur)=$B34)*(INDEX(LH_Data,0,LH_ColCat)=BonusCat)*ROW(LH_Data)))))</f>
        <v/>
      </c>
    </row>
    <row r="35" customFormat="false" ht="15" hidden="false" customHeight="false" outlineLevel="0" collapsed="false">
      <c r="A35" s="15"/>
      <c r="B35" s="15"/>
      <c r="C35" s="15"/>
      <c r="D35" s="16"/>
      <c r="E35" s="10" t="str">
        <f aca="false">IF(OR(AE35=0,$D35=""),"",DATE(YEAR(AsOfDate)+IF(DATE(YEAR(AsOfDate),MONTH($D35),DAY($D35))&lt;=AsOfDate,1,0),MONTH($D35),DAY($D35)))</f>
        <v/>
      </c>
      <c r="F35" s="16"/>
      <c r="G35" s="16"/>
      <c r="H35" s="16"/>
      <c r="I35" s="16"/>
      <c r="J35" s="16"/>
      <c r="K35" s="10" t="str">
        <f aca="false">IF(AE35=0,"",DATE(YEAR(AsOfDate)+IF(DATE(YEAR(AsOfDate),MONTH($F35),DAY($F35))&lt;=AsOfDate,1,0),MONTH($F35),DAY($F35)))</f>
        <v/>
      </c>
      <c r="L35" s="11" t="str">
        <f aca="false">IF(AE35=0,"",ROUND((AsOfDate-$F35)/365.25,1))</f>
        <v/>
      </c>
      <c r="M35" s="12" t="str">
        <f aca="false">IF(AE35=0,"",IF(AsOfDate&lt;AF35,"-",DATEDIF(AF35,AsOfDate,"y")&amp;"y "&amp;DATEDIF(AF35,AsOfDate,"ym")&amp;"m "&amp;DATEDIF(AF35,AsOfDate,"md")&amp;"d"))</f>
        <v/>
      </c>
      <c r="N35" s="13" t="str">
        <f aca="false">IF(AE35=0,"",O35*HoursPerDay)</f>
        <v/>
      </c>
      <c r="O35" s="13" t="str">
        <f aca="false">IF(AE35=0,"",AX35)</f>
        <v/>
      </c>
      <c r="P35" s="17"/>
      <c r="Q35" s="12" t="str">
        <f aca="false">IF(AE35=0,"",IF(AG35&lt;2,"",AK35&amp;" to "&amp;AL35&amp;" on "&amp;TEXT(AI35,"dd/mm/yyyy")&amp;IF(AI35&gt;AsOfDate," (future)",IF(AN35=AO35,"",IF(AO35="None"," - STOPPED accruing",IF(AN35="None"," - now qualifying"," - pathway changed"))))&amp;IF(AG35&lt;3,"","; "&amp;AL35&amp;" to "&amp;AM35&amp;" on "&amp;TEXT(AJ35,"dd/mm/yyyy")&amp;IF(AJ35&gt;AsOfDate," (future)",IF(AO35=AP35,"",IF(AP35="None"," - STOPPED accruing",IF(AO35="None"," - now qualifying"," - pathway changed")))))))</f>
        <v/>
      </c>
      <c r="R35" s="12" t="str">
        <f aca="false">IF(AE35=0,"",IF(AQ35="None",IF(O35&gt;0,"No longer accruing","Not eligible - "&amp;IF(AND(OR(ISNUMBER(SEARCH("part",$C35)),UPPER(TRIM($C35))="PT",UPPER(TRIM($C35))="PTE"),$P35&lt;&gt;"",N($P35)&lt;PT_MinHours),"under "&amp;PT_MinHours&amp;" hrs",IF(IF($C35="","",IF(OR(ISNUMBER(SEARCH("full",$C35)),UPPER(TRIM($C35))="FT",UPPER(TRIM($C35))="FTE"),"Full-Time",IF(OR(ISNUMBER(SEARCH("part",$C35)),UPPER(TRIM($C35))="PT",UPPER(TRIM($C35))="PTE"),"Part-Time",IF(OR(ISNUMBER(SEARCH("cas",$C35)),UPPER(TRIM($C35))="CAS"),"Casual","Unknown"))))="Unknown","type not recognised",$C35))),IF(O35&gt;0,"Yes - accruing","Not yet - from "&amp;TEXT(S35,"dd/mm/yyyy"))))</f>
        <v/>
      </c>
      <c r="S35" s="10" t="str">
        <f aca="false">IF(AE35=0,"",IF(AQ35="None","",EDATE(AF35,AZ35)))</f>
        <v/>
      </c>
      <c r="T35" s="13" t="str">
        <f aca="false">IF(OR(AE35=0,W35=""),"",W35-U35+V35)</f>
        <v/>
      </c>
      <c r="U35" s="13" t="str">
        <f aca="false">IF(AE35=0,"",IF(NOT(LH_Ready),"",SUMIFS(INDEX(LH_Data,0,LH_ColAcc),INDEX(LH_Data,0,LH_ColFirst),$A35,INDEX(LH_Data,0,LH_ColSur),$B35,INDEX(LH_Data,0,LH_ColCat),BonusCat)*UnitFactor))</f>
        <v/>
      </c>
      <c r="V35" s="13" t="str">
        <f aca="false">IF(AE35=0,"",IF(NOT(LH_Ready),"",SUMIFS(INDEX(LH_Data,0,LH_ColTaken),INDEX(LH_Data,0,LH_ColFirst),$A35,INDEX(LH_Data,0,LH_ColSur),$B35,INDEX(LH_Data,0,LH_ColCat),BonusCat)*UnitFactor))</f>
        <v/>
      </c>
      <c r="W35" s="13" t="str">
        <f aca="false">IF(AE35=0,"",IF(NOT(LH_Ready),"",IF(BB35=0,0,INDEX(INDEX(LH_Data,0,LH_ColClose),BB35-1)*UnitFactor)))</f>
        <v/>
      </c>
      <c r="X35" s="13" t="str">
        <f aca="false">IF(AE35=0,"",(AX35-AY35)*HoursPerDay)</f>
        <v/>
      </c>
      <c r="Y35" s="13" t="str">
        <f aca="false">IF(AE35=0,"",IF(NOT(LH_Ready),"",IF(BA35=0,N35,X35-N(U35))))</f>
        <v/>
      </c>
      <c r="Z35" s="12" t="str">
        <f aca="false">IF(OR(AE35=0,Y35=""),"",IF(Y35&gt;0,"Yes","No"))</f>
        <v/>
      </c>
      <c r="AA35" s="12" t="str">
        <f aca="false">IF(AE35=0,IF(LEN($A35&amp;$B35)=0,"","FIX INPUT - StartDate missing"),IF(AD35&lt;&gt;"","FIX INPUT - "&amp;AD35,IF(NOT(LH_Ready),"Paste Leave History export (Settings must show YES)",IF(Y35&gt;0,"ACCRUE "&amp;ROUND(Y35,2)&amp;" hrs ("&amp;ROUND(Y35/HoursPerDay,2)&amp;" days)"&amp;IF(BA35=0," - no Bonus Leave in EH yet, full catch-up since start",""),IF(Y35&lt;0,"CHECK - EH accrued "&amp;ROUND(-Y35,2)&amp;""&amp;" hrs more than policy",IF(O35&gt;0,"OK - nothing to add",IF(AQ35="None",R35,"Not yet - first day on "&amp;TEXT(S35,"dd/mm/yyyy"))))))))</f>
        <v/>
      </c>
      <c r="AB35" s="13" t="str">
        <f aca="false">IF(OR(AE35=0,T35=""),"",AY35*HoursPerDay-T35)</f>
        <v/>
      </c>
      <c r="AC35" s="12" t="str">
        <f aca="false">IF(AE35=0,"",BA35)</f>
        <v/>
      </c>
      <c r="AD35" s="12" t="str">
        <f aca="false">IF(AE35=0,"",TRIM(IF(IF($C35="","",IF(OR(ISNUMBER(SEARCH("full",$C35)),UPPER(TRIM($C35))="FT",UPPER(TRIM($C35))="FTE"),"Full-Time",IF(OR(ISNUMBER(SEARCH("part",$C35)),UPPER(TRIM($C35))="PT",UPPER(TRIM($C35))="PTE"),"Part-Time",IF(OR(ISNUMBER(SEARCH("cas",$C35)),UPPER(TRIM($C35))="CAS"),"Casual","Unknown"))))="Unknown","EmploymentType not recognised - use Full-Time, Part-Time or Casual. ","")&amp;IF(AND(AG35&gt;=1,IF(AG35&gt;=3,AM35,IF(AG35=2,AL35,AK35))&lt;&gt;IF($C35="","",IF(OR(ISNUMBER(SEARCH("full",$C35)),UPPER(TRIM($C35))="FT",UPPER(TRIM($C35))="FTE"),"Full-Time",IF(OR(ISNUMBER(SEARCH("part",$C35)),UPPER(TRIM($C35))="PT",UPPER(TRIM($C35))="PTE"),"Part-Time",IF(OR(ISNUMBER(SEARCH("cas",$C35)),UPPER(TRIM($C35))="CAS"),"Casual","Unknown"))))),"EmploymentType does not match latest start date ("&amp;IF(AG35&gt;=3,AM35,IF(AG35=2,AL35,AK35))&amp;"). ","")&amp;IF(AND(AG35&gt;=1,AH35&lt;&gt;$F35),"Earliest type date should equal StartDate. ","")&amp;IF(AND(AG35&gt;=2,AH35=AI35),"Two types start on the same date. ","")&amp;IF(AND(OR(ISNUMBER(SEARCH("part",$C35)),UPPER(TRIM($C35))="PT",UPPER(TRIM($C35))="PTE"),$P35=""),"Part-time: enter PT Hrs/Week (blank = 24+). ","")))</f>
        <v/>
      </c>
      <c r="AE35" s="12" t="n">
        <f aca="false">IF(OR(LEN($A35&amp;$B35)=0,$F35=""),0,1)</f>
        <v>0</v>
      </c>
      <c r="AF35" s="10" t="str">
        <f aca="false">IF(AE35=0,"",IF($J35&lt;&gt;"",$J35,$F35))</f>
        <v/>
      </c>
      <c r="AG35" s="12" t="str">
        <f aca="false">IF(AE35=0,"",COUNT($G35:$I35))</f>
        <v/>
      </c>
      <c r="AH35" s="10" t="str">
        <f aca="false">IF(AE35=0,"",IFERROR(SMALL($G35:$I35,1),""))</f>
        <v/>
      </c>
      <c r="AI35" s="10" t="str">
        <f aca="false">IF(AE35=0,"",IFERROR(SMALL($G35:$I35,2),""))</f>
        <v/>
      </c>
      <c r="AJ35" s="10" t="str">
        <f aca="false">IF(AE35=0,"",IFERROR(SMALL($G35:$I35,3),""))</f>
        <v/>
      </c>
      <c r="AK35" s="12" t="str">
        <f aca="false">IF(AE35=0,"",IF(AH35="","",IF(AH35=$G35,"Part-Time",IF(AH35=$H35,"Full-Time","Casual"))))</f>
        <v/>
      </c>
      <c r="AL35" s="12" t="str">
        <f aca="false">IF(AE35=0,"",IF(AI35="","",IF(AI35=$G35,"Part-Time",IF(AI35=$H35,"Full-Time","Casual"))))</f>
        <v/>
      </c>
      <c r="AM35" s="12" t="str">
        <f aca="false">IF(AE35=0,"",IF(AJ35="","",IF(AJ35=$G35,"Part-Time",IF(AJ35=$H35,"Full-Time","Casual"))))</f>
        <v/>
      </c>
      <c r="AN35" s="12" t="str">
        <f aca="false">IF(AE35=0,"",IF(AG35=0,IF(OR(ISNUMBER(SEARCH("full",$C35)),UPPER(TRIM($C35))="FT",UPPER(TRIM($C35))="FTE"),"FT",IF(AND(OR(ISNUMBER(SEARCH("part",$C35)),UPPER(TRIM($C35))="PT",UPPER(TRIM($C35))="PTE"),OR($P35="",N($P35)&gt;=PT_MinHours)),"PT","None")),IF(OR(ISNUMBER(SEARCH("full",AK35)),UPPER(TRIM(AK35))="FT",UPPER(TRIM(AK35))="FTE"),"FT",IF(AND(OR(ISNUMBER(SEARCH("part",AK35)),UPPER(TRIM(AK35))="PT",UPPER(TRIM(AK35))="PTE"),OR($P35="",N($P35)&gt;=PT_MinHours)),"PT","None"))))</f>
        <v/>
      </c>
      <c r="AO35" s="12" t="str">
        <f aca="false">IF(AE35=0,"",IF(AG35&lt;2,"",IF(OR(ISNUMBER(SEARCH("full",AL35)),UPPER(TRIM(AL35))="FT",UPPER(TRIM(AL35))="FTE"),"FT",IF(AND(OR(ISNUMBER(SEARCH("part",AL35)),UPPER(TRIM(AL35))="PT",UPPER(TRIM(AL35))="PTE"),OR($P35="",N($P35)&gt;=PT_MinHours)),"PT","None"))))</f>
        <v/>
      </c>
      <c r="AP35" s="12" t="str">
        <f aca="false">IF(AE35=0,"",IF(AG35&lt;3,"",IF(OR(ISNUMBER(SEARCH("full",AM35)),UPPER(TRIM(AM35))="FT",UPPER(TRIM(AM35))="FTE"),"FT",IF(AND(OR(ISNUMBER(SEARCH("part",AM35)),UPPER(TRIM(AM35))="PT",UPPER(TRIM(AM35))="PTE"),OR($P35="",N($P35)&gt;=PT_MinHours)),"PT","None"))))</f>
        <v/>
      </c>
      <c r="AQ35" s="12" t="str">
        <f aca="false">IF(AE35=0,"",IF(AND(AG35&gt;=3,AJ35&lt;=AsOfDate),AP35,IF(AND(AG35&gt;=2,AI35&lt;=AsOfDate),AO35,AN35)))</f>
        <v/>
      </c>
      <c r="AR35" s="12" t="str">
        <f aca="false">IF(AE35=0,"",IF(AsOfDate&lt;AF35,-1,12*(YEAR(AsOfDate)-YEAR(AF35))+MONTH(AsOfDate)-MONTH(AF35)-IF(DAY(AsOfDate)&lt;MIN(DAY(AF35),DAY(EOMONTH(AsOfDate,0))),1,0)))</f>
        <v/>
      </c>
      <c r="AS35" s="12" t="str">
        <f aca="false">IF(AE35=0,"",IF(OR(AG35&lt;2,AI35&gt;AsOfDate),AR35,IF((AI35-1)&lt;AF35,-1,12*(YEAR((AI35-1))-YEAR(AF35))+MONTH((AI35-1))-MONTH(AF35)-IF(DAY((AI35-1))&lt;MIN(DAY(AF35),DAY(EOMONTH((AI35-1),0))),1,0))))</f>
        <v/>
      </c>
      <c r="AT35" s="12" t="str">
        <f aca="false">IF(AE35=0,"",IF(OR(AG35&lt;3,AJ35&gt;AsOfDate),AR35,IF((AJ35-1)&lt;AF35,-1,12*(YEAR((AJ35-1))-YEAR(AF35))+MONTH((AJ35-1))-MONTH(AF35)-IF(DAY((AJ35-1))&lt;MIN(DAY(AF35),DAY(EOMONTH((AJ35-1),0))),1,0))))</f>
        <v/>
      </c>
      <c r="AU35" s="12" t="str">
        <f aca="false">IF(AE35=0,"",IF(PFYDate&lt;AF35,-1,12*(YEAR(PFYDate)-YEAR(AF35))+MONTH(PFYDate)-MONTH(AF35)-IF(DAY(PFYDate)&lt;MIN(DAY(AF35),DAY(EOMONTH(PFYDate,0))),1,0)))</f>
        <v/>
      </c>
      <c r="AV35" s="12" t="str">
        <f aca="false">IF(AE35=0,"",IF(OR(AG35&lt;2,AI35&gt;PFYDate),AU35,IF((AI35-1)&lt;AF35,-1,12*(YEAR((AI35-1))-YEAR(AF35))+MONTH((AI35-1))-MONTH(AF35)-IF(DAY((AI35-1))&lt;MIN(DAY(AF35),DAY(EOMONTH((AI35-1),0))),1,0))))</f>
        <v/>
      </c>
      <c r="AW35" s="12" t="str">
        <f aca="false">IF(AE35=0,"",IF(OR(AG35&lt;3,AJ35&gt;PFYDate),AU35,IF((AJ35-1)&lt;AF35,-1,12*(YEAR((AJ35-1))-YEAR(AF35))+MONTH((AJ35-1))-MONTH(AF35)-IF(DAY((AJ35-1))&lt;MIN(DAY(AF35),DAY(EOMONTH((AJ35-1),0))),1,0))))</f>
        <v/>
      </c>
      <c r="AX35" s="12" t="str">
        <f aca="false">IF(AE35=0,"",IF(AN35="FT",IF(AS35&lt;FT_First,0,IF(AS35&lt;FT_Y5,1+INT((AS35-FT_First)/FT_Int1),FT_PreY5+FT_PerYear*INT((AS35-FT_Y5)/12)+FT_AnnivDays+INT(MOD(AS35-FT_Y5,12)/FT_Int2))),IF(AN35="PT",IF(AS35&lt;PT_First,0,1+INT((AS35-PT_First)/PT_Int)),0))+IF(AND(AG35&gt;=2,AI35&lt;=AsOfDate),IF(AO35="FT",IF(AT35&lt;FT_First,0,IF(AT35&lt;FT_Y5,1+INT((AT35-FT_First)/FT_Int1),FT_PreY5+FT_PerYear*INT((AT35-FT_Y5)/12)+FT_AnnivDays+INT(MOD(AT35-FT_Y5,12)/FT_Int2))),IF(AO35="PT",IF(AT35&lt;PT_First,0,1+INT((AT35-PT_First)/PT_Int)),0))-IF(AO35="FT",IF(AS35&lt;FT_First,0,IF(AS35&lt;FT_Y5,1+INT((AS35-FT_First)/FT_Int1),FT_PreY5+FT_PerYear*INT((AS35-FT_Y5)/12)+FT_AnnivDays+INT(MOD(AS35-FT_Y5,12)/FT_Int2))),IF(AO35="PT",IF(AS35&lt;PT_First,0,1+INT((AS35-PT_First)/PT_Int)),0)),0)+IF(AND(AG35&gt;=3,AJ35&lt;=AsOfDate),IF(AP35="FT",IF(AR35&lt;FT_First,0,IF(AR35&lt;FT_Y5,1+INT((AR35-FT_First)/FT_Int1),FT_PreY5+FT_PerYear*INT((AR35-FT_Y5)/12)+FT_AnnivDays+INT(MOD(AR35-FT_Y5,12)/FT_Int2))),IF(AP35="PT",IF(AR35&lt;PT_First,0,1+INT((AR35-PT_First)/PT_Int)),0))-IF(AP35="FT",IF(AT35&lt;FT_First,0,IF(AT35&lt;FT_Y5,1+INT((AT35-FT_First)/FT_Int1),FT_PreY5+FT_PerYear*INT((AT35-FT_Y5)/12)+FT_AnnivDays+INT(MOD(AT35-FT_Y5,12)/FT_Int2))),IF(AP35="PT",IF(AT35&lt;PT_First,0,1+INT((AT35-PT_First)/PT_Int)),0)),0))</f>
        <v/>
      </c>
      <c r="AY35" s="12" t="str">
        <f aca="false">IF(AE35=0,"",IF(AN35="FT",IF(AV35&lt;FT_First,0,IF(AV35&lt;FT_Y5,1+INT((AV35-FT_First)/FT_Int1),FT_PreY5+FT_PerYear*INT((AV35-FT_Y5)/12)+FT_AnnivDays+INT(MOD(AV35-FT_Y5,12)/FT_Int2))),IF(AN35="PT",IF(AV35&lt;PT_First,0,1+INT((AV35-PT_First)/PT_Int)),0))+IF(AND(AG35&gt;=2,AI35&lt;=PFYDate),IF(AO35="FT",IF(AW35&lt;FT_First,0,IF(AW35&lt;FT_Y5,1+INT((AW35-FT_First)/FT_Int1),FT_PreY5+FT_PerYear*INT((AW35-FT_Y5)/12)+FT_AnnivDays+INT(MOD(AW35-FT_Y5,12)/FT_Int2))),IF(AO35="PT",IF(AW35&lt;PT_First,0,1+INT((AW35-PT_First)/PT_Int)),0))-IF(AO35="FT",IF(AV35&lt;FT_First,0,IF(AV35&lt;FT_Y5,1+INT((AV35-FT_First)/FT_Int1),FT_PreY5+FT_PerYear*INT((AV35-FT_Y5)/12)+FT_AnnivDays+INT(MOD(AV35-FT_Y5,12)/FT_Int2))),IF(AO35="PT",IF(AV35&lt;PT_First,0,1+INT((AV35-PT_First)/PT_Int)),0)),0)+IF(AND(AG35&gt;=3,AJ35&lt;=PFYDate),IF(AP35="FT",IF(AU35&lt;FT_First,0,IF(AU35&lt;FT_Y5,1+INT((AU35-FT_First)/FT_Int1),FT_PreY5+FT_PerYear*INT((AU35-FT_Y5)/12)+FT_AnnivDays+INT(MOD(AU35-FT_Y5,12)/FT_Int2))),IF(AP35="PT",IF(AU35&lt;PT_First,0,1+INT((AU35-PT_First)/PT_Int)),0))-IF(AP35="FT",IF(AW35&lt;FT_First,0,IF(AW35&lt;FT_Y5,1+INT((AW35-FT_First)/FT_Int1),FT_PreY5+FT_PerYear*INT((AW35-FT_Y5)/12)+FT_AnnivDays+INT(MOD(AW35-FT_Y5,12)/FT_Int2))),IF(AP35="PT",IF(AW35&lt;PT_First,0,1+INT((AW35-PT_First)/PT_Int)),0)),0))</f>
        <v/>
      </c>
      <c r="AZ35" s="12" t="str">
        <f aca="false">IF(AE35=0,"",IF(AQ35="FT",IF(AR35&lt;FT_First,FT_First,IF(AR35&lt;FT_Y5,MIN(FT_Y5,FT_First+FT_Int1*(INT((AR35-FT_First)/FT_Int1)+1)),FT_Y5+12*INT((AR35-FT_Y5)/12)+FT_Int2*(INT(MOD(AR35-FT_Y5,12)/FT_Int2)+1))),IF(AQ35="PT",IF(AR35&lt;PT_First,PT_First,PT_First+PT_Int*(INT((AR35-PT_First)/PT_Int)+1)),"")))</f>
        <v/>
      </c>
      <c r="BA35" s="12" t="str">
        <f aca="false">IF(AE35=0,"",IF(NOT(LH_Ready),0,COUNTIFS(INDEX(LH_Data,0,LH_ColFirst),$A35,INDEX(LH_Data,0,LH_ColSur),$B35,INDEX(LH_Data,0,LH_ColCat),BonusCat)))</f>
        <v/>
      </c>
      <c r="BB35" s="12" t="str">
        <f aca="false">IF(AE35=0,"",IF(OR(NOT(LH_Ready),BA35=0),0,SUMPRODUCT(MAX((INDEX(LH_Data,0,LH_ColFirst)=$A35)*(INDEX(LH_Data,0,LH_ColSur)=$B35)*(INDEX(LH_Data,0,LH_ColCat)=BonusCat)*ROW(LH_Data)))))</f>
        <v/>
      </c>
    </row>
    <row r="36" customFormat="false" ht="15" hidden="false" customHeight="false" outlineLevel="0" collapsed="false">
      <c r="A36" s="15"/>
      <c r="B36" s="15"/>
      <c r="C36" s="15"/>
      <c r="D36" s="16"/>
      <c r="E36" s="10" t="str">
        <f aca="false">IF(OR(AE36=0,$D36=""),"",DATE(YEAR(AsOfDate)+IF(DATE(YEAR(AsOfDate),MONTH($D36),DAY($D36))&lt;=AsOfDate,1,0),MONTH($D36),DAY($D36)))</f>
        <v/>
      </c>
      <c r="F36" s="16"/>
      <c r="G36" s="16"/>
      <c r="H36" s="16"/>
      <c r="I36" s="16"/>
      <c r="J36" s="16"/>
      <c r="K36" s="10" t="str">
        <f aca="false">IF(AE36=0,"",DATE(YEAR(AsOfDate)+IF(DATE(YEAR(AsOfDate),MONTH($F36),DAY($F36))&lt;=AsOfDate,1,0),MONTH($F36),DAY($F36)))</f>
        <v/>
      </c>
      <c r="L36" s="11" t="str">
        <f aca="false">IF(AE36=0,"",ROUND((AsOfDate-$F36)/365.25,1))</f>
        <v/>
      </c>
      <c r="M36" s="12" t="str">
        <f aca="false">IF(AE36=0,"",IF(AsOfDate&lt;AF36,"-",DATEDIF(AF36,AsOfDate,"y")&amp;"y "&amp;DATEDIF(AF36,AsOfDate,"ym")&amp;"m "&amp;DATEDIF(AF36,AsOfDate,"md")&amp;"d"))</f>
        <v/>
      </c>
      <c r="N36" s="13" t="str">
        <f aca="false">IF(AE36=0,"",O36*HoursPerDay)</f>
        <v/>
      </c>
      <c r="O36" s="13" t="str">
        <f aca="false">IF(AE36=0,"",AX36)</f>
        <v/>
      </c>
      <c r="P36" s="17"/>
      <c r="Q36" s="12" t="str">
        <f aca="false">IF(AE36=0,"",IF(AG36&lt;2,"",AK36&amp;" to "&amp;AL36&amp;" on "&amp;TEXT(AI36,"dd/mm/yyyy")&amp;IF(AI36&gt;AsOfDate," (future)",IF(AN36=AO36,"",IF(AO36="None"," - STOPPED accruing",IF(AN36="None"," - now qualifying"," - pathway changed"))))&amp;IF(AG36&lt;3,"","; "&amp;AL36&amp;" to "&amp;AM36&amp;" on "&amp;TEXT(AJ36,"dd/mm/yyyy")&amp;IF(AJ36&gt;AsOfDate," (future)",IF(AO36=AP36,"",IF(AP36="None"," - STOPPED accruing",IF(AO36="None"," - now qualifying"," - pathway changed")))))))</f>
        <v/>
      </c>
      <c r="R36" s="12" t="str">
        <f aca="false">IF(AE36=0,"",IF(AQ36="None",IF(O36&gt;0,"No longer accruing","Not eligible - "&amp;IF(AND(OR(ISNUMBER(SEARCH("part",$C36)),UPPER(TRIM($C36))="PT",UPPER(TRIM($C36))="PTE"),$P36&lt;&gt;"",N($P36)&lt;PT_MinHours),"under "&amp;PT_MinHours&amp;" hrs",IF(IF($C36="","",IF(OR(ISNUMBER(SEARCH("full",$C36)),UPPER(TRIM($C36))="FT",UPPER(TRIM($C36))="FTE"),"Full-Time",IF(OR(ISNUMBER(SEARCH("part",$C36)),UPPER(TRIM($C36))="PT",UPPER(TRIM($C36))="PTE"),"Part-Time",IF(OR(ISNUMBER(SEARCH("cas",$C36)),UPPER(TRIM($C36))="CAS"),"Casual","Unknown"))))="Unknown","type not recognised",$C36))),IF(O36&gt;0,"Yes - accruing","Not yet - from "&amp;TEXT(S36,"dd/mm/yyyy"))))</f>
        <v/>
      </c>
      <c r="S36" s="10" t="str">
        <f aca="false">IF(AE36=0,"",IF(AQ36="None","",EDATE(AF36,AZ36)))</f>
        <v/>
      </c>
      <c r="T36" s="13" t="str">
        <f aca="false">IF(OR(AE36=0,W36=""),"",W36-U36+V36)</f>
        <v/>
      </c>
      <c r="U36" s="13" t="str">
        <f aca="false">IF(AE36=0,"",IF(NOT(LH_Ready),"",SUMIFS(INDEX(LH_Data,0,LH_ColAcc),INDEX(LH_Data,0,LH_ColFirst),$A36,INDEX(LH_Data,0,LH_ColSur),$B36,INDEX(LH_Data,0,LH_ColCat),BonusCat)*UnitFactor))</f>
        <v/>
      </c>
      <c r="V36" s="13" t="str">
        <f aca="false">IF(AE36=0,"",IF(NOT(LH_Ready),"",SUMIFS(INDEX(LH_Data,0,LH_ColTaken),INDEX(LH_Data,0,LH_ColFirst),$A36,INDEX(LH_Data,0,LH_ColSur),$B36,INDEX(LH_Data,0,LH_ColCat),BonusCat)*UnitFactor))</f>
        <v/>
      </c>
      <c r="W36" s="13" t="str">
        <f aca="false">IF(AE36=0,"",IF(NOT(LH_Ready),"",IF(BB36=0,0,INDEX(INDEX(LH_Data,0,LH_ColClose),BB36-1)*UnitFactor)))</f>
        <v/>
      </c>
      <c r="X36" s="13" t="str">
        <f aca="false">IF(AE36=0,"",(AX36-AY36)*HoursPerDay)</f>
        <v/>
      </c>
      <c r="Y36" s="13" t="str">
        <f aca="false">IF(AE36=0,"",IF(NOT(LH_Ready),"",IF(BA36=0,N36,X36-N(U36))))</f>
        <v/>
      </c>
      <c r="Z36" s="12" t="str">
        <f aca="false">IF(OR(AE36=0,Y36=""),"",IF(Y36&gt;0,"Yes","No"))</f>
        <v/>
      </c>
      <c r="AA36" s="12" t="str">
        <f aca="false">IF(AE36=0,IF(LEN($A36&amp;$B36)=0,"","FIX INPUT - StartDate missing"),IF(AD36&lt;&gt;"","FIX INPUT - "&amp;AD36,IF(NOT(LH_Ready),"Paste Leave History export (Settings must show YES)",IF(Y36&gt;0,"ACCRUE "&amp;ROUND(Y36,2)&amp;" hrs ("&amp;ROUND(Y36/HoursPerDay,2)&amp;" days)"&amp;IF(BA36=0," - no Bonus Leave in EH yet, full catch-up since start",""),IF(Y36&lt;0,"CHECK - EH accrued "&amp;ROUND(-Y36,2)&amp;""&amp;" hrs more than policy",IF(O36&gt;0,"OK - nothing to add",IF(AQ36="None",R36,"Not yet - first day on "&amp;TEXT(S36,"dd/mm/yyyy"))))))))</f>
        <v/>
      </c>
      <c r="AB36" s="13" t="str">
        <f aca="false">IF(OR(AE36=0,T36=""),"",AY36*HoursPerDay-T36)</f>
        <v/>
      </c>
      <c r="AC36" s="12" t="str">
        <f aca="false">IF(AE36=0,"",BA36)</f>
        <v/>
      </c>
      <c r="AD36" s="12" t="str">
        <f aca="false">IF(AE36=0,"",TRIM(IF(IF($C36="","",IF(OR(ISNUMBER(SEARCH("full",$C36)),UPPER(TRIM($C36))="FT",UPPER(TRIM($C36))="FTE"),"Full-Time",IF(OR(ISNUMBER(SEARCH("part",$C36)),UPPER(TRIM($C36))="PT",UPPER(TRIM($C36))="PTE"),"Part-Time",IF(OR(ISNUMBER(SEARCH("cas",$C36)),UPPER(TRIM($C36))="CAS"),"Casual","Unknown"))))="Unknown","EmploymentType not recognised - use Full-Time, Part-Time or Casual. ","")&amp;IF(AND(AG36&gt;=1,IF(AG36&gt;=3,AM36,IF(AG36=2,AL36,AK36))&lt;&gt;IF($C36="","",IF(OR(ISNUMBER(SEARCH("full",$C36)),UPPER(TRIM($C36))="FT",UPPER(TRIM($C36))="FTE"),"Full-Time",IF(OR(ISNUMBER(SEARCH("part",$C36)),UPPER(TRIM($C36))="PT",UPPER(TRIM($C36))="PTE"),"Part-Time",IF(OR(ISNUMBER(SEARCH("cas",$C36)),UPPER(TRIM($C36))="CAS"),"Casual","Unknown"))))),"EmploymentType does not match latest start date ("&amp;IF(AG36&gt;=3,AM36,IF(AG36=2,AL36,AK36))&amp;"). ","")&amp;IF(AND(AG36&gt;=1,AH36&lt;&gt;$F36),"Earliest type date should equal StartDate. ","")&amp;IF(AND(AG36&gt;=2,AH36=AI36),"Two types start on the same date. ","")&amp;IF(AND(OR(ISNUMBER(SEARCH("part",$C36)),UPPER(TRIM($C36))="PT",UPPER(TRIM($C36))="PTE"),$P36=""),"Part-time: enter PT Hrs/Week (blank = 24+). ","")))</f>
        <v/>
      </c>
      <c r="AE36" s="12" t="n">
        <f aca="false">IF(OR(LEN($A36&amp;$B36)=0,$F36=""),0,1)</f>
        <v>0</v>
      </c>
      <c r="AF36" s="10" t="str">
        <f aca="false">IF(AE36=0,"",IF($J36&lt;&gt;"",$J36,$F36))</f>
        <v/>
      </c>
      <c r="AG36" s="12" t="str">
        <f aca="false">IF(AE36=0,"",COUNT($G36:$I36))</f>
        <v/>
      </c>
      <c r="AH36" s="10" t="str">
        <f aca="false">IF(AE36=0,"",IFERROR(SMALL($G36:$I36,1),""))</f>
        <v/>
      </c>
      <c r="AI36" s="10" t="str">
        <f aca="false">IF(AE36=0,"",IFERROR(SMALL($G36:$I36,2),""))</f>
        <v/>
      </c>
      <c r="AJ36" s="10" t="str">
        <f aca="false">IF(AE36=0,"",IFERROR(SMALL($G36:$I36,3),""))</f>
        <v/>
      </c>
      <c r="AK36" s="12" t="str">
        <f aca="false">IF(AE36=0,"",IF(AH36="","",IF(AH36=$G36,"Part-Time",IF(AH36=$H36,"Full-Time","Casual"))))</f>
        <v/>
      </c>
      <c r="AL36" s="12" t="str">
        <f aca="false">IF(AE36=0,"",IF(AI36="","",IF(AI36=$G36,"Part-Time",IF(AI36=$H36,"Full-Time","Casual"))))</f>
        <v/>
      </c>
      <c r="AM36" s="12" t="str">
        <f aca="false">IF(AE36=0,"",IF(AJ36="","",IF(AJ36=$G36,"Part-Time",IF(AJ36=$H36,"Full-Time","Casual"))))</f>
        <v/>
      </c>
      <c r="AN36" s="12" t="str">
        <f aca="false">IF(AE36=0,"",IF(AG36=0,IF(OR(ISNUMBER(SEARCH("full",$C36)),UPPER(TRIM($C36))="FT",UPPER(TRIM($C36))="FTE"),"FT",IF(AND(OR(ISNUMBER(SEARCH("part",$C36)),UPPER(TRIM($C36))="PT",UPPER(TRIM($C36))="PTE"),OR($P36="",N($P36)&gt;=PT_MinHours)),"PT","None")),IF(OR(ISNUMBER(SEARCH("full",AK36)),UPPER(TRIM(AK36))="FT",UPPER(TRIM(AK36))="FTE"),"FT",IF(AND(OR(ISNUMBER(SEARCH("part",AK36)),UPPER(TRIM(AK36))="PT",UPPER(TRIM(AK36))="PTE"),OR($P36="",N($P36)&gt;=PT_MinHours)),"PT","None"))))</f>
        <v/>
      </c>
      <c r="AO36" s="12" t="str">
        <f aca="false">IF(AE36=0,"",IF(AG36&lt;2,"",IF(OR(ISNUMBER(SEARCH("full",AL36)),UPPER(TRIM(AL36))="FT",UPPER(TRIM(AL36))="FTE"),"FT",IF(AND(OR(ISNUMBER(SEARCH("part",AL36)),UPPER(TRIM(AL36))="PT",UPPER(TRIM(AL36))="PTE"),OR($P36="",N($P36)&gt;=PT_MinHours)),"PT","None"))))</f>
        <v/>
      </c>
      <c r="AP36" s="12" t="str">
        <f aca="false">IF(AE36=0,"",IF(AG36&lt;3,"",IF(OR(ISNUMBER(SEARCH("full",AM36)),UPPER(TRIM(AM36))="FT",UPPER(TRIM(AM36))="FTE"),"FT",IF(AND(OR(ISNUMBER(SEARCH("part",AM36)),UPPER(TRIM(AM36))="PT",UPPER(TRIM(AM36))="PTE"),OR($P36="",N($P36)&gt;=PT_MinHours)),"PT","None"))))</f>
        <v/>
      </c>
      <c r="AQ36" s="12" t="str">
        <f aca="false">IF(AE36=0,"",IF(AND(AG36&gt;=3,AJ36&lt;=AsOfDate),AP36,IF(AND(AG36&gt;=2,AI36&lt;=AsOfDate),AO36,AN36)))</f>
        <v/>
      </c>
      <c r="AR36" s="12" t="str">
        <f aca="false">IF(AE36=0,"",IF(AsOfDate&lt;AF36,-1,12*(YEAR(AsOfDate)-YEAR(AF36))+MONTH(AsOfDate)-MONTH(AF36)-IF(DAY(AsOfDate)&lt;MIN(DAY(AF36),DAY(EOMONTH(AsOfDate,0))),1,0)))</f>
        <v/>
      </c>
      <c r="AS36" s="12" t="str">
        <f aca="false">IF(AE36=0,"",IF(OR(AG36&lt;2,AI36&gt;AsOfDate),AR36,IF((AI36-1)&lt;AF36,-1,12*(YEAR((AI36-1))-YEAR(AF36))+MONTH((AI36-1))-MONTH(AF36)-IF(DAY((AI36-1))&lt;MIN(DAY(AF36),DAY(EOMONTH((AI36-1),0))),1,0))))</f>
        <v/>
      </c>
      <c r="AT36" s="12" t="str">
        <f aca="false">IF(AE36=0,"",IF(OR(AG36&lt;3,AJ36&gt;AsOfDate),AR36,IF((AJ36-1)&lt;AF36,-1,12*(YEAR((AJ36-1))-YEAR(AF36))+MONTH((AJ36-1))-MONTH(AF36)-IF(DAY((AJ36-1))&lt;MIN(DAY(AF36),DAY(EOMONTH((AJ36-1),0))),1,0))))</f>
        <v/>
      </c>
      <c r="AU36" s="12" t="str">
        <f aca="false">IF(AE36=0,"",IF(PFYDate&lt;AF36,-1,12*(YEAR(PFYDate)-YEAR(AF36))+MONTH(PFYDate)-MONTH(AF36)-IF(DAY(PFYDate)&lt;MIN(DAY(AF36),DAY(EOMONTH(PFYDate,0))),1,0)))</f>
        <v/>
      </c>
      <c r="AV36" s="12" t="str">
        <f aca="false">IF(AE36=0,"",IF(OR(AG36&lt;2,AI36&gt;PFYDate),AU36,IF((AI36-1)&lt;AF36,-1,12*(YEAR((AI36-1))-YEAR(AF36))+MONTH((AI36-1))-MONTH(AF36)-IF(DAY((AI36-1))&lt;MIN(DAY(AF36),DAY(EOMONTH((AI36-1),0))),1,0))))</f>
        <v/>
      </c>
      <c r="AW36" s="12" t="str">
        <f aca="false">IF(AE36=0,"",IF(OR(AG36&lt;3,AJ36&gt;PFYDate),AU36,IF((AJ36-1)&lt;AF36,-1,12*(YEAR((AJ36-1))-YEAR(AF36))+MONTH((AJ36-1))-MONTH(AF36)-IF(DAY((AJ36-1))&lt;MIN(DAY(AF36),DAY(EOMONTH((AJ36-1),0))),1,0))))</f>
        <v/>
      </c>
      <c r="AX36" s="12" t="str">
        <f aca="false">IF(AE36=0,"",IF(AN36="FT",IF(AS36&lt;FT_First,0,IF(AS36&lt;FT_Y5,1+INT((AS36-FT_First)/FT_Int1),FT_PreY5+FT_PerYear*INT((AS36-FT_Y5)/12)+FT_AnnivDays+INT(MOD(AS36-FT_Y5,12)/FT_Int2))),IF(AN36="PT",IF(AS36&lt;PT_First,0,1+INT((AS36-PT_First)/PT_Int)),0))+IF(AND(AG36&gt;=2,AI36&lt;=AsOfDate),IF(AO36="FT",IF(AT36&lt;FT_First,0,IF(AT36&lt;FT_Y5,1+INT((AT36-FT_First)/FT_Int1),FT_PreY5+FT_PerYear*INT((AT36-FT_Y5)/12)+FT_AnnivDays+INT(MOD(AT36-FT_Y5,12)/FT_Int2))),IF(AO36="PT",IF(AT36&lt;PT_First,0,1+INT((AT36-PT_First)/PT_Int)),0))-IF(AO36="FT",IF(AS36&lt;FT_First,0,IF(AS36&lt;FT_Y5,1+INT((AS36-FT_First)/FT_Int1),FT_PreY5+FT_PerYear*INT((AS36-FT_Y5)/12)+FT_AnnivDays+INT(MOD(AS36-FT_Y5,12)/FT_Int2))),IF(AO36="PT",IF(AS36&lt;PT_First,0,1+INT((AS36-PT_First)/PT_Int)),0)),0)+IF(AND(AG36&gt;=3,AJ36&lt;=AsOfDate),IF(AP36="FT",IF(AR36&lt;FT_First,0,IF(AR36&lt;FT_Y5,1+INT((AR36-FT_First)/FT_Int1),FT_PreY5+FT_PerYear*INT((AR36-FT_Y5)/12)+FT_AnnivDays+INT(MOD(AR36-FT_Y5,12)/FT_Int2))),IF(AP36="PT",IF(AR36&lt;PT_First,0,1+INT((AR36-PT_First)/PT_Int)),0))-IF(AP36="FT",IF(AT36&lt;FT_First,0,IF(AT36&lt;FT_Y5,1+INT((AT36-FT_First)/FT_Int1),FT_PreY5+FT_PerYear*INT((AT36-FT_Y5)/12)+FT_AnnivDays+INT(MOD(AT36-FT_Y5,12)/FT_Int2))),IF(AP36="PT",IF(AT36&lt;PT_First,0,1+INT((AT36-PT_First)/PT_Int)),0)),0))</f>
        <v/>
      </c>
      <c r="AY36" s="12" t="str">
        <f aca="false">IF(AE36=0,"",IF(AN36="FT",IF(AV36&lt;FT_First,0,IF(AV36&lt;FT_Y5,1+INT((AV36-FT_First)/FT_Int1),FT_PreY5+FT_PerYear*INT((AV36-FT_Y5)/12)+FT_AnnivDays+INT(MOD(AV36-FT_Y5,12)/FT_Int2))),IF(AN36="PT",IF(AV36&lt;PT_First,0,1+INT((AV36-PT_First)/PT_Int)),0))+IF(AND(AG36&gt;=2,AI36&lt;=PFYDate),IF(AO36="FT",IF(AW36&lt;FT_First,0,IF(AW36&lt;FT_Y5,1+INT((AW36-FT_First)/FT_Int1),FT_PreY5+FT_PerYear*INT((AW36-FT_Y5)/12)+FT_AnnivDays+INT(MOD(AW36-FT_Y5,12)/FT_Int2))),IF(AO36="PT",IF(AW36&lt;PT_First,0,1+INT((AW36-PT_First)/PT_Int)),0))-IF(AO36="FT",IF(AV36&lt;FT_First,0,IF(AV36&lt;FT_Y5,1+INT((AV36-FT_First)/FT_Int1),FT_PreY5+FT_PerYear*INT((AV36-FT_Y5)/12)+FT_AnnivDays+INT(MOD(AV36-FT_Y5,12)/FT_Int2))),IF(AO36="PT",IF(AV36&lt;PT_First,0,1+INT((AV36-PT_First)/PT_Int)),0)),0)+IF(AND(AG36&gt;=3,AJ36&lt;=PFYDate),IF(AP36="FT",IF(AU36&lt;FT_First,0,IF(AU36&lt;FT_Y5,1+INT((AU36-FT_First)/FT_Int1),FT_PreY5+FT_PerYear*INT((AU36-FT_Y5)/12)+FT_AnnivDays+INT(MOD(AU36-FT_Y5,12)/FT_Int2))),IF(AP36="PT",IF(AU36&lt;PT_First,0,1+INT((AU36-PT_First)/PT_Int)),0))-IF(AP36="FT",IF(AW36&lt;FT_First,0,IF(AW36&lt;FT_Y5,1+INT((AW36-FT_First)/FT_Int1),FT_PreY5+FT_PerYear*INT((AW36-FT_Y5)/12)+FT_AnnivDays+INT(MOD(AW36-FT_Y5,12)/FT_Int2))),IF(AP36="PT",IF(AW36&lt;PT_First,0,1+INT((AW36-PT_First)/PT_Int)),0)),0))</f>
        <v/>
      </c>
      <c r="AZ36" s="12" t="str">
        <f aca="false">IF(AE36=0,"",IF(AQ36="FT",IF(AR36&lt;FT_First,FT_First,IF(AR36&lt;FT_Y5,MIN(FT_Y5,FT_First+FT_Int1*(INT((AR36-FT_First)/FT_Int1)+1)),FT_Y5+12*INT((AR36-FT_Y5)/12)+FT_Int2*(INT(MOD(AR36-FT_Y5,12)/FT_Int2)+1))),IF(AQ36="PT",IF(AR36&lt;PT_First,PT_First,PT_First+PT_Int*(INT((AR36-PT_First)/PT_Int)+1)),"")))</f>
        <v/>
      </c>
      <c r="BA36" s="12" t="str">
        <f aca="false">IF(AE36=0,"",IF(NOT(LH_Ready),0,COUNTIFS(INDEX(LH_Data,0,LH_ColFirst),$A36,INDEX(LH_Data,0,LH_ColSur),$B36,INDEX(LH_Data,0,LH_ColCat),BonusCat)))</f>
        <v/>
      </c>
      <c r="BB36" s="12" t="str">
        <f aca="false">IF(AE36=0,"",IF(OR(NOT(LH_Ready),BA36=0),0,SUMPRODUCT(MAX((INDEX(LH_Data,0,LH_ColFirst)=$A36)*(INDEX(LH_Data,0,LH_ColSur)=$B36)*(INDEX(LH_Data,0,LH_ColCat)=BonusCat)*ROW(LH_Data)))))</f>
        <v/>
      </c>
    </row>
    <row r="37" customFormat="false" ht="15" hidden="false" customHeight="false" outlineLevel="0" collapsed="false">
      <c r="A37" s="15"/>
      <c r="B37" s="15"/>
      <c r="C37" s="15"/>
      <c r="D37" s="16"/>
      <c r="E37" s="10" t="str">
        <f aca="false">IF(OR(AE37=0,$D37=""),"",DATE(YEAR(AsOfDate)+IF(DATE(YEAR(AsOfDate),MONTH($D37),DAY($D37))&lt;=AsOfDate,1,0),MONTH($D37),DAY($D37)))</f>
        <v/>
      </c>
      <c r="F37" s="16"/>
      <c r="G37" s="16"/>
      <c r="H37" s="16"/>
      <c r="I37" s="16"/>
      <c r="J37" s="16"/>
      <c r="K37" s="10" t="str">
        <f aca="false">IF(AE37=0,"",DATE(YEAR(AsOfDate)+IF(DATE(YEAR(AsOfDate),MONTH($F37),DAY($F37))&lt;=AsOfDate,1,0),MONTH($F37),DAY($F37)))</f>
        <v/>
      </c>
      <c r="L37" s="11" t="str">
        <f aca="false">IF(AE37=0,"",ROUND((AsOfDate-$F37)/365.25,1))</f>
        <v/>
      </c>
      <c r="M37" s="12" t="str">
        <f aca="false">IF(AE37=0,"",IF(AsOfDate&lt;AF37,"-",DATEDIF(AF37,AsOfDate,"y")&amp;"y "&amp;DATEDIF(AF37,AsOfDate,"ym")&amp;"m "&amp;DATEDIF(AF37,AsOfDate,"md")&amp;"d"))</f>
        <v/>
      </c>
      <c r="N37" s="13" t="str">
        <f aca="false">IF(AE37=0,"",O37*HoursPerDay)</f>
        <v/>
      </c>
      <c r="O37" s="13" t="str">
        <f aca="false">IF(AE37=0,"",AX37)</f>
        <v/>
      </c>
      <c r="P37" s="17"/>
      <c r="Q37" s="12" t="str">
        <f aca="false">IF(AE37=0,"",IF(AG37&lt;2,"",AK37&amp;" to "&amp;AL37&amp;" on "&amp;TEXT(AI37,"dd/mm/yyyy")&amp;IF(AI37&gt;AsOfDate," (future)",IF(AN37=AO37,"",IF(AO37="None"," - STOPPED accruing",IF(AN37="None"," - now qualifying"," - pathway changed"))))&amp;IF(AG37&lt;3,"","; "&amp;AL37&amp;" to "&amp;AM37&amp;" on "&amp;TEXT(AJ37,"dd/mm/yyyy")&amp;IF(AJ37&gt;AsOfDate," (future)",IF(AO37=AP37,"",IF(AP37="None"," - STOPPED accruing",IF(AO37="None"," - now qualifying"," - pathway changed")))))))</f>
        <v/>
      </c>
      <c r="R37" s="12" t="str">
        <f aca="false">IF(AE37=0,"",IF(AQ37="None",IF(O37&gt;0,"No longer accruing","Not eligible - "&amp;IF(AND(OR(ISNUMBER(SEARCH("part",$C37)),UPPER(TRIM($C37))="PT",UPPER(TRIM($C37))="PTE"),$P37&lt;&gt;"",N($P37)&lt;PT_MinHours),"under "&amp;PT_MinHours&amp;" hrs",IF(IF($C37="","",IF(OR(ISNUMBER(SEARCH("full",$C37)),UPPER(TRIM($C37))="FT",UPPER(TRIM($C37))="FTE"),"Full-Time",IF(OR(ISNUMBER(SEARCH("part",$C37)),UPPER(TRIM($C37))="PT",UPPER(TRIM($C37))="PTE"),"Part-Time",IF(OR(ISNUMBER(SEARCH("cas",$C37)),UPPER(TRIM($C37))="CAS"),"Casual","Unknown"))))="Unknown","type not recognised",$C37))),IF(O37&gt;0,"Yes - accruing","Not yet - from "&amp;TEXT(S37,"dd/mm/yyyy"))))</f>
        <v/>
      </c>
      <c r="S37" s="10" t="str">
        <f aca="false">IF(AE37=0,"",IF(AQ37="None","",EDATE(AF37,AZ37)))</f>
        <v/>
      </c>
      <c r="T37" s="13" t="str">
        <f aca="false">IF(OR(AE37=0,W37=""),"",W37-U37+V37)</f>
        <v/>
      </c>
      <c r="U37" s="13" t="str">
        <f aca="false">IF(AE37=0,"",IF(NOT(LH_Ready),"",SUMIFS(INDEX(LH_Data,0,LH_ColAcc),INDEX(LH_Data,0,LH_ColFirst),$A37,INDEX(LH_Data,0,LH_ColSur),$B37,INDEX(LH_Data,0,LH_ColCat),BonusCat)*UnitFactor))</f>
        <v/>
      </c>
      <c r="V37" s="13" t="str">
        <f aca="false">IF(AE37=0,"",IF(NOT(LH_Ready),"",SUMIFS(INDEX(LH_Data,0,LH_ColTaken),INDEX(LH_Data,0,LH_ColFirst),$A37,INDEX(LH_Data,0,LH_ColSur),$B37,INDEX(LH_Data,0,LH_ColCat),BonusCat)*UnitFactor))</f>
        <v/>
      </c>
      <c r="W37" s="13" t="str">
        <f aca="false">IF(AE37=0,"",IF(NOT(LH_Ready),"",IF(BB37=0,0,INDEX(INDEX(LH_Data,0,LH_ColClose),BB37-1)*UnitFactor)))</f>
        <v/>
      </c>
      <c r="X37" s="13" t="str">
        <f aca="false">IF(AE37=0,"",(AX37-AY37)*HoursPerDay)</f>
        <v/>
      </c>
      <c r="Y37" s="13" t="str">
        <f aca="false">IF(AE37=0,"",IF(NOT(LH_Ready),"",IF(BA37=0,N37,X37-N(U37))))</f>
        <v/>
      </c>
      <c r="Z37" s="12" t="str">
        <f aca="false">IF(OR(AE37=0,Y37=""),"",IF(Y37&gt;0,"Yes","No"))</f>
        <v/>
      </c>
      <c r="AA37" s="12" t="str">
        <f aca="false">IF(AE37=0,IF(LEN($A37&amp;$B37)=0,"","FIX INPUT - StartDate missing"),IF(AD37&lt;&gt;"","FIX INPUT - "&amp;AD37,IF(NOT(LH_Ready),"Paste Leave History export (Settings must show YES)",IF(Y37&gt;0,"ACCRUE "&amp;ROUND(Y37,2)&amp;" hrs ("&amp;ROUND(Y37/HoursPerDay,2)&amp;" days)"&amp;IF(BA37=0," - no Bonus Leave in EH yet, full catch-up since start",""),IF(Y37&lt;0,"CHECK - EH accrued "&amp;ROUND(-Y37,2)&amp;""&amp;" hrs more than policy",IF(O37&gt;0,"OK - nothing to add",IF(AQ37="None",R37,"Not yet - first day on "&amp;TEXT(S37,"dd/mm/yyyy"))))))))</f>
        <v/>
      </c>
      <c r="AB37" s="13" t="str">
        <f aca="false">IF(OR(AE37=0,T37=""),"",AY37*HoursPerDay-T37)</f>
        <v/>
      </c>
      <c r="AC37" s="12" t="str">
        <f aca="false">IF(AE37=0,"",BA37)</f>
        <v/>
      </c>
      <c r="AD37" s="12" t="str">
        <f aca="false">IF(AE37=0,"",TRIM(IF(IF($C37="","",IF(OR(ISNUMBER(SEARCH("full",$C37)),UPPER(TRIM($C37))="FT",UPPER(TRIM($C37))="FTE"),"Full-Time",IF(OR(ISNUMBER(SEARCH("part",$C37)),UPPER(TRIM($C37))="PT",UPPER(TRIM($C37))="PTE"),"Part-Time",IF(OR(ISNUMBER(SEARCH("cas",$C37)),UPPER(TRIM($C37))="CAS"),"Casual","Unknown"))))="Unknown","EmploymentType not recognised - use Full-Time, Part-Time or Casual. ","")&amp;IF(AND(AG37&gt;=1,IF(AG37&gt;=3,AM37,IF(AG37=2,AL37,AK37))&lt;&gt;IF($C37="","",IF(OR(ISNUMBER(SEARCH("full",$C37)),UPPER(TRIM($C37))="FT",UPPER(TRIM($C37))="FTE"),"Full-Time",IF(OR(ISNUMBER(SEARCH("part",$C37)),UPPER(TRIM($C37))="PT",UPPER(TRIM($C37))="PTE"),"Part-Time",IF(OR(ISNUMBER(SEARCH("cas",$C37)),UPPER(TRIM($C37))="CAS"),"Casual","Unknown"))))),"EmploymentType does not match latest start date ("&amp;IF(AG37&gt;=3,AM37,IF(AG37=2,AL37,AK37))&amp;"). ","")&amp;IF(AND(AG37&gt;=1,AH37&lt;&gt;$F37),"Earliest type date should equal StartDate. ","")&amp;IF(AND(AG37&gt;=2,AH37=AI37),"Two types start on the same date. ","")&amp;IF(AND(OR(ISNUMBER(SEARCH("part",$C37)),UPPER(TRIM($C37))="PT",UPPER(TRIM($C37))="PTE"),$P37=""),"Part-time: enter PT Hrs/Week (blank = 24+). ","")))</f>
        <v/>
      </c>
      <c r="AE37" s="12" t="n">
        <f aca="false">IF(OR(LEN($A37&amp;$B37)=0,$F37=""),0,1)</f>
        <v>0</v>
      </c>
      <c r="AF37" s="10" t="str">
        <f aca="false">IF(AE37=0,"",IF($J37&lt;&gt;"",$J37,$F37))</f>
        <v/>
      </c>
      <c r="AG37" s="12" t="str">
        <f aca="false">IF(AE37=0,"",COUNT($G37:$I37))</f>
        <v/>
      </c>
      <c r="AH37" s="10" t="str">
        <f aca="false">IF(AE37=0,"",IFERROR(SMALL($G37:$I37,1),""))</f>
        <v/>
      </c>
      <c r="AI37" s="10" t="str">
        <f aca="false">IF(AE37=0,"",IFERROR(SMALL($G37:$I37,2),""))</f>
        <v/>
      </c>
      <c r="AJ37" s="10" t="str">
        <f aca="false">IF(AE37=0,"",IFERROR(SMALL($G37:$I37,3),""))</f>
        <v/>
      </c>
      <c r="AK37" s="12" t="str">
        <f aca="false">IF(AE37=0,"",IF(AH37="","",IF(AH37=$G37,"Part-Time",IF(AH37=$H37,"Full-Time","Casual"))))</f>
        <v/>
      </c>
      <c r="AL37" s="12" t="str">
        <f aca="false">IF(AE37=0,"",IF(AI37="","",IF(AI37=$G37,"Part-Time",IF(AI37=$H37,"Full-Time","Casual"))))</f>
        <v/>
      </c>
      <c r="AM37" s="12" t="str">
        <f aca="false">IF(AE37=0,"",IF(AJ37="","",IF(AJ37=$G37,"Part-Time",IF(AJ37=$H37,"Full-Time","Casual"))))</f>
        <v/>
      </c>
      <c r="AN37" s="12" t="str">
        <f aca="false">IF(AE37=0,"",IF(AG37=0,IF(OR(ISNUMBER(SEARCH("full",$C37)),UPPER(TRIM($C37))="FT",UPPER(TRIM($C37))="FTE"),"FT",IF(AND(OR(ISNUMBER(SEARCH("part",$C37)),UPPER(TRIM($C37))="PT",UPPER(TRIM($C37))="PTE"),OR($P37="",N($P37)&gt;=PT_MinHours)),"PT","None")),IF(OR(ISNUMBER(SEARCH("full",AK37)),UPPER(TRIM(AK37))="FT",UPPER(TRIM(AK37))="FTE"),"FT",IF(AND(OR(ISNUMBER(SEARCH("part",AK37)),UPPER(TRIM(AK37))="PT",UPPER(TRIM(AK37))="PTE"),OR($P37="",N($P37)&gt;=PT_MinHours)),"PT","None"))))</f>
        <v/>
      </c>
      <c r="AO37" s="12" t="str">
        <f aca="false">IF(AE37=0,"",IF(AG37&lt;2,"",IF(OR(ISNUMBER(SEARCH("full",AL37)),UPPER(TRIM(AL37))="FT",UPPER(TRIM(AL37))="FTE"),"FT",IF(AND(OR(ISNUMBER(SEARCH("part",AL37)),UPPER(TRIM(AL37))="PT",UPPER(TRIM(AL37))="PTE"),OR($P37="",N($P37)&gt;=PT_MinHours)),"PT","None"))))</f>
        <v/>
      </c>
      <c r="AP37" s="12" t="str">
        <f aca="false">IF(AE37=0,"",IF(AG37&lt;3,"",IF(OR(ISNUMBER(SEARCH("full",AM37)),UPPER(TRIM(AM37))="FT",UPPER(TRIM(AM37))="FTE"),"FT",IF(AND(OR(ISNUMBER(SEARCH("part",AM37)),UPPER(TRIM(AM37))="PT",UPPER(TRIM(AM37))="PTE"),OR($P37="",N($P37)&gt;=PT_MinHours)),"PT","None"))))</f>
        <v/>
      </c>
      <c r="AQ37" s="12" t="str">
        <f aca="false">IF(AE37=0,"",IF(AND(AG37&gt;=3,AJ37&lt;=AsOfDate),AP37,IF(AND(AG37&gt;=2,AI37&lt;=AsOfDate),AO37,AN37)))</f>
        <v/>
      </c>
      <c r="AR37" s="12" t="str">
        <f aca="false">IF(AE37=0,"",IF(AsOfDate&lt;AF37,-1,12*(YEAR(AsOfDate)-YEAR(AF37))+MONTH(AsOfDate)-MONTH(AF37)-IF(DAY(AsOfDate)&lt;MIN(DAY(AF37),DAY(EOMONTH(AsOfDate,0))),1,0)))</f>
        <v/>
      </c>
      <c r="AS37" s="12" t="str">
        <f aca="false">IF(AE37=0,"",IF(OR(AG37&lt;2,AI37&gt;AsOfDate),AR37,IF((AI37-1)&lt;AF37,-1,12*(YEAR((AI37-1))-YEAR(AF37))+MONTH((AI37-1))-MONTH(AF37)-IF(DAY((AI37-1))&lt;MIN(DAY(AF37),DAY(EOMONTH((AI37-1),0))),1,0))))</f>
        <v/>
      </c>
      <c r="AT37" s="12" t="str">
        <f aca="false">IF(AE37=0,"",IF(OR(AG37&lt;3,AJ37&gt;AsOfDate),AR37,IF((AJ37-1)&lt;AF37,-1,12*(YEAR((AJ37-1))-YEAR(AF37))+MONTH((AJ37-1))-MONTH(AF37)-IF(DAY((AJ37-1))&lt;MIN(DAY(AF37),DAY(EOMONTH((AJ37-1),0))),1,0))))</f>
        <v/>
      </c>
      <c r="AU37" s="12" t="str">
        <f aca="false">IF(AE37=0,"",IF(PFYDate&lt;AF37,-1,12*(YEAR(PFYDate)-YEAR(AF37))+MONTH(PFYDate)-MONTH(AF37)-IF(DAY(PFYDate)&lt;MIN(DAY(AF37),DAY(EOMONTH(PFYDate,0))),1,0)))</f>
        <v/>
      </c>
      <c r="AV37" s="12" t="str">
        <f aca="false">IF(AE37=0,"",IF(OR(AG37&lt;2,AI37&gt;PFYDate),AU37,IF((AI37-1)&lt;AF37,-1,12*(YEAR((AI37-1))-YEAR(AF37))+MONTH((AI37-1))-MONTH(AF37)-IF(DAY((AI37-1))&lt;MIN(DAY(AF37),DAY(EOMONTH((AI37-1),0))),1,0))))</f>
        <v/>
      </c>
      <c r="AW37" s="12" t="str">
        <f aca="false">IF(AE37=0,"",IF(OR(AG37&lt;3,AJ37&gt;PFYDate),AU37,IF((AJ37-1)&lt;AF37,-1,12*(YEAR((AJ37-1))-YEAR(AF37))+MONTH((AJ37-1))-MONTH(AF37)-IF(DAY((AJ37-1))&lt;MIN(DAY(AF37),DAY(EOMONTH((AJ37-1),0))),1,0))))</f>
        <v/>
      </c>
      <c r="AX37" s="12" t="str">
        <f aca="false">IF(AE37=0,"",IF(AN37="FT",IF(AS37&lt;FT_First,0,IF(AS37&lt;FT_Y5,1+INT((AS37-FT_First)/FT_Int1),FT_PreY5+FT_PerYear*INT((AS37-FT_Y5)/12)+FT_AnnivDays+INT(MOD(AS37-FT_Y5,12)/FT_Int2))),IF(AN37="PT",IF(AS37&lt;PT_First,0,1+INT((AS37-PT_First)/PT_Int)),0))+IF(AND(AG37&gt;=2,AI37&lt;=AsOfDate),IF(AO37="FT",IF(AT37&lt;FT_First,0,IF(AT37&lt;FT_Y5,1+INT((AT37-FT_First)/FT_Int1),FT_PreY5+FT_PerYear*INT((AT37-FT_Y5)/12)+FT_AnnivDays+INT(MOD(AT37-FT_Y5,12)/FT_Int2))),IF(AO37="PT",IF(AT37&lt;PT_First,0,1+INT((AT37-PT_First)/PT_Int)),0))-IF(AO37="FT",IF(AS37&lt;FT_First,0,IF(AS37&lt;FT_Y5,1+INT((AS37-FT_First)/FT_Int1),FT_PreY5+FT_PerYear*INT((AS37-FT_Y5)/12)+FT_AnnivDays+INT(MOD(AS37-FT_Y5,12)/FT_Int2))),IF(AO37="PT",IF(AS37&lt;PT_First,0,1+INT((AS37-PT_First)/PT_Int)),0)),0)+IF(AND(AG37&gt;=3,AJ37&lt;=AsOfDate),IF(AP37="FT",IF(AR37&lt;FT_First,0,IF(AR37&lt;FT_Y5,1+INT((AR37-FT_First)/FT_Int1),FT_PreY5+FT_PerYear*INT((AR37-FT_Y5)/12)+FT_AnnivDays+INT(MOD(AR37-FT_Y5,12)/FT_Int2))),IF(AP37="PT",IF(AR37&lt;PT_First,0,1+INT((AR37-PT_First)/PT_Int)),0))-IF(AP37="FT",IF(AT37&lt;FT_First,0,IF(AT37&lt;FT_Y5,1+INT((AT37-FT_First)/FT_Int1),FT_PreY5+FT_PerYear*INT((AT37-FT_Y5)/12)+FT_AnnivDays+INT(MOD(AT37-FT_Y5,12)/FT_Int2))),IF(AP37="PT",IF(AT37&lt;PT_First,0,1+INT((AT37-PT_First)/PT_Int)),0)),0))</f>
        <v/>
      </c>
      <c r="AY37" s="12" t="str">
        <f aca="false">IF(AE37=0,"",IF(AN37="FT",IF(AV37&lt;FT_First,0,IF(AV37&lt;FT_Y5,1+INT((AV37-FT_First)/FT_Int1),FT_PreY5+FT_PerYear*INT((AV37-FT_Y5)/12)+FT_AnnivDays+INT(MOD(AV37-FT_Y5,12)/FT_Int2))),IF(AN37="PT",IF(AV37&lt;PT_First,0,1+INT((AV37-PT_First)/PT_Int)),0))+IF(AND(AG37&gt;=2,AI37&lt;=PFYDate),IF(AO37="FT",IF(AW37&lt;FT_First,0,IF(AW37&lt;FT_Y5,1+INT((AW37-FT_First)/FT_Int1),FT_PreY5+FT_PerYear*INT((AW37-FT_Y5)/12)+FT_AnnivDays+INT(MOD(AW37-FT_Y5,12)/FT_Int2))),IF(AO37="PT",IF(AW37&lt;PT_First,0,1+INT((AW37-PT_First)/PT_Int)),0))-IF(AO37="FT",IF(AV37&lt;FT_First,0,IF(AV37&lt;FT_Y5,1+INT((AV37-FT_First)/FT_Int1),FT_PreY5+FT_PerYear*INT((AV37-FT_Y5)/12)+FT_AnnivDays+INT(MOD(AV37-FT_Y5,12)/FT_Int2))),IF(AO37="PT",IF(AV37&lt;PT_First,0,1+INT((AV37-PT_First)/PT_Int)),0)),0)+IF(AND(AG37&gt;=3,AJ37&lt;=PFYDate),IF(AP37="FT",IF(AU37&lt;FT_First,0,IF(AU37&lt;FT_Y5,1+INT((AU37-FT_First)/FT_Int1),FT_PreY5+FT_PerYear*INT((AU37-FT_Y5)/12)+FT_AnnivDays+INT(MOD(AU37-FT_Y5,12)/FT_Int2))),IF(AP37="PT",IF(AU37&lt;PT_First,0,1+INT((AU37-PT_First)/PT_Int)),0))-IF(AP37="FT",IF(AW37&lt;FT_First,0,IF(AW37&lt;FT_Y5,1+INT((AW37-FT_First)/FT_Int1),FT_PreY5+FT_PerYear*INT((AW37-FT_Y5)/12)+FT_AnnivDays+INT(MOD(AW37-FT_Y5,12)/FT_Int2))),IF(AP37="PT",IF(AW37&lt;PT_First,0,1+INT((AW37-PT_First)/PT_Int)),0)),0))</f>
        <v/>
      </c>
      <c r="AZ37" s="12" t="str">
        <f aca="false">IF(AE37=0,"",IF(AQ37="FT",IF(AR37&lt;FT_First,FT_First,IF(AR37&lt;FT_Y5,MIN(FT_Y5,FT_First+FT_Int1*(INT((AR37-FT_First)/FT_Int1)+1)),FT_Y5+12*INT((AR37-FT_Y5)/12)+FT_Int2*(INT(MOD(AR37-FT_Y5,12)/FT_Int2)+1))),IF(AQ37="PT",IF(AR37&lt;PT_First,PT_First,PT_First+PT_Int*(INT((AR37-PT_First)/PT_Int)+1)),"")))</f>
        <v/>
      </c>
      <c r="BA37" s="12" t="str">
        <f aca="false">IF(AE37=0,"",IF(NOT(LH_Ready),0,COUNTIFS(INDEX(LH_Data,0,LH_ColFirst),$A37,INDEX(LH_Data,0,LH_ColSur),$B37,INDEX(LH_Data,0,LH_ColCat),BonusCat)))</f>
        <v/>
      </c>
      <c r="BB37" s="12" t="str">
        <f aca="false">IF(AE37=0,"",IF(OR(NOT(LH_Ready),BA37=0),0,SUMPRODUCT(MAX((INDEX(LH_Data,0,LH_ColFirst)=$A37)*(INDEX(LH_Data,0,LH_ColSur)=$B37)*(INDEX(LH_Data,0,LH_ColCat)=BonusCat)*ROW(LH_Data)))))</f>
        <v/>
      </c>
    </row>
    <row r="38" customFormat="false" ht="15" hidden="false" customHeight="false" outlineLevel="0" collapsed="false">
      <c r="A38" s="15"/>
      <c r="B38" s="15"/>
      <c r="C38" s="15"/>
      <c r="D38" s="16"/>
      <c r="E38" s="10" t="str">
        <f aca="false">IF(OR(AE38=0,$D38=""),"",DATE(YEAR(AsOfDate)+IF(DATE(YEAR(AsOfDate),MONTH($D38),DAY($D38))&lt;=AsOfDate,1,0),MONTH($D38),DAY($D38)))</f>
        <v/>
      </c>
      <c r="F38" s="16"/>
      <c r="G38" s="16"/>
      <c r="H38" s="16"/>
      <c r="I38" s="16"/>
      <c r="J38" s="16"/>
      <c r="K38" s="10" t="str">
        <f aca="false">IF(AE38=0,"",DATE(YEAR(AsOfDate)+IF(DATE(YEAR(AsOfDate),MONTH($F38),DAY($F38))&lt;=AsOfDate,1,0),MONTH($F38),DAY($F38)))</f>
        <v/>
      </c>
      <c r="L38" s="11" t="str">
        <f aca="false">IF(AE38=0,"",ROUND((AsOfDate-$F38)/365.25,1))</f>
        <v/>
      </c>
      <c r="M38" s="12" t="str">
        <f aca="false">IF(AE38=0,"",IF(AsOfDate&lt;AF38,"-",DATEDIF(AF38,AsOfDate,"y")&amp;"y "&amp;DATEDIF(AF38,AsOfDate,"ym")&amp;"m "&amp;DATEDIF(AF38,AsOfDate,"md")&amp;"d"))</f>
        <v/>
      </c>
      <c r="N38" s="13" t="str">
        <f aca="false">IF(AE38=0,"",O38*HoursPerDay)</f>
        <v/>
      </c>
      <c r="O38" s="13" t="str">
        <f aca="false">IF(AE38=0,"",AX38)</f>
        <v/>
      </c>
      <c r="P38" s="17"/>
      <c r="Q38" s="12" t="str">
        <f aca="false">IF(AE38=0,"",IF(AG38&lt;2,"",AK38&amp;" to "&amp;AL38&amp;" on "&amp;TEXT(AI38,"dd/mm/yyyy")&amp;IF(AI38&gt;AsOfDate," (future)",IF(AN38=AO38,"",IF(AO38="None"," - STOPPED accruing",IF(AN38="None"," - now qualifying"," - pathway changed"))))&amp;IF(AG38&lt;3,"","; "&amp;AL38&amp;" to "&amp;AM38&amp;" on "&amp;TEXT(AJ38,"dd/mm/yyyy")&amp;IF(AJ38&gt;AsOfDate," (future)",IF(AO38=AP38,"",IF(AP38="None"," - STOPPED accruing",IF(AO38="None"," - now qualifying"," - pathway changed")))))))</f>
        <v/>
      </c>
      <c r="R38" s="12" t="str">
        <f aca="false">IF(AE38=0,"",IF(AQ38="None",IF(O38&gt;0,"No longer accruing","Not eligible - "&amp;IF(AND(OR(ISNUMBER(SEARCH("part",$C38)),UPPER(TRIM($C38))="PT",UPPER(TRIM($C38))="PTE"),$P38&lt;&gt;"",N($P38)&lt;PT_MinHours),"under "&amp;PT_MinHours&amp;" hrs",IF(IF($C38="","",IF(OR(ISNUMBER(SEARCH("full",$C38)),UPPER(TRIM($C38))="FT",UPPER(TRIM($C38))="FTE"),"Full-Time",IF(OR(ISNUMBER(SEARCH("part",$C38)),UPPER(TRIM($C38))="PT",UPPER(TRIM($C38))="PTE"),"Part-Time",IF(OR(ISNUMBER(SEARCH("cas",$C38)),UPPER(TRIM($C38))="CAS"),"Casual","Unknown"))))="Unknown","type not recognised",$C38))),IF(O38&gt;0,"Yes - accruing","Not yet - from "&amp;TEXT(S38,"dd/mm/yyyy"))))</f>
        <v/>
      </c>
      <c r="S38" s="10" t="str">
        <f aca="false">IF(AE38=0,"",IF(AQ38="None","",EDATE(AF38,AZ38)))</f>
        <v/>
      </c>
      <c r="T38" s="13" t="str">
        <f aca="false">IF(OR(AE38=0,W38=""),"",W38-U38+V38)</f>
        <v/>
      </c>
      <c r="U38" s="13" t="str">
        <f aca="false">IF(AE38=0,"",IF(NOT(LH_Ready),"",SUMIFS(INDEX(LH_Data,0,LH_ColAcc),INDEX(LH_Data,0,LH_ColFirst),$A38,INDEX(LH_Data,0,LH_ColSur),$B38,INDEX(LH_Data,0,LH_ColCat),BonusCat)*UnitFactor))</f>
        <v/>
      </c>
      <c r="V38" s="13" t="str">
        <f aca="false">IF(AE38=0,"",IF(NOT(LH_Ready),"",SUMIFS(INDEX(LH_Data,0,LH_ColTaken),INDEX(LH_Data,0,LH_ColFirst),$A38,INDEX(LH_Data,0,LH_ColSur),$B38,INDEX(LH_Data,0,LH_ColCat),BonusCat)*UnitFactor))</f>
        <v/>
      </c>
      <c r="W38" s="13" t="str">
        <f aca="false">IF(AE38=0,"",IF(NOT(LH_Ready),"",IF(BB38=0,0,INDEX(INDEX(LH_Data,0,LH_ColClose),BB38-1)*UnitFactor)))</f>
        <v/>
      </c>
      <c r="X38" s="13" t="str">
        <f aca="false">IF(AE38=0,"",(AX38-AY38)*HoursPerDay)</f>
        <v/>
      </c>
      <c r="Y38" s="13" t="str">
        <f aca="false">IF(AE38=0,"",IF(NOT(LH_Ready),"",IF(BA38=0,N38,X38-N(U38))))</f>
        <v/>
      </c>
      <c r="Z38" s="12" t="str">
        <f aca="false">IF(OR(AE38=0,Y38=""),"",IF(Y38&gt;0,"Yes","No"))</f>
        <v/>
      </c>
      <c r="AA38" s="12" t="str">
        <f aca="false">IF(AE38=0,IF(LEN($A38&amp;$B38)=0,"","FIX INPUT - StartDate missing"),IF(AD38&lt;&gt;"","FIX INPUT - "&amp;AD38,IF(NOT(LH_Ready),"Paste Leave History export (Settings must show YES)",IF(Y38&gt;0,"ACCRUE "&amp;ROUND(Y38,2)&amp;" hrs ("&amp;ROUND(Y38/HoursPerDay,2)&amp;" days)"&amp;IF(BA38=0," - no Bonus Leave in EH yet, full catch-up since start",""),IF(Y38&lt;0,"CHECK - EH accrued "&amp;ROUND(-Y38,2)&amp;""&amp;" hrs more than policy",IF(O38&gt;0,"OK - nothing to add",IF(AQ38="None",R38,"Not yet - first day on "&amp;TEXT(S38,"dd/mm/yyyy"))))))))</f>
        <v/>
      </c>
      <c r="AB38" s="13" t="str">
        <f aca="false">IF(OR(AE38=0,T38=""),"",AY38*HoursPerDay-T38)</f>
        <v/>
      </c>
      <c r="AC38" s="12" t="str">
        <f aca="false">IF(AE38=0,"",BA38)</f>
        <v/>
      </c>
      <c r="AD38" s="12" t="str">
        <f aca="false">IF(AE38=0,"",TRIM(IF(IF($C38="","",IF(OR(ISNUMBER(SEARCH("full",$C38)),UPPER(TRIM($C38))="FT",UPPER(TRIM($C38))="FTE"),"Full-Time",IF(OR(ISNUMBER(SEARCH("part",$C38)),UPPER(TRIM($C38))="PT",UPPER(TRIM($C38))="PTE"),"Part-Time",IF(OR(ISNUMBER(SEARCH("cas",$C38)),UPPER(TRIM($C38))="CAS"),"Casual","Unknown"))))="Unknown","EmploymentType not recognised - use Full-Time, Part-Time or Casual. ","")&amp;IF(AND(AG38&gt;=1,IF(AG38&gt;=3,AM38,IF(AG38=2,AL38,AK38))&lt;&gt;IF($C38="","",IF(OR(ISNUMBER(SEARCH("full",$C38)),UPPER(TRIM($C38))="FT",UPPER(TRIM($C38))="FTE"),"Full-Time",IF(OR(ISNUMBER(SEARCH("part",$C38)),UPPER(TRIM($C38))="PT",UPPER(TRIM($C38))="PTE"),"Part-Time",IF(OR(ISNUMBER(SEARCH("cas",$C38)),UPPER(TRIM($C38))="CAS"),"Casual","Unknown"))))),"EmploymentType does not match latest start date ("&amp;IF(AG38&gt;=3,AM38,IF(AG38=2,AL38,AK38))&amp;"). ","")&amp;IF(AND(AG38&gt;=1,AH38&lt;&gt;$F38),"Earliest type date should equal StartDate. ","")&amp;IF(AND(AG38&gt;=2,AH38=AI38),"Two types start on the same date. ","")&amp;IF(AND(OR(ISNUMBER(SEARCH("part",$C38)),UPPER(TRIM($C38))="PT",UPPER(TRIM($C38))="PTE"),$P38=""),"Part-time: enter PT Hrs/Week (blank = 24+). ","")))</f>
        <v/>
      </c>
      <c r="AE38" s="12" t="n">
        <f aca="false">IF(OR(LEN($A38&amp;$B38)=0,$F38=""),0,1)</f>
        <v>0</v>
      </c>
      <c r="AF38" s="10" t="str">
        <f aca="false">IF(AE38=0,"",IF($J38&lt;&gt;"",$J38,$F38))</f>
        <v/>
      </c>
      <c r="AG38" s="12" t="str">
        <f aca="false">IF(AE38=0,"",COUNT($G38:$I38))</f>
        <v/>
      </c>
      <c r="AH38" s="10" t="str">
        <f aca="false">IF(AE38=0,"",IFERROR(SMALL($G38:$I38,1),""))</f>
        <v/>
      </c>
      <c r="AI38" s="10" t="str">
        <f aca="false">IF(AE38=0,"",IFERROR(SMALL($G38:$I38,2),""))</f>
        <v/>
      </c>
      <c r="AJ38" s="10" t="str">
        <f aca="false">IF(AE38=0,"",IFERROR(SMALL($G38:$I38,3),""))</f>
        <v/>
      </c>
      <c r="AK38" s="12" t="str">
        <f aca="false">IF(AE38=0,"",IF(AH38="","",IF(AH38=$G38,"Part-Time",IF(AH38=$H38,"Full-Time","Casual"))))</f>
        <v/>
      </c>
      <c r="AL38" s="12" t="str">
        <f aca="false">IF(AE38=0,"",IF(AI38="","",IF(AI38=$G38,"Part-Time",IF(AI38=$H38,"Full-Time","Casual"))))</f>
        <v/>
      </c>
      <c r="AM38" s="12" t="str">
        <f aca="false">IF(AE38=0,"",IF(AJ38="","",IF(AJ38=$G38,"Part-Time",IF(AJ38=$H38,"Full-Time","Casual"))))</f>
        <v/>
      </c>
      <c r="AN38" s="12" t="str">
        <f aca="false">IF(AE38=0,"",IF(AG38=0,IF(OR(ISNUMBER(SEARCH("full",$C38)),UPPER(TRIM($C38))="FT",UPPER(TRIM($C38))="FTE"),"FT",IF(AND(OR(ISNUMBER(SEARCH("part",$C38)),UPPER(TRIM($C38))="PT",UPPER(TRIM($C38))="PTE"),OR($P38="",N($P38)&gt;=PT_MinHours)),"PT","None")),IF(OR(ISNUMBER(SEARCH("full",AK38)),UPPER(TRIM(AK38))="FT",UPPER(TRIM(AK38))="FTE"),"FT",IF(AND(OR(ISNUMBER(SEARCH("part",AK38)),UPPER(TRIM(AK38))="PT",UPPER(TRIM(AK38))="PTE"),OR($P38="",N($P38)&gt;=PT_MinHours)),"PT","None"))))</f>
        <v/>
      </c>
      <c r="AO38" s="12" t="str">
        <f aca="false">IF(AE38=0,"",IF(AG38&lt;2,"",IF(OR(ISNUMBER(SEARCH("full",AL38)),UPPER(TRIM(AL38))="FT",UPPER(TRIM(AL38))="FTE"),"FT",IF(AND(OR(ISNUMBER(SEARCH("part",AL38)),UPPER(TRIM(AL38))="PT",UPPER(TRIM(AL38))="PTE"),OR($P38="",N($P38)&gt;=PT_MinHours)),"PT","None"))))</f>
        <v/>
      </c>
      <c r="AP38" s="12" t="str">
        <f aca="false">IF(AE38=0,"",IF(AG38&lt;3,"",IF(OR(ISNUMBER(SEARCH("full",AM38)),UPPER(TRIM(AM38))="FT",UPPER(TRIM(AM38))="FTE"),"FT",IF(AND(OR(ISNUMBER(SEARCH("part",AM38)),UPPER(TRIM(AM38))="PT",UPPER(TRIM(AM38))="PTE"),OR($P38="",N($P38)&gt;=PT_MinHours)),"PT","None"))))</f>
        <v/>
      </c>
      <c r="AQ38" s="12" t="str">
        <f aca="false">IF(AE38=0,"",IF(AND(AG38&gt;=3,AJ38&lt;=AsOfDate),AP38,IF(AND(AG38&gt;=2,AI38&lt;=AsOfDate),AO38,AN38)))</f>
        <v/>
      </c>
      <c r="AR38" s="12" t="str">
        <f aca="false">IF(AE38=0,"",IF(AsOfDate&lt;AF38,-1,12*(YEAR(AsOfDate)-YEAR(AF38))+MONTH(AsOfDate)-MONTH(AF38)-IF(DAY(AsOfDate)&lt;MIN(DAY(AF38),DAY(EOMONTH(AsOfDate,0))),1,0)))</f>
        <v/>
      </c>
      <c r="AS38" s="12" t="str">
        <f aca="false">IF(AE38=0,"",IF(OR(AG38&lt;2,AI38&gt;AsOfDate),AR38,IF((AI38-1)&lt;AF38,-1,12*(YEAR((AI38-1))-YEAR(AF38))+MONTH((AI38-1))-MONTH(AF38)-IF(DAY((AI38-1))&lt;MIN(DAY(AF38),DAY(EOMONTH((AI38-1),0))),1,0))))</f>
        <v/>
      </c>
      <c r="AT38" s="12" t="str">
        <f aca="false">IF(AE38=0,"",IF(OR(AG38&lt;3,AJ38&gt;AsOfDate),AR38,IF((AJ38-1)&lt;AF38,-1,12*(YEAR((AJ38-1))-YEAR(AF38))+MONTH((AJ38-1))-MONTH(AF38)-IF(DAY((AJ38-1))&lt;MIN(DAY(AF38),DAY(EOMONTH((AJ38-1),0))),1,0))))</f>
        <v/>
      </c>
      <c r="AU38" s="12" t="str">
        <f aca="false">IF(AE38=0,"",IF(PFYDate&lt;AF38,-1,12*(YEAR(PFYDate)-YEAR(AF38))+MONTH(PFYDate)-MONTH(AF38)-IF(DAY(PFYDate)&lt;MIN(DAY(AF38),DAY(EOMONTH(PFYDate,0))),1,0)))</f>
        <v/>
      </c>
      <c r="AV38" s="12" t="str">
        <f aca="false">IF(AE38=0,"",IF(OR(AG38&lt;2,AI38&gt;PFYDate),AU38,IF((AI38-1)&lt;AF38,-1,12*(YEAR((AI38-1))-YEAR(AF38))+MONTH((AI38-1))-MONTH(AF38)-IF(DAY((AI38-1))&lt;MIN(DAY(AF38),DAY(EOMONTH((AI38-1),0))),1,0))))</f>
        <v/>
      </c>
      <c r="AW38" s="12" t="str">
        <f aca="false">IF(AE38=0,"",IF(OR(AG38&lt;3,AJ38&gt;PFYDate),AU38,IF((AJ38-1)&lt;AF38,-1,12*(YEAR((AJ38-1))-YEAR(AF38))+MONTH((AJ38-1))-MONTH(AF38)-IF(DAY((AJ38-1))&lt;MIN(DAY(AF38),DAY(EOMONTH((AJ38-1),0))),1,0))))</f>
        <v/>
      </c>
      <c r="AX38" s="12" t="str">
        <f aca="false">IF(AE38=0,"",IF(AN38="FT",IF(AS38&lt;FT_First,0,IF(AS38&lt;FT_Y5,1+INT((AS38-FT_First)/FT_Int1),FT_PreY5+FT_PerYear*INT((AS38-FT_Y5)/12)+FT_AnnivDays+INT(MOD(AS38-FT_Y5,12)/FT_Int2))),IF(AN38="PT",IF(AS38&lt;PT_First,0,1+INT((AS38-PT_First)/PT_Int)),0))+IF(AND(AG38&gt;=2,AI38&lt;=AsOfDate),IF(AO38="FT",IF(AT38&lt;FT_First,0,IF(AT38&lt;FT_Y5,1+INT((AT38-FT_First)/FT_Int1),FT_PreY5+FT_PerYear*INT((AT38-FT_Y5)/12)+FT_AnnivDays+INT(MOD(AT38-FT_Y5,12)/FT_Int2))),IF(AO38="PT",IF(AT38&lt;PT_First,0,1+INT((AT38-PT_First)/PT_Int)),0))-IF(AO38="FT",IF(AS38&lt;FT_First,0,IF(AS38&lt;FT_Y5,1+INT((AS38-FT_First)/FT_Int1),FT_PreY5+FT_PerYear*INT((AS38-FT_Y5)/12)+FT_AnnivDays+INT(MOD(AS38-FT_Y5,12)/FT_Int2))),IF(AO38="PT",IF(AS38&lt;PT_First,0,1+INT((AS38-PT_First)/PT_Int)),0)),0)+IF(AND(AG38&gt;=3,AJ38&lt;=AsOfDate),IF(AP38="FT",IF(AR38&lt;FT_First,0,IF(AR38&lt;FT_Y5,1+INT((AR38-FT_First)/FT_Int1),FT_PreY5+FT_PerYear*INT((AR38-FT_Y5)/12)+FT_AnnivDays+INT(MOD(AR38-FT_Y5,12)/FT_Int2))),IF(AP38="PT",IF(AR38&lt;PT_First,0,1+INT((AR38-PT_First)/PT_Int)),0))-IF(AP38="FT",IF(AT38&lt;FT_First,0,IF(AT38&lt;FT_Y5,1+INT((AT38-FT_First)/FT_Int1),FT_PreY5+FT_PerYear*INT((AT38-FT_Y5)/12)+FT_AnnivDays+INT(MOD(AT38-FT_Y5,12)/FT_Int2))),IF(AP38="PT",IF(AT38&lt;PT_First,0,1+INT((AT38-PT_First)/PT_Int)),0)),0))</f>
        <v/>
      </c>
      <c r="AY38" s="12" t="str">
        <f aca="false">IF(AE38=0,"",IF(AN38="FT",IF(AV38&lt;FT_First,0,IF(AV38&lt;FT_Y5,1+INT((AV38-FT_First)/FT_Int1),FT_PreY5+FT_PerYear*INT((AV38-FT_Y5)/12)+FT_AnnivDays+INT(MOD(AV38-FT_Y5,12)/FT_Int2))),IF(AN38="PT",IF(AV38&lt;PT_First,0,1+INT((AV38-PT_First)/PT_Int)),0))+IF(AND(AG38&gt;=2,AI38&lt;=PFYDate),IF(AO38="FT",IF(AW38&lt;FT_First,0,IF(AW38&lt;FT_Y5,1+INT((AW38-FT_First)/FT_Int1),FT_PreY5+FT_PerYear*INT((AW38-FT_Y5)/12)+FT_AnnivDays+INT(MOD(AW38-FT_Y5,12)/FT_Int2))),IF(AO38="PT",IF(AW38&lt;PT_First,0,1+INT((AW38-PT_First)/PT_Int)),0))-IF(AO38="FT",IF(AV38&lt;FT_First,0,IF(AV38&lt;FT_Y5,1+INT((AV38-FT_First)/FT_Int1),FT_PreY5+FT_PerYear*INT((AV38-FT_Y5)/12)+FT_AnnivDays+INT(MOD(AV38-FT_Y5,12)/FT_Int2))),IF(AO38="PT",IF(AV38&lt;PT_First,0,1+INT((AV38-PT_First)/PT_Int)),0)),0)+IF(AND(AG38&gt;=3,AJ38&lt;=PFYDate),IF(AP38="FT",IF(AU38&lt;FT_First,0,IF(AU38&lt;FT_Y5,1+INT((AU38-FT_First)/FT_Int1),FT_PreY5+FT_PerYear*INT((AU38-FT_Y5)/12)+FT_AnnivDays+INT(MOD(AU38-FT_Y5,12)/FT_Int2))),IF(AP38="PT",IF(AU38&lt;PT_First,0,1+INT((AU38-PT_First)/PT_Int)),0))-IF(AP38="FT",IF(AW38&lt;FT_First,0,IF(AW38&lt;FT_Y5,1+INT((AW38-FT_First)/FT_Int1),FT_PreY5+FT_PerYear*INT((AW38-FT_Y5)/12)+FT_AnnivDays+INT(MOD(AW38-FT_Y5,12)/FT_Int2))),IF(AP38="PT",IF(AW38&lt;PT_First,0,1+INT((AW38-PT_First)/PT_Int)),0)),0))</f>
        <v/>
      </c>
      <c r="AZ38" s="12" t="str">
        <f aca="false">IF(AE38=0,"",IF(AQ38="FT",IF(AR38&lt;FT_First,FT_First,IF(AR38&lt;FT_Y5,MIN(FT_Y5,FT_First+FT_Int1*(INT((AR38-FT_First)/FT_Int1)+1)),FT_Y5+12*INT((AR38-FT_Y5)/12)+FT_Int2*(INT(MOD(AR38-FT_Y5,12)/FT_Int2)+1))),IF(AQ38="PT",IF(AR38&lt;PT_First,PT_First,PT_First+PT_Int*(INT((AR38-PT_First)/PT_Int)+1)),"")))</f>
        <v/>
      </c>
      <c r="BA38" s="12" t="str">
        <f aca="false">IF(AE38=0,"",IF(NOT(LH_Ready),0,COUNTIFS(INDEX(LH_Data,0,LH_ColFirst),$A38,INDEX(LH_Data,0,LH_ColSur),$B38,INDEX(LH_Data,0,LH_ColCat),BonusCat)))</f>
        <v/>
      </c>
      <c r="BB38" s="12" t="str">
        <f aca="false">IF(AE38=0,"",IF(OR(NOT(LH_Ready),BA38=0),0,SUMPRODUCT(MAX((INDEX(LH_Data,0,LH_ColFirst)=$A38)*(INDEX(LH_Data,0,LH_ColSur)=$B38)*(INDEX(LH_Data,0,LH_ColCat)=BonusCat)*ROW(LH_Data)))))</f>
        <v/>
      </c>
    </row>
    <row r="39" customFormat="false" ht="15" hidden="false" customHeight="false" outlineLevel="0" collapsed="false">
      <c r="A39" s="15"/>
      <c r="B39" s="15"/>
      <c r="C39" s="15"/>
      <c r="D39" s="16"/>
      <c r="E39" s="10" t="str">
        <f aca="false">IF(OR(AE39=0,$D39=""),"",DATE(YEAR(AsOfDate)+IF(DATE(YEAR(AsOfDate),MONTH($D39),DAY($D39))&lt;=AsOfDate,1,0),MONTH($D39),DAY($D39)))</f>
        <v/>
      </c>
      <c r="F39" s="16"/>
      <c r="G39" s="16"/>
      <c r="H39" s="16"/>
      <c r="I39" s="16"/>
      <c r="J39" s="16"/>
      <c r="K39" s="10" t="str">
        <f aca="false">IF(AE39=0,"",DATE(YEAR(AsOfDate)+IF(DATE(YEAR(AsOfDate),MONTH($F39),DAY($F39))&lt;=AsOfDate,1,0),MONTH($F39),DAY($F39)))</f>
        <v/>
      </c>
      <c r="L39" s="11" t="str">
        <f aca="false">IF(AE39=0,"",ROUND((AsOfDate-$F39)/365.25,1))</f>
        <v/>
      </c>
      <c r="M39" s="12" t="str">
        <f aca="false">IF(AE39=0,"",IF(AsOfDate&lt;AF39,"-",DATEDIF(AF39,AsOfDate,"y")&amp;"y "&amp;DATEDIF(AF39,AsOfDate,"ym")&amp;"m "&amp;DATEDIF(AF39,AsOfDate,"md")&amp;"d"))</f>
        <v/>
      </c>
      <c r="N39" s="13" t="str">
        <f aca="false">IF(AE39=0,"",O39*HoursPerDay)</f>
        <v/>
      </c>
      <c r="O39" s="13" t="str">
        <f aca="false">IF(AE39=0,"",AX39)</f>
        <v/>
      </c>
      <c r="P39" s="17"/>
      <c r="Q39" s="12" t="str">
        <f aca="false">IF(AE39=0,"",IF(AG39&lt;2,"",AK39&amp;" to "&amp;AL39&amp;" on "&amp;TEXT(AI39,"dd/mm/yyyy")&amp;IF(AI39&gt;AsOfDate," (future)",IF(AN39=AO39,"",IF(AO39="None"," - STOPPED accruing",IF(AN39="None"," - now qualifying"," - pathway changed"))))&amp;IF(AG39&lt;3,"","; "&amp;AL39&amp;" to "&amp;AM39&amp;" on "&amp;TEXT(AJ39,"dd/mm/yyyy")&amp;IF(AJ39&gt;AsOfDate," (future)",IF(AO39=AP39,"",IF(AP39="None"," - STOPPED accruing",IF(AO39="None"," - now qualifying"," - pathway changed")))))))</f>
        <v/>
      </c>
      <c r="R39" s="12" t="str">
        <f aca="false">IF(AE39=0,"",IF(AQ39="None",IF(O39&gt;0,"No longer accruing","Not eligible - "&amp;IF(AND(OR(ISNUMBER(SEARCH("part",$C39)),UPPER(TRIM($C39))="PT",UPPER(TRIM($C39))="PTE"),$P39&lt;&gt;"",N($P39)&lt;PT_MinHours),"under "&amp;PT_MinHours&amp;" hrs",IF(IF($C39="","",IF(OR(ISNUMBER(SEARCH("full",$C39)),UPPER(TRIM($C39))="FT",UPPER(TRIM($C39))="FTE"),"Full-Time",IF(OR(ISNUMBER(SEARCH("part",$C39)),UPPER(TRIM($C39))="PT",UPPER(TRIM($C39))="PTE"),"Part-Time",IF(OR(ISNUMBER(SEARCH("cas",$C39)),UPPER(TRIM($C39))="CAS"),"Casual","Unknown"))))="Unknown","type not recognised",$C39))),IF(O39&gt;0,"Yes - accruing","Not yet - from "&amp;TEXT(S39,"dd/mm/yyyy"))))</f>
        <v/>
      </c>
      <c r="S39" s="10" t="str">
        <f aca="false">IF(AE39=0,"",IF(AQ39="None","",EDATE(AF39,AZ39)))</f>
        <v/>
      </c>
      <c r="T39" s="13" t="str">
        <f aca="false">IF(OR(AE39=0,W39=""),"",W39-U39+V39)</f>
        <v/>
      </c>
      <c r="U39" s="13" t="str">
        <f aca="false">IF(AE39=0,"",IF(NOT(LH_Ready),"",SUMIFS(INDEX(LH_Data,0,LH_ColAcc),INDEX(LH_Data,0,LH_ColFirst),$A39,INDEX(LH_Data,0,LH_ColSur),$B39,INDEX(LH_Data,0,LH_ColCat),BonusCat)*UnitFactor))</f>
        <v/>
      </c>
      <c r="V39" s="13" t="str">
        <f aca="false">IF(AE39=0,"",IF(NOT(LH_Ready),"",SUMIFS(INDEX(LH_Data,0,LH_ColTaken),INDEX(LH_Data,0,LH_ColFirst),$A39,INDEX(LH_Data,0,LH_ColSur),$B39,INDEX(LH_Data,0,LH_ColCat),BonusCat)*UnitFactor))</f>
        <v/>
      </c>
      <c r="W39" s="13" t="str">
        <f aca="false">IF(AE39=0,"",IF(NOT(LH_Ready),"",IF(BB39=0,0,INDEX(INDEX(LH_Data,0,LH_ColClose),BB39-1)*UnitFactor)))</f>
        <v/>
      </c>
      <c r="X39" s="13" t="str">
        <f aca="false">IF(AE39=0,"",(AX39-AY39)*HoursPerDay)</f>
        <v/>
      </c>
      <c r="Y39" s="13" t="str">
        <f aca="false">IF(AE39=0,"",IF(NOT(LH_Ready),"",IF(BA39=0,N39,X39-N(U39))))</f>
        <v/>
      </c>
      <c r="Z39" s="12" t="str">
        <f aca="false">IF(OR(AE39=0,Y39=""),"",IF(Y39&gt;0,"Yes","No"))</f>
        <v/>
      </c>
      <c r="AA39" s="12" t="str">
        <f aca="false">IF(AE39=0,IF(LEN($A39&amp;$B39)=0,"","FIX INPUT - StartDate missing"),IF(AD39&lt;&gt;"","FIX INPUT - "&amp;AD39,IF(NOT(LH_Ready),"Paste Leave History export (Settings must show YES)",IF(Y39&gt;0,"ACCRUE "&amp;ROUND(Y39,2)&amp;" hrs ("&amp;ROUND(Y39/HoursPerDay,2)&amp;" days)"&amp;IF(BA39=0," - no Bonus Leave in EH yet, full catch-up since start",""),IF(Y39&lt;0,"CHECK - EH accrued "&amp;ROUND(-Y39,2)&amp;""&amp;" hrs more than policy",IF(O39&gt;0,"OK - nothing to add",IF(AQ39="None",R39,"Not yet - first day on "&amp;TEXT(S39,"dd/mm/yyyy"))))))))</f>
        <v/>
      </c>
      <c r="AB39" s="13" t="str">
        <f aca="false">IF(OR(AE39=0,T39=""),"",AY39*HoursPerDay-T39)</f>
        <v/>
      </c>
      <c r="AC39" s="12" t="str">
        <f aca="false">IF(AE39=0,"",BA39)</f>
        <v/>
      </c>
      <c r="AD39" s="12" t="str">
        <f aca="false">IF(AE39=0,"",TRIM(IF(IF($C39="","",IF(OR(ISNUMBER(SEARCH("full",$C39)),UPPER(TRIM($C39))="FT",UPPER(TRIM($C39))="FTE"),"Full-Time",IF(OR(ISNUMBER(SEARCH("part",$C39)),UPPER(TRIM($C39))="PT",UPPER(TRIM($C39))="PTE"),"Part-Time",IF(OR(ISNUMBER(SEARCH("cas",$C39)),UPPER(TRIM($C39))="CAS"),"Casual","Unknown"))))="Unknown","EmploymentType not recognised - use Full-Time, Part-Time or Casual. ","")&amp;IF(AND(AG39&gt;=1,IF(AG39&gt;=3,AM39,IF(AG39=2,AL39,AK39))&lt;&gt;IF($C39="","",IF(OR(ISNUMBER(SEARCH("full",$C39)),UPPER(TRIM($C39))="FT",UPPER(TRIM($C39))="FTE"),"Full-Time",IF(OR(ISNUMBER(SEARCH("part",$C39)),UPPER(TRIM($C39))="PT",UPPER(TRIM($C39))="PTE"),"Part-Time",IF(OR(ISNUMBER(SEARCH("cas",$C39)),UPPER(TRIM($C39))="CAS"),"Casual","Unknown"))))),"EmploymentType does not match latest start date ("&amp;IF(AG39&gt;=3,AM39,IF(AG39=2,AL39,AK39))&amp;"). ","")&amp;IF(AND(AG39&gt;=1,AH39&lt;&gt;$F39),"Earliest type date should equal StartDate. ","")&amp;IF(AND(AG39&gt;=2,AH39=AI39),"Two types start on the same date. ","")&amp;IF(AND(OR(ISNUMBER(SEARCH("part",$C39)),UPPER(TRIM($C39))="PT",UPPER(TRIM($C39))="PTE"),$P39=""),"Part-time: enter PT Hrs/Week (blank = 24+). ","")))</f>
        <v/>
      </c>
      <c r="AE39" s="12" t="n">
        <f aca="false">IF(OR(LEN($A39&amp;$B39)=0,$F39=""),0,1)</f>
        <v>0</v>
      </c>
      <c r="AF39" s="10" t="str">
        <f aca="false">IF(AE39=0,"",IF($J39&lt;&gt;"",$J39,$F39))</f>
        <v/>
      </c>
      <c r="AG39" s="12" t="str">
        <f aca="false">IF(AE39=0,"",COUNT($G39:$I39))</f>
        <v/>
      </c>
      <c r="AH39" s="10" t="str">
        <f aca="false">IF(AE39=0,"",IFERROR(SMALL($G39:$I39,1),""))</f>
        <v/>
      </c>
      <c r="AI39" s="10" t="str">
        <f aca="false">IF(AE39=0,"",IFERROR(SMALL($G39:$I39,2),""))</f>
        <v/>
      </c>
      <c r="AJ39" s="10" t="str">
        <f aca="false">IF(AE39=0,"",IFERROR(SMALL($G39:$I39,3),""))</f>
        <v/>
      </c>
      <c r="AK39" s="12" t="str">
        <f aca="false">IF(AE39=0,"",IF(AH39="","",IF(AH39=$G39,"Part-Time",IF(AH39=$H39,"Full-Time","Casual"))))</f>
        <v/>
      </c>
      <c r="AL39" s="12" t="str">
        <f aca="false">IF(AE39=0,"",IF(AI39="","",IF(AI39=$G39,"Part-Time",IF(AI39=$H39,"Full-Time","Casual"))))</f>
        <v/>
      </c>
      <c r="AM39" s="12" t="str">
        <f aca="false">IF(AE39=0,"",IF(AJ39="","",IF(AJ39=$G39,"Part-Time",IF(AJ39=$H39,"Full-Time","Casual"))))</f>
        <v/>
      </c>
      <c r="AN39" s="12" t="str">
        <f aca="false">IF(AE39=0,"",IF(AG39=0,IF(OR(ISNUMBER(SEARCH("full",$C39)),UPPER(TRIM($C39))="FT",UPPER(TRIM($C39))="FTE"),"FT",IF(AND(OR(ISNUMBER(SEARCH("part",$C39)),UPPER(TRIM($C39))="PT",UPPER(TRIM($C39))="PTE"),OR($P39="",N($P39)&gt;=PT_MinHours)),"PT","None")),IF(OR(ISNUMBER(SEARCH("full",AK39)),UPPER(TRIM(AK39))="FT",UPPER(TRIM(AK39))="FTE"),"FT",IF(AND(OR(ISNUMBER(SEARCH("part",AK39)),UPPER(TRIM(AK39))="PT",UPPER(TRIM(AK39))="PTE"),OR($P39="",N($P39)&gt;=PT_MinHours)),"PT","None"))))</f>
        <v/>
      </c>
      <c r="AO39" s="12" t="str">
        <f aca="false">IF(AE39=0,"",IF(AG39&lt;2,"",IF(OR(ISNUMBER(SEARCH("full",AL39)),UPPER(TRIM(AL39))="FT",UPPER(TRIM(AL39))="FTE"),"FT",IF(AND(OR(ISNUMBER(SEARCH("part",AL39)),UPPER(TRIM(AL39))="PT",UPPER(TRIM(AL39))="PTE"),OR($P39="",N($P39)&gt;=PT_MinHours)),"PT","None"))))</f>
        <v/>
      </c>
      <c r="AP39" s="12" t="str">
        <f aca="false">IF(AE39=0,"",IF(AG39&lt;3,"",IF(OR(ISNUMBER(SEARCH("full",AM39)),UPPER(TRIM(AM39))="FT",UPPER(TRIM(AM39))="FTE"),"FT",IF(AND(OR(ISNUMBER(SEARCH("part",AM39)),UPPER(TRIM(AM39))="PT",UPPER(TRIM(AM39))="PTE"),OR($P39="",N($P39)&gt;=PT_MinHours)),"PT","None"))))</f>
        <v/>
      </c>
      <c r="AQ39" s="12" t="str">
        <f aca="false">IF(AE39=0,"",IF(AND(AG39&gt;=3,AJ39&lt;=AsOfDate),AP39,IF(AND(AG39&gt;=2,AI39&lt;=AsOfDate),AO39,AN39)))</f>
        <v/>
      </c>
      <c r="AR39" s="12" t="str">
        <f aca="false">IF(AE39=0,"",IF(AsOfDate&lt;AF39,-1,12*(YEAR(AsOfDate)-YEAR(AF39))+MONTH(AsOfDate)-MONTH(AF39)-IF(DAY(AsOfDate)&lt;MIN(DAY(AF39),DAY(EOMONTH(AsOfDate,0))),1,0)))</f>
        <v/>
      </c>
      <c r="AS39" s="12" t="str">
        <f aca="false">IF(AE39=0,"",IF(OR(AG39&lt;2,AI39&gt;AsOfDate),AR39,IF((AI39-1)&lt;AF39,-1,12*(YEAR((AI39-1))-YEAR(AF39))+MONTH((AI39-1))-MONTH(AF39)-IF(DAY((AI39-1))&lt;MIN(DAY(AF39),DAY(EOMONTH((AI39-1),0))),1,0))))</f>
        <v/>
      </c>
      <c r="AT39" s="12" t="str">
        <f aca="false">IF(AE39=0,"",IF(OR(AG39&lt;3,AJ39&gt;AsOfDate),AR39,IF((AJ39-1)&lt;AF39,-1,12*(YEAR((AJ39-1))-YEAR(AF39))+MONTH((AJ39-1))-MONTH(AF39)-IF(DAY((AJ39-1))&lt;MIN(DAY(AF39),DAY(EOMONTH((AJ39-1),0))),1,0))))</f>
        <v/>
      </c>
      <c r="AU39" s="12" t="str">
        <f aca="false">IF(AE39=0,"",IF(PFYDate&lt;AF39,-1,12*(YEAR(PFYDate)-YEAR(AF39))+MONTH(PFYDate)-MONTH(AF39)-IF(DAY(PFYDate)&lt;MIN(DAY(AF39),DAY(EOMONTH(PFYDate,0))),1,0)))</f>
        <v/>
      </c>
      <c r="AV39" s="12" t="str">
        <f aca="false">IF(AE39=0,"",IF(OR(AG39&lt;2,AI39&gt;PFYDate),AU39,IF((AI39-1)&lt;AF39,-1,12*(YEAR((AI39-1))-YEAR(AF39))+MONTH((AI39-1))-MONTH(AF39)-IF(DAY((AI39-1))&lt;MIN(DAY(AF39),DAY(EOMONTH((AI39-1),0))),1,0))))</f>
        <v/>
      </c>
      <c r="AW39" s="12" t="str">
        <f aca="false">IF(AE39=0,"",IF(OR(AG39&lt;3,AJ39&gt;PFYDate),AU39,IF((AJ39-1)&lt;AF39,-1,12*(YEAR((AJ39-1))-YEAR(AF39))+MONTH((AJ39-1))-MONTH(AF39)-IF(DAY((AJ39-1))&lt;MIN(DAY(AF39),DAY(EOMONTH((AJ39-1),0))),1,0))))</f>
        <v/>
      </c>
      <c r="AX39" s="12" t="str">
        <f aca="false">IF(AE39=0,"",IF(AN39="FT",IF(AS39&lt;FT_First,0,IF(AS39&lt;FT_Y5,1+INT((AS39-FT_First)/FT_Int1),FT_PreY5+FT_PerYear*INT((AS39-FT_Y5)/12)+FT_AnnivDays+INT(MOD(AS39-FT_Y5,12)/FT_Int2))),IF(AN39="PT",IF(AS39&lt;PT_First,0,1+INT((AS39-PT_First)/PT_Int)),0))+IF(AND(AG39&gt;=2,AI39&lt;=AsOfDate),IF(AO39="FT",IF(AT39&lt;FT_First,0,IF(AT39&lt;FT_Y5,1+INT((AT39-FT_First)/FT_Int1),FT_PreY5+FT_PerYear*INT((AT39-FT_Y5)/12)+FT_AnnivDays+INT(MOD(AT39-FT_Y5,12)/FT_Int2))),IF(AO39="PT",IF(AT39&lt;PT_First,0,1+INT((AT39-PT_First)/PT_Int)),0))-IF(AO39="FT",IF(AS39&lt;FT_First,0,IF(AS39&lt;FT_Y5,1+INT((AS39-FT_First)/FT_Int1),FT_PreY5+FT_PerYear*INT((AS39-FT_Y5)/12)+FT_AnnivDays+INT(MOD(AS39-FT_Y5,12)/FT_Int2))),IF(AO39="PT",IF(AS39&lt;PT_First,0,1+INT((AS39-PT_First)/PT_Int)),0)),0)+IF(AND(AG39&gt;=3,AJ39&lt;=AsOfDate),IF(AP39="FT",IF(AR39&lt;FT_First,0,IF(AR39&lt;FT_Y5,1+INT((AR39-FT_First)/FT_Int1),FT_PreY5+FT_PerYear*INT((AR39-FT_Y5)/12)+FT_AnnivDays+INT(MOD(AR39-FT_Y5,12)/FT_Int2))),IF(AP39="PT",IF(AR39&lt;PT_First,0,1+INT((AR39-PT_First)/PT_Int)),0))-IF(AP39="FT",IF(AT39&lt;FT_First,0,IF(AT39&lt;FT_Y5,1+INT((AT39-FT_First)/FT_Int1),FT_PreY5+FT_PerYear*INT((AT39-FT_Y5)/12)+FT_AnnivDays+INT(MOD(AT39-FT_Y5,12)/FT_Int2))),IF(AP39="PT",IF(AT39&lt;PT_First,0,1+INT((AT39-PT_First)/PT_Int)),0)),0))</f>
        <v/>
      </c>
      <c r="AY39" s="12" t="str">
        <f aca="false">IF(AE39=0,"",IF(AN39="FT",IF(AV39&lt;FT_First,0,IF(AV39&lt;FT_Y5,1+INT((AV39-FT_First)/FT_Int1),FT_PreY5+FT_PerYear*INT((AV39-FT_Y5)/12)+FT_AnnivDays+INT(MOD(AV39-FT_Y5,12)/FT_Int2))),IF(AN39="PT",IF(AV39&lt;PT_First,0,1+INT((AV39-PT_First)/PT_Int)),0))+IF(AND(AG39&gt;=2,AI39&lt;=PFYDate),IF(AO39="FT",IF(AW39&lt;FT_First,0,IF(AW39&lt;FT_Y5,1+INT((AW39-FT_First)/FT_Int1),FT_PreY5+FT_PerYear*INT((AW39-FT_Y5)/12)+FT_AnnivDays+INT(MOD(AW39-FT_Y5,12)/FT_Int2))),IF(AO39="PT",IF(AW39&lt;PT_First,0,1+INT((AW39-PT_First)/PT_Int)),0))-IF(AO39="FT",IF(AV39&lt;FT_First,0,IF(AV39&lt;FT_Y5,1+INT((AV39-FT_First)/FT_Int1),FT_PreY5+FT_PerYear*INT((AV39-FT_Y5)/12)+FT_AnnivDays+INT(MOD(AV39-FT_Y5,12)/FT_Int2))),IF(AO39="PT",IF(AV39&lt;PT_First,0,1+INT((AV39-PT_First)/PT_Int)),0)),0)+IF(AND(AG39&gt;=3,AJ39&lt;=PFYDate),IF(AP39="FT",IF(AU39&lt;FT_First,0,IF(AU39&lt;FT_Y5,1+INT((AU39-FT_First)/FT_Int1),FT_PreY5+FT_PerYear*INT((AU39-FT_Y5)/12)+FT_AnnivDays+INT(MOD(AU39-FT_Y5,12)/FT_Int2))),IF(AP39="PT",IF(AU39&lt;PT_First,0,1+INT((AU39-PT_First)/PT_Int)),0))-IF(AP39="FT",IF(AW39&lt;FT_First,0,IF(AW39&lt;FT_Y5,1+INT((AW39-FT_First)/FT_Int1),FT_PreY5+FT_PerYear*INT((AW39-FT_Y5)/12)+FT_AnnivDays+INT(MOD(AW39-FT_Y5,12)/FT_Int2))),IF(AP39="PT",IF(AW39&lt;PT_First,0,1+INT((AW39-PT_First)/PT_Int)),0)),0))</f>
        <v/>
      </c>
      <c r="AZ39" s="12" t="str">
        <f aca="false">IF(AE39=0,"",IF(AQ39="FT",IF(AR39&lt;FT_First,FT_First,IF(AR39&lt;FT_Y5,MIN(FT_Y5,FT_First+FT_Int1*(INT((AR39-FT_First)/FT_Int1)+1)),FT_Y5+12*INT((AR39-FT_Y5)/12)+FT_Int2*(INT(MOD(AR39-FT_Y5,12)/FT_Int2)+1))),IF(AQ39="PT",IF(AR39&lt;PT_First,PT_First,PT_First+PT_Int*(INT((AR39-PT_First)/PT_Int)+1)),"")))</f>
        <v/>
      </c>
      <c r="BA39" s="12" t="str">
        <f aca="false">IF(AE39=0,"",IF(NOT(LH_Ready),0,COUNTIFS(INDEX(LH_Data,0,LH_ColFirst),$A39,INDEX(LH_Data,0,LH_ColSur),$B39,INDEX(LH_Data,0,LH_ColCat),BonusCat)))</f>
        <v/>
      </c>
      <c r="BB39" s="12" t="str">
        <f aca="false">IF(AE39=0,"",IF(OR(NOT(LH_Ready),BA39=0),0,SUMPRODUCT(MAX((INDEX(LH_Data,0,LH_ColFirst)=$A39)*(INDEX(LH_Data,0,LH_ColSur)=$B39)*(INDEX(LH_Data,0,LH_ColCat)=BonusCat)*ROW(LH_Data)))))</f>
        <v/>
      </c>
    </row>
    <row r="40" customFormat="false" ht="15" hidden="false" customHeight="false" outlineLevel="0" collapsed="false">
      <c r="A40" s="15"/>
      <c r="B40" s="15"/>
      <c r="C40" s="15"/>
      <c r="D40" s="16"/>
      <c r="E40" s="10" t="str">
        <f aca="false">IF(OR(AE40=0,$D40=""),"",DATE(YEAR(AsOfDate)+IF(DATE(YEAR(AsOfDate),MONTH($D40),DAY($D40))&lt;=AsOfDate,1,0),MONTH($D40),DAY($D40)))</f>
        <v/>
      </c>
      <c r="F40" s="16"/>
      <c r="G40" s="16"/>
      <c r="H40" s="16"/>
      <c r="I40" s="16"/>
      <c r="J40" s="16"/>
      <c r="K40" s="10" t="str">
        <f aca="false">IF(AE40=0,"",DATE(YEAR(AsOfDate)+IF(DATE(YEAR(AsOfDate),MONTH($F40),DAY($F40))&lt;=AsOfDate,1,0),MONTH($F40),DAY($F40)))</f>
        <v/>
      </c>
      <c r="L40" s="11" t="str">
        <f aca="false">IF(AE40=0,"",ROUND((AsOfDate-$F40)/365.25,1))</f>
        <v/>
      </c>
      <c r="M40" s="12" t="str">
        <f aca="false">IF(AE40=0,"",IF(AsOfDate&lt;AF40,"-",DATEDIF(AF40,AsOfDate,"y")&amp;"y "&amp;DATEDIF(AF40,AsOfDate,"ym")&amp;"m "&amp;DATEDIF(AF40,AsOfDate,"md")&amp;"d"))</f>
        <v/>
      </c>
      <c r="N40" s="13" t="str">
        <f aca="false">IF(AE40=0,"",O40*HoursPerDay)</f>
        <v/>
      </c>
      <c r="O40" s="13" t="str">
        <f aca="false">IF(AE40=0,"",AX40)</f>
        <v/>
      </c>
      <c r="P40" s="17"/>
      <c r="Q40" s="12" t="str">
        <f aca="false">IF(AE40=0,"",IF(AG40&lt;2,"",AK40&amp;" to "&amp;AL40&amp;" on "&amp;TEXT(AI40,"dd/mm/yyyy")&amp;IF(AI40&gt;AsOfDate," (future)",IF(AN40=AO40,"",IF(AO40="None"," - STOPPED accruing",IF(AN40="None"," - now qualifying"," - pathway changed"))))&amp;IF(AG40&lt;3,"","; "&amp;AL40&amp;" to "&amp;AM40&amp;" on "&amp;TEXT(AJ40,"dd/mm/yyyy")&amp;IF(AJ40&gt;AsOfDate," (future)",IF(AO40=AP40,"",IF(AP40="None"," - STOPPED accruing",IF(AO40="None"," - now qualifying"," - pathway changed")))))))</f>
        <v/>
      </c>
      <c r="R40" s="12" t="str">
        <f aca="false">IF(AE40=0,"",IF(AQ40="None",IF(O40&gt;0,"No longer accruing","Not eligible - "&amp;IF(AND(OR(ISNUMBER(SEARCH("part",$C40)),UPPER(TRIM($C40))="PT",UPPER(TRIM($C40))="PTE"),$P40&lt;&gt;"",N($P40)&lt;PT_MinHours),"under "&amp;PT_MinHours&amp;" hrs",IF(IF($C40="","",IF(OR(ISNUMBER(SEARCH("full",$C40)),UPPER(TRIM($C40))="FT",UPPER(TRIM($C40))="FTE"),"Full-Time",IF(OR(ISNUMBER(SEARCH("part",$C40)),UPPER(TRIM($C40))="PT",UPPER(TRIM($C40))="PTE"),"Part-Time",IF(OR(ISNUMBER(SEARCH("cas",$C40)),UPPER(TRIM($C40))="CAS"),"Casual","Unknown"))))="Unknown","type not recognised",$C40))),IF(O40&gt;0,"Yes - accruing","Not yet - from "&amp;TEXT(S40,"dd/mm/yyyy"))))</f>
        <v/>
      </c>
      <c r="S40" s="10" t="str">
        <f aca="false">IF(AE40=0,"",IF(AQ40="None","",EDATE(AF40,AZ40)))</f>
        <v/>
      </c>
      <c r="T40" s="13" t="str">
        <f aca="false">IF(OR(AE40=0,W40=""),"",W40-U40+V40)</f>
        <v/>
      </c>
      <c r="U40" s="13" t="str">
        <f aca="false">IF(AE40=0,"",IF(NOT(LH_Ready),"",SUMIFS(INDEX(LH_Data,0,LH_ColAcc),INDEX(LH_Data,0,LH_ColFirst),$A40,INDEX(LH_Data,0,LH_ColSur),$B40,INDEX(LH_Data,0,LH_ColCat),BonusCat)*UnitFactor))</f>
        <v/>
      </c>
      <c r="V40" s="13" t="str">
        <f aca="false">IF(AE40=0,"",IF(NOT(LH_Ready),"",SUMIFS(INDEX(LH_Data,0,LH_ColTaken),INDEX(LH_Data,0,LH_ColFirst),$A40,INDEX(LH_Data,0,LH_ColSur),$B40,INDEX(LH_Data,0,LH_ColCat),BonusCat)*UnitFactor))</f>
        <v/>
      </c>
      <c r="W40" s="13" t="str">
        <f aca="false">IF(AE40=0,"",IF(NOT(LH_Ready),"",IF(BB40=0,0,INDEX(INDEX(LH_Data,0,LH_ColClose),BB40-1)*UnitFactor)))</f>
        <v/>
      </c>
      <c r="X40" s="13" t="str">
        <f aca="false">IF(AE40=0,"",(AX40-AY40)*HoursPerDay)</f>
        <v/>
      </c>
      <c r="Y40" s="13" t="str">
        <f aca="false">IF(AE40=0,"",IF(NOT(LH_Ready),"",IF(BA40=0,N40,X40-N(U40))))</f>
        <v/>
      </c>
      <c r="Z40" s="12" t="str">
        <f aca="false">IF(OR(AE40=0,Y40=""),"",IF(Y40&gt;0,"Yes","No"))</f>
        <v/>
      </c>
      <c r="AA40" s="12" t="str">
        <f aca="false">IF(AE40=0,IF(LEN($A40&amp;$B40)=0,"","FIX INPUT - StartDate missing"),IF(AD40&lt;&gt;"","FIX INPUT - "&amp;AD40,IF(NOT(LH_Ready),"Paste Leave History export (Settings must show YES)",IF(Y40&gt;0,"ACCRUE "&amp;ROUND(Y40,2)&amp;" hrs ("&amp;ROUND(Y40/HoursPerDay,2)&amp;" days)"&amp;IF(BA40=0," - no Bonus Leave in EH yet, full catch-up since start",""),IF(Y40&lt;0,"CHECK - EH accrued "&amp;ROUND(-Y40,2)&amp;""&amp;" hrs more than policy",IF(O40&gt;0,"OK - nothing to add",IF(AQ40="None",R40,"Not yet - first day on "&amp;TEXT(S40,"dd/mm/yyyy"))))))))</f>
        <v/>
      </c>
      <c r="AB40" s="13" t="str">
        <f aca="false">IF(OR(AE40=0,T40=""),"",AY40*HoursPerDay-T40)</f>
        <v/>
      </c>
      <c r="AC40" s="12" t="str">
        <f aca="false">IF(AE40=0,"",BA40)</f>
        <v/>
      </c>
      <c r="AD40" s="12" t="str">
        <f aca="false">IF(AE40=0,"",TRIM(IF(IF($C40="","",IF(OR(ISNUMBER(SEARCH("full",$C40)),UPPER(TRIM($C40))="FT",UPPER(TRIM($C40))="FTE"),"Full-Time",IF(OR(ISNUMBER(SEARCH("part",$C40)),UPPER(TRIM($C40))="PT",UPPER(TRIM($C40))="PTE"),"Part-Time",IF(OR(ISNUMBER(SEARCH("cas",$C40)),UPPER(TRIM($C40))="CAS"),"Casual","Unknown"))))="Unknown","EmploymentType not recognised - use Full-Time, Part-Time or Casual. ","")&amp;IF(AND(AG40&gt;=1,IF(AG40&gt;=3,AM40,IF(AG40=2,AL40,AK40))&lt;&gt;IF($C40="","",IF(OR(ISNUMBER(SEARCH("full",$C40)),UPPER(TRIM($C40))="FT",UPPER(TRIM($C40))="FTE"),"Full-Time",IF(OR(ISNUMBER(SEARCH("part",$C40)),UPPER(TRIM($C40))="PT",UPPER(TRIM($C40))="PTE"),"Part-Time",IF(OR(ISNUMBER(SEARCH("cas",$C40)),UPPER(TRIM($C40))="CAS"),"Casual","Unknown"))))),"EmploymentType does not match latest start date ("&amp;IF(AG40&gt;=3,AM40,IF(AG40=2,AL40,AK40))&amp;"). ","")&amp;IF(AND(AG40&gt;=1,AH40&lt;&gt;$F40),"Earliest type date should equal StartDate. ","")&amp;IF(AND(AG40&gt;=2,AH40=AI40),"Two types start on the same date. ","")&amp;IF(AND(OR(ISNUMBER(SEARCH("part",$C40)),UPPER(TRIM($C40))="PT",UPPER(TRIM($C40))="PTE"),$P40=""),"Part-time: enter PT Hrs/Week (blank = 24+). ","")))</f>
        <v/>
      </c>
      <c r="AE40" s="12" t="n">
        <f aca="false">IF(OR(LEN($A40&amp;$B40)=0,$F40=""),0,1)</f>
        <v>0</v>
      </c>
      <c r="AF40" s="10" t="str">
        <f aca="false">IF(AE40=0,"",IF($J40&lt;&gt;"",$J40,$F40))</f>
        <v/>
      </c>
      <c r="AG40" s="12" t="str">
        <f aca="false">IF(AE40=0,"",COUNT($G40:$I40))</f>
        <v/>
      </c>
      <c r="AH40" s="10" t="str">
        <f aca="false">IF(AE40=0,"",IFERROR(SMALL($G40:$I40,1),""))</f>
        <v/>
      </c>
      <c r="AI40" s="10" t="str">
        <f aca="false">IF(AE40=0,"",IFERROR(SMALL($G40:$I40,2),""))</f>
        <v/>
      </c>
      <c r="AJ40" s="10" t="str">
        <f aca="false">IF(AE40=0,"",IFERROR(SMALL($G40:$I40,3),""))</f>
        <v/>
      </c>
      <c r="AK40" s="12" t="str">
        <f aca="false">IF(AE40=0,"",IF(AH40="","",IF(AH40=$G40,"Part-Time",IF(AH40=$H40,"Full-Time","Casual"))))</f>
        <v/>
      </c>
      <c r="AL40" s="12" t="str">
        <f aca="false">IF(AE40=0,"",IF(AI40="","",IF(AI40=$G40,"Part-Time",IF(AI40=$H40,"Full-Time","Casual"))))</f>
        <v/>
      </c>
      <c r="AM40" s="12" t="str">
        <f aca="false">IF(AE40=0,"",IF(AJ40="","",IF(AJ40=$G40,"Part-Time",IF(AJ40=$H40,"Full-Time","Casual"))))</f>
        <v/>
      </c>
      <c r="AN40" s="12" t="str">
        <f aca="false">IF(AE40=0,"",IF(AG40=0,IF(OR(ISNUMBER(SEARCH("full",$C40)),UPPER(TRIM($C40))="FT",UPPER(TRIM($C40))="FTE"),"FT",IF(AND(OR(ISNUMBER(SEARCH("part",$C40)),UPPER(TRIM($C40))="PT",UPPER(TRIM($C40))="PTE"),OR($P40="",N($P40)&gt;=PT_MinHours)),"PT","None")),IF(OR(ISNUMBER(SEARCH("full",AK40)),UPPER(TRIM(AK40))="FT",UPPER(TRIM(AK40))="FTE"),"FT",IF(AND(OR(ISNUMBER(SEARCH("part",AK40)),UPPER(TRIM(AK40))="PT",UPPER(TRIM(AK40))="PTE"),OR($P40="",N($P40)&gt;=PT_MinHours)),"PT","None"))))</f>
        <v/>
      </c>
      <c r="AO40" s="12" t="str">
        <f aca="false">IF(AE40=0,"",IF(AG40&lt;2,"",IF(OR(ISNUMBER(SEARCH("full",AL40)),UPPER(TRIM(AL40))="FT",UPPER(TRIM(AL40))="FTE"),"FT",IF(AND(OR(ISNUMBER(SEARCH("part",AL40)),UPPER(TRIM(AL40))="PT",UPPER(TRIM(AL40))="PTE"),OR($P40="",N($P40)&gt;=PT_MinHours)),"PT","None"))))</f>
        <v/>
      </c>
      <c r="AP40" s="12" t="str">
        <f aca="false">IF(AE40=0,"",IF(AG40&lt;3,"",IF(OR(ISNUMBER(SEARCH("full",AM40)),UPPER(TRIM(AM40))="FT",UPPER(TRIM(AM40))="FTE"),"FT",IF(AND(OR(ISNUMBER(SEARCH("part",AM40)),UPPER(TRIM(AM40))="PT",UPPER(TRIM(AM40))="PTE"),OR($P40="",N($P40)&gt;=PT_MinHours)),"PT","None"))))</f>
        <v/>
      </c>
      <c r="AQ40" s="12" t="str">
        <f aca="false">IF(AE40=0,"",IF(AND(AG40&gt;=3,AJ40&lt;=AsOfDate),AP40,IF(AND(AG40&gt;=2,AI40&lt;=AsOfDate),AO40,AN40)))</f>
        <v/>
      </c>
      <c r="AR40" s="12" t="str">
        <f aca="false">IF(AE40=0,"",IF(AsOfDate&lt;AF40,-1,12*(YEAR(AsOfDate)-YEAR(AF40))+MONTH(AsOfDate)-MONTH(AF40)-IF(DAY(AsOfDate)&lt;MIN(DAY(AF40),DAY(EOMONTH(AsOfDate,0))),1,0)))</f>
        <v/>
      </c>
      <c r="AS40" s="12" t="str">
        <f aca="false">IF(AE40=0,"",IF(OR(AG40&lt;2,AI40&gt;AsOfDate),AR40,IF((AI40-1)&lt;AF40,-1,12*(YEAR((AI40-1))-YEAR(AF40))+MONTH((AI40-1))-MONTH(AF40)-IF(DAY((AI40-1))&lt;MIN(DAY(AF40),DAY(EOMONTH((AI40-1),0))),1,0))))</f>
        <v/>
      </c>
      <c r="AT40" s="12" t="str">
        <f aca="false">IF(AE40=0,"",IF(OR(AG40&lt;3,AJ40&gt;AsOfDate),AR40,IF((AJ40-1)&lt;AF40,-1,12*(YEAR((AJ40-1))-YEAR(AF40))+MONTH((AJ40-1))-MONTH(AF40)-IF(DAY((AJ40-1))&lt;MIN(DAY(AF40),DAY(EOMONTH((AJ40-1),0))),1,0))))</f>
        <v/>
      </c>
      <c r="AU40" s="12" t="str">
        <f aca="false">IF(AE40=0,"",IF(PFYDate&lt;AF40,-1,12*(YEAR(PFYDate)-YEAR(AF40))+MONTH(PFYDate)-MONTH(AF40)-IF(DAY(PFYDate)&lt;MIN(DAY(AF40),DAY(EOMONTH(PFYDate,0))),1,0)))</f>
        <v/>
      </c>
      <c r="AV40" s="12" t="str">
        <f aca="false">IF(AE40=0,"",IF(OR(AG40&lt;2,AI40&gt;PFYDate),AU40,IF((AI40-1)&lt;AF40,-1,12*(YEAR((AI40-1))-YEAR(AF40))+MONTH((AI40-1))-MONTH(AF40)-IF(DAY((AI40-1))&lt;MIN(DAY(AF40),DAY(EOMONTH((AI40-1),0))),1,0))))</f>
        <v/>
      </c>
      <c r="AW40" s="12" t="str">
        <f aca="false">IF(AE40=0,"",IF(OR(AG40&lt;3,AJ40&gt;PFYDate),AU40,IF((AJ40-1)&lt;AF40,-1,12*(YEAR((AJ40-1))-YEAR(AF40))+MONTH((AJ40-1))-MONTH(AF40)-IF(DAY((AJ40-1))&lt;MIN(DAY(AF40),DAY(EOMONTH((AJ40-1),0))),1,0))))</f>
        <v/>
      </c>
      <c r="AX40" s="12" t="str">
        <f aca="false">IF(AE40=0,"",IF(AN40="FT",IF(AS40&lt;FT_First,0,IF(AS40&lt;FT_Y5,1+INT((AS40-FT_First)/FT_Int1),FT_PreY5+FT_PerYear*INT((AS40-FT_Y5)/12)+FT_AnnivDays+INT(MOD(AS40-FT_Y5,12)/FT_Int2))),IF(AN40="PT",IF(AS40&lt;PT_First,0,1+INT((AS40-PT_First)/PT_Int)),0))+IF(AND(AG40&gt;=2,AI40&lt;=AsOfDate),IF(AO40="FT",IF(AT40&lt;FT_First,0,IF(AT40&lt;FT_Y5,1+INT((AT40-FT_First)/FT_Int1),FT_PreY5+FT_PerYear*INT((AT40-FT_Y5)/12)+FT_AnnivDays+INT(MOD(AT40-FT_Y5,12)/FT_Int2))),IF(AO40="PT",IF(AT40&lt;PT_First,0,1+INT((AT40-PT_First)/PT_Int)),0))-IF(AO40="FT",IF(AS40&lt;FT_First,0,IF(AS40&lt;FT_Y5,1+INT((AS40-FT_First)/FT_Int1),FT_PreY5+FT_PerYear*INT((AS40-FT_Y5)/12)+FT_AnnivDays+INT(MOD(AS40-FT_Y5,12)/FT_Int2))),IF(AO40="PT",IF(AS40&lt;PT_First,0,1+INT((AS40-PT_First)/PT_Int)),0)),0)+IF(AND(AG40&gt;=3,AJ40&lt;=AsOfDate),IF(AP40="FT",IF(AR40&lt;FT_First,0,IF(AR40&lt;FT_Y5,1+INT((AR40-FT_First)/FT_Int1),FT_PreY5+FT_PerYear*INT((AR40-FT_Y5)/12)+FT_AnnivDays+INT(MOD(AR40-FT_Y5,12)/FT_Int2))),IF(AP40="PT",IF(AR40&lt;PT_First,0,1+INT((AR40-PT_First)/PT_Int)),0))-IF(AP40="FT",IF(AT40&lt;FT_First,0,IF(AT40&lt;FT_Y5,1+INT((AT40-FT_First)/FT_Int1),FT_PreY5+FT_PerYear*INT((AT40-FT_Y5)/12)+FT_AnnivDays+INT(MOD(AT40-FT_Y5,12)/FT_Int2))),IF(AP40="PT",IF(AT40&lt;PT_First,0,1+INT((AT40-PT_First)/PT_Int)),0)),0))</f>
        <v/>
      </c>
      <c r="AY40" s="12" t="str">
        <f aca="false">IF(AE40=0,"",IF(AN40="FT",IF(AV40&lt;FT_First,0,IF(AV40&lt;FT_Y5,1+INT((AV40-FT_First)/FT_Int1),FT_PreY5+FT_PerYear*INT((AV40-FT_Y5)/12)+FT_AnnivDays+INT(MOD(AV40-FT_Y5,12)/FT_Int2))),IF(AN40="PT",IF(AV40&lt;PT_First,0,1+INT((AV40-PT_First)/PT_Int)),0))+IF(AND(AG40&gt;=2,AI40&lt;=PFYDate),IF(AO40="FT",IF(AW40&lt;FT_First,0,IF(AW40&lt;FT_Y5,1+INT((AW40-FT_First)/FT_Int1),FT_PreY5+FT_PerYear*INT((AW40-FT_Y5)/12)+FT_AnnivDays+INT(MOD(AW40-FT_Y5,12)/FT_Int2))),IF(AO40="PT",IF(AW40&lt;PT_First,0,1+INT((AW40-PT_First)/PT_Int)),0))-IF(AO40="FT",IF(AV40&lt;FT_First,0,IF(AV40&lt;FT_Y5,1+INT((AV40-FT_First)/FT_Int1),FT_PreY5+FT_PerYear*INT((AV40-FT_Y5)/12)+FT_AnnivDays+INT(MOD(AV40-FT_Y5,12)/FT_Int2))),IF(AO40="PT",IF(AV40&lt;PT_First,0,1+INT((AV40-PT_First)/PT_Int)),0)),0)+IF(AND(AG40&gt;=3,AJ40&lt;=PFYDate),IF(AP40="FT",IF(AU40&lt;FT_First,0,IF(AU40&lt;FT_Y5,1+INT((AU40-FT_First)/FT_Int1),FT_PreY5+FT_PerYear*INT((AU40-FT_Y5)/12)+FT_AnnivDays+INT(MOD(AU40-FT_Y5,12)/FT_Int2))),IF(AP40="PT",IF(AU40&lt;PT_First,0,1+INT((AU40-PT_First)/PT_Int)),0))-IF(AP40="FT",IF(AW40&lt;FT_First,0,IF(AW40&lt;FT_Y5,1+INT((AW40-FT_First)/FT_Int1),FT_PreY5+FT_PerYear*INT((AW40-FT_Y5)/12)+FT_AnnivDays+INT(MOD(AW40-FT_Y5,12)/FT_Int2))),IF(AP40="PT",IF(AW40&lt;PT_First,0,1+INT((AW40-PT_First)/PT_Int)),0)),0))</f>
        <v/>
      </c>
      <c r="AZ40" s="12" t="str">
        <f aca="false">IF(AE40=0,"",IF(AQ40="FT",IF(AR40&lt;FT_First,FT_First,IF(AR40&lt;FT_Y5,MIN(FT_Y5,FT_First+FT_Int1*(INT((AR40-FT_First)/FT_Int1)+1)),FT_Y5+12*INT((AR40-FT_Y5)/12)+FT_Int2*(INT(MOD(AR40-FT_Y5,12)/FT_Int2)+1))),IF(AQ40="PT",IF(AR40&lt;PT_First,PT_First,PT_First+PT_Int*(INT((AR40-PT_First)/PT_Int)+1)),"")))</f>
        <v/>
      </c>
      <c r="BA40" s="12" t="str">
        <f aca="false">IF(AE40=0,"",IF(NOT(LH_Ready),0,COUNTIFS(INDEX(LH_Data,0,LH_ColFirst),$A40,INDEX(LH_Data,0,LH_ColSur),$B40,INDEX(LH_Data,0,LH_ColCat),BonusCat)))</f>
        <v/>
      </c>
      <c r="BB40" s="12" t="str">
        <f aca="false">IF(AE40=0,"",IF(OR(NOT(LH_Ready),BA40=0),0,SUMPRODUCT(MAX((INDEX(LH_Data,0,LH_ColFirst)=$A40)*(INDEX(LH_Data,0,LH_ColSur)=$B40)*(INDEX(LH_Data,0,LH_ColCat)=BonusCat)*ROW(LH_Data)))))</f>
        <v/>
      </c>
    </row>
    <row r="41" customFormat="false" ht="15" hidden="false" customHeight="false" outlineLevel="0" collapsed="false">
      <c r="A41" s="15"/>
      <c r="B41" s="15"/>
      <c r="C41" s="15"/>
      <c r="D41" s="16"/>
      <c r="E41" s="10" t="str">
        <f aca="false">IF(OR(AE41=0,$D41=""),"",DATE(YEAR(AsOfDate)+IF(DATE(YEAR(AsOfDate),MONTH($D41),DAY($D41))&lt;=AsOfDate,1,0),MONTH($D41),DAY($D41)))</f>
        <v/>
      </c>
      <c r="F41" s="16"/>
      <c r="G41" s="16"/>
      <c r="H41" s="16"/>
      <c r="I41" s="16"/>
      <c r="J41" s="16"/>
      <c r="K41" s="10" t="str">
        <f aca="false">IF(AE41=0,"",DATE(YEAR(AsOfDate)+IF(DATE(YEAR(AsOfDate),MONTH($F41),DAY($F41))&lt;=AsOfDate,1,0),MONTH($F41),DAY($F41)))</f>
        <v/>
      </c>
      <c r="L41" s="11" t="str">
        <f aca="false">IF(AE41=0,"",ROUND((AsOfDate-$F41)/365.25,1))</f>
        <v/>
      </c>
      <c r="M41" s="12" t="str">
        <f aca="false">IF(AE41=0,"",IF(AsOfDate&lt;AF41,"-",DATEDIF(AF41,AsOfDate,"y")&amp;"y "&amp;DATEDIF(AF41,AsOfDate,"ym")&amp;"m "&amp;DATEDIF(AF41,AsOfDate,"md")&amp;"d"))</f>
        <v/>
      </c>
      <c r="N41" s="13" t="str">
        <f aca="false">IF(AE41=0,"",O41*HoursPerDay)</f>
        <v/>
      </c>
      <c r="O41" s="13" t="str">
        <f aca="false">IF(AE41=0,"",AX41)</f>
        <v/>
      </c>
      <c r="P41" s="17"/>
      <c r="Q41" s="12" t="str">
        <f aca="false">IF(AE41=0,"",IF(AG41&lt;2,"",AK41&amp;" to "&amp;AL41&amp;" on "&amp;TEXT(AI41,"dd/mm/yyyy")&amp;IF(AI41&gt;AsOfDate," (future)",IF(AN41=AO41,"",IF(AO41="None"," - STOPPED accruing",IF(AN41="None"," - now qualifying"," - pathway changed"))))&amp;IF(AG41&lt;3,"","; "&amp;AL41&amp;" to "&amp;AM41&amp;" on "&amp;TEXT(AJ41,"dd/mm/yyyy")&amp;IF(AJ41&gt;AsOfDate," (future)",IF(AO41=AP41,"",IF(AP41="None"," - STOPPED accruing",IF(AO41="None"," - now qualifying"," - pathway changed")))))))</f>
        <v/>
      </c>
      <c r="R41" s="12" t="str">
        <f aca="false">IF(AE41=0,"",IF(AQ41="None",IF(O41&gt;0,"No longer accruing","Not eligible - "&amp;IF(AND(OR(ISNUMBER(SEARCH("part",$C41)),UPPER(TRIM($C41))="PT",UPPER(TRIM($C41))="PTE"),$P41&lt;&gt;"",N($P41)&lt;PT_MinHours),"under "&amp;PT_MinHours&amp;" hrs",IF(IF($C41="","",IF(OR(ISNUMBER(SEARCH("full",$C41)),UPPER(TRIM($C41))="FT",UPPER(TRIM($C41))="FTE"),"Full-Time",IF(OR(ISNUMBER(SEARCH("part",$C41)),UPPER(TRIM($C41))="PT",UPPER(TRIM($C41))="PTE"),"Part-Time",IF(OR(ISNUMBER(SEARCH("cas",$C41)),UPPER(TRIM($C41))="CAS"),"Casual","Unknown"))))="Unknown","type not recognised",$C41))),IF(O41&gt;0,"Yes - accruing","Not yet - from "&amp;TEXT(S41,"dd/mm/yyyy"))))</f>
        <v/>
      </c>
      <c r="S41" s="10" t="str">
        <f aca="false">IF(AE41=0,"",IF(AQ41="None","",EDATE(AF41,AZ41)))</f>
        <v/>
      </c>
      <c r="T41" s="13" t="str">
        <f aca="false">IF(OR(AE41=0,W41=""),"",W41-U41+V41)</f>
        <v/>
      </c>
      <c r="U41" s="13" t="str">
        <f aca="false">IF(AE41=0,"",IF(NOT(LH_Ready),"",SUMIFS(INDEX(LH_Data,0,LH_ColAcc),INDEX(LH_Data,0,LH_ColFirst),$A41,INDEX(LH_Data,0,LH_ColSur),$B41,INDEX(LH_Data,0,LH_ColCat),BonusCat)*UnitFactor))</f>
        <v/>
      </c>
      <c r="V41" s="13" t="str">
        <f aca="false">IF(AE41=0,"",IF(NOT(LH_Ready),"",SUMIFS(INDEX(LH_Data,0,LH_ColTaken),INDEX(LH_Data,0,LH_ColFirst),$A41,INDEX(LH_Data,0,LH_ColSur),$B41,INDEX(LH_Data,0,LH_ColCat),BonusCat)*UnitFactor))</f>
        <v/>
      </c>
      <c r="W41" s="13" t="str">
        <f aca="false">IF(AE41=0,"",IF(NOT(LH_Ready),"",IF(BB41=0,0,INDEX(INDEX(LH_Data,0,LH_ColClose),BB41-1)*UnitFactor)))</f>
        <v/>
      </c>
      <c r="X41" s="13" t="str">
        <f aca="false">IF(AE41=0,"",(AX41-AY41)*HoursPerDay)</f>
        <v/>
      </c>
      <c r="Y41" s="13" t="str">
        <f aca="false">IF(AE41=0,"",IF(NOT(LH_Ready),"",IF(BA41=0,N41,X41-N(U41))))</f>
        <v/>
      </c>
      <c r="Z41" s="12" t="str">
        <f aca="false">IF(OR(AE41=0,Y41=""),"",IF(Y41&gt;0,"Yes","No"))</f>
        <v/>
      </c>
      <c r="AA41" s="12" t="str">
        <f aca="false">IF(AE41=0,IF(LEN($A41&amp;$B41)=0,"","FIX INPUT - StartDate missing"),IF(AD41&lt;&gt;"","FIX INPUT - "&amp;AD41,IF(NOT(LH_Ready),"Paste Leave History export (Settings must show YES)",IF(Y41&gt;0,"ACCRUE "&amp;ROUND(Y41,2)&amp;" hrs ("&amp;ROUND(Y41/HoursPerDay,2)&amp;" days)"&amp;IF(BA41=0," - no Bonus Leave in EH yet, full catch-up since start",""),IF(Y41&lt;0,"CHECK - EH accrued "&amp;ROUND(-Y41,2)&amp;""&amp;" hrs more than policy",IF(O41&gt;0,"OK - nothing to add",IF(AQ41="None",R41,"Not yet - first day on "&amp;TEXT(S41,"dd/mm/yyyy"))))))))</f>
        <v/>
      </c>
      <c r="AB41" s="13" t="str">
        <f aca="false">IF(OR(AE41=0,T41=""),"",AY41*HoursPerDay-T41)</f>
        <v/>
      </c>
      <c r="AC41" s="12" t="str">
        <f aca="false">IF(AE41=0,"",BA41)</f>
        <v/>
      </c>
      <c r="AD41" s="12" t="str">
        <f aca="false">IF(AE41=0,"",TRIM(IF(IF($C41="","",IF(OR(ISNUMBER(SEARCH("full",$C41)),UPPER(TRIM($C41))="FT",UPPER(TRIM($C41))="FTE"),"Full-Time",IF(OR(ISNUMBER(SEARCH("part",$C41)),UPPER(TRIM($C41))="PT",UPPER(TRIM($C41))="PTE"),"Part-Time",IF(OR(ISNUMBER(SEARCH("cas",$C41)),UPPER(TRIM($C41))="CAS"),"Casual","Unknown"))))="Unknown","EmploymentType not recognised - use Full-Time, Part-Time or Casual. ","")&amp;IF(AND(AG41&gt;=1,IF(AG41&gt;=3,AM41,IF(AG41=2,AL41,AK41))&lt;&gt;IF($C41="","",IF(OR(ISNUMBER(SEARCH("full",$C41)),UPPER(TRIM($C41))="FT",UPPER(TRIM($C41))="FTE"),"Full-Time",IF(OR(ISNUMBER(SEARCH("part",$C41)),UPPER(TRIM($C41))="PT",UPPER(TRIM($C41))="PTE"),"Part-Time",IF(OR(ISNUMBER(SEARCH("cas",$C41)),UPPER(TRIM($C41))="CAS"),"Casual","Unknown"))))),"EmploymentType does not match latest start date ("&amp;IF(AG41&gt;=3,AM41,IF(AG41=2,AL41,AK41))&amp;"). ","")&amp;IF(AND(AG41&gt;=1,AH41&lt;&gt;$F41),"Earliest type date should equal StartDate. ","")&amp;IF(AND(AG41&gt;=2,AH41=AI41),"Two types start on the same date. ","")&amp;IF(AND(OR(ISNUMBER(SEARCH("part",$C41)),UPPER(TRIM($C41))="PT",UPPER(TRIM($C41))="PTE"),$P41=""),"Part-time: enter PT Hrs/Week (blank = 24+). ","")))</f>
        <v/>
      </c>
      <c r="AE41" s="12" t="n">
        <f aca="false">IF(OR(LEN($A41&amp;$B41)=0,$F41=""),0,1)</f>
        <v>0</v>
      </c>
      <c r="AF41" s="10" t="str">
        <f aca="false">IF(AE41=0,"",IF($J41&lt;&gt;"",$J41,$F41))</f>
        <v/>
      </c>
      <c r="AG41" s="12" t="str">
        <f aca="false">IF(AE41=0,"",COUNT($G41:$I41))</f>
        <v/>
      </c>
      <c r="AH41" s="10" t="str">
        <f aca="false">IF(AE41=0,"",IFERROR(SMALL($G41:$I41,1),""))</f>
        <v/>
      </c>
      <c r="AI41" s="10" t="str">
        <f aca="false">IF(AE41=0,"",IFERROR(SMALL($G41:$I41,2),""))</f>
        <v/>
      </c>
      <c r="AJ41" s="10" t="str">
        <f aca="false">IF(AE41=0,"",IFERROR(SMALL($G41:$I41,3),""))</f>
        <v/>
      </c>
      <c r="AK41" s="12" t="str">
        <f aca="false">IF(AE41=0,"",IF(AH41="","",IF(AH41=$G41,"Part-Time",IF(AH41=$H41,"Full-Time","Casual"))))</f>
        <v/>
      </c>
      <c r="AL41" s="12" t="str">
        <f aca="false">IF(AE41=0,"",IF(AI41="","",IF(AI41=$G41,"Part-Time",IF(AI41=$H41,"Full-Time","Casual"))))</f>
        <v/>
      </c>
      <c r="AM41" s="12" t="str">
        <f aca="false">IF(AE41=0,"",IF(AJ41="","",IF(AJ41=$G41,"Part-Time",IF(AJ41=$H41,"Full-Time","Casual"))))</f>
        <v/>
      </c>
      <c r="AN41" s="12" t="str">
        <f aca="false">IF(AE41=0,"",IF(AG41=0,IF(OR(ISNUMBER(SEARCH("full",$C41)),UPPER(TRIM($C41))="FT",UPPER(TRIM($C41))="FTE"),"FT",IF(AND(OR(ISNUMBER(SEARCH("part",$C41)),UPPER(TRIM($C41))="PT",UPPER(TRIM($C41))="PTE"),OR($P41="",N($P41)&gt;=PT_MinHours)),"PT","None")),IF(OR(ISNUMBER(SEARCH("full",AK41)),UPPER(TRIM(AK41))="FT",UPPER(TRIM(AK41))="FTE"),"FT",IF(AND(OR(ISNUMBER(SEARCH("part",AK41)),UPPER(TRIM(AK41))="PT",UPPER(TRIM(AK41))="PTE"),OR($P41="",N($P41)&gt;=PT_MinHours)),"PT","None"))))</f>
        <v/>
      </c>
      <c r="AO41" s="12" t="str">
        <f aca="false">IF(AE41=0,"",IF(AG41&lt;2,"",IF(OR(ISNUMBER(SEARCH("full",AL41)),UPPER(TRIM(AL41))="FT",UPPER(TRIM(AL41))="FTE"),"FT",IF(AND(OR(ISNUMBER(SEARCH("part",AL41)),UPPER(TRIM(AL41))="PT",UPPER(TRIM(AL41))="PTE"),OR($P41="",N($P41)&gt;=PT_MinHours)),"PT","None"))))</f>
        <v/>
      </c>
      <c r="AP41" s="12" t="str">
        <f aca="false">IF(AE41=0,"",IF(AG41&lt;3,"",IF(OR(ISNUMBER(SEARCH("full",AM41)),UPPER(TRIM(AM41))="FT",UPPER(TRIM(AM41))="FTE"),"FT",IF(AND(OR(ISNUMBER(SEARCH("part",AM41)),UPPER(TRIM(AM41))="PT",UPPER(TRIM(AM41))="PTE"),OR($P41="",N($P41)&gt;=PT_MinHours)),"PT","None"))))</f>
        <v/>
      </c>
      <c r="AQ41" s="12" t="str">
        <f aca="false">IF(AE41=0,"",IF(AND(AG41&gt;=3,AJ41&lt;=AsOfDate),AP41,IF(AND(AG41&gt;=2,AI41&lt;=AsOfDate),AO41,AN41)))</f>
        <v/>
      </c>
      <c r="AR41" s="12" t="str">
        <f aca="false">IF(AE41=0,"",IF(AsOfDate&lt;AF41,-1,12*(YEAR(AsOfDate)-YEAR(AF41))+MONTH(AsOfDate)-MONTH(AF41)-IF(DAY(AsOfDate)&lt;MIN(DAY(AF41),DAY(EOMONTH(AsOfDate,0))),1,0)))</f>
        <v/>
      </c>
      <c r="AS41" s="12" t="str">
        <f aca="false">IF(AE41=0,"",IF(OR(AG41&lt;2,AI41&gt;AsOfDate),AR41,IF((AI41-1)&lt;AF41,-1,12*(YEAR((AI41-1))-YEAR(AF41))+MONTH((AI41-1))-MONTH(AF41)-IF(DAY((AI41-1))&lt;MIN(DAY(AF41),DAY(EOMONTH((AI41-1),0))),1,0))))</f>
        <v/>
      </c>
      <c r="AT41" s="12" t="str">
        <f aca="false">IF(AE41=0,"",IF(OR(AG41&lt;3,AJ41&gt;AsOfDate),AR41,IF((AJ41-1)&lt;AF41,-1,12*(YEAR((AJ41-1))-YEAR(AF41))+MONTH((AJ41-1))-MONTH(AF41)-IF(DAY((AJ41-1))&lt;MIN(DAY(AF41),DAY(EOMONTH((AJ41-1),0))),1,0))))</f>
        <v/>
      </c>
      <c r="AU41" s="12" t="str">
        <f aca="false">IF(AE41=0,"",IF(PFYDate&lt;AF41,-1,12*(YEAR(PFYDate)-YEAR(AF41))+MONTH(PFYDate)-MONTH(AF41)-IF(DAY(PFYDate)&lt;MIN(DAY(AF41),DAY(EOMONTH(PFYDate,0))),1,0)))</f>
        <v/>
      </c>
      <c r="AV41" s="12" t="str">
        <f aca="false">IF(AE41=0,"",IF(OR(AG41&lt;2,AI41&gt;PFYDate),AU41,IF((AI41-1)&lt;AF41,-1,12*(YEAR((AI41-1))-YEAR(AF41))+MONTH((AI41-1))-MONTH(AF41)-IF(DAY((AI41-1))&lt;MIN(DAY(AF41),DAY(EOMONTH((AI41-1),0))),1,0))))</f>
        <v/>
      </c>
      <c r="AW41" s="12" t="str">
        <f aca="false">IF(AE41=0,"",IF(OR(AG41&lt;3,AJ41&gt;PFYDate),AU41,IF((AJ41-1)&lt;AF41,-1,12*(YEAR((AJ41-1))-YEAR(AF41))+MONTH((AJ41-1))-MONTH(AF41)-IF(DAY((AJ41-1))&lt;MIN(DAY(AF41),DAY(EOMONTH((AJ41-1),0))),1,0))))</f>
        <v/>
      </c>
      <c r="AX41" s="12" t="str">
        <f aca="false">IF(AE41=0,"",IF(AN41="FT",IF(AS41&lt;FT_First,0,IF(AS41&lt;FT_Y5,1+INT((AS41-FT_First)/FT_Int1),FT_PreY5+FT_PerYear*INT((AS41-FT_Y5)/12)+FT_AnnivDays+INT(MOD(AS41-FT_Y5,12)/FT_Int2))),IF(AN41="PT",IF(AS41&lt;PT_First,0,1+INT((AS41-PT_First)/PT_Int)),0))+IF(AND(AG41&gt;=2,AI41&lt;=AsOfDate),IF(AO41="FT",IF(AT41&lt;FT_First,0,IF(AT41&lt;FT_Y5,1+INT((AT41-FT_First)/FT_Int1),FT_PreY5+FT_PerYear*INT((AT41-FT_Y5)/12)+FT_AnnivDays+INT(MOD(AT41-FT_Y5,12)/FT_Int2))),IF(AO41="PT",IF(AT41&lt;PT_First,0,1+INT((AT41-PT_First)/PT_Int)),0))-IF(AO41="FT",IF(AS41&lt;FT_First,0,IF(AS41&lt;FT_Y5,1+INT((AS41-FT_First)/FT_Int1),FT_PreY5+FT_PerYear*INT((AS41-FT_Y5)/12)+FT_AnnivDays+INT(MOD(AS41-FT_Y5,12)/FT_Int2))),IF(AO41="PT",IF(AS41&lt;PT_First,0,1+INT((AS41-PT_First)/PT_Int)),0)),0)+IF(AND(AG41&gt;=3,AJ41&lt;=AsOfDate),IF(AP41="FT",IF(AR41&lt;FT_First,0,IF(AR41&lt;FT_Y5,1+INT((AR41-FT_First)/FT_Int1),FT_PreY5+FT_PerYear*INT((AR41-FT_Y5)/12)+FT_AnnivDays+INT(MOD(AR41-FT_Y5,12)/FT_Int2))),IF(AP41="PT",IF(AR41&lt;PT_First,0,1+INT((AR41-PT_First)/PT_Int)),0))-IF(AP41="FT",IF(AT41&lt;FT_First,0,IF(AT41&lt;FT_Y5,1+INT((AT41-FT_First)/FT_Int1),FT_PreY5+FT_PerYear*INT((AT41-FT_Y5)/12)+FT_AnnivDays+INT(MOD(AT41-FT_Y5,12)/FT_Int2))),IF(AP41="PT",IF(AT41&lt;PT_First,0,1+INT((AT41-PT_First)/PT_Int)),0)),0))</f>
        <v/>
      </c>
      <c r="AY41" s="12" t="str">
        <f aca="false">IF(AE41=0,"",IF(AN41="FT",IF(AV41&lt;FT_First,0,IF(AV41&lt;FT_Y5,1+INT((AV41-FT_First)/FT_Int1),FT_PreY5+FT_PerYear*INT((AV41-FT_Y5)/12)+FT_AnnivDays+INT(MOD(AV41-FT_Y5,12)/FT_Int2))),IF(AN41="PT",IF(AV41&lt;PT_First,0,1+INT((AV41-PT_First)/PT_Int)),0))+IF(AND(AG41&gt;=2,AI41&lt;=PFYDate),IF(AO41="FT",IF(AW41&lt;FT_First,0,IF(AW41&lt;FT_Y5,1+INT((AW41-FT_First)/FT_Int1),FT_PreY5+FT_PerYear*INT((AW41-FT_Y5)/12)+FT_AnnivDays+INT(MOD(AW41-FT_Y5,12)/FT_Int2))),IF(AO41="PT",IF(AW41&lt;PT_First,0,1+INT((AW41-PT_First)/PT_Int)),0))-IF(AO41="FT",IF(AV41&lt;FT_First,0,IF(AV41&lt;FT_Y5,1+INT((AV41-FT_First)/FT_Int1),FT_PreY5+FT_PerYear*INT((AV41-FT_Y5)/12)+FT_AnnivDays+INT(MOD(AV41-FT_Y5,12)/FT_Int2))),IF(AO41="PT",IF(AV41&lt;PT_First,0,1+INT((AV41-PT_First)/PT_Int)),0)),0)+IF(AND(AG41&gt;=3,AJ41&lt;=PFYDate),IF(AP41="FT",IF(AU41&lt;FT_First,0,IF(AU41&lt;FT_Y5,1+INT((AU41-FT_First)/FT_Int1),FT_PreY5+FT_PerYear*INT((AU41-FT_Y5)/12)+FT_AnnivDays+INT(MOD(AU41-FT_Y5,12)/FT_Int2))),IF(AP41="PT",IF(AU41&lt;PT_First,0,1+INT((AU41-PT_First)/PT_Int)),0))-IF(AP41="FT",IF(AW41&lt;FT_First,0,IF(AW41&lt;FT_Y5,1+INT((AW41-FT_First)/FT_Int1),FT_PreY5+FT_PerYear*INT((AW41-FT_Y5)/12)+FT_AnnivDays+INT(MOD(AW41-FT_Y5,12)/FT_Int2))),IF(AP41="PT",IF(AW41&lt;PT_First,0,1+INT((AW41-PT_First)/PT_Int)),0)),0))</f>
        <v/>
      </c>
      <c r="AZ41" s="12" t="str">
        <f aca="false">IF(AE41=0,"",IF(AQ41="FT",IF(AR41&lt;FT_First,FT_First,IF(AR41&lt;FT_Y5,MIN(FT_Y5,FT_First+FT_Int1*(INT((AR41-FT_First)/FT_Int1)+1)),FT_Y5+12*INT((AR41-FT_Y5)/12)+FT_Int2*(INT(MOD(AR41-FT_Y5,12)/FT_Int2)+1))),IF(AQ41="PT",IF(AR41&lt;PT_First,PT_First,PT_First+PT_Int*(INT((AR41-PT_First)/PT_Int)+1)),"")))</f>
        <v/>
      </c>
      <c r="BA41" s="12" t="str">
        <f aca="false">IF(AE41=0,"",IF(NOT(LH_Ready),0,COUNTIFS(INDEX(LH_Data,0,LH_ColFirst),$A41,INDEX(LH_Data,0,LH_ColSur),$B41,INDEX(LH_Data,0,LH_ColCat),BonusCat)))</f>
        <v/>
      </c>
      <c r="BB41" s="12" t="str">
        <f aca="false">IF(AE41=0,"",IF(OR(NOT(LH_Ready),BA41=0),0,SUMPRODUCT(MAX((INDEX(LH_Data,0,LH_ColFirst)=$A41)*(INDEX(LH_Data,0,LH_ColSur)=$B41)*(INDEX(LH_Data,0,LH_ColCat)=BonusCat)*ROW(LH_Data)))))</f>
        <v/>
      </c>
    </row>
    <row r="42" customFormat="false" ht="15" hidden="false" customHeight="false" outlineLevel="0" collapsed="false">
      <c r="A42" s="15"/>
      <c r="B42" s="15"/>
      <c r="C42" s="15"/>
      <c r="D42" s="16"/>
      <c r="E42" s="10" t="str">
        <f aca="false">IF(OR(AE42=0,$D42=""),"",DATE(YEAR(AsOfDate)+IF(DATE(YEAR(AsOfDate),MONTH($D42),DAY($D42))&lt;=AsOfDate,1,0),MONTH($D42),DAY($D42)))</f>
        <v/>
      </c>
      <c r="F42" s="16"/>
      <c r="G42" s="16"/>
      <c r="H42" s="16"/>
      <c r="I42" s="16"/>
      <c r="J42" s="16"/>
      <c r="K42" s="10" t="str">
        <f aca="false">IF(AE42=0,"",DATE(YEAR(AsOfDate)+IF(DATE(YEAR(AsOfDate),MONTH($F42),DAY($F42))&lt;=AsOfDate,1,0),MONTH($F42),DAY($F42)))</f>
        <v/>
      </c>
      <c r="L42" s="11" t="str">
        <f aca="false">IF(AE42=0,"",ROUND((AsOfDate-$F42)/365.25,1))</f>
        <v/>
      </c>
      <c r="M42" s="12" t="str">
        <f aca="false">IF(AE42=0,"",IF(AsOfDate&lt;AF42,"-",DATEDIF(AF42,AsOfDate,"y")&amp;"y "&amp;DATEDIF(AF42,AsOfDate,"ym")&amp;"m "&amp;DATEDIF(AF42,AsOfDate,"md")&amp;"d"))</f>
        <v/>
      </c>
      <c r="N42" s="13" t="str">
        <f aca="false">IF(AE42=0,"",O42*HoursPerDay)</f>
        <v/>
      </c>
      <c r="O42" s="13" t="str">
        <f aca="false">IF(AE42=0,"",AX42)</f>
        <v/>
      </c>
      <c r="P42" s="17"/>
      <c r="Q42" s="12" t="str">
        <f aca="false">IF(AE42=0,"",IF(AG42&lt;2,"",AK42&amp;" to "&amp;AL42&amp;" on "&amp;TEXT(AI42,"dd/mm/yyyy")&amp;IF(AI42&gt;AsOfDate," (future)",IF(AN42=AO42,"",IF(AO42="None"," - STOPPED accruing",IF(AN42="None"," - now qualifying"," - pathway changed"))))&amp;IF(AG42&lt;3,"","; "&amp;AL42&amp;" to "&amp;AM42&amp;" on "&amp;TEXT(AJ42,"dd/mm/yyyy")&amp;IF(AJ42&gt;AsOfDate," (future)",IF(AO42=AP42,"",IF(AP42="None"," - STOPPED accruing",IF(AO42="None"," - now qualifying"," - pathway changed")))))))</f>
        <v/>
      </c>
      <c r="R42" s="12" t="str">
        <f aca="false">IF(AE42=0,"",IF(AQ42="None",IF(O42&gt;0,"No longer accruing","Not eligible - "&amp;IF(AND(OR(ISNUMBER(SEARCH("part",$C42)),UPPER(TRIM($C42))="PT",UPPER(TRIM($C42))="PTE"),$P42&lt;&gt;"",N($P42)&lt;PT_MinHours),"under "&amp;PT_MinHours&amp;" hrs",IF(IF($C42="","",IF(OR(ISNUMBER(SEARCH("full",$C42)),UPPER(TRIM($C42))="FT",UPPER(TRIM($C42))="FTE"),"Full-Time",IF(OR(ISNUMBER(SEARCH("part",$C42)),UPPER(TRIM($C42))="PT",UPPER(TRIM($C42))="PTE"),"Part-Time",IF(OR(ISNUMBER(SEARCH("cas",$C42)),UPPER(TRIM($C42))="CAS"),"Casual","Unknown"))))="Unknown","type not recognised",$C42))),IF(O42&gt;0,"Yes - accruing","Not yet - from "&amp;TEXT(S42,"dd/mm/yyyy"))))</f>
        <v/>
      </c>
      <c r="S42" s="10" t="str">
        <f aca="false">IF(AE42=0,"",IF(AQ42="None","",EDATE(AF42,AZ42)))</f>
        <v/>
      </c>
      <c r="T42" s="13" t="str">
        <f aca="false">IF(OR(AE42=0,W42=""),"",W42-U42+V42)</f>
        <v/>
      </c>
      <c r="U42" s="13" t="str">
        <f aca="false">IF(AE42=0,"",IF(NOT(LH_Ready),"",SUMIFS(INDEX(LH_Data,0,LH_ColAcc),INDEX(LH_Data,0,LH_ColFirst),$A42,INDEX(LH_Data,0,LH_ColSur),$B42,INDEX(LH_Data,0,LH_ColCat),BonusCat)*UnitFactor))</f>
        <v/>
      </c>
      <c r="V42" s="13" t="str">
        <f aca="false">IF(AE42=0,"",IF(NOT(LH_Ready),"",SUMIFS(INDEX(LH_Data,0,LH_ColTaken),INDEX(LH_Data,0,LH_ColFirst),$A42,INDEX(LH_Data,0,LH_ColSur),$B42,INDEX(LH_Data,0,LH_ColCat),BonusCat)*UnitFactor))</f>
        <v/>
      </c>
      <c r="W42" s="13" t="str">
        <f aca="false">IF(AE42=0,"",IF(NOT(LH_Ready),"",IF(BB42=0,0,INDEX(INDEX(LH_Data,0,LH_ColClose),BB42-1)*UnitFactor)))</f>
        <v/>
      </c>
      <c r="X42" s="13" t="str">
        <f aca="false">IF(AE42=0,"",(AX42-AY42)*HoursPerDay)</f>
        <v/>
      </c>
      <c r="Y42" s="13" t="str">
        <f aca="false">IF(AE42=0,"",IF(NOT(LH_Ready),"",IF(BA42=0,N42,X42-N(U42))))</f>
        <v/>
      </c>
      <c r="Z42" s="12" t="str">
        <f aca="false">IF(OR(AE42=0,Y42=""),"",IF(Y42&gt;0,"Yes","No"))</f>
        <v/>
      </c>
      <c r="AA42" s="12" t="str">
        <f aca="false">IF(AE42=0,IF(LEN($A42&amp;$B42)=0,"","FIX INPUT - StartDate missing"),IF(AD42&lt;&gt;"","FIX INPUT - "&amp;AD42,IF(NOT(LH_Ready),"Paste Leave History export (Settings must show YES)",IF(Y42&gt;0,"ACCRUE "&amp;ROUND(Y42,2)&amp;" hrs ("&amp;ROUND(Y42/HoursPerDay,2)&amp;" days)"&amp;IF(BA42=0," - no Bonus Leave in EH yet, full catch-up since start",""),IF(Y42&lt;0,"CHECK - EH accrued "&amp;ROUND(-Y42,2)&amp;""&amp;" hrs more than policy",IF(O42&gt;0,"OK - nothing to add",IF(AQ42="None",R42,"Not yet - first day on "&amp;TEXT(S42,"dd/mm/yyyy"))))))))</f>
        <v/>
      </c>
      <c r="AB42" s="13" t="str">
        <f aca="false">IF(OR(AE42=0,T42=""),"",AY42*HoursPerDay-T42)</f>
        <v/>
      </c>
      <c r="AC42" s="12" t="str">
        <f aca="false">IF(AE42=0,"",BA42)</f>
        <v/>
      </c>
      <c r="AD42" s="12" t="str">
        <f aca="false">IF(AE42=0,"",TRIM(IF(IF($C42="","",IF(OR(ISNUMBER(SEARCH("full",$C42)),UPPER(TRIM($C42))="FT",UPPER(TRIM($C42))="FTE"),"Full-Time",IF(OR(ISNUMBER(SEARCH("part",$C42)),UPPER(TRIM($C42))="PT",UPPER(TRIM($C42))="PTE"),"Part-Time",IF(OR(ISNUMBER(SEARCH("cas",$C42)),UPPER(TRIM($C42))="CAS"),"Casual","Unknown"))))="Unknown","EmploymentType not recognised - use Full-Time, Part-Time or Casual. ","")&amp;IF(AND(AG42&gt;=1,IF(AG42&gt;=3,AM42,IF(AG42=2,AL42,AK42))&lt;&gt;IF($C42="","",IF(OR(ISNUMBER(SEARCH("full",$C42)),UPPER(TRIM($C42))="FT",UPPER(TRIM($C42))="FTE"),"Full-Time",IF(OR(ISNUMBER(SEARCH("part",$C42)),UPPER(TRIM($C42))="PT",UPPER(TRIM($C42))="PTE"),"Part-Time",IF(OR(ISNUMBER(SEARCH("cas",$C42)),UPPER(TRIM($C42))="CAS"),"Casual","Unknown"))))),"EmploymentType does not match latest start date ("&amp;IF(AG42&gt;=3,AM42,IF(AG42=2,AL42,AK42))&amp;"). ","")&amp;IF(AND(AG42&gt;=1,AH42&lt;&gt;$F42),"Earliest type date should equal StartDate. ","")&amp;IF(AND(AG42&gt;=2,AH42=AI42),"Two types start on the same date. ","")&amp;IF(AND(OR(ISNUMBER(SEARCH("part",$C42)),UPPER(TRIM($C42))="PT",UPPER(TRIM($C42))="PTE"),$P42=""),"Part-time: enter PT Hrs/Week (blank = 24+). ","")))</f>
        <v/>
      </c>
      <c r="AE42" s="12" t="n">
        <f aca="false">IF(OR(LEN($A42&amp;$B42)=0,$F42=""),0,1)</f>
        <v>0</v>
      </c>
      <c r="AF42" s="10" t="str">
        <f aca="false">IF(AE42=0,"",IF($J42&lt;&gt;"",$J42,$F42))</f>
        <v/>
      </c>
      <c r="AG42" s="12" t="str">
        <f aca="false">IF(AE42=0,"",COUNT($G42:$I42))</f>
        <v/>
      </c>
      <c r="AH42" s="10" t="str">
        <f aca="false">IF(AE42=0,"",IFERROR(SMALL($G42:$I42,1),""))</f>
        <v/>
      </c>
      <c r="AI42" s="10" t="str">
        <f aca="false">IF(AE42=0,"",IFERROR(SMALL($G42:$I42,2),""))</f>
        <v/>
      </c>
      <c r="AJ42" s="10" t="str">
        <f aca="false">IF(AE42=0,"",IFERROR(SMALL($G42:$I42,3),""))</f>
        <v/>
      </c>
      <c r="AK42" s="12" t="str">
        <f aca="false">IF(AE42=0,"",IF(AH42="","",IF(AH42=$G42,"Part-Time",IF(AH42=$H42,"Full-Time","Casual"))))</f>
        <v/>
      </c>
      <c r="AL42" s="12" t="str">
        <f aca="false">IF(AE42=0,"",IF(AI42="","",IF(AI42=$G42,"Part-Time",IF(AI42=$H42,"Full-Time","Casual"))))</f>
        <v/>
      </c>
      <c r="AM42" s="12" t="str">
        <f aca="false">IF(AE42=0,"",IF(AJ42="","",IF(AJ42=$G42,"Part-Time",IF(AJ42=$H42,"Full-Time","Casual"))))</f>
        <v/>
      </c>
      <c r="AN42" s="12" t="str">
        <f aca="false">IF(AE42=0,"",IF(AG42=0,IF(OR(ISNUMBER(SEARCH("full",$C42)),UPPER(TRIM($C42))="FT",UPPER(TRIM($C42))="FTE"),"FT",IF(AND(OR(ISNUMBER(SEARCH("part",$C42)),UPPER(TRIM($C42))="PT",UPPER(TRIM($C42))="PTE"),OR($P42="",N($P42)&gt;=PT_MinHours)),"PT","None")),IF(OR(ISNUMBER(SEARCH("full",AK42)),UPPER(TRIM(AK42))="FT",UPPER(TRIM(AK42))="FTE"),"FT",IF(AND(OR(ISNUMBER(SEARCH("part",AK42)),UPPER(TRIM(AK42))="PT",UPPER(TRIM(AK42))="PTE"),OR($P42="",N($P42)&gt;=PT_MinHours)),"PT","None"))))</f>
        <v/>
      </c>
      <c r="AO42" s="12" t="str">
        <f aca="false">IF(AE42=0,"",IF(AG42&lt;2,"",IF(OR(ISNUMBER(SEARCH("full",AL42)),UPPER(TRIM(AL42))="FT",UPPER(TRIM(AL42))="FTE"),"FT",IF(AND(OR(ISNUMBER(SEARCH("part",AL42)),UPPER(TRIM(AL42))="PT",UPPER(TRIM(AL42))="PTE"),OR($P42="",N($P42)&gt;=PT_MinHours)),"PT","None"))))</f>
        <v/>
      </c>
      <c r="AP42" s="12" t="str">
        <f aca="false">IF(AE42=0,"",IF(AG42&lt;3,"",IF(OR(ISNUMBER(SEARCH("full",AM42)),UPPER(TRIM(AM42))="FT",UPPER(TRIM(AM42))="FTE"),"FT",IF(AND(OR(ISNUMBER(SEARCH("part",AM42)),UPPER(TRIM(AM42))="PT",UPPER(TRIM(AM42))="PTE"),OR($P42="",N($P42)&gt;=PT_MinHours)),"PT","None"))))</f>
        <v/>
      </c>
      <c r="AQ42" s="12" t="str">
        <f aca="false">IF(AE42=0,"",IF(AND(AG42&gt;=3,AJ42&lt;=AsOfDate),AP42,IF(AND(AG42&gt;=2,AI42&lt;=AsOfDate),AO42,AN42)))</f>
        <v/>
      </c>
      <c r="AR42" s="12" t="str">
        <f aca="false">IF(AE42=0,"",IF(AsOfDate&lt;AF42,-1,12*(YEAR(AsOfDate)-YEAR(AF42))+MONTH(AsOfDate)-MONTH(AF42)-IF(DAY(AsOfDate)&lt;MIN(DAY(AF42),DAY(EOMONTH(AsOfDate,0))),1,0)))</f>
        <v/>
      </c>
      <c r="AS42" s="12" t="str">
        <f aca="false">IF(AE42=0,"",IF(OR(AG42&lt;2,AI42&gt;AsOfDate),AR42,IF((AI42-1)&lt;AF42,-1,12*(YEAR((AI42-1))-YEAR(AF42))+MONTH((AI42-1))-MONTH(AF42)-IF(DAY((AI42-1))&lt;MIN(DAY(AF42),DAY(EOMONTH((AI42-1),0))),1,0))))</f>
        <v/>
      </c>
      <c r="AT42" s="12" t="str">
        <f aca="false">IF(AE42=0,"",IF(OR(AG42&lt;3,AJ42&gt;AsOfDate),AR42,IF((AJ42-1)&lt;AF42,-1,12*(YEAR((AJ42-1))-YEAR(AF42))+MONTH((AJ42-1))-MONTH(AF42)-IF(DAY((AJ42-1))&lt;MIN(DAY(AF42),DAY(EOMONTH((AJ42-1),0))),1,0))))</f>
        <v/>
      </c>
      <c r="AU42" s="12" t="str">
        <f aca="false">IF(AE42=0,"",IF(PFYDate&lt;AF42,-1,12*(YEAR(PFYDate)-YEAR(AF42))+MONTH(PFYDate)-MONTH(AF42)-IF(DAY(PFYDate)&lt;MIN(DAY(AF42),DAY(EOMONTH(PFYDate,0))),1,0)))</f>
        <v/>
      </c>
      <c r="AV42" s="12" t="str">
        <f aca="false">IF(AE42=0,"",IF(OR(AG42&lt;2,AI42&gt;PFYDate),AU42,IF((AI42-1)&lt;AF42,-1,12*(YEAR((AI42-1))-YEAR(AF42))+MONTH((AI42-1))-MONTH(AF42)-IF(DAY((AI42-1))&lt;MIN(DAY(AF42),DAY(EOMONTH((AI42-1),0))),1,0))))</f>
        <v/>
      </c>
      <c r="AW42" s="12" t="str">
        <f aca="false">IF(AE42=0,"",IF(OR(AG42&lt;3,AJ42&gt;PFYDate),AU42,IF((AJ42-1)&lt;AF42,-1,12*(YEAR((AJ42-1))-YEAR(AF42))+MONTH((AJ42-1))-MONTH(AF42)-IF(DAY((AJ42-1))&lt;MIN(DAY(AF42),DAY(EOMONTH((AJ42-1),0))),1,0))))</f>
        <v/>
      </c>
      <c r="AX42" s="12" t="str">
        <f aca="false">IF(AE42=0,"",IF(AN42="FT",IF(AS42&lt;FT_First,0,IF(AS42&lt;FT_Y5,1+INT((AS42-FT_First)/FT_Int1),FT_PreY5+FT_PerYear*INT((AS42-FT_Y5)/12)+FT_AnnivDays+INT(MOD(AS42-FT_Y5,12)/FT_Int2))),IF(AN42="PT",IF(AS42&lt;PT_First,0,1+INT((AS42-PT_First)/PT_Int)),0))+IF(AND(AG42&gt;=2,AI42&lt;=AsOfDate),IF(AO42="FT",IF(AT42&lt;FT_First,0,IF(AT42&lt;FT_Y5,1+INT((AT42-FT_First)/FT_Int1),FT_PreY5+FT_PerYear*INT((AT42-FT_Y5)/12)+FT_AnnivDays+INT(MOD(AT42-FT_Y5,12)/FT_Int2))),IF(AO42="PT",IF(AT42&lt;PT_First,0,1+INT((AT42-PT_First)/PT_Int)),0))-IF(AO42="FT",IF(AS42&lt;FT_First,0,IF(AS42&lt;FT_Y5,1+INT((AS42-FT_First)/FT_Int1),FT_PreY5+FT_PerYear*INT((AS42-FT_Y5)/12)+FT_AnnivDays+INT(MOD(AS42-FT_Y5,12)/FT_Int2))),IF(AO42="PT",IF(AS42&lt;PT_First,0,1+INT((AS42-PT_First)/PT_Int)),0)),0)+IF(AND(AG42&gt;=3,AJ42&lt;=AsOfDate),IF(AP42="FT",IF(AR42&lt;FT_First,0,IF(AR42&lt;FT_Y5,1+INT((AR42-FT_First)/FT_Int1),FT_PreY5+FT_PerYear*INT((AR42-FT_Y5)/12)+FT_AnnivDays+INT(MOD(AR42-FT_Y5,12)/FT_Int2))),IF(AP42="PT",IF(AR42&lt;PT_First,0,1+INT((AR42-PT_First)/PT_Int)),0))-IF(AP42="FT",IF(AT42&lt;FT_First,0,IF(AT42&lt;FT_Y5,1+INT((AT42-FT_First)/FT_Int1),FT_PreY5+FT_PerYear*INT((AT42-FT_Y5)/12)+FT_AnnivDays+INT(MOD(AT42-FT_Y5,12)/FT_Int2))),IF(AP42="PT",IF(AT42&lt;PT_First,0,1+INT((AT42-PT_First)/PT_Int)),0)),0))</f>
        <v/>
      </c>
      <c r="AY42" s="12" t="str">
        <f aca="false">IF(AE42=0,"",IF(AN42="FT",IF(AV42&lt;FT_First,0,IF(AV42&lt;FT_Y5,1+INT((AV42-FT_First)/FT_Int1),FT_PreY5+FT_PerYear*INT((AV42-FT_Y5)/12)+FT_AnnivDays+INT(MOD(AV42-FT_Y5,12)/FT_Int2))),IF(AN42="PT",IF(AV42&lt;PT_First,0,1+INT((AV42-PT_First)/PT_Int)),0))+IF(AND(AG42&gt;=2,AI42&lt;=PFYDate),IF(AO42="FT",IF(AW42&lt;FT_First,0,IF(AW42&lt;FT_Y5,1+INT((AW42-FT_First)/FT_Int1),FT_PreY5+FT_PerYear*INT((AW42-FT_Y5)/12)+FT_AnnivDays+INT(MOD(AW42-FT_Y5,12)/FT_Int2))),IF(AO42="PT",IF(AW42&lt;PT_First,0,1+INT((AW42-PT_First)/PT_Int)),0))-IF(AO42="FT",IF(AV42&lt;FT_First,0,IF(AV42&lt;FT_Y5,1+INT((AV42-FT_First)/FT_Int1),FT_PreY5+FT_PerYear*INT((AV42-FT_Y5)/12)+FT_AnnivDays+INT(MOD(AV42-FT_Y5,12)/FT_Int2))),IF(AO42="PT",IF(AV42&lt;PT_First,0,1+INT((AV42-PT_First)/PT_Int)),0)),0)+IF(AND(AG42&gt;=3,AJ42&lt;=PFYDate),IF(AP42="FT",IF(AU42&lt;FT_First,0,IF(AU42&lt;FT_Y5,1+INT((AU42-FT_First)/FT_Int1),FT_PreY5+FT_PerYear*INT((AU42-FT_Y5)/12)+FT_AnnivDays+INT(MOD(AU42-FT_Y5,12)/FT_Int2))),IF(AP42="PT",IF(AU42&lt;PT_First,0,1+INT((AU42-PT_First)/PT_Int)),0))-IF(AP42="FT",IF(AW42&lt;FT_First,0,IF(AW42&lt;FT_Y5,1+INT((AW42-FT_First)/FT_Int1),FT_PreY5+FT_PerYear*INT((AW42-FT_Y5)/12)+FT_AnnivDays+INT(MOD(AW42-FT_Y5,12)/FT_Int2))),IF(AP42="PT",IF(AW42&lt;PT_First,0,1+INT((AW42-PT_First)/PT_Int)),0)),0))</f>
        <v/>
      </c>
      <c r="AZ42" s="12" t="str">
        <f aca="false">IF(AE42=0,"",IF(AQ42="FT",IF(AR42&lt;FT_First,FT_First,IF(AR42&lt;FT_Y5,MIN(FT_Y5,FT_First+FT_Int1*(INT((AR42-FT_First)/FT_Int1)+1)),FT_Y5+12*INT((AR42-FT_Y5)/12)+FT_Int2*(INT(MOD(AR42-FT_Y5,12)/FT_Int2)+1))),IF(AQ42="PT",IF(AR42&lt;PT_First,PT_First,PT_First+PT_Int*(INT((AR42-PT_First)/PT_Int)+1)),"")))</f>
        <v/>
      </c>
      <c r="BA42" s="12" t="str">
        <f aca="false">IF(AE42=0,"",IF(NOT(LH_Ready),0,COUNTIFS(INDEX(LH_Data,0,LH_ColFirst),$A42,INDEX(LH_Data,0,LH_ColSur),$B42,INDEX(LH_Data,0,LH_ColCat),BonusCat)))</f>
        <v/>
      </c>
      <c r="BB42" s="12" t="str">
        <f aca="false">IF(AE42=0,"",IF(OR(NOT(LH_Ready),BA42=0),0,SUMPRODUCT(MAX((INDEX(LH_Data,0,LH_ColFirst)=$A42)*(INDEX(LH_Data,0,LH_ColSur)=$B42)*(INDEX(LH_Data,0,LH_ColCat)=BonusCat)*ROW(LH_Data)))))</f>
        <v/>
      </c>
    </row>
    <row r="43" customFormat="false" ht="15" hidden="false" customHeight="false" outlineLevel="0" collapsed="false">
      <c r="A43" s="15"/>
      <c r="B43" s="15"/>
      <c r="C43" s="15"/>
      <c r="D43" s="16"/>
      <c r="E43" s="10" t="str">
        <f aca="false">IF(OR(AE43=0,$D43=""),"",DATE(YEAR(AsOfDate)+IF(DATE(YEAR(AsOfDate),MONTH($D43),DAY($D43))&lt;=AsOfDate,1,0),MONTH($D43),DAY($D43)))</f>
        <v/>
      </c>
      <c r="F43" s="16"/>
      <c r="G43" s="16"/>
      <c r="H43" s="16"/>
      <c r="I43" s="16"/>
      <c r="J43" s="16"/>
      <c r="K43" s="10" t="str">
        <f aca="false">IF(AE43=0,"",DATE(YEAR(AsOfDate)+IF(DATE(YEAR(AsOfDate),MONTH($F43),DAY($F43))&lt;=AsOfDate,1,0),MONTH($F43),DAY($F43)))</f>
        <v/>
      </c>
      <c r="L43" s="11" t="str">
        <f aca="false">IF(AE43=0,"",ROUND((AsOfDate-$F43)/365.25,1))</f>
        <v/>
      </c>
      <c r="M43" s="12" t="str">
        <f aca="false">IF(AE43=0,"",IF(AsOfDate&lt;AF43,"-",DATEDIF(AF43,AsOfDate,"y")&amp;"y "&amp;DATEDIF(AF43,AsOfDate,"ym")&amp;"m "&amp;DATEDIF(AF43,AsOfDate,"md")&amp;"d"))</f>
        <v/>
      </c>
      <c r="N43" s="13" t="str">
        <f aca="false">IF(AE43=0,"",O43*HoursPerDay)</f>
        <v/>
      </c>
      <c r="O43" s="13" t="str">
        <f aca="false">IF(AE43=0,"",AX43)</f>
        <v/>
      </c>
      <c r="P43" s="17"/>
      <c r="Q43" s="12" t="str">
        <f aca="false">IF(AE43=0,"",IF(AG43&lt;2,"",AK43&amp;" to "&amp;AL43&amp;" on "&amp;TEXT(AI43,"dd/mm/yyyy")&amp;IF(AI43&gt;AsOfDate," (future)",IF(AN43=AO43,"",IF(AO43="None"," - STOPPED accruing",IF(AN43="None"," - now qualifying"," - pathway changed"))))&amp;IF(AG43&lt;3,"","; "&amp;AL43&amp;" to "&amp;AM43&amp;" on "&amp;TEXT(AJ43,"dd/mm/yyyy")&amp;IF(AJ43&gt;AsOfDate," (future)",IF(AO43=AP43,"",IF(AP43="None"," - STOPPED accruing",IF(AO43="None"," - now qualifying"," - pathway changed")))))))</f>
        <v/>
      </c>
      <c r="R43" s="12" t="str">
        <f aca="false">IF(AE43=0,"",IF(AQ43="None",IF(O43&gt;0,"No longer accruing","Not eligible - "&amp;IF(AND(OR(ISNUMBER(SEARCH("part",$C43)),UPPER(TRIM($C43))="PT",UPPER(TRIM($C43))="PTE"),$P43&lt;&gt;"",N($P43)&lt;PT_MinHours),"under "&amp;PT_MinHours&amp;" hrs",IF(IF($C43="","",IF(OR(ISNUMBER(SEARCH("full",$C43)),UPPER(TRIM($C43))="FT",UPPER(TRIM($C43))="FTE"),"Full-Time",IF(OR(ISNUMBER(SEARCH("part",$C43)),UPPER(TRIM($C43))="PT",UPPER(TRIM($C43))="PTE"),"Part-Time",IF(OR(ISNUMBER(SEARCH("cas",$C43)),UPPER(TRIM($C43))="CAS"),"Casual","Unknown"))))="Unknown","type not recognised",$C43))),IF(O43&gt;0,"Yes - accruing","Not yet - from "&amp;TEXT(S43,"dd/mm/yyyy"))))</f>
        <v/>
      </c>
      <c r="S43" s="10" t="str">
        <f aca="false">IF(AE43=0,"",IF(AQ43="None","",EDATE(AF43,AZ43)))</f>
        <v/>
      </c>
      <c r="T43" s="13" t="str">
        <f aca="false">IF(OR(AE43=0,W43=""),"",W43-U43+V43)</f>
        <v/>
      </c>
      <c r="U43" s="13" t="str">
        <f aca="false">IF(AE43=0,"",IF(NOT(LH_Ready),"",SUMIFS(INDEX(LH_Data,0,LH_ColAcc),INDEX(LH_Data,0,LH_ColFirst),$A43,INDEX(LH_Data,0,LH_ColSur),$B43,INDEX(LH_Data,0,LH_ColCat),BonusCat)*UnitFactor))</f>
        <v/>
      </c>
      <c r="V43" s="13" t="str">
        <f aca="false">IF(AE43=0,"",IF(NOT(LH_Ready),"",SUMIFS(INDEX(LH_Data,0,LH_ColTaken),INDEX(LH_Data,0,LH_ColFirst),$A43,INDEX(LH_Data,0,LH_ColSur),$B43,INDEX(LH_Data,0,LH_ColCat),BonusCat)*UnitFactor))</f>
        <v/>
      </c>
      <c r="W43" s="13" t="str">
        <f aca="false">IF(AE43=0,"",IF(NOT(LH_Ready),"",IF(BB43=0,0,INDEX(INDEX(LH_Data,0,LH_ColClose),BB43-1)*UnitFactor)))</f>
        <v/>
      </c>
      <c r="X43" s="13" t="str">
        <f aca="false">IF(AE43=0,"",(AX43-AY43)*HoursPerDay)</f>
        <v/>
      </c>
      <c r="Y43" s="13" t="str">
        <f aca="false">IF(AE43=0,"",IF(NOT(LH_Ready),"",IF(BA43=0,N43,X43-N(U43))))</f>
        <v/>
      </c>
      <c r="Z43" s="12" t="str">
        <f aca="false">IF(OR(AE43=0,Y43=""),"",IF(Y43&gt;0,"Yes","No"))</f>
        <v/>
      </c>
      <c r="AA43" s="12" t="str">
        <f aca="false">IF(AE43=0,IF(LEN($A43&amp;$B43)=0,"","FIX INPUT - StartDate missing"),IF(AD43&lt;&gt;"","FIX INPUT - "&amp;AD43,IF(NOT(LH_Ready),"Paste Leave History export (Settings must show YES)",IF(Y43&gt;0,"ACCRUE "&amp;ROUND(Y43,2)&amp;" hrs ("&amp;ROUND(Y43/HoursPerDay,2)&amp;" days)"&amp;IF(BA43=0," - no Bonus Leave in EH yet, full catch-up since start",""),IF(Y43&lt;0,"CHECK - EH accrued "&amp;ROUND(-Y43,2)&amp;""&amp;" hrs more than policy",IF(O43&gt;0,"OK - nothing to add",IF(AQ43="None",R43,"Not yet - first day on "&amp;TEXT(S43,"dd/mm/yyyy"))))))))</f>
        <v/>
      </c>
      <c r="AB43" s="13" t="str">
        <f aca="false">IF(OR(AE43=0,T43=""),"",AY43*HoursPerDay-T43)</f>
        <v/>
      </c>
      <c r="AC43" s="12" t="str">
        <f aca="false">IF(AE43=0,"",BA43)</f>
        <v/>
      </c>
      <c r="AD43" s="12" t="str">
        <f aca="false">IF(AE43=0,"",TRIM(IF(IF($C43="","",IF(OR(ISNUMBER(SEARCH("full",$C43)),UPPER(TRIM($C43))="FT",UPPER(TRIM($C43))="FTE"),"Full-Time",IF(OR(ISNUMBER(SEARCH("part",$C43)),UPPER(TRIM($C43))="PT",UPPER(TRIM($C43))="PTE"),"Part-Time",IF(OR(ISNUMBER(SEARCH("cas",$C43)),UPPER(TRIM($C43))="CAS"),"Casual","Unknown"))))="Unknown","EmploymentType not recognised - use Full-Time, Part-Time or Casual. ","")&amp;IF(AND(AG43&gt;=1,IF(AG43&gt;=3,AM43,IF(AG43=2,AL43,AK43))&lt;&gt;IF($C43="","",IF(OR(ISNUMBER(SEARCH("full",$C43)),UPPER(TRIM($C43))="FT",UPPER(TRIM($C43))="FTE"),"Full-Time",IF(OR(ISNUMBER(SEARCH("part",$C43)),UPPER(TRIM($C43))="PT",UPPER(TRIM($C43))="PTE"),"Part-Time",IF(OR(ISNUMBER(SEARCH("cas",$C43)),UPPER(TRIM($C43))="CAS"),"Casual","Unknown"))))),"EmploymentType does not match latest start date ("&amp;IF(AG43&gt;=3,AM43,IF(AG43=2,AL43,AK43))&amp;"). ","")&amp;IF(AND(AG43&gt;=1,AH43&lt;&gt;$F43),"Earliest type date should equal StartDate. ","")&amp;IF(AND(AG43&gt;=2,AH43=AI43),"Two types start on the same date. ","")&amp;IF(AND(OR(ISNUMBER(SEARCH("part",$C43)),UPPER(TRIM($C43))="PT",UPPER(TRIM($C43))="PTE"),$P43=""),"Part-time: enter PT Hrs/Week (blank = 24+). ","")))</f>
        <v/>
      </c>
      <c r="AE43" s="12" t="n">
        <f aca="false">IF(OR(LEN($A43&amp;$B43)=0,$F43=""),0,1)</f>
        <v>0</v>
      </c>
      <c r="AF43" s="10" t="str">
        <f aca="false">IF(AE43=0,"",IF($J43&lt;&gt;"",$J43,$F43))</f>
        <v/>
      </c>
      <c r="AG43" s="12" t="str">
        <f aca="false">IF(AE43=0,"",COUNT($G43:$I43))</f>
        <v/>
      </c>
      <c r="AH43" s="10" t="str">
        <f aca="false">IF(AE43=0,"",IFERROR(SMALL($G43:$I43,1),""))</f>
        <v/>
      </c>
      <c r="AI43" s="10" t="str">
        <f aca="false">IF(AE43=0,"",IFERROR(SMALL($G43:$I43,2),""))</f>
        <v/>
      </c>
      <c r="AJ43" s="10" t="str">
        <f aca="false">IF(AE43=0,"",IFERROR(SMALL($G43:$I43,3),""))</f>
        <v/>
      </c>
      <c r="AK43" s="12" t="str">
        <f aca="false">IF(AE43=0,"",IF(AH43="","",IF(AH43=$G43,"Part-Time",IF(AH43=$H43,"Full-Time","Casual"))))</f>
        <v/>
      </c>
      <c r="AL43" s="12" t="str">
        <f aca="false">IF(AE43=0,"",IF(AI43="","",IF(AI43=$G43,"Part-Time",IF(AI43=$H43,"Full-Time","Casual"))))</f>
        <v/>
      </c>
      <c r="AM43" s="12" t="str">
        <f aca="false">IF(AE43=0,"",IF(AJ43="","",IF(AJ43=$G43,"Part-Time",IF(AJ43=$H43,"Full-Time","Casual"))))</f>
        <v/>
      </c>
      <c r="AN43" s="12" t="str">
        <f aca="false">IF(AE43=0,"",IF(AG43=0,IF(OR(ISNUMBER(SEARCH("full",$C43)),UPPER(TRIM($C43))="FT",UPPER(TRIM($C43))="FTE"),"FT",IF(AND(OR(ISNUMBER(SEARCH("part",$C43)),UPPER(TRIM($C43))="PT",UPPER(TRIM($C43))="PTE"),OR($P43="",N($P43)&gt;=PT_MinHours)),"PT","None")),IF(OR(ISNUMBER(SEARCH("full",AK43)),UPPER(TRIM(AK43))="FT",UPPER(TRIM(AK43))="FTE"),"FT",IF(AND(OR(ISNUMBER(SEARCH("part",AK43)),UPPER(TRIM(AK43))="PT",UPPER(TRIM(AK43))="PTE"),OR($P43="",N($P43)&gt;=PT_MinHours)),"PT","None"))))</f>
        <v/>
      </c>
      <c r="AO43" s="12" t="str">
        <f aca="false">IF(AE43=0,"",IF(AG43&lt;2,"",IF(OR(ISNUMBER(SEARCH("full",AL43)),UPPER(TRIM(AL43))="FT",UPPER(TRIM(AL43))="FTE"),"FT",IF(AND(OR(ISNUMBER(SEARCH("part",AL43)),UPPER(TRIM(AL43))="PT",UPPER(TRIM(AL43))="PTE"),OR($P43="",N($P43)&gt;=PT_MinHours)),"PT","None"))))</f>
        <v/>
      </c>
      <c r="AP43" s="12" t="str">
        <f aca="false">IF(AE43=0,"",IF(AG43&lt;3,"",IF(OR(ISNUMBER(SEARCH("full",AM43)),UPPER(TRIM(AM43))="FT",UPPER(TRIM(AM43))="FTE"),"FT",IF(AND(OR(ISNUMBER(SEARCH("part",AM43)),UPPER(TRIM(AM43))="PT",UPPER(TRIM(AM43))="PTE"),OR($P43="",N($P43)&gt;=PT_MinHours)),"PT","None"))))</f>
        <v/>
      </c>
      <c r="AQ43" s="12" t="str">
        <f aca="false">IF(AE43=0,"",IF(AND(AG43&gt;=3,AJ43&lt;=AsOfDate),AP43,IF(AND(AG43&gt;=2,AI43&lt;=AsOfDate),AO43,AN43)))</f>
        <v/>
      </c>
      <c r="AR43" s="12" t="str">
        <f aca="false">IF(AE43=0,"",IF(AsOfDate&lt;AF43,-1,12*(YEAR(AsOfDate)-YEAR(AF43))+MONTH(AsOfDate)-MONTH(AF43)-IF(DAY(AsOfDate)&lt;MIN(DAY(AF43),DAY(EOMONTH(AsOfDate,0))),1,0)))</f>
        <v/>
      </c>
      <c r="AS43" s="12" t="str">
        <f aca="false">IF(AE43=0,"",IF(OR(AG43&lt;2,AI43&gt;AsOfDate),AR43,IF((AI43-1)&lt;AF43,-1,12*(YEAR((AI43-1))-YEAR(AF43))+MONTH((AI43-1))-MONTH(AF43)-IF(DAY((AI43-1))&lt;MIN(DAY(AF43),DAY(EOMONTH((AI43-1),0))),1,0))))</f>
        <v/>
      </c>
      <c r="AT43" s="12" t="str">
        <f aca="false">IF(AE43=0,"",IF(OR(AG43&lt;3,AJ43&gt;AsOfDate),AR43,IF((AJ43-1)&lt;AF43,-1,12*(YEAR((AJ43-1))-YEAR(AF43))+MONTH((AJ43-1))-MONTH(AF43)-IF(DAY((AJ43-1))&lt;MIN(DAY(AF43),DAY(EOMONTH((AJ43-1),0))),1,0))))</f>
        <v/>
      </c>
      <c r="AU43" s="12" t="str">
        <f aca="false">IF(AE43=0,"",IF(PFYDate&lt;AF43,-1,12*(YEAR(PFYDate)-YEAR(AF43))+MONTH(PFYDate)-MONTH(AF43)-IF(DAY(PFYDate)&lt;MIN(DAY(AF43),DAY(EOMONTH(PFYDate,0))),1,0)))</f>
        <v/>
      </c>
      <c r="AV43" s="12" t="str">
        <f aca="false">IF(AE43=0,"",IF(OR(AG43&lt;2,AI43&gt;PFYDate),AU43,IF((AI43-1)&lt;AF43,-1,12*(YEAR((AI43-1))-YEAR(AF43))+MONTH((AI43-1))-MONTH(AF43)-IF(DAY((AI43-1))&lt;MIN(DAY(AF43),DAY(EOMONTH((AI43-1),0))),1,0))))</f>
        <v/>
      </c>
      <c r="AW43" s="12" t="str">
        <f aca="false">IF(AE43=0,"",IF(OR(AG43&lt;3,AJ43&gt;PFYDate),AU43,IF((AJ43-1)&lt;AF43,-1,12*(YEAR((AJ43-1))-YEAR(AF43))+MONTH((AJ43-1))-MONTH(AF43)-IF(DAY((AJ43-1))&lt;MIN(DAY(AF43),DAY(EOMONTH((AJ43-1),0))),1,0))))</f>
        <v/>
      </c>
      <c r="AX43" s="12" t="str">
        <f aca="false">IF(AE43=0,"",IF(AN43="FT",IF(AS43&lt;FT_First,0,IF(AS43&lt;FT_Y5,1+INT((AS43-FT_First)/FT_Int1),FT_PreY5+FT_PerYear*INT((AS43-FT_Y5)/12)+FT_AnnivDays+INT(MOD(AS43-FT_Y5,12)/FT_Int2))),IF(AN43="PT",IF(AS43&lt;PT_First,0,1+INT((AS43-PT_First)/PT_Int)),0))+IF(AND(AG43&gt;=2,AI43&lt;=AsOfDate),IF(AO43="FT",IF(AT43&lt;FT_First,0,IF(AT43&lt;FT_Y5,1+INT((AT43-FT_First)/FT_Int1),FT_PreY5+FT_PerYear*INT((AT43-FT_Y5)/12)+FT_AnnivDays+INT(MOD(AT43-FT_Y5,12)/FT_Int2))),IF(AO43="PT",IF(AT43&lt;PT_First,0,1+INT((AT43-PT_First)/PT_Int)),0))-IF(AO43="FT",IF(AS43&lt;FT_First,0,IF(AS43&lt;FT_Y5,1+INT((AS43-FT_First)/FT_Int1),FT_PreY5+FT_PerYear*INT((AS43-FT_Y5)/12)+FT_AnnivDays+INT(MOD(AS43-FT_Y5,12)/FT_Int2))),IF(AO43="PT",IF(AS43&lt;PT_First,0,1+INT((AS43-PT_First)/PT_Int)),0)),0)+IF(AND(AG43&gt;=3,AJ43&lt;=AsOfDate),IF(AP43="FT",IF(AR43&lt;FT_First,0,IF(AR43&lt;FT_Y5,1+INT((AR43-FT_First)/FT_Int1),FT_PreY5+FT_PerYear*INT((AR43-FT_Y5)/12)+FT_AnnivDays+INT(MOD(AR43-FT_Y5,12)/FT_Int2))),IF(AP43="PT",IF(AR43&lt;PT_First,0,1+INT((AR43-PT_First)/PT_Int)),0))-IF(AP43="FT",IF(AT43&lt;FT_First,0,IF(AT43&lt;FT_Y5,1+INT((AT43-FT_First)/FT_Int1),FT_PreY5+FT_PerYear*INT((AT43-FT_Y5)/12)+FT_AnnivDays+INT(MOD(AT43-FT_Y5,12)/FT_Int2))),IF(AP43="PT",IF(AT43&lt;PT_First,0,1+INT((AT43-PT_First)/PT_Int)),0)),0))</f>
        <v/>
      </c>
      <c r="AY43" s="12" t="str">
        <f aca="false">IF(AE43=0,"",IF(AN43="FT",IF(AV43&lt;FT_First,0,IF(AV43&lt;FT_Y5,1+INT((AV43-FT_First)/FT_Int1),FT_PreY5+FT_PerYear*INT((AV43-FT_Y5)/12)+FT_AnnivDays+INT(MOD(AV43-FT_Y5,12)/FT_Int2))),IF(AN43="PT",IF(AV43&lt;PT_First,0,1+INT((AV43-PT_First)/PT_Int)),0))+IF(AND(AG43&gt;=2,AI43&lt;=PFYDate),IF(AO43="FT",IF(AW43&lt;FT_First,0,IF(AW43&lt;FT_Y5,1+INT((AW43-FT_First)/FT_Int1),FT_PreY5+FT_PerYear*INT((AW43-FT_Y5)/12)+FT_AnnivDays+INT(MOD(AW43-FT_Y5,12)/FT_Int2))),IF(AO43="PT",IF(AW43&lt;PT_First,0,1+INT((AW43-PT_First)/PT_Int)),0))-IF(AO43="FT",IF(AV43&lt;FT_First,0,IF(AV43&lt;FT_Y5,1+INT((AV43-FT_First)/FT_Int1),FT_PreY5+FT_PerYear*INT((AV43-FT_Y5)/12)+FT_AnnivDays+INT(MOD(AV43-FT_Y5,12)/FT_Int2))),IF(AO43="PT",IF(AV43&lt;PT_First,0,1+INT((AV43-PT_First)/PT_Int)),0)),0)+IF(AND(AG43&gt;=3,AJ43&lt;=PFYDate),IF(AP43="FT",IF(AU43&lt;FT_First,0,IF(AU43&lt;FT_Y5,1+INT((AU43-FT_First)/FT_Int1),FT_PreY5+FT_PerYear*INT((AU43-FT_Y5)/12)+FT_AnnivDays+INT(MOD(AU43-FT_Y5,12)/FT_Int2))),IF(AP43="PT",IF(AU43&lt;PT_First,0,1+INT((AU43-PT_First)/PT_Int)),0))-IF(AP43="FT",IF(AW43&lt;FT_First,0,IF(AW43&lt;FT_Y5,1+INT((AW43-FT_First)/FT_Int1),FT_PreY5+FT_PerYear*INT((AW43-FT_Y5)/12)+FT_AnnivDays+INT(MOD(AW43-FT_Y5,12)/FT_Int2))),IF(AP43="PT",IF(AW43&lt;PT_First,0,1+INT((AW43-PT_First)/PT_Int)),0)),0))</f>
        <v/>
      </c>
      <c r="AZ43" s="12" t="str">
        <f aca="false">IF(AE43=0,"",IF(AQ43="FT",IF(AR43&lt;FT_First,FT_First,IF(AR43&lt;FT_Y5,MIN(FT_Y5,FT_First+FT_Int1*(INT((AR43-FT_First)/FT_Int1)+1)),FT_Y5+12*INT((AR43-FT_Y5)/12)+FT_Int2*(INT(MOD(AR43-FT_Y5,12)/FT_Int2)+1))),IF(AQ43="PT",IF(AR43&lt;PT_First,PT_First,PT_First+PT_Int*(INT((AR43-PT_First)/PT_Int)+1)),"")))</f>
        <v/>
      </c>
      <c r="BA43" s="12" t="str">
        <f aca="false">IF(AE43=0,"",IF(NOT(LH_Ready),0,COUNTIFS(INDEX(LH_Data,0,LH_ColFirst),$A43,INDEX(LH_Data,0,LH_ColSur),$B43,INDEX(LH_Data,0,LH_ColCat),BonusCat)))</f>
        <v/>
      </c>
      <c r="BB43" s="12" t="str">
        <f aca="false">IF(AE43=0,"",IF(OR(NOT(LH_Ready),BA43=0),0,SUMPRODUCT(MAX((INDEX(LH_Data,0,LH_ColFirst)=$A43)*(INDEX(LH_Data,0,LH_ColSur)=$B43)*(INDEX(LH_Data,0,LH_ColCat)=BonusCat)*ROW(LH_Data)))))</f>
        <v/>
      </c>
    </row>
    <row r="44" customFormat="false" ht="15" hidden="false" customHeight="false" outlineLevel="0" collapsed="false">
      <c r="A44" s="15"/>
      <c r="B44" s="15"/>
      <c r="C44" s="15"/>
      <c r="D44" s="16"/>
      <c r="E44" s="10" t="str">
        <f aca="false">IF(OR(AE44=0,$D44=""),"",DATE(YEAR(AsOfDate)+IF(DATE(YEAR(AsOfDate),MONTH($D44),DAY($D44))&lt;=AsOfDate,1,0),MONTH($D44),DAY($D44)))</f>
        <v/>
      </c>
      <c r="F44" s="16"/>
      <c r="G44" s="16"/>
      <c r="H44" s="16"/>
      <c r="I44" s="16"/>
      <c r="J44" s="16"/>
      <c r="K44" s="10" t="str">
        <f aca="false">IF(AE44=0,"",DATE(YEAR(AsOfDate)+IF(DATE(YEAR(AsOfDate),MONTH($F44),DAY($F44))&lt;=AsOfDate,1,0),MONTH($F44),DAY($F44)))</f>
        <v/>
      </c>
      <c r="L44" s="11" t="str">
        <f aca="false">IF(AE44=0,"",ROUND((AsOfDate-$F44)/365.25,1))</f>
        <v/>
      </c>
      <c r="M44" s="12" t="str">
        <f aca="false">IF(AE44=0,"",IF(AsOfDate&lt;AF44,"-",DATEDIF(AF44,AsOfDate,"y")&amp;"y "&amp;DATEDIF(AF44,AsOfDate,"ym")&amp;"m "&amp;DATEDIF(AF44,AsOfDate,"md")&amp;"d"))</f>
        <v/>
      </c>
      <c r="N44" s="13" t="str">
        <f aca="false">IF(AE44=0,"",O44*HoursPerDay)</f>
        <v/>
      </c>
      <c r="O44" s="13" t="str">
        <f aca="false">IF(AE44=0,"",AX44)</f>
        <v/>
      </c>
      <c r="P44" s="17"/>
      <c r="Q44" s="12" t="str">
        <f aca="false">IF(AE44=0,"",IF(AG44&lt;2,"",AK44&amp;" to "&amp;AL44&amp;" on "&amp;TEXT(AI44,"dd/mm/yyyy")&amp;IF(AI44&gt;AsOfDate," (future)",IF(AN44=AO44,"",IF(AO44="None"," - STOPPED accruing",IF(AN44="None"," - now qualifying"," - pathway changed"))))&amp;IF(AG44&lt;3,"","; "&amp;AL44&amp;" to "&amp;AM44&amp;" on "&amp;TEXT(AJ44,"dd/mm/yyyy")&amp;IF(AJ44&gt;AsOfDate," (future)",IF(AO44=AP44,"",IF(AP44="None"," - STOPPED accruing",IF(AO44="None"," - now qualifying"," - pathway changed")))))))</f>
        <v/>
      </c>
      <c r="R44" s="12" t="str">
        <f aca="false">IF(AE44=0,"",IF(AQ44="None",IF(O44&gt;0,"No longer accruing","Not eligible - "&amp;IF(AND(OR(ISNUMBER(SEARCH("part",$C44)),UPPER(TRIM($C44))="PT",UPPER(TRIM($C44))="PTE"),$P44&lt;&gt;"",N($P44)&lt;PT_MinHours),"under "&amp;PT_MinHours&amp;" hrs",IF(IF($C44="","",IF(OR(ISNUMBER(SEARCH("full",$C44)),UPPER(TRIM($C44))="FT",UPPER(TRIM($C44))="FTE"),"Full-Time",IF(OR(ISNUMBER(SEARCH("part",$C44)),UPPER(TRIM($C44))="PT",UPPER(TRIM($C44))="PTE"),"Part-Time",IF(OR(ISNUMBER(SEARCH("cas",$C44)),UPPER(TRIM($C44))="CAS"),"Casual","Unknown"))))="Unknown","type not recognised",$C44))),IF(O44&gt;0,"Yes - accruing","Not yet - from "&amp;TEXT(S44,"dd/mm/yyyy"))))</f>
        <v/>
      </c>
      <c r="S44" s="10" t="str">
        <f aca="false">IF(AE44=0,"",IF(AQ44="None","",EDATE(AF44,AZ44)))</f>
        <v/>
      </c>
      <c r="T44" s="13" t="str">
        <f aca="false">IF(OR(AE44=0,W44=""),"",W44-U44+V44)</f>
        <v/>
      </c>
      <c r="U44" s="13" t="str">
        <f aca="false">IF(AE44=0,"",IF(NOT(LH_Ready),"",SUMIFS(INDEX(LH_Data,0,LH_ColAcc),INDEX(LH_Data,0,LH_ColFirst),$A44,INDEX(LH_Data,0,LH_ColSur),$B44,INDEX(LH_Data,0,LH_ColCat),BonusCat)*UnitFactor))</f>
        <v/>
      </c>
      <c r="V44" s="13" t="str">
        <f aca="false">IF(AE44=0,"",IF(NOT(LH_Ready),"",SUMIFS(INDEX(LH_Data,0,LH_ColTaken),INDEX(LH_Data,0,LH_ColFirst),$A44,INDEX(LH_Data,0,LH_ColSur),$B44,INDEX(LH_Data,0,LH_ColCat),BonusCat)*UnitFactor))</f>
        <v/>
      </c>
      <c r="W44" s="13" t="str">
        <f aca="false">IF(AE44=0,"",IF(NOT(LH_Ready),"",IF(BB44=0,0,INDEX(INDEX(LH_Data,0,LH_ColClose),BB44-1)*UnitFactor)))</f>
        <v/>
      </c>
      <c r="X44" s="13" t="str">
        <f aca="false">IF(AE44=0,"",(AX44-AY44)*HoursPerDay)</f>
        <v/>
      </c>
      <c r="Y44" s="13" t="str">
        <f aca="false">IF(AE44=0,"",IF(NOT(LH_Ready),"",IF(BA44=0,N44,X44-N(U44))))</f>
        <v/>
      </c>
      <c r="Z44" s="12" t="str">
        <f aca="false">IF(OR(AE44=0,Y44=""),"",IF(Y44&gt;0,"Yes","No"))</f>
        <v/>
      </c>
      <c r="AA44" s="12" t="str">
        <f aca="false">IF(AE44=0,IF(LEN($A44&amp;$B44)=0,"","FIX INPUT - StartDate missing"),IF(AD44&lt;&gt;"","FIX INPUT - "&amp;AD44,IF(NOT(LH_Ready),"Paste Leave History export (Settings must show YES)",IF(Y44&gt;0,"ACCRUE "&amp;ROUND(Y44,2)&amp;" hrs ("&amp;ROUND(Y44/HoursPerDay,2)&amp;" days)"&amp;IF(BA44=0," - no Bonus Leave in EH yet, full catch-up since start",""),IF(Y44&lt;0,"CHECK - EH accrued "&amp;ROUND(-Y44,2)&amp;""&amp;" hrs more than policy",IF(O44&gt;0,"OK - nothing to add",IF(AQ44="None",R44,"Not yet - first day on "&amp;TEXT(S44,"dd/mm/yyyy"))))))))</f>
        <v/>
      </c>
      <c r="AB44" s="13" t="str">
        <f aca="false">IF(OR(AE44=0,T44=""),"",AY44*HoursPerDay-T44)</f>
        <v/>
      </c>
      <c r="AC44" s="12" t="str">
        <f aca="false">IF(AE44=0,"",BA44)</f>
        <v/>
      </c>
      <c r="AD44" s="12" t="str">
        <f aca="false">IF(AE44=0,"",TRIM(IF(IF($C44="","",IF(OR(ISNUMBER(SEARCH("full",$C44)),UPPER(TRIM($C44))="FT",UPPER(TRIM($C44))="FTE"),"Full-Time",IF(OR(ISNUMBER(SEARCH("part",$C44)),UPPER(TRIM($C44))="PT",UPPER(TRIM($C44))="PTE"),"Part-Time",IF(OR(ISNUMBER(SEARCH("cas",$C44)),UPPER(TRIM($C44))="CAS"),"Casual","Unknown"))))="Unknown","EmploymentType not recognised - use Full-Time, Part-Time or Casual. ","")&amp;IF(AND(AG44&gt;=1,IF(AG44&gt;=3,AM44,IF(AG44=2,AL44,AK44))&lt;&gt;IF($C44="","",IF(OR(ISNUMBER(SEARCH("full",$C44)),UPPER(TRIM($C44))="FT",UPPER(TRIM($C44))="FTE"),"Full-Time",IF(OR(ISNUMBER(SEARCH("part",$C44)),UPPER(TRIM($C44))="PT",UPPER(TRIM($C44))="PTE"),"Part-Time",IF(OR(ISNUMBER(SEARCH("cas",$C44)),UPPER(TRIM($C44))="CAS"),"Casual","Unknown"))))),"EmploymentType does not match latest start date ("&amp;IF(AG44&gt;=3,AM44,IF(AG44=2,AL44,AK44))&amp;"). ","")&amp;IF(AND(AG44&gt;=1,AH44&lt;&gt;$F44),"Earliest type date should equal StartDate. ","")&amp;IF(AND(AG44&gt;=2,AH44=AI44),"Two types start on the same date. ","")&amp;IF(AND(OR(ISNUMBER(SEARCH("part",$C44)),UPPER(TRIM($C44))="PT",UPPER(TRIM($C44))="PTE"),$P44=""),"Part-time: enter PT Hrs/Week (blank = 24+). ","")))</f>
        <v/>
      </c>
      <c r="AE44" s="12" t="n">
        <f aca="false">IF(OR(LEN($A44&amp;$B44)=0,$F44=""),0,1)</f>
        <v>0</v>
      </c>
      <c r="AF44" s="10" t="str">
        <f aca="false">IF(AE44=0,"",IF($J44&lt;&gt;"",$J44,$F44))</f>
        <v/>
      </c>
      <c r="AG44" s="12" t="str">
        <f aca="false">IF(AE44=0,"",COUNT($G44:$I44))</f>
        <v/>
      </c>
      <c r="AH44" s="10" t="str">
        <f aca="false">IF(AE44=0,"",IFERROR(SMALL($G44:$I44,1),""))</f>
        <v/>
      </c>
      <c r="AI44" s="10" t="str">
        <f aca="false">IF(AE44=0,"",IFERROR(SMALL($G44:$I44,2),""))</f>
        <v/>
      </c>
      <c r="AJ44" s="10" t="str">
        <f aca="false">IF(AE44=0,"",IFERROR(SMALL($G44:$I44,3),""))</f>
        <v/>
      </c>
      <c r="AK44" s="12" t="str">
        <f aca="false">IF(AE44=0,"",IF(AH44="","",IF(AH44=$G44,"Part-Time",IF(AH44=$H44,"Full-Time","Casual"))))</f>
        <v/>
      </c>
      <c r="AL44" s="12" t="str">
        <f aca="false">IF(AE44=0,"",IF(AI44="","",IF(AI44=$G44,"Part-Time",IF(AI44=$H44,"Full-Time","Casual"))))</f>
        <v/>
      </c>
      <c r="AM44" s="12" t="str">
        <f aca="false">IF(AE44=0,"",IF(AJ44="","",IF(AJ44=$G44,"Part-Time",IF(AJ44=$H44,"Full-Time","Casual"))))</f>
        <v/>
      </c>
      <c r="AN44" s="12" t="str">
        <f aca="false">IF(AE44=0,"",IF(AG44=0,IF(OR(ISNUMBER(SEARCH("full",$C44)),UPPER(TRIM($C44))="FT",UPPER(TRIM($C44))="FTE"),"FT",IF(AND(OR(ISNUMBER(SEARCH("part",$C44)),UPPER(TRIM($C44))="PT",UPPER(TRIM($C44))="PTE"),OR($P44="",N($P44)&gt;=PT_MinHours)),"PT","None")),IF(OR(ISNUMBER(SEARCH("full",AK44)),UPPER(TRIM(AK44))="FT",UPPER(TRIM(AK44))="FTE"),"FT",IF(AND(OR(ISNUMBER(SEARCH("part",AK44)),UPPER(TRIM(AK44))="PT",UPPER(TRIM(AK44))="PTE"),OR($P44="",N($P44)&gt;=PT_MinHours)),"PT","None"))))</f>
        <v/>
      </c>
      <c r="AO44" s="12" t="str">
        <f aca="false">IF(AE44=0,"",IF(AG44&lt;2,"",IF(OR(ISNUMBER(SEARCH("full",AL44)),UPPER(TRIM(AL44))="FT",UPPER(TRIM(AL44))="FTE"),"FT",IF(AND(OR(ISNUMBER(SEARCH("part",AL44)),UPPER(TRIM(AL44))="PT",UPPER(TRIM(AL44))="PTE"),OR($P44="",N($P44)&gt;=PT_MinHours)),"PT","None"))))</f>
        <v/>
      </c>
      <c r="AP44" s="12" t="str">
        <f aca="false">IF(AE44=0,"",IF(AG44&lt;3,"",IF(OR(ISNUMBER(SEARCH("full",AM44)),UPPER(TRIM(AM44))="FT",UPPER(TRIM(AM44))="FTE"),"FT",IF(AND(OR(ISNUMBER(SEARCH("part",AM44)),UPPER(TRIM(AM44))="PT",UPPER(TRIM(AM44))="PTE"),OR($P44="",N($P44)&gt;=PT_MinHours)),"PT","None"))))</f>
        <v/>
      </c>
      <c r="AQ44" s="12" t="str">
        <f aca="false">IF(AE44=0,"",IF(AND(AG44&gt;=3,AJ44&lt;=AsOfDate),AP44,IF(AND(AG44&gt;=2,AI44&lt;=AsOfDate),AO44,AN44)))</f>
        <v/>
      </c>
      <c r="AR44" s="12" t="str">
        <f aca="false">IF(AE44=0,"",IF(AsOfDate&lt;AF44,-1,12*(YEAR(AsOfDate)-YEAR(AF44))+MONTH(AsOfDate)-MONTH(AF44)-IF(DAY(AsOfDate)&lt;MIN(DAY(AF44),DAY(EOMONTH(AsOfDate,0))),1,0)))</f>
        <v/>
      </c>
      <c r="AS44" s="12" t="str">
        <f aca="false">IF(AE44=0,"",IF(OR(AG44&lt;2,AI44&gt;AsOfDate),AR44,IF((AI44-1)&lt;AF44,-1,12*(YEAR((AI44-1))-YEAR(AF44))+MONTH((AI44-1))-MONTH(AF44)-IF(DAY((AI44-1))&lt;MIN(DAY(AF44),DAY(EOMONTH((AI44-1),0))),1,0))))</f>
        <v/>
      </c>
      <c r="AT44" s="12" t="str">
        <f aca="false">IF(AE44=0,"",IF(OR(AG44&lt;3,AJ44&gt;AsOfDate),AR44,IF((AJ44-1)&lt;AF44,-1,12*(YEAR((AJ44-1))-YEAR(AF44))+MONTH((AJ44-1))-MONTH(AF44)-IF(DAY((AJ44-1))&lt;MIN(DAY(AF44),DAY(EOMONTH((AJ44-1),0))),1,0))))</f>
        <v/>
      </c>
      <c r="AU44" s="12" t="str">
        <f aca="false">IF(AE44=0,"",IF(PFYDate&lt;AF44,-1,12*(YEAR(PFYDate)-YEAR(AF44))+MONTH(PFYDate)-MONTH(AF44)-IF(DAY(PFYDate)&lt;MIN(DAY(AF44),DAY(EOMONTH(PFYDate,0))),1,0)))</f>
        <v/>
      </c>
      <c r="AV44" s="12" t="str">
        <f aca="false">IF(AE44=0,"",IF(OR(AG44&lt;2,AI44&gt;PFYDate),AU44,IF((AI44-1)&lt;AF44,-1,12*(YEAR((AI44-1))-YEAR(AF44))+MONTH((AI44-1))-MONTH(AF44)-IF(DAY((AI44-1))&lt;MIN(DAY(AF44),DAY(EOMONTH((AI44-1),0))),1,0))))</f>
        <v/>
      </c>
      <c r="AW44" s="12" t="str">
        <f aca="false">IF(AE44=0,"",IF(OR(AG44&lt;3,AJ44&gt;PFYDate),AU44,IF((AJ44-1)&lt;AF44,-1,12*(YEAR((AJ44-1))-YEAR(AF44))+MONTH((AJ44-1))-MONTH(AF44)-IF(DAY((AJ44-1))&lt;MIN(DAY(AF44),DAY(EOMONTH((AJ44-1),0))),1,0))))</f>
        <v/>
      </c>
      <c r="AX44" s="12" t="str">
        <f aca="false">IF(AE44=0,"",IF(AN44="FT",IF(AS44&lt;FT_First,0,IF(AS44&lt;FT_Y5,1+INT((AS44-FT_First)/FT_Int1),FT_PreY5+FT_PerYear*INT((AS44-FT_Y5)/12)+FT_AnnivDays+INT(MOD(AS44-FT_Y5,12)/FT_Int2))),IF(AN44="PT",IF(AS44&lt;PT_First,0,1+INT((AS44-PT_First)/PT_Int)),0))+IF(AND(AG44&gt;=2,AI44&lt;=AsOfDate),IF(AO44="FT",IF(AT44&lt;FT_First,0,IF(AT44&lt;FT_Y5,1+INT((AT44-FT_First)/FT_Int1),FT_PreY5+FT_PerYear*INT((AT44-FT_Y5)/12)+FT_AnnivDays+INT(MOD(AT44-FT_Y5,12)/FT_Int2))),IF(AO44="PT",IF(AT44&lt;PT_First,0,1+INT((AT44-PT_First)/PT_Int)),0))-IF(AO44="FT",IF(AS44&lt;FT_First,0,IF(AS44&lt;FT_Y5,1+INT((AS44-FT_First)/FT_Int1),FT_PreY5+FT_PerYear*INT((AS44-FT_Y5)/12)+FT_AnnivDays+INT(MOD(AS44-FT_Y5,12)/FT_Int2))),IF(AO44="PT",IF(AS44&lt;PT_First,0,1+INT((AS44-PT_First)/PT_Int)),0)),0)+IF(AND(AG44&gt;=3,AJ44&lt;=AsOfDate),IF(AP44="FT",IF(AR44&lt;FT_First,0,IF(AR44&lt;FT_Y5,1+INT((AR44-FT_First)/FT_Int1),FT_PreY5+FT_PerYear*INT((AR44-FT_Y5)/12)+FT_AnnivDays+INT(MOD(AR44-FT_Y5,12)/FT_Int2))),IF(AP44="PT",IF(AR44&lt;PT_First,0,1+INT((AR44-PT_First)/PT_Int)),0))-IF(AP44="FT",IF(AT44&lt;FT_First,0,IF(AT44&lt;FT_Y5,1+INT((AT44-FT_First)/FT_Int1),FT_PreY5+FT_PerYear*INT((AT44-FT_Y5)/12)+FT_AnnivDays+INT(MOD(AT44-FT_Y5,12)/FT_Int2))),IF(AP44="PT",IF(AT44&lt;PT_First,0,1+INT((AT44-PT_First)/PT_Int)),0)),0))</f>
        <v/>
      </c>
      <c r="AY44" s="12" t="str">
        <f aca="false">IF(AE44=0,"",IF(AN44="FT",IF(AV44&lt;FT_First,0,IF(AV44&lt;FT_Y5,1+INT((AV44-FT_First)/FT_Int1),FT_PreY5+FT_PerYear*INT((AV44-FT_Y5)/12)+FT_AnnivDays+INT(MOD(AV44-FT_Y5,12)/FT_Int2))),IF(AN44="PT",IF(AV44&lt;PT_First,0,1+INT((AV44-PT_First)/PT_Int)),0))+IF(AND(AG44&gt;=2,AI44&lt;=PFYDate),IF(AO44="FT",IF(AW44&lt;FT_First,0,IF(AW44&lt;FT_Y5,1+INT((AW44-FT_First)/FT_Int1),FT_PreY5+FT_PerYear*INT((AW44-FT_Y5)/12)+FT_AnnivDays+INT(MOD(AW44-FT_Y5,12)/FT_Int2))),IF(AO44="PT",IF(AW44&lt;PT_First,0,1+INT((AW44-PT_First)/PT_Int)),0))-IF(AO44="FT",IF(AV44&lt;FT_First,0,IF(AV44&lt;FT_Y5,1+INT((AV44-FT_First)/FT_Int1),FT_PreY5+FT_PerYear*INT((AV44-FT_Y5)/12)+FT_AnnivDays+INT(MOD(AV44-FT_Y5,12)/FT_Int2))),IF(AO44="PT",IF(AV44&lt;PT_First,0,1+INT((AV44-PT_First)/PT_Int)),0)),0)+IF(AND(AG44&gt;=3,AJ44&lt;=PFYDate),IF(AP44="FT",IF(AU44&lt;FT_First,0,IF(AU44&lt;FT_Y5,1+INT((AU44-FT_First)/FT_Int1),FT_PreY5+FT_PerYear*INT((AU44-FT_Y5)/12)+FT_AnnivDays+INT(MOD(AU44-FT_Y5,12)/FT_Int2))),IF(AP44="PT",IF(AU44&lt;PT_First,0,1+INT((AU44-PT_First)/PT_Int)),0))-IF(AP44="FT",IF(AW44&lt;FT_First,0,IF(AW44&lt;FT_Y5,1+INT((AW44-FT_First)/FT_Int1),FT_PreY5+FT_PerYear*INT((AW44-FT_Y5)/12)+FT_AnnivDays+INT(MOD(AW44-FT_Y5,12)/FT_Int2))),IF(AP44="PT",IF(AW44&lt;PT_First,0,1+INT((AW44-PT_First)/PT_Int)),0)),0))</f>
        <v/>
      </c>
      <c r="AZ44" s="12" t="str">
        <f aca="false">IF(AE44=0,"",IF(AQ44="FT",IF(AR44&lt;FT_First,FT_First,IF(AR44&lt;FT_Y5,MIN(FT_Y5,FT_First+FT_Int1*(INT((AR44-FT_First)/FT_Int1)+1)),FT_Y5+12*INT((AR44-FT_Y5)/12)+FT_Int2*(INT(MOD(AR44-FT_Y5,12)/FT_Int2)+1))),IF(AQ44="PT",IF(AR44&lt;PT_First,PT_First,PT_First+PT_Int*(INT((AR44-PT_First)/PT_Int)+1)),"")))</f>
        <v/>
      </c>
      <c r="BA44" s="12" t="str">
        <f aca="false">IF(AE44=0,"",IF(NOT(LH_Ready),0,COUNTIFS(INDEX(LH_Data,0,LH_ColFirst),$A44,INDEX(LH_Data,0,LH_ColSur),$B44,INDEX(LH_Data,0,LH_ColCat),BonusCat)))</f>
        <v/>
      </c>
      <c r="BB44" s="12" t="str">
        <f aca="false">IF(AE44=0,"",IF(OR(NOT(LH_Ready),BA44=0),0,SUMPRODUCT(MAX((INDEX(LH_Data,0,LH_ColFirst)=$A44)*(INDEX(LH_Data,0,LH_ColSur)=$B44)*(INDEX(LH_Data,0,LH_ColCat)=BonusCat)*ROW(LH_Data)))))</f>
        <v/>
      </c>
    </row>
    <row r="45" customFormat="false" ht="15" hidden="false" customHeight="false" outlineLevel="0" collapsed="false">
      <c r="A45" s="15"/>
      <c r="B45" s="15"/>
      <c r="C45" s="15"/>
      <c r="D45" s="16"/>
      <c r="E45" s="10" t="str">
        <f aca="false">IF(OR(AE45=0,$D45=""),"",DATE(YEAR(AsOfDate)+IF(DATE(YEAR(AsOfDate),MONTH($D45),DAY($D45))&lt;=AsOfDate,1,0),MONTH($D45),DAY($D45)))</f>
        <v/>
      </c>
      <c r="F45" s="16"/>
      <c r="G45" s="16"/>
      <c r="H45" s="16"/>
      <c r="I45" s="16"/>
      <c r="J45" s="16"/>
      <c r="K45" s="10" t="str">
        <f aca="false">IF(AE45=0,"",DATE(YEAR(AsOfDate)+IF(DATE(YEAR(AsOfDate),MONTH($F45),DAY($F45))&lt;=AsOfDate,1,0),MONTH($F45),DAY($F45)))</f>
        <v/>
      </c>
      <c r="L45" s="11" t="str">
        <f aca="false">IF(AE45=0,"",ROUND((AsOfDate-$F45)/365.25,1))</f>
        <v/>
      </c>
      <c r="M45" s="12" t="str">
        <f aca="false">IF(AE45=0,"",IF(AsOfDate&lt;AF45,"-",DATEDIF(AF45,AsOfDate,"y")&amp;"y "&amp;DATEDIF(AF45,AsOfDate,"ym")&amp;"m "&amp;DATEDIF(AF45,AsOfDate,"md")&amp;"d"))</f>
        <v/>
      </c>
      <c r="N45" s="13" t="str">
        <f aca="false">IF(AE45=0,"",O45*HoursPerDay)</f>
        <v/>
      </c>
      <c r="O45" s="13" t="str">
        <f aca="false">IF(AE45=0,"",AX45)</f>
        <v/>
      </c>
      <c r="P45" s="17"/>
      <c r="Q45" s="12" t="str">
        <f aca="false">IF(AE45=0,"",IF(AG45&lt;2,"",AK45&amp;" to "&amp;AL45&amp;" on "&amp;TEXT(AI45,"dd/mm/yyyy")&amp;IF(AI45&gt;AsOfDate," (future)",IF(AN45=AO45,"",IF(AO45="None"," - STOPPED accruing",IF(AN45="None"," - now qualifying"," - pathway changed"))))&amp;IF(AG45&lt;3,"","; "&amp;AL45&amp;" to "&amp;AM45&amp;" on "&amp;TEXT(AJ45,"dd/mm/yyyy")&amp;IF(AJ45&gt;AsOfDate," (future)",IF(AO45=AP45,"",IF(AP45="None"," - STOPPED accruing",IF(AO45="None"," - now qualifying"," - pathway changed")))))))</f>
        <v/>
      </c>
      <c r="R45" s="12" t="str">
        <f aca="false">IF(AE45=0,"",IF(AQ45="None",IF(O45&gt;0,"No longer accruing","Not eligible - "&amp;IF(AND(OR(ISNUMBER(SEARCH("part",$C45)),UPPER(TRIM($C45))="PT",UPPER(TRIM($C45))="PTE"),$P45&lt;&gt;"",N($P45)&lt;PT_MinHours),"under "&amp;PT_MinHours&amp;" hrs",IF(IF($C45="","",IF(OR(ISNUMBER(SEARCH("full",$C45)),UPPER(TRIM($C45))="FT",UPPER(TRIM($C45))="FTE"),"Full-Time",IF(OR(ISNUMBER(SEARCH("part",$C45)),UPPER(TRIM($C45))="PT",UPPER(TRIM($C45))="PTE"),"Part-Time",IF(OR(ISNUMBER(SEARCH("cas",$C45)),UPPER(TRIM($C45))="CAS"),"Casual","Unknown"))))="Unknown","type not recognised",$C45))),IF(O45&gt;0,"Yes - accruing","Not yet - from "&amp;TEXT(S45,"dd/mm/yyyy"))))</f>
        <v/>
      </c>
      <c r="S45" s="10" t="str">
        <f aca="false">IF(AE45=0,"",IF(AQ45="None","",EDATE(AF45,AZ45)))</f>
        <v/>
      </c>
      <c r="T45" s="13" t="str">
        <f aca="false">IF(OR(AE45=0,W45=""),"",W45-U45+V45)</f>
        <v/>
      </c>
      <c r="U45" s="13" t="str">
        <f aca="false">IF(AE45=0,"",IF(NOT(LH_Ready),"",SUMIFS(INDEX(LH_Data,0,LH_ColAcc),INDEX(LH_Data,0,LH_ColFirst),$A45,INDEX(LH_Data,0,LH_ColSur),$B45,INDEX(LH_Data,0,LH_ColCat),BonusCat)*UnitFactor))</f>
        <v/>
      </c>
      <c r="V45" s="13" t="str">
        <f aca="false">IF(AE45=0,"",IF(NOT(LH_Ready),"",SUMIFS(INDEX(LH_Data,0,LH_ColTaken),INDEX(LH_Data,0,LH_ColFirst),$A45,INDEX(LH_Data,0,LH_ColSur),$B45,INDEX(LH_Data,0,LH_ColCat),BonusCat)*UnitFactor))</f>
        <v/>
      </c>
      <c r="W45" s="13" t="str">
        <f aca="false">IF(AE45=0,"",IF(NOT(LH_Ready),"",IF(BB45=0,0,INDEX(INDEX(LH_Data,0,LH_ColClose),BB45-1)*UnitFactor)))</f>
        <v/>
      </c>
      <c r="X45" s="13" t="str">
        <f aca="false">IF(AE45=0,"",(AX45-AY45)*HoursPerDay)</f>
        <v/>
      </c>
      <c r="Y45" s="13" t="str">
        <f aca="false">IF(AE45=0,"",IF(NOT(LH_Ready),"",IF(BA45=0,N45,X45-N(U45))))</f>
        <v/>
      </c>
      <c r="Z45" s="12" t="str">
        <f aca="false">IF(OR(AE45=0,Y45=""),"",IF(Y45&gt;0,"Yes","No"))</f>
        <v/>
      </c>
      <c r="AA45" s="12" t="str">
        <f aca="false">IF(AE45=0,IF(LEN($A45&amp;$B45)=0,"","FIX INPUT - StartDate missing"),IF(AD45&lt;&gt;"","FIX INPUT - "&amp;AD45,IF(NOT(LH_Ready),"Paste Leave History export (Settings must show YES)",IF(Y45&gt;0,"ACCRUE "&amp;ROUND(Y45,2)&amp;" hrs ("&amp;ROUND(Y45/HoursPerDay,2)&amp;" days)"&amp;IF(BA45=0," - no Bonus Leave in EH yet, full catch-up since start",""),IF(Y45&lt;0,"CHECK - EH accrued "&amp;ROUND(-Y45,2)&amp;""&amp;" hrs more than policy",IF(O45&gt;0,"OK - nothing to add",IF(AQ45="None",R45,"Not yet - first day on "&amp;TEXT(S45,"dd/mm/yyyy"))))))))</f>
        <v/>
      </c>
      <c r="AB45" s="13" t="str">
        <f aca="false">IF(OR(AE45=0,T45=""),"",AY45*HoursPerDay-T45)</f>
        <v/>
      </c>
      <c r="AC45" s="12" t="str">
        <f aca="false">IF(AE45=0,"",BA45)</f>
        <v/>
      </c>
      <c r="AD45" s="12" t="str">
        <f aca="false">IF(AE45=0,"",TRIM(IF(IF($C45="","",IF(OR(ISNUMBER(SEARCH("full",$C45)),UPPER(TRIM($C45))="FT",UPPER(TRIM($C45))="FTE"),"Full-Time",IF(OR(ISNUMBER(SEARCH("part",$C45)),UPPER(TRIM($C45))="PT",UPPER(TRIM($C45))="PTE"),"Part-Time",IF(OR(ISNUMBER(SEARCH("cas",$C45)),UPPER(TRIM($C45))="CAS"),"Casual","Unknown"))))="Unknown","EmploymentType not recognised - use Full-Time, Part-Time or Casual. ","")&amp;IF(AND(AG45&gt;=1,IF(AG45&gt;=3,AM45,IF(AG45=2,AL45,AK45))&lt;&gt;IF($C45="","",IF(OR(ISNUMBER(SEARCH("full",$C45)),UPPER(TRIM($C45))="FT",UPPER(TRIM($C45))="FTE"),"Full-Time",IF(OR(ISNUMBER(SEARCH("part",$C45)),UPPER(TRIM($C45))="PT",UPPER(TRIM($C45))="PTE"),"Part-Time",IF(OR(ISNUMBER(SEARCH("cas",$C45)),UPPER(TRIM($C45))="CAS"),"Casual","Unknown"))))),"EmploymentType does not match latest start date ("&amp;IF(AG45&gt;=3,AM45,IF(AG45=2,AL45,AK45))&amp;"). ","")&amp;IF(AND(AG45&gt;=1,AH45&lt;&gt;$F45),"Earliest type date should equal StartDate. ","")&amp;IF(AND(AG45&gt;=2,AH45=AI45),"Two types start on the same date. ","")&amp;IF(AND(OR(ISNUMBER(SEARCH("part",$C45)),UPPER(TRIM($C45))="PT",UPPER(TRIM($C45))="PTE"),$P45=""),"Part-time: enter PT Hrs/Week (blank = 24+). ","")))</f>
        <v/>
      </c>
      <c r="AE45" s="12" t="n">
        <f aca="false">IF(OR(LEN($A45&amp;$B45)=0,$F45=""),0,1)</f>
        <v>0</v>
      </c>
      <c r="AF45" s="10" t="str">
        <f aca="false">IF(AE45=0,"",IF($J45&lt;&gt;"",$J45,$F45))</f>
        <v/>
      </c>
      <c r="AG45" s="12" t="str">
        <f aca="false">IF(AE45=0,"",COUNT($G45:$I45))</f>
        <v/>
      </c>
      <c r="AH45" s="10" t="str">
        <f aca="false">IF(AE45=0,"",IFERROR(SMALL($G45:$I45,1),""))</f>
        <v/>
      </c>
      <c r="AI45" s="10" t="str">
        <f aca="false">IF(AE45=0,"",IFERROR(SMALL($G45:$I45,2),""))</f>
        <v/>
      </c>
      <c r="AJ45" s="10" t="str">
        <f aca="false">IF(AE45=0,"",IFERROR(SMALL($G45:$I45,3),""))</f>
        <v/>
      </c>
      <c r="AK45" s="12" t="str">
        <f aca="false">IF(AE45=0,"",IF(AH45="","",IF(AH45=$G45,"Part-Time",IF(AH45=$H45,"Full-Time","Casual"))))</f>
        <v/>
      </c>
      <c r="AL45" s="12" t="str">
        <f aca="false">IF(AE45=0,"",IF(AI45="","",IF(AI45=$G45,"Part-Time",IF(AI45=$H45,"Full-Time","Casual"))))</f>
        <v/>
      </c>
      <c r="AM45" s="12" t="str">
        <f aca="false">IF(AE45=0,"",IF(AJ45="","",IF(AJ45=$G45,"Part-Time",IF(AJ45=$H45,"Full-Time","Casual"))))</f>
        <v/>
      </c>
      <c r="AN45" s="12" t="str">
        <f aca="false">IF(AE45=0,"",IF(AG45=0,IF(OR(ISNUMBER(SEARCH("full",$C45)),UPPER(TRIM($C45))="FT",UPPER(TRIM($C45))="FTE"),"FT",IF(AND(OR(ISNUMBER(SEARCH("part",$C45)),UPPER(TRIM($C45))="PT",UPPER(TRIM($C45))="PTE"),OR($P45="",N($P45)&gt;=PT_MinHours)),"PT","None")),IF(OR(ISNUMBER(SEARCH("full",AK45)),UPPER(TRIM(AK45))="FT",UPPER(TRIM(AK45))="FTE"),"FT",IF(AND(OR(ISNUMBER(SEARCH("part",AK45)),UPPER(TRIM(AK45))="PT",UPPER(TRIM(AK45))="PTE"),OR($P45="",N($P45)&gt;=PT_MinHours)),"PT","None"))))</f>
        <v/>
      </c>
      <c r="AO45" s="12" t="str">
        <f aca="false">IF(AE45=0,"",IF(AG45&lt;2,"",IF(OR(ISNUMBER(SEARCH("full",AL45)),UPPER(TRIM(AL45))="FT",UPPER(TRIM(AL45))="FTE"),"FT",IF(AND(OR(ISNUMBER(SEARCH("part",AL45)),UPPER(TRIM(AL45))="PT",UPPER(TRIM(AL45))="PTE"),OR($P45="",N($P45)&gt;=PT_MinHours)),"PT","None"))))</f>
        <v/>
      </c>
      <c r="AP45" s="12" t="str">
        <f aca="false">IF(AE45=0,"",IF(AG45&lt;3,"",IF(OR(ISNUMBER(SEARCH("full",AM45)),UPPER(TRIM(AM45))="FT",UPPER(TRIM(AM45))="FTE"),"FT",IF(AND(OR(ISNUMBER(SEARCH("part",AM45)),UPPER(TRIM(AM45))="PT",UPPER(TRIM(AM45))="PTE"),OR($P45="",N($P45)&gt;=PT_MinHours)),"PT","None"))))</f>
        <v/>
      </c>
      <c r="AQ45" s="12" t="str">
        <f aca="false">IF(AE45=0,"",IF(AND(AG45&gt;=3,AJ45&lt;=AsOfDate),AP45,IF(AND(AG45&gt;=2,AI45&lt;=AsOfDate),AO45,AN45)))</f>
        <v/>
      </c>
      <c r="AR45" s="12" t="str">
        <f aca="false">IF(AE45=0,"",IF(AsOfDate&lt;AF45,-1,12*(YEAR(AsOfDate)-YEAR(AF45))+MONTH(AsOfDate)-MONTH(AF45)-IF(DAY(AsOfDate)&lt;MIN(DAY(AF45),DAY(EOMONTH(AsOfDate,0))),1,0)))</f>
        <v/>
      </c>
      <c r="AS45" s="12" t="str">
        <f aca="false">IF(AE45=0,"",IF(OR(AG45&lt;2,AI45&gt;AsOfDate),AR45,IF((AI45-1)&lt;AF45,-1,12*(YEAR((AI45-1))-YEAR(AF45))+MONTH((AI45-1))-MONTH(AF45)-IF(DAY((AI45-1))&lt;MIN(DAY(AF45),DAY(EOMONTH((AI45-1),0))),1,0))))</f>
        <v/>
      </c>
      <c r="AT45" s="12" t="str">
        <f aca="false">IF(AE45=0,"",IF(OR(AG45&lt;3,AJ45&gt;AsOfDate),AR45,IF((AJ45-1)&lt;AF45,-1,12*(YEAR((AJ45-1))-YEAR(AF45))+MONTH((AJ45-1))-MONTH(AF45)-IF(DAY((AJ45-1))&lt;MIN(DAY(AF45),DAY(EOMONTH((AJ45-1),0))),1,0))))</f>
        <v/>
      </c>
      <c r="AU45" s="12" t="str">
        <f aca="false">IF(AE45=0,"",IF(PFYDate&lt;AF45,-1,12*(YEAR(PFYDate)-YEAR(AF45))+MONTH(PFYDate)-MONTH(AF45)-IF(DAY(PFYDate)&lt;MIN(DAY(AF45),DAY(EOMONTH(PFYDate,0))),1,0)))</f>
        <v/>
      </c>
      <c r="AV45" s="12" t="str">
        <f aca="false">IF(AE45=0,"",IF(OR(AG45&lt;2,AI45&gt;PFYDate),AU45,IF((AI45-1)&lt;AF45,-1,12*(YEAR((AI45-1))-YEAR(AF45))+MONTH((AI45-1))-MONTH(AF45)-IF(DAY((AI45-1))&lt;MIN(DAY(AF45),DAY(EOMONTH((AI45-1),0))),1,0))))</f>
        <v/>
      </c>
      <c r="AW45" s="12" t="str">
        <f aca="false">IF(AE45=0,"",IF(OR(AG45&lt;3,AJ45&gt;PFYDate),AU45,IF((AJ45-1)&lt;AF45,-1,12*(YEAR((AJ45-1))-YEAR(AF45))+MONTH((AJ45-1))-MONTH(AF45)-IF(DAY((AJ45-1))&lt;MIN(DAY(AF45),DAY(EOMONTH((AJ45-1),0))),1,0))))</f>
        <v/>
      </c>
      <c r="AX45" s="12" t="str">
        <f aca="false">IF(AE45=0,"",IF(AN45="FT",IF(AS45&lt;FT_First,0,IF(AS45&lt;FT_Y5,1+INT((AS45-FT_First)/FT_Int1),FT_PreY5+FT_PerYear*INT((AS45-FT_Y5)/12)+FT_AnnivDays+INT(MOD(AS45-FT_Y5,12)/FT_Int2))),IF(AN45="PT",IF(AS45&lt;PT_First,0,1+INT((AS45-PT_First)/PT_Int)),0))+IF(AND(AG45&gt;=2,AI45&lt;=AsOfDate),IF(AO45="FT",IF(AT45&lt;FT_First,0,IF(AT45&lt;FT_Y5,1+INT((AT45-FT_First)/FT_Int1),FT_PreY5+FT_PerYear*INT((AT45-FT_Y5)/12)+FT_AnnivDays+INT(MOD(AT45-FT_Y5,12)/FT_Int2))),IF(AO45="PT",IF(AT45&lt;PT_First,0,1+INT((AT45-PT_First)/PT_Int)),0))-IF(AO45="FT",IF(AS45&lt;FT_First,0,IF(AS45&lt;FT_Y5,1+INT((AS45-FT_First)/FT_Int1),FT_PreY5+FT_PerYear*INT((AS45-FT_Y5)/12)+FT_AnnivDays+INT(MOD(AS45-FT_Y5,12)/FT_Int2))),IF(AO45="PT",IF(AS45&lt;PT_First,0,1+INT((AS45-PT_First)/PT_Int)),0)),0)+IF(AND(AG45&gt;=3,AJ45&lt;=AsOfDate),IF(AP45="FT",IF(AR45&lt;FT_First,0,IF(AR45&lt;FT_Y5,1+INT((AR45-FT_First)/FT_Int1),FT_PreY5+FT_PerYear*INT((AR45-FT_Y5)/12)+FT_AnnivDays+INT(MOD(AR45-FT_Y5,12)/FT_Int2))),IF(AP45="PT",IF(AR45&lt;PT_First,0,1+INT((AR45-PT_First)/PT_Int)),0))-IF(AP45="FT",IF(AT45&lt;FT_First,0,IF(AT45&lt;FT_Y5,1+INT((AT45-FT_First)/FT_Int1),FT_PreY5+FT_PerYear*INT((AT45-FT_Y5)/12)+FT_AnnivDays+INT(MOD(AT45-FT_Y5,12)/FT_Int2))),IF(AP45="PT",IF(AT45&lt;PT_First,0,1+INT((AT45-PT_First)/PT_Int)),0)),0))</f>
        <v/>
      </c>
      <c r="AY45" s="12" t="str">
        <f aca="false">IF(AE45=0,"",IF(AN45="FT",IF(AV45&lt;FT_First,0,IF(AV45&lt;FT_Y5,1+INT((AV45-FT_First)/FT_Int1),FT_PreY5+FT_PerYear*INT((AV45-FT_Y5)/12)+FT_AnnivDays+INT(MOD(AV45-FT_Y5,12)/FT_Int2))),IF(AN45="PT",IF(AV45&lt;PT_First,0,1+INT((AV45-PT_First)/PT_Int)),0))+IF(AND(AG45&gt;=2,AI45&lt;=PFYDate),IF(AO45="FT",IF(AW45&lt;FT_First,0,IF(AW45&lt;FT_Y5,1+INT((AW45-FT_First)/FT_Int1),FT_PreY5+FT_PerYear*INT((AW45-FT_Y5)/12)+FT_AnnivDays+INT(MOD(AW45-FT_Y5,12)/FT_Int2))),IF(AO45="PT",IF(AW45&lt;PT_First,0,1+INT((AW45-PT_First)/PT_Int)),0))-IF(AO45="FT",IF(AV45&lt;FT_First,0,IF(AV45&lt;FT_Y5,1+INT((AV45-FT_First)/FT_Int1),FT_PreY5+FT_PerYear*INT((AV45-FT_Y5)/12)+FT_AnnivDays+INT(MOD(AV45-FT_Y5,12)/FT_Int2))),IF(AO45="PT",IF(AV45&lt;PT_First,0,1+INT((AV45-PT_First)/PT_Int)),0)),0)+IF(AND(AG45&gt;=3,AJ45&lt;=PFYDate),IF(AP45="FT",IF(AU45&lt;FT_First,0,IF(AU45&lt;FT_Y5,1+INT((AU45-FT_First)/FT_Int1),FT_PreY5+FT_PerYear*INT((AU45-FT_Y5)/12)+FT_AnnivDays+INT(MOD(AU45-FT_Y5,12)/FT_Int2))),IF(AP45="PT",IF(AU45&lt;PT_First,0,1+INT((AU45-PT_First)/PT_Int)),0))-IF(AP45="FT",IF(AW45&lt;FT_First,0,IF(AW45&lt;FT_Y5,1+INT((AW45-FT_First)/FT_Int1),FT_PreY5+FT_PerYear*INT((AW45-FT_Y5)/12)+FT_AnnivDays+INT(MOD(AW45-FT_Y5,12)/FT_Int2))),IF(AP45="PT",IF(AW45&lt;PT_First,0,1+INT((AW45-PT_First)/PT_Int)),0)),0))</f>
        <v/>
      </c>
      <c r="AZ45" s="12" t="str">
        <f aca="false">IF(AE45=0,"",IF(AQ45="FT",IF(AR45&lt;FT_First,FT_First,IF(AR45&lt;FT_Y5,MIN(FT_Y5,FT_First+FT_Int1*(INT((AR45-FT_First)/FT_Int1)+1)),FT_Y5+12*INT((AR45-FT_Y5)/12)+FT_Int2*(INT(MOD(AR45-FT_Y5,12)/FT_Int2)+1))),IF(AQ45="PT",IF(AR45&lt;PT_First,PT_First,PT_First+PT_Int*(INT((AR45-PT_First)/PT_Int)+1)),"")))</f>
        <v/>
      </c>
      <c r="BA45" s="12" t="str">
        <f aca="false">IF(AE45=0,"",IF(NOT(LH_Ready),0,COUNTIFS(INDEX(LH_Data,0,LH_ColFirst),$A45,INDEX(LH_Data,0,LH_ColSur),$B45,INDEX(LH_Data,0,LH_ColCat),BonusCat)))</f>
        <v/>
      </c>
      <c r="BB45" s="12" t="str">
        <f aca="false">IF(AE45=0,"",IF(OR(NOT(LH_Ready),BA45=0),0,SUMPRODUCT(MAX((INDEX(LH_Data,0,LH_ColFirst)=$A45)*(INDEX(LH_Data,0,LH_ColSur)=$B45)*(INDEX(LH_Data,0,LH_ColCat)=BonusCat)*ROW(LH_Data)))))</f>
        <v/>
      </c>
    </row>
    <row r="46" customFormat="false" ht="15" hidden="false" customHeight="false" outlineLevel="0" collapsed="false">
      <c r="A46" s="15"/>
      <c r="B46" s="15"/>
      <c r="C46" s="15"/>
      <c r="D46" s="16"/>
      <c r="E46" s="10" t="str">
        <f aca="false">IF(OR(AE46=0,$D46=""),"",DATE(YEAR(AsOfDate)+IF(DATE(YEAR(AsOfDate),MONTH($D46),DAY($D46))&lt;=AsOfDate,1,0),MONTH($D46),DAY($D46)))</f>
        <v/>
      </c>
      <c r="F46" s="16"/>
      <c r="G46" s="16"/>
      <c r="H46" s="16"/>
      <c r="I46" s="16"/>
      <c r="J46" s="16"/>
      <c r="K46" s="10" t="str">
        <f aca="false">IF(AE46=0,"",DATE(YEAR(AsOfDate)+IF(DATE(YEAR(AsOfDate),MONTH($F46),DAY($F46))&lt;=AsOfDate,1,0),MONTH($F46),DAY($F46)))</f>
        <v/>
      </c>
      <c r="L46" s="11" t="str">
        <f aca="false">IF(AE46=0,"",ROUND((AsOfDate-$F46)/365.25,1))</f>
        <v/>
      </c>
      <c r="M46" s="12" t="str">
        <f aca="false">IF(AE46=0,"",IF(AsOfDate&lt;AF46,"-",DATEDIF(AF46,AsOfDate,"y")&amp;"y "&amp;DATEDIF(AF46,AsOfDate,"ym")&amp;"m "&amp;DATEDIF(AF46,AsOfDate,"md")&amp;"d"))</f>
        <v/>
      </c>
      <c r="N46" s="13" t="str">
        <f aca="false">IF(AE46=0,"",O46*HoursPerDay)</f>
        <v/>
      </c>
      <c r="O46" s="13" t="str">
        <f aca="false">IF(AE46=0,"",AX46)</f>
        <v/>
      </c>
      <c r="P46" s="17"/>
      <c r="Q46" s="12" t="str">
        <f aca="false">IF(AE46=0,"",IF(AG46&lt;2,"",AK46&amp;" to "&amp;AL46&amp;" on "&amp;TEXT(AI46,"dd/mm/yyyy")&amp;IF(AI46&gt;AsOfDate," (future)",IF(AN46=AO46,"",IF(AO46="None"," - STOPPED accruing",IF(AN46="None"," - now qualifying"," - pathway changed"))))&amp;IF(AG46&lt;3,"","; "&amp;AL46&amp;" to "&amp;AM46&amp;" on "&amp;TEXT(AJ46,"dd/mm/yyyy")&amp;IF(AJ46&gt;AsOfDate," (future)",IF(AO46=AP46,"",IF(AP46="None"," - STOPPED accruing",IF(AO46="None"," - now qualifying"," - pathway changed")))))))</f>
        <v/>
      </c>
      <c r="R46" s="12" t="str">
        <f aca="false">IF(AE46=0,"",IF(AQ46="None",IF(O46&gt;0,"No longer accruing","Not eligible - "&amp;IF(AND(OR(ISNUMBER(SEARCH("part",$C46)),UPPER(TRIM($C46))="PT",UPPER(TRIM($C46))="PTE"),$P46&lt;&gt;"",N($P46)&lt;PT_MinHours),"under "&amp;PT_MinHours&amp;" hrs",IF(IF($C46="","",IF(OR(ISNUMBER(SEARCH("full",$C46)),UPPER(TRIM($C46))="FT",UPPER(TRIM($C46))="FTE"),"Full-Time",IF(OR(ISNUMBER(SEARCH("part",$C46)),UPPER(TRIM($C46))="PT",UPPER(TRIM($C46))="PTE"),"Part-Time",IF(OR(ISNUMBER(SEARCH("cas",$C46)),UPPER(TRIM($C46))="CAS"),"Casual","Unknown"))))="Unknown","type not recognised",$C46))),IF(O46&gt;0,"Yes - accruing","Not yet - from "&amp;TEXT(S46,"dd/mm/yyyy"))))</f>
        <v/>
      </c>
      <c r="S46" s="10" t="str">
        <f aca="false">IF(AE46=0,"",IF(AQ46="None","",EDATE(AF46,AZ46)))</f>
        <v/>
      </c>
      <c r="T46" s="13" t="str">
        <f aca="false">IF(OR(AE46=0,W46=""),"",W46-U46+V46)</f>
        <v/>
      </c>
      <c r="U46" s="13" t="str">
        <f aca="false">IF(AE46=0,"",IF(NOT(LH_Ready),"",SUMIFS(INDEX(LH_Data,0,LH_ColAcc),INDEX(LH_Data,0,LH_ColFirst),$A46,INDEX(LH_Data,0,LH_ColSur),$B46,INDEX(LH_Data,0,LH_ColCat),BonusCat)*UnitFactor))</f>
        <v/>
      </c>
      <c r="V46" s="13" t="str">
        <f aca="false">IF(AE46=0,"",IF(NOT(LH_Ready),"",SUMIFS(INDEX(LH_Data,0,LH_ColTaken),INDEX(LH_Data,0,LH_ColFirst),$A46,INDEX(LH_Data,0,LH_ColSur),$B46,INDEX(LH_Data,0,LH_ColCat),BonusCat)*UnitFactor))</f>
        <v/>
      </c>
      <c r="W46" s="13" t="str">
        <f aca="false">IF(AE46=0,"",IF(NOT(LH_Ready),"",IF(BB46=0,0,INDEX(INDEX(LH_Data,0,LH_ColClose),BB46-1)*UnitFactor)))</f>
        <v/>
      </c>
      <c r="X46" s="13" t="str">
        <f aca="false">IF(AE46=0,"",(AX46-AY46)*HoursPerDay)</f>
        <v/>
      </c>
      <c r="Y46" s="13" t="str">
        <f aca="false">IF(AE46=0,"",IF(NOT(LH_Ready),"",IF(BA46=0,N46,X46-N(U46))))</f>
        <v/>
      </c>
      <c r="Z46" s="12" t="str">
        <f aca="false">IF(OR(AE46=0,Y46=""),"",IF(Y46&gt;0,"Yes","No"))</f>
        <v/>
      </c>
      <c r="AA46" s="12" t="str">
        <f aca="false">IF(AE46=0,IF(LEN($A46&amp;$B46)=0,"","FIX INPUT - StartDate missing"),IF(AD46&lt;&gt;"","FIX INPUT - "&amp;AD46,IF(NOT(LH_Ready),"Paste Leave History export (Settings must show YES)",IF(Y46&gt;0,"ACCRUE "&amp;ROUND(Y46,2)&amp;" hrs ("&amp;ROUND(Y46/HoursPerDay,2)&amp;" days)"&amp;IF(BA46=0," - no Bonus Leave in EH yet, full catch-up since start",""),IF(Y46&lt;0,"CHECK - EH accrued "&amp;ROUND(-Y46,2)&amp;""&amp;" hrs more than policy",IF(O46&gt;0,"OK - nothing to add",IF(AQ46="None",R46,"Not yet - first day on "&amp;TEXT(S46,"dd/mm/yyyy"))))))))</f>
        <v/>
      </c>
      <c r="AB46" s="13" t="str">
        <f aca="false">IF(OR(AE46=0,T46=""),"",AY46*HoursPerDay-T46)</f>
        <v/>
      </c>
      <c r="AC46" s="12" t="str">
        <f aca="false">IF(AE46=0,"",BA46)</f>
        <v/>
      </c>
      <c r="AD46" s="12" t="str">
        <f aca="false">IF(AE46=0,"",TRIM(IF(IF($C46="","",IF(OR(ISNUMBER(SEARCH("full",$C46)),UPPER(TRIM($C46))="FT",UPPER(TRIM($C46))="FTE"),"Full-Time",IF(OR(ISNUMBER(SEARCH("part",$C46)),UPPER(TRIM($C46))="PT",UPPER(TRIM($C46))="PTE"),"Part-Time",IF(OR(ISNUMBER(SEARCH("cas",$C46)),UPPER(TRIM($C46))="CAS"),"Casual","Unknown"))))="Unknown","EmploymentType not recognised - use Full-Time, Part-Time or Casual. ","")&amp;IF(AND(AG46&gt;=1,IF(AG46&gt;=3,AM46,IF(AG46=2,AL46,AK46))&lt;&gt;IF($C46="","",IF(OR(ISNUMBER(SEARCH("full",$C46)),UPPER(TRIM($C46))="FT",UPPER(TRIM($C46))="FTE"),"Full-Time",IF(OR(ISNUMBER(SEARCH("part",$C46)),UPPER(TRIM($C46))="PT",UPPER(TRIM($C46))="PTE"),"Part-Time",IF(OR(ISNUMBER(SEARCH("cas",$C46)),UPPER(TRIM($C46))="CAS"),"Casual","Unknown"))))),"EmploymentType does not match latest start date ("&amp;IF(AG46&gt;=3,AM46,IF(AG46=2,AL46,AK46))&amp;"). ","")&amp;IF(AND(AG46&gt;=1,AH46&lt;&gt;$F46),"Earliest type date should equal StartDate. ","")&amp;IF(AND(AG46&gt;=2,AH46=AI46),"Two types start on the same date. ","")&amp;IF(AND(OR(ISNUMBER(SEARCH("part",$C46)),UPPER(TRIM($C46))="PT",UPPER(TRIM($C46))="PTE"),$P46=""),"Part-time: enter PT Hrs/Week (blank = 24+). ","")))</f>
        <v/>
      </c>
      <c r="AE46" s="12" t="n">
        <f aca="false">IF(OR(LEN($A46&amp;$B46)=0,$F46=""),0,1)</f>
        <v>0</v>
      </c>
      <c r="AF46" s="10" t="str">
        <f aca="false">IF(AE46=0,"",IF($J46&lt;&gt;"",$J46,$F46))</f>
        <v/>
      </c>
      <c r="AG46" s="12" t="str">
        <f aca="false">IF(AE46=0,"",COUNT($G46:$I46))</f>
        <v/>
      </c>
      <c r="AH46" s="10" t="str">
        <f aca="false">IF(AE46=0,"",IFERROR(SMALL($G46:$I46,1),""))</f>
        <v/>
      </c>
      <c r="AI46" s="10" t="str">
        <f aca="false">IF(AE46=0,"",IFERROR(SMALL($G46:$I46,2),""))</f>
        <v/>
      </c>
      <c r="AJ46" s="10" t="str">
        <f aca="false">IF(AE46=0,"",IFERROR(SMALL($G46:$I46,3),""))</f>
        <v/>
      </c>
      <c r="AK46" s="12" t="str">
        <f aca="false">IF(AE46=0,"",IF(AH46="","",IF(AH46=$G46,"Part-Time",IF(AH46=$H46,"Full-Time","Casual"))))</f>
        <v/>
      </c>
      <c r="AL46" s="12" t="str">
        <f aca="false">IF(AE46=0,"",IF(AI46="","",IF(AI46=$G46,"Part-Time",IF(AI46=$H46,"Full-Time","Casual"))))</f>
        <v/>
      </c>
      <c r="AM46" s="12" t="str">
        <f aca="false">IF(AE46=0,"",IF(AJ46="","",IF(AJ46=$G46,"Part-Time",IF(AJ46=$H46,"Full-Time","Casual"))))</f>
        <v/>
      </c>
      <c r="AN46" s="12" t="str">
        <f aca="false">IF(AE46=0,"",IF(AG46=0,IF(OR(ISNUMBER(SEARCH("full",$C46)),UPPER(TRIM($C46))="FT",UPPER(TRIM($C46))="FTE"),"FT",IF(AND(OR(ISNUMBER(SEARCH("part",$C46)),UPPER(TRIM($C46))="PT",UPPER(TRIM($C46))="PTE"),OR($P46="",N($P46)&gt;=PT_MinHours)),"PT","None")),IF(OR(ISNUMBER(SEARCH("full",AK46)),UPPER(TRIM(AK46))="FT",UPPER(TRIM(AK46))="FTE"),"FT",IF(AND(OR(ISNUMBER(SEARCH("part",AK46)),UPPER(TRIM(AK46))="PT",UPPER(TRIM(AK46))="PTE"),OR($P46="",N($P46)&gt;=PT_MinHours)),"PT","None"))))</f>
        <v/>
      </c>
      <c r="AO46" s="12" t="str">
        <f aca="false">IF(AE46=0,"",IF(AG46&lt;2,"",IF(OR(ISNUMBER(SEARCH("full",AL46)),UPPER(TRIM(AL46))="FT",UPPER(TRIM(AL46))="FTE"),"FT",IF(AND(OR(ISNUMBER(SEARCH("part",AL46)),UPPER(TRIM(AL46))="PT",UPPER(TRIM(AL46))="PTE"),OR($P46="",N($P46)&gt;=PT_MinHours)),"PT","None"))))</f>
        <v/>
      </c>
      <c r="AP46" s="12" t="str">
        <f aca="false">IF(AE46=0,"",IF(AG46&lt;3,"",IF(OR(ISNUMBER(SEARCH("full",AM46)),UPPER(TRIM(AM46))="FT",UPPER(TRIM(AM46))="FTE"),"FT",IF(AND(OR(ISNUMBER(SEARCH("part",AM46)),UPPER(TRIM(AM46))="PT",UPPER(TRIM(AM46))="PTE"),OR($P46="",N($P46)&gt;=PT_MinHours)),"PT","None"))))</f>
        <v/>
      </c>
      <c r="AQ46" s="12" t="str">
        <f aca="false">IF(AE46=0,"",IF(AND(AG46&gt;=3,AJ46&lt;=AsOfDate),AP46,IF(AND(AG46&gt;=2,AI46&lt;=AsOfDate),AO46,AN46)))</f>
        <v/>
      </c>
      <c r="AR46" s="12" t="str">
        <f aca="false">IF(AE46=0,"",IF(AsOfDate&lt;AF46,-1,12*(YEAR(AsOfDate)-YEAR(AF46))+MONTH(AsOfDate)-MONTH(AF46)-IF(DAY(AsOfDate)&lt;MIN(DAY(AF46),DAY(EOMONTH(AsOfDate,0))),1,0)))</f>
        <v/>
      </c>
      <c r="AS46" s="12" t="str">
        <f aca="false">IF(AE46=0,"",IF(OR(AG46&lt;2,AI46&gt;AsOfDate),AR46,IF((AI46-1)&lt;AF46,-1,12*(YEAR((AI46-1))-YEAR(AF46))+MONTH((AI46-1))-MONTH(AF46)-IF(DAY((AI46-1))&lt;MIN(DAY(AF46),DAY(EOMONTH((AI46-1),0))),1,0))))</f>
        <v/>
      </c>
      <c r="AT46" s="12" t="str">
        <f aca="false">IF(AE46=0,"",IF(OR(AG46&lt;3,AJ46&gt;AsOfDate),AR46,IF((AJ46-1)&lt;AF46,-1,12*(YEAR((AJ46-1))-YEAR(AF46))+MONTH((AJ46-1))-MONTH(AF46)-IF(DAY((AJ46-1))&lt;MIN(DAY(AF46),DAY(EOMONTH((AJ46-1),0))),1,0))))</f>
        <v/>
      </c>
      <c r="AU46" s="12" t="str">
        <f aca="false">IF(AE46=0,"",IF(PFYDate&lt;AF46,-1,12*(YEAR(PFYDate)-YEAR(AF46))+MONTH(PFYDate)-MONTH(AF46)-IF(DAY(PFYDate)&lt;MIN(DAY(AF46),DAY(EOMONTH(PFYDate,0))),1,0)))</f>
        <v/>
      </c>
      <c r="AV46" s="12" t="str">
        <f aca="false">IF(AE46=0,"",IF(OR(AG46&lt;2,AI46&gt;PFYDate),AU46,IF((AI46-1)&lt;AF46,-1,12*(YEAR((AI46-1))-YEAR(AF46))+MONTH((AI46-1))-MONTH(AF46)-IF(DAY((AI46-1))&lt;MIN(DAY(AF46),DAY(EOMONTH((AI46-1),0))),1,0))))</f>
        <v/>
      </c>
      <c r="AW46" s="12" t="str">
        <f aca="false">IF(AE46=0,"",IF(OR(AG46&lt;3,AJ46&gt;PFYDate),AU46,IF((AJ46-1)&lt;AF46,-1,12*(YEAR((AJ46-1))-YEAR(AF46))+MONTH((AJ46-1))-MONTH(AF46)-IF(DAY((AJ46-1))&lt;MIN(DAY(AF46),DAY(EOMONTH((AJ46-1),0))),1,0))))</f>
        <v/>
      </c>
      <c r="AX46" s="12" t="str">
        <f aca="false">IF(AE46=0,"",IF(AN46="FT",IF(AS46&lt;FT_First,0,IF(AS46&lt;FT_Y5,1+INT((AS46-FT_First)/FT_Int1),FT_PreY5+FT_PerYear*INT((AS46-FT_Y5)/12)+FT_AnnivDays+INT(MOD(AS46-FT_Y5,12)/FT_Int2))),IF(AN46="PT",IF(AS46&lt;PT_First,0,1+INT((AS46-PT_First)/PT_Int)),0))+IF(AND(AG46&gt;=2,AI46&lt;=AsOfDate),IF(AO46="FT",IF(AT46&lt;FT_First,0,IF(AT46&lt;FT_Y5,1+INT((AT46-FT_First)/FT_Int1),FT_PreY5+FT_PerYear*INT((AT46-FT_Y5)/12)+FT_AnnivDays+INT(MOD(AT46-FT_Y5,12)/FT_Int2))),IF(AO46="PT",IF(AT46&lt;PT_First,0,1+INT((AT46-PT_First)/PT_Int)),0))-IF(AO46="FT",IF(AS46&lt;FT_First,0,IF(AS46&lt;FT_Y5,1+INT((AS46-FT_First)/FT_Int1),FT_PreY5+FT_PerYear*INT((AS46-FT_Y5)/12)+FT_AnnivDays+INT(MOD(AS46-FT_Y5,12)/FT_Int2))),IF(AO46="PT",IF(AS46&lt;PT_First,0,1+INT((AS46-PT_First)/PT_Int)),0)),0)+IF(AND(AG46&gt;=3,AJ46&lt;=AsOfDate),IF(AP46="FT",IF(AR46&lt;FT_First,0,IF(AR46&lt;FT_Y5,1+INT((AR46-FT_First)/FT_Int1),FT_PreY5+FT_PerYear*INT((AR46-FT_Y5)/12)+FT_AnnivDays+INT(MOD(AR46-FT_Y5,12)/FT_Int2))),IF(AP46="PT",IF(AR46&lt;PT_First,0,1+INT((AR46-PT_First)/PT_Int)),0))-IF(AP46="FT",IF(AT46&lt;FT_First,0,IF(AT46&lt;FT_Y5,1+INT((AT46-FT_First)/FT_Int1),FT_PreY5+FT_PerYear*INT((AT46-FT_Y5)/12)+FT_AnnivDays+INT(MOD(AT46-FT_Y5,12)/FT_Int2))),IF(AP46="PT",IF(AT46&lt;PT_First,0,1+INT((AT46-PT_First)/PT_Int)),0)),0))</f>
        <v/>
      </c>
      <c r="AY46" s="12" t="str">
        <f aca="false">IF(AE46=0,"",IF(AN46="FT",IF(AV46&lt;FT_First,0,IF(AV46&lt;FT_Y5,1+INT((AV46-FT_First)/FT_Int1),FT_PreY5+FT_PerYear*INT((AV46-FT_Y5)/12)+FT_AnnivDays+INT(MOD(AV46-FT_Y5,12)/FT_Int2))),IF(AN46="PT",IF(AV46&lt;PT_First,0,1+INT((AV46-PT_First)/PT_Int)),0))+IF(AND(AG46&gt;=2,AI46&lt;=PFYDate),IF(AO46="FT",IF(AW46&lt;FT_First,0,IF(AW46&lt;FT_Y5,1+INT((AW46-FT_First)/FT_Int1),FT_PreY5+FT_PerYear*INT((AW46-FT_Y5)/12)+FT_AnnivDays+INT(MOD(AW46-FT_Y5,12)/FT_Int2))),IF(AO46="PT",IF(AW46&lt;PT_First,0,1+INT((AW46-PT_First)/PT_Int)),0))-IF(AO46="FT",IF(AV46&lt;FT_First,0,IF(AV46&lt;FT_Y5,1+INT((AV46-FT_First)/FT_Int1),FT_PreY5+FT_PerYear*INT((AV46-FT_Y5)/12)+FT_AnnivDays+INT(MOD(AV46-FT_Y5,12)/FT_Int2))),IF(AO46="PT",IF(AV46&lt;PT_First,0,1+INT((AV46-PT_First)/PT_Int)),0)),0)+IF(AND(AG46&gt;=3,AJ46&lt;=PFYDate),IF(AP46="FT",IF(AU46&lt;FT_First,0,IF(AU46&lt;FT_Y5,1+INT((AU46-FT_First)/FT_Int1),FT_PreY5+FT_PerYear*INT((AU46-FT_Y5)/12)+FT_AnnivDays+INT(MOD(AU46-FT_Y5,12)/FT_Int2))),IF(AP46="PT",IF(AU46&lt;PT_First,0,1+INT((AU46-PT_First)/PT_Int)),0))-IF(AP46="FT",IF(AW46&lt;FT_First,0,IF(AW46&lt;FT_Y5,1+INT((AW46-FT_First)/FT_Int1),FT_PreY5+FT_PerYear*INT((AW46-FT_Y5)/12)+FT_AnnivDays+INT(MOD(AW46-FT_Y5,12)/FT_Int2))),IF(AP46="PT",IF(AW46&lt;PT_First,0,1+INT((AW46-PT_First)/PT_Int)),0)),0))</f>
        <v/>
      </c>
      <c r="AZ46" s="12" t="str">
        <f aca="false">IF(AE46=0,"",IF(AQ46="FT",IF(AR46&lt;FT_First,FT_First,IF(AR46&lt;FT_Y5,MIN(FT_Y5,FT_First+FT_Int1*(INT((AR46-FT_First)/FT_Int1)+1)),FT_Y5+12*INT((AR46-FT_Y5)/12)+FT_Int2*(INT(MOD(AR46-FT_Y5,12)/FT_Int2)+1))),IF(AQ46="PT",IF(AR46&lt;PT_First,PT_First,PT_First+PT_Int*(INT((AR46-PT_First)/PT_Int)+1)),"")))</f>
        <v/>
      </c>
      <c r="BA46" s="12" t="str">
        <f aca="false">IF(AE46=0,"",IF(NOT(LH_Ready),0,COUNTIFS(INDEX(LH_Data,0,LH_ColFirst),$A46,INDEX(LH_Data,0,LH_ColSur),$B46,INDEX(LH_Data,0,LH_ColCat),BonusCat)))</f>
        <v/>
      </c>
      <c r="BB46" s="12" t="str">
        <f aca="false">IF(AE46=0,"",IF(OR(NOT(LH_Ready),BA46=0),0,SUMPRODUCT(MAX((INDEX(LH_Data,0,LH_ColFirst)=$A46)*(INDEX(LH_Data,0,LH_ColSur)=$B46)*(INDEX(LH_Data,0,LH_ColCat)=BonusCat)*ROW(LH_Data)))))</f>
        <v/>
      </c>
    </row>
    <row r="47" customFormat="false" ht="15" hidden="false" customHeight="false" outlineLevel="0" collapsed="false">
      <c r="A47" s="15"/>
      <c r="B47" s="15"/>
      <c r="C47" s="15"/>
      <c r="D47" s="16"/>
      <c r="E47" s="10" t="str">
        <f aca="false">IF(OR(AE47=0,$D47=""),"",DATE(YEAR(AsOfDate)+IF(DATE(YEAR(AsOfDate),MONTH($D47),DAY($D47))&lt;=AsOfDate,1,0),MONTH($D47),DAY($D47)))</f>
        <v/>
      </c>
      <c r="F47" s="16"/>
      <c r="G47" s="16"/>
      <c r="H47" s="16"/>
      <c r="I47" s="16"/>
      <c r="J47" s="16"/>
      <c r="K47" s="10" t="str">
        <f aca="false">IF(AE47=0,"",DATE(YEAR(AsOfDate)+IF(DATE(YEAR(AsOfDate),MONTH($F47),DAY($F47))&lt;=AsOfDate,1,0),MONTH($F47),DAY($F47)))</f>
        <v/>
      </c>
      <c r="L47" s="11" t="str">
        <f aca="false">IF(AE47=0,"",ROUND((AsOfDate-$F47)/365.25,1))</f>
        <v/>
      </c>
      <c r="M47" s="12" t="str">
        <f aca="false">IF(AE47=0,"",IF(AsOfDate&lt;AF47,"-",DATEDIF(AF47,AsOfDate,"y")&amp;"y "&amp;DATEDIF(AF47,AsOfDate,"ym")&amp;"m "&amp;DATEDIF(AF47,AsOfDate,"md")&amp;"d"))</f>
        <v/>
      </c>
      <c r="N47" s="13" t="str">
        <f aca="false">IF(AE47=0,"",O47*HoursPerDay)</f>
        <v/>
      </c>
      <c r="O47" s="13" t="str">
        <f aca="false">IF(AE47=0,"",AX47)</f>
        <v/>
      </c>
      <c r="P47" s="17"/>
      <c r="Q47" s="12" t="str">
        <f aca="false">IF(AE47=0,"",IF(AG47&lt;2,"",AK47&amp;" to "&amp;AL47&amp;" on "&amp;TEXT(AI47,"dd/mm/yyyy")&amp;IF(AI47&gt;AsOfDate," (future)",IF(AN47=AO47,"",IF(AO47="None"," - STOPPED accruing",IF(AN47="None"," - now qualifying"," - pathway changed"))))&amp;IF(AG47&lt;3,"","; "&amp;AL47&amp;" to "&amp;AM47&amp;" on "&amp;TEXT(AJ47,"dd/mm/yyyy")&amp;IF(AJ47&gt;AsOfDate," (future)",IF(AO47=AP47,"",IF(AP47="None"," - STOPPED accruing",IF(AO47="None"," - now qualifying"," - pathway changed")))))))</f>
        <v/>
      </c>
      <c r="R47" s="12" t="str">
        <f aca="false">IF(AE47=0,"",IF(AQ47="None",IF(O47&gt;0,"No longer accruing","Not eligible - "&amp;IF(AND(OR(ISNUMBER(SEARCH("part",$C47)),UPPER(TRIM($C47))="PT",UPPER(TRIM($C47))="PTE"),$P47&lt;&gt;"",N($P47)&lt;PT_MinHours),"under "&amp;PT_MinHours&amp;" hrs",IF(IF($C47="","",IF(OR(ISNUMBER(SEARCH("full",$C47)),UPPER(TRIM($C47))="FT",UPPER(TRIM($C47))="FTE"),"Full-Time",IF(OR(ISNUMBER(SEARCH("part",$C47)),UPPER(TRIM($C47))="PT",UPPER(TRIM($C47))="PTE"),"Part-Time",IF(OR(ISNUMBER(SEARCH("cas",$C47)),UPPER(TRIM($C47))="CAS"),"Casual","Unknown"))))="Unknown","type not recognised",$C47))),IF(O47&gt;0,"Yes - accruing","Not yet - from "&amp;TEXT(S47,"dd/mm/yyyy"))))</f>
        <v/>
      </c>
      <c r="S47" s="10" t="str">
        <f aca="false">IF(AE47=0,"",IF(AQ47="None","",EDATE(AF47,AZ47)))</f>
        <v/>
      </c>
      <c r="T47" s="13" t="str">
        <f aca="false">IF(OR(AE47=0,W47=""),"",W47-U47+V47)</f>
        <v/>
      </c>
      <c r="U47" s="13" t="str">
        <f aca="false">IF(AE47=0,"",IF(NOT(LH_Ready),"",SUMIFS(INDEX(LH_Data,0,LH_ColAcc),INDEX(LH_Data,0,LH_ColFirst),$A47,INDEX(LH_Data,0,LH_ColSur),$B47,INDEX(LH_Data,0,LH_ColCat),BonusCat)*UnitFactor))</f>
        <v/>
      </c>
      <c r="V47" s="13" t="str">
        <f aca="false">IF(AE47=0,"",IF(NOT(LH_Ready),"",SUMIFS(INDEX(LH_Data,0,LH_ColTaken),INDEX(LH_Data,0,LH_ColFirst),$A47,INDEX(LH_Data,0,LH_ColSur),$B47,INDEX(LH_Data,0,LH_ColCat),BonusCat)*UnitFactor))</f>
        <v/>
      </c>
      <c r="W47" s="13" t="str">
        <f aca="false">IF(AE47=0,"",IF(NOT(LH_Ready),"",IF(BB47=0,0,INDEX(INDEX(LH_Data,0,LH_ColClose),BB47-1)*UnitFactor)))</f>
        <v/>
      </c>
      <c r="X47" s="13" t="str">
        <f aca="false">IF(AE47=0,"",(AX47-AY47)*HoursPerDay)</f>
        <v/>
      </c>
      <c r="Y47" s="13" t="str">
        <f aca="false">IF(AE47=0,"",IF(NOT(LH_Ready),"",IF(BA47=0,N47,X47-N(U47))))</f>
        <v/>
      </c>
      <c r="Z47" s="12" t="str">
        <f aca="false">IF(OR(AE47=0,Y47=""),"",IF(Y47&gt;0,"Yes","No"))</f>
        <v/>
      </c>
      <c r="AA47" s="12" t="str">
        <f aca="false">IF(AE47=0,IF(LEN($A47&amp;$B47)=0,"","FIX INPUT - StartDate missing"),IF(AD47&lt;&gt;"","FIX INPUT - "&amp;AD47,IF(NOT(LH_Ready),"Paste Leave History export (Settings must show YES)",IF(Y47&gt;0,"ACCRUE "&amp;ROUND(Y47,2)&amp;" hrs ("&amp;ROUND(Y47/HoursPerDay,2)&amp;" days)"&amp;IF(BA47=0," - no Bonus Leave in EH yet, full catch-up since start",""),IF(Y47&lt;0,"CHECK - EH accrued "&amp;ROUND(-Y47,2)&amp;""&amp;" hrs more than policy",IF(O47&gt;0,"OK - nothing to add",IF(AQ47="None",R47,"Not yet - first day on "&amp;TEXT(S47,"dd/mm/yyyy"))))))))</f>
        <v/>
      </c>
      <c r="AB47" s="13" t="str">
        <f aca="false">IF(OR(AE47=0,T47=""),"",AY47*HoursPerDay-T47)</f>
        <v/>
      </c>
      <c r="AC47" s="12" t="str">
        <f aca="false">IF(AE47=0,"",BA47)</f>
        <v/>
      </c>
      <c r="AD47" s="12" t="str">
        <f aca="false">IF(AE47=0,"",TRIM(IF(IF($C47="","",IF(OR(ISNUMBER(SEARCH("full",$C47)),UPPER(TRIM($C47))="FT",UPPER(TRIM($C47))="FTE"),"Full-Time",IF(OR(ISNUMBER(SEARCH("part",$C47)),UPPER(TRIM($C47))="PT",UPPER(TRIM($C47))="PTE"),"Part-Time",IF(OR(ISNUMBER(SEARCH("cas",$C47)),UPPER(TRIM($C47))="CAS"),"Casual","Unknown"))))="Unknown","EmploymentType not recognised - use Full-Time, Part-Time or Casual. ","")&amp;IF(AND(AG47&gt;=1,IF(AG47&gt;=3,AM47,IF(AG47=2,AL47,AK47))&lt;&gt;IF($C47="","",IF(OR(ISNUMBER(SEARCH("full",$C47)),UPPER(TRIM($C47))="FT",UPPER(TRIM($C47))="FTE"),"Full-Time",IF(OR(ISNUMBER(SEARCH("part",$C47)),UPPER(TRIM($C47))="PT",UPPER(TRIM($C47))="PTE"),"Part-Time",IF(OR(ISNUMBER(SEARCH("cas",$C47)),UPPER(TRIM($C47))="CAS"),"Casual","Unknown"))))),"EmploymentType does not match latest start date ("&amp;IF(AG47&gt;=3,AM47,IF(AG47=2,AL47,AK47))&amp;"). ","")&amp;IF(AND(AG47&gt;=1,AH47&lt;&gt;$F47),"Earliest type date should equal StartDate. ","")&amp;IF(AND(AG47&gt;=2,AH47=AI47),"Two types start on the same date. ","")&amp;IF(AND(OR(ISNUMBER(SEARCH("part",$C47)),UPPER(TRIM($C47))="PT",UPPER(TRIM($C47))="PTE"),$P47=""),"Part-time: enter PT Hrs/Week (blank = 24+). ","")))</f>
        <v/>
      </c>
      <c r="AE47" s="12" t="n">
        <f aca="false">IF(OR(LEN($A47&amp;$B47)=0,$F47=""),0,1)</f>
        <v>0</v>
      </c>
      <c r="AF47" s="10" t="str">
        <f aca="false">IF(AE47=0,"",IF($J47&lt;&gt;"",$J47,$F47))</f>
        <v/>
      </c>
      <c r="AG47" s="12" t="str">
        <f aca="false">IF(AE47=0,"",COUNT($G47:$I47))</f>
        <v/>
      </c>
      <c r="AH47" s="10" t="str">
        <f aca="false">IF(AE47=0,"",IFERROR(SMALL($G47:$I47,1),""))</f>
        <v/>
      </c>
      <c r="AI47" s="10" t="str">
        <f aca="false">IF(AE47=0,"",IFERROR(SMALL($G47:$I47,2),""))</f>
        <v/>
      </c>
      <c r="AJ47" s="10" t="str">
        <f aca="false">IF(AE47=0,"",IFERROR(SMALL($G47:$I47,3),""))</f>
        <v/>
      </c>
      <c r="AK47" s="12" t="str">
        <f aca="false">IF(AE47=0,"",IF(AH47="","",IF(AH47=$G47,"Part-Time",IF(AH47=$H47,"Full-Time","Casual"))))</f>
        <v/>
      </c>
      <c r="AL47" s="12" t="str">
        <f aca="false">IF(AE47=0,"",IF(AI47="","",IF(AI47=$G47,"Part-Time",IF(AI47=$H47,"Full-Time","Casual"))))</f>
        <v/>
      </c>
      <c r="AM47" s="12" t="str">
        <f aca="false">IF(AE47=0,"",IF(AJ47="","",IF(AJ47=$G47,"Part-Time",IF(AJ47=$H47,"Full-Time","Casual"))))</f>
        <v/>
      </c>
      <c r="AN47" s="12" t="str">
        <f aca="false">IF(AE47=0,"",IF(AG47=0,IF(OR(ISNUMBER(SEARCH("full",$C47)),UPPER(TRIM($C47))="FT",UPPER(TRIM($C47))="FTE"),"FT",IF(AND(OR(ISNUMBER(SEARCH("part",$C47)),UPPER(TRIM($C47))="PT",UPPER(TRIM($C47))="PTE"),OR($P47="",N($P47)&gt;=PT_MinHours)),"PT","None")),IF(OR(ISNUMBER(SEARCH("full",AK47)),UPPER(TRIM(AK47))="FT",UPPER(TRIM(AK47))="FTE"),"FT",IF(AND(OR(ISNUMBER(SEARCH("part",AK47)),UPPER(TRIM(AK47))="PT",UPPER(TRIM(AK47))="PTE"),OR($P47="",N($P47)&gt;=PT_MinHours)),"PT","None"))))</f>
        <v/>
      </c>
      <c r="AO47" s="12" t="str">
        <f aca="false">IF(AE47=0,"",IF(AG47&lt;2,"",IF(OR(ISNUMBER(SEARCH("full",AL47)),UPPER(TRIM(AL47))="FT",UPPER(TRIM(AL47))="FTE"),"FT",IF(AND(OR(ISNUMBER(SEARCH("part",AL47)),UPPER(TRIM(AL47))="PT",UPPER(TRIM(AL47))="PTE"),OR($P47="",N($P47)&gt;=PT_MinHours)),"PT","None"))))</f>
        <v/>
      </c>
      <c r="AP47" s="12" t="str">
        <f aca="false">IF(AE47=0,"",IF(AG47&lt;3,"",IF(OR(ISNUMBER(SEARCH("full",AM47)),UPPER(TRIM(AM47))="FT",UPPER(TRIM(AM47))="FTE"),"FT",IF(AND(OR(ISNUMBER(SEARCH("part",AM47)),UPPER(TRIM(AM47))="PT",UPPER(TRIM(AM47))="PTE"),OR($P47="",N($P47)&gt;=PT_MinHours)),"PT","None"))))</f>
        <v/>
      </c>
      <c r="AQ47" s="12" t="str">
        <f aca="false">IF(AE47=0,"",IF(AND(AG47&gt;=3,AJ47&lt;=AsOfDate),AP47,IF(AND(AG47&gt;=2,AI47&lt;=AsOfDate),AO47,AN47)))</f>
        <v/>
      </c>
      <c r="AR47" s="12" t="str">
        <f aca="false">IF(AE47=0,"",IF(AsOfDate&lt;AF47,-1,12*(YEAR(AsOfDate)-YEAR(AF47))+MONTH(AsOfDate)-MONTH(AF47)-IF(DAY(AsOfDate)&lt;MIN(DAY(AF47),DAY(EOMONTH(AsOfDate,0))),1,0)))</f>
        <v/>
      </c>
      <c r="AS47" s="12" t="str">
        <f aca="false">IF(AE47=0,"",IF(OR(AG47&lt;2,AI47&gt;AsOfDate),AR47,IF((AI47-1)&lt;AF47,-1,12*(YEAR((AI47-1))-YEAR(AF47))+MONTH((AI47-1))-MONTH(AF47)-IF(DAY((AI47-1))&lt;MIN(DAY(AF47),DAY(EOMONTH((AI47-1),0))),1,0))))</f>
        <v/>
      </c>
      <c r="AT47" s="12" t="str">
        <f aca="false">IF(AE47=0,"",IF(OR(AG47&lt;3,AJ47&gt;AsOfDate),AR47,IF((AJ47-1)&lt;AF47,-1,12*(YEAR((AJ47-1))-YEAR(AF47))+MONTH((AJ47-1))-MONTH(AF47)-IF(DAY((AJ47-1))&lt;MIN(DAY(AF47),DAY(EOMONTH((AJ47-1),0))),1,0))))</f>
        <v/>
      </c>
      <c r="AU47" s="12" t="str">
        <f aca="false">IF(AE47=0,"",IF(PFYDate&lt;AF47,-1,12*(YEAR(PFYDate)-YEAR(AF47))+MONTH(PFYDate)-MONTH(AF47)-IF(DAY(PFYDate)&lt;MIN(DAY(AF47),DAY(EOMONTH(PFYDate,0))),1,0)))</f>
        <v/>
      </c>
      <c r="AV47" s="12" t="str">
        <f aca="false">IF(AE47=0,"",IF(OR(AG47&lt;2,AI47&gt;PFYDate),AU47,IF((AI47-1)&lt;AF47,-1,12*(YEAR((AI47-1))-YEAR(AF47))+MONTH((AI47-1))-MONTH(AF47)-IF(DAY((AI47-1))&lt;MIN(DAY(AF47),DAY(EOMONTH((AI47-1),0))),1,0))))</f>
        <v/>
      </c>
      <c r="AW47" s="12" t="str">
        <f aca="false">IF(AE47=0,"",IF(OR(AG47&lt;3,AJ47&gt;PFYDate),AU47,IF((AJ47-1)&lt;AF47,-1,12*(YEAR((AJ47-1))-YEAR(AF47))+MONTH((AJ47-1))-MONTH(AF47)-IF(DAY((AJ47-1))&lt;MIN(DAY(AF47),DAY(EOMONTH((AJ47-1),0))),1,0))))</f>
        <v/>
      </c>
      <c r="AX47" s="12" t="str">
        <f aca="false">IF(AE47=0,"",IF(AN47="FT",IF(AS47&lt;FT_First,0,IF(AS47&lt;FT_Y5,1+INT((AS47-FT_First)/FT_Int1),FT_PreY5+FT_PerYear*INT((AS47-FT_Y5)/12)+FT_AnnivDays+INT(MOD(AS47-FT_Y5,12)/FT_Int2))),IF(AN47="PT",IF(AS47&lt;PT_First,0,1+INT((AS47-PT_First)/PT_Int)),0))+IF(AND(AG47&gt;=2,AI47&lt;=AsOfDate),IF(AO47="FT",IF(AT47&lt;FT_First,0,IF(AT47&lt;FT_Y5,1+INT((AT47-FT_First)/FT_Int1),FT_PreY5+FT_PerYear*INT((AT47-FT_Y5)/12)+FT_AnnivDays+INT(MOD(AT47-FT_Y5,12)/FT_Int2))),IF(AO47="PT",IF(AT47&lt;PT_First,0,1+INT((AT47-PT_First)/PT_Int)),0))-IF(AO47="FT",IF(AS47&lt;FT_First,0,IF(AS47&lt;FT_Y5,1+INT((AS47-FT_First)/FT_Int1),FT_PreY5+FT_PerYear*INT((AS47-FT_Y5)/12)+FT_AnnivDays+INT(MOD(AS47-FT_Y5,12)/FT_Int2))),IF(AO47="PT",IF(AS47&lt;PT_First,0,1+INT((AS47-PT_First)/PT_Int)),0)),0)+IF(AND(AG47&gt;=3,AJ47&lt;=AsOfDate),IF(AP47="FT",IF(AR47&lt;FT_First,0,IF(AR47&lt;FT_Y5,1+INT((AR47-FT_First)/FT_Int1),FT_PreY5+FT_PerYear*INT((AR47-FT_Y5)/12)+FT_AnnivDays+INT(MOD(AR47-FT_Y5,12)/FT_Int2))),IF(AP47="PT",IF(AR47&lt;PT_First,0,1+INT((AR47-PT_First)/PT_Int)),0))-IF(AP47="FT",IF(AT47&lt;FT_First,0,IF(AT47&lt;FT_Y5,1+INT((AT47-FT_First)/FT_Int1),FT_PreY5+FT_PerYear*INT((AT47-FT_Y5)/12)+FT_AnnivDays+INT(MOD(AT47-FT_Y5,12)/FT_Int2))),IF(AP47="PT",IF(AT47&lt;PT_First,0,1+INT((AT47-PT_First)/PT_Int)),0)),0))</f>
        <v/>
      </c>
      <c r="AY47" s="12" t="str">
        <f aca="false">IF(AE47=0,"",IF(AN47="FT",IF(AV47&lt;FT_First,0,IF(AV47&lt;FT_Y5,1+INT((AV47-FT_First)/FT_Int1),FT_PreY5+FT_PerYear*INT((AV47-FT_Y5)/12)+FT_AnnivDays+INT(MOD(AV47-FT_Y5,12)/FT_Int2))),IF(AN47="PT",IF(AV47&lt;PT_First,0,1+INT((AV47-PT_First)/PT_Int)),0))+IF(AND(AG47&gt;=2,AI47&lt;=PFYDate),IF(AO47="FT",IF(AW47&lt;FT_First,0,IF(AW47&lt;FT_Y5,1+INT((AW47-FT_First)/FT_Int1),FT_PreY5+FT_PerYear*INT((AW47-FT_Y5)/12)+FT_AnnivDays+INT(MOD(AW47-FT_Y5,12)/FT_Int2))),IF(AO47="PT",IF(AW47&lt;PT_First,0,1+INT((AW47-PT_First)/PT_Int)),0))-IF(AO47="FT",IF(AV47&lt;FT_First,0,IF(AV47&lt;FT_Y5,1+INT((AV47-FT_First)/FT_Int1),FT_PreY5+FT_PerYear*INT((AV47-FT_Y5)/12)+FT_AnnivDays+INT(MOD(AV47-FT_Y5,12)/FT_Int2))),IF(AO47="PT",IF(AV47&lt;PT_First,0,1+INT((AV47-PT_First)/PT_Int)),0)),0)+IF(AND(AG47&gt;=3,AJ47&lt;=PFYDate),IF(AP47="FT",IF(AU47&lt;FT_First,0,IF(AU47&lt;FT_Y5,1+INT((AU47-FT_First)/FT_Int1),FT_PreY5+FT_PerYear*INT((AU47-FT_Y5)/12)+FT_AnnivDays+INT(MOD(AU47-FT_Y5,12)/FT_Int2))),IF(AP47="PT",IF(AU47&lt;PT_First,0,1+INT((AU47-PT_First)/PT_Int)),0))-IF(AP47="FT",IF(AW47&lt;FT_First,0,IF(AW47&lt;FT_Y5,1+INT((AW47-FT_First)/FT_Int1),FT_PreY5+FT_PerYear*INT((AW47-FT_Y5)/12)+FT_AnnivDays+INT(MOD(AW47-FT_Y5,12)/FT_Int2))),IF(AP47="PT",IF(AW47&lt;PT_First,0,1+INT((AW47-PT_First)/PT_Int)),0)),0))</f>
        <v/>
      </c>
      <c r="AZ47" s="12" t="str">
        <f aca="false">IF(AE47=0,"",IF(AQ47="FT",IF(AR47&lt;FT_First,FT_First,IF(AR47&lt;FT_Y5,MIN(FT_Y5,FT_First+FT_Int1*(INT((AR47-FT_First)/FT_Int1)+1)),FT_Y5+12*INT((AR47-FT_Y5)/12)+FT_Int2*(INT(MOD(AR47-FT_Y5,12)/FT_Int2)+1))),IF(AQ47="PT",IF(AR47&lt;PT_First,PT_First,PT_First+PT_Int*(INT((AR47-PT_First)/PT_Int)+1)),"")))</f>
        <v/>
      </c>
      <c r="BA47" s="12" t="str">
        <f aca="false">IF(AE47=0,"",IF(NOT(LH_Ready),0,COUNTIFS(INDEX(LH_Data,0,LH_ColFirst),$A47,INDEX(LH_Data,0,LH_ColSur),$B47,INDEX(LH_Data,0,LH_ColCat),BonusCat)))</f>
        <v/>
      </c>
      <c r="BB47" s="12" t="str">
        <f aca="false">IF(AE47=0,"",IF(OR(NOT(LH_Ready),BA47=0),0,SUMPRODUCT(MAX((INDEX(LH_Data,0,LH_ColFirst)=$A47)*(INDEX(LH_Data,0,LH_ColSur)=$B47)*(INDEX(LH_Data,0,LH_ColCat)=BonusCat)*ROW(LH_Data)))))</f>
        <v/>
      </c>
    </row>
    <row r="48" customFormat="false" ht="15" hidden="false" customHeight="false" outlineLevel="0" collapsed="false">
      <c r="A48" s="15"/>
      <c r="B48" s="15"/>
      <c r="C48" s="15"/>
      <c r="D48" s="16"/>
      <c r="E48" s="10" t="str">
        <f aca="false">IF(OR(AE48=0,$D48=""),"",DATE(YEAR(AsOfDate)+IF(DATE(YEAR(AsOfDate),MONTH($D48),DAY($D48))&lt;=AsOfDate,1,0),MONTH($D48),DAY($D48)))</f>
        <v/>
      </c>
      <c r="F48" s="16"/>
      <c r="G48" s="16"/>
      <c r="H48" s="16"/>
      <c r="I48" s="16"/>
      <c r="J48" s="16"/>
      <c r="K48" s="10" t="str">
        <f aca="false">IF(AE48=0,"",DATE(YEAR(AsOfDate)+IF(DATE(YEAR(AsOfDate),MONTH($F48),DAY($F48))&lt;=AsOfDate,1,0),MONTH($F48),DAY($F48)))</f>
        <v/>
      </c>
      <c r="L48" s="11" t="str">
        <f aca="false">IF(AE48=0,"",ROUND((AsOfDate-$F48)/365.25,1))</f>
        <v/>
      </c>
      <c r="M48" s="12" t="str">
        <f aca="false">IF(AE48=0,"",IF(AsOfDate&lt;AF48,"-",DATEDIF(AF48,AsOfDate,"y")&amp;"y "&amp;DATEDIF(AF48,AsOfDate,"ym")&amp;"m "&amp;DATEDIF(AF48,AsOfDate,"md")&amp;"d"))</f>
        <v/>
      </c>
      <c r="N48" s="13" t="str">
        <f aca="false">IF(AE48=0,"",O48*HoursPerDay)</f>
        <v/>
      </c>
      <c r="O48" s="13" t="str">
        <f aca="false">IF(AE48=0,"",AX48)</f>
        <v/>
      </c>
      <c r="P48" s="17"/>
      <c r="Q48" s="12" t="str">
        <f aca="false">IF(AE48=0,"",IF(AG48&lt;2,"",AK48&amp;" to "&amp;AL48&amp;" on "&amp;TEXT(AI48,"dd/mm/yyyy")&amp;IF(AI48&gt;AsOfDate," (future)",IF(AN48=AO48,"",IF(AO48="None"," - STOPPED accruing",IF(AN48="None"," - now qualifying"," - pathway changed"))))&amp;IF(AG48&lt;3,"","; "&amp;AL48&amp;" to "&amp;AM48&amp;" on "&amp;TEXT(AJ48,"dd/mm/yyyy")&amp;IF(AJ48&gt;AsOfDate," (future)",IF(AO48=AP48,"",IF(AP48="None"," - STOPPED accruing",IF(AO48="None"," - now qualifying"," - pathway changed")))))))</f>
        <v/>
      </c>
      <c r="R48" s="12" t="str">
        <f aca="false">IF(AE48=0,"",IF(AQ48="None",IF(O48&gt;0,"No longer accruing","Not eligible - "&amp;IF(AND(OR(ISNUMBER(SEARCH("part",$C48)),UPPER(TRIM($C48))="PT",UPPER(TRIM($C48))="PTE"),$P48&lt;&gt;"",N($P48)&lt;PT_MinHours),"under "&amp;PT_MinHours&amp;" hrs",IF(IF($C48="","",IF(OR(ISNUMBER(SEARCH("full",$C48)),UPPER(TRIM($C48))="FT",UPPER(TRIM($C48))="FTE"),"Full-Time",IF(OR(ISNUMBER(SEARCH("part",$C48)),UPPER(TRIM($C48))="PT",UPPER(TRIM($C48))="PTE"),"Part-Time",IF(OR(ISNUMBER(SEARCH("cas",$C48)),UPPER(TRIM($C48))="CAS"),"Casual","Unknown"))))="Unknown","type not recognised",$C48))),IF(O48&gt;0,"Yes - accruing","Not yet - from "&amp;TEXT(S48,"dd/mm/yyyy"))))</f>
        <v/>
      </c>
      <c r="S48" s="10" t="str">
        <f aca="false">IF(AE48=0,"",IF(AQ48="None","",EDATE(AF48,AZ48)))</f>
        <v/>
      </c>
      <c r="T48" s="13" t="str">
        <f aca="false">IF(OR(AE48=0,W48=""),"",W48-U48+V48)</f>
        <v/>
      </c>
      <c r="U48" s="13" t="str">
        <f aca="false">IF(AE48=0,"",IF(NOT(LH_Ready),"",SUMIFS(INDEX(LH_Data,0,LH_ColAcc),INDEX(LH_Data,0,LH_ColFirst),$A48,INDEX(LH_Data,0,LH_ColSur),$B48,INDEX(LH_Data,0,LH_ColCat),BonusCat)*UnitFactor))</f>
        <v/>
      </c>
      <c r="V48" s="13" t="str">
        <f aca="false">IF(AE48=0,"",IF(NOT(LH_Ready),"",SUMIFS(INDEX(LH_Data,0,LH_ColTaken),INDEX(LH_Data,0,LH_ColFirst),$A48,INDEX(LH_Data,0,LH_ColSur),$B48,INDEX(LH_Data,0,LH_ColCat),BonusCat)*UnitFactor))</f>
        <v/>
      </c>
      <c r="W48" s="13" t="str">
        <f aca="false">IF(AE48=0,"",IF(NOT(LH_Ready),"",IF(BB48=0,0,INDEX(INDEX(LH_Data,0,LH_ColClose),BB48-1)*UnitFactor)))</f>
        <v/>
      </c>
      <c r="X48" s="13" t="str">
        <f aca="false">IF(AE48=0,"",(AX48-AY48)*HoursPerDay)</f>
        <v/>
      </c>
      <c r="Y48" s="13" t="str">
        <f aca="false">IF(AE48=0,"",IF(NOT(LH_Ready),"",IF(BA48=0,N48,X48-N(U48))))</f>
        <v/>
      </c>
      <c r="Z48" s="12" t="str">
        <f aca="false">IF(OR(AE48=0,Y48=""),"",IF(Y48&gt;0,"Yes","No"))</f>
        <v/>
      </c>
      <c r="AA48" s="12" t="str">
        <f aca="false">IF(AE48=0,IF(LEN($A48&amp;$B48)=0,"","FIX INPUT - StartDate missing"),IF(AD48&lt;&gt;"","FIX INPUT - "&amp;AD48,IF(NOT(LH_Ready),"Paste Leave History export (Settings must show YES)",IF(Y48&gt;0,"ACCRUE "&amp;ROUND(Y48,2)&amp;" hrs ("&amp;ROUND(Y48/HoursPerDay,2)&amp;" days)"&amp;IF(BA48=0," - no Bonus Leave in EH yet, full catch-up since start",""),IF(Y48&lt;0,"CHECK - EH accrued "&amp;ROUND(-Y48,2)&amp;""&amp;" hrs more than policy",IF(O48&gt;0,"OK - nothing to add",IF(AQ48="None",R48,"Not yet - first day on "&amp;TEXT(S48,"dd/mm/yyyy"))))))))</f>
        <v/>
      </c>
      <c r="AB48" s="13" t="str">
        <f aca="false">IF(OR(AE48=0,T48=""),"",AY48*HoursPerDay-T48)</f>
        <v/>
      </c>
      <c r="AC48" s="12" t="str">
        <f aca="false">IF(AE48=0,"",BA48)</f>
        <v/>
      </c>
      <c r="AD48" s="12" t="str">
        <f aca="false">IF(AE48=0,"",TRIM(IF(IF($C48="","",IF(OR(ISNUMBER(SEARCH("full",$C48)),UPPER(TRIM($C48))="FT",UPPER(TRIM($C48))="FTE"),"Full-Time",IF(OR(ISNUMBER(SEARCH("part",$C48)),UPPER(TRIM($C48))="PT",UPPER(TRIM($C48))="PTE"),"Part-Time",IF(OR(ISNUMBER(SEARCH("cas",$C48)),UPPER(TRIM($C48))="CAS"),"Casual","Unknown"))))="Unknown","EmploymentType not recognised - use Full-Time, Part-Time or Casual. ","")&amp;IF(AND(AG48&gt;=1,IF(AG48&gt;=3,AM48,IF(AG48=2,AL48,AK48))&lt;&gt;IF($C48="","",IF(OR(ISNUMBER(SEARCH("full",$C48)),UPPER(TRIM($C48))="FT",UPPER(TRIM($C48))="FTE"),"Full-Time",IF(OR(ISNUMBER(SEARCH("part",$C48)),UPPER(TRIM($C48))="PT",UPPER(TRIM($C48))="PTE"),"Part-Time",IF(OR(ISNUMBER(SEARCH("cas",$C48)),UPPER(TRIM($C48))="CAS"),"Casual","Unknown"))))),"EmploymentType does not match latest start date ("&amp;IF(AG48&gt;=3,AM48,IF(AG48=2,AL48,AK48))&amp;"). ","")&amp;IF(AND(AG48&gt;=1,AH48&lt;&gt;$F48),"Earliest type date should equal StartDate. ","")&amp;IF(AND(AG48&gt;=2,AH48=AI48),"Two types start on the same date. ","")&amp;IF(AND(OR(ISNUMBER(SEARCH("part",$C48)),UPPER(TRIM($C48))="PT",UPPER(TRIM($C48))="PTE"),$P48=""),"Part-time: enter PT Hrs/Week (blank = 24+). ","")))</f>
        <v/>
      </c>
      <c r="AE48" s="12" t="n">
        <f aca="false">IF(OR(LEN($A48&amp;$B48)=0,$F48=""),0,1)</f>
        <v>0</v>
      </c>
      <c r="AF48" s="10" t="str">
        <f aca="false">IF(AE48=0,"",IF($J48&lt;&gt;"",$J48,$F48))</f>
        <v/>
      </c>
      <c r="AG48" s="12" t="str">
        <f aca="false">IF(AE48=0,"",COUNT($G48:$I48))</f>
        <v/>
      </c>
      <c r="AH48" s="10" t="str">
        <f aca="false">IF(AE48=0,"",IFERROR(SMALL($G48:$I48,1),""))</f>
        <v/>
      </c>
      <c r="AI48" s="10" t="str">
        <f aca="false">IF(AE48=0,"",IFERROR(SMALL($G48:$I48,2),""))</f>
        <v/>
      </c>
      <c r="AJ48" s="10" t="str">
        <f aca="false">IF(AE48=0,"",IFERROR(SMALL($G48:$I48,3),""))</f>
        <v/>
      </c>
      <c r="AK48" s="12" t="str">
        <f aca="false">IF(AE48=0,"",IF(AH48="","",IF(AH48=$G48,"Part-Time",IF(AH48=$H48,"Full-Time","Casual"))))</f>
        <v/>
      </c>
      <c r="AL48" s="12" t="str">
        <f aca="false">IF(AE48=0,"",IF(AI48="","",IF(AI48=$G48,"Part-Time",IF(AI48=$H48,"Full-Time","Casual"))))</f>
        <v/>
      </c>
      <c r="AM48" s="12" t="str">
        <f aca="false">IF(AE48=0,"",IF(AJ48="","",IF(AJ48=$G48,"Part-Time",IF(AJ48=$H48,"Full-Time","Casual"))))</f>
        <v/>
      </c>
      <c r="AN48" s="12" t="str">
        <f aca="false">IF(AE48=0,"",IF(AG48=0,IF(OR(ISNUMBER(SEARCH("full",$C48)),UPPER(TRIM($C48))="FT",UPPER(TRIM($C48))="FTE"),"FT",IF(AND(OR(ISNUMBER(SEARCH("part",$C48)),UPPER(TRIM($C48))="PT",UPPER(TRIM($C48))="PTE"),OR($P48="",N($P48)&gt;=PT_MinHours)),"PT","None")),IF(OR(ISNUMBER(SEARCH("full",AK48)),UPPER(TRIM(AK48))="FT",UPPER(TRIM(AK48))="FTE"),"FT",IF(AND(OR(ISNUMBER(SEARCH("part",AK48)),UPPER(TRIM(AK48))="PT",UPPER(TRIM(AK48))="PTE"),OR($P48="",N($P48)&gt;=PT_MinHours)),"PT","None"))))</f>
        <v/>
      </c>
      <c r="AO48" s="12" t="str">
        <f aca="false">IF(AE48=0,"",IF(AG48&lt;2,"",IF(OR(ISNUMBER(SEARCH("full",AL48)),UPPER(TRIM(AL48))="FT",UPPER(TRIM(AL48))="FTE"),"FT",IF(AND(OR(ISNUMBER(SEARCH("part",AL48)),UPPER(TRIM(AL48))="PT",UPPER(TRIM(AL48))="PTE"),OR($P48="",N($P48)&gt;=PT_MinHours)),"PT","None"))))</f>
        <v/>
      </c>
      <c r="AP48" s="12" t="str">
        <f aca="false">IF(AE48=0,"",IF(AG48&lt;3,"",IF(OR(ISNUMBER(SEARCH("full",AM48)),UPPER(TRIM(AM48))="FT",UPPER(TRIM(AM48))="FTE"),"FT",IF(AND(OR(ISNUMBER(SEARCH("part",AM48)),UPPER(TRIM(AM48))="PT",UPPER(TRIM(AM48))="PTE"),OR($P48="",N($P48)&gt;=PT_MinHours)),"PT","None"))))</f>
        <v/>
      </c>
      <c r="AQ48" s="12" t="str">
        <f aca="false">IF(AE48=0,"",IF(AND(AG48&gt;=3,AJ48&lt;=AsOfDate),AP48,IF(AND(AG48&gt;=2,AI48&lt;=AsOfDate),AO48,AN48)))</f>
        <v/>
      </c>
      <c r="AR48" s="12" t="str">
        <f aca="false">IF(AE48=0,"",IF(AsOfDate&lt;AF48,-1,12*(YEAR(AsOfDate)-YEAR(AF48))+MONTH(AsOfDate)-MONTH(AF48)-IF(DAY(AsOfDate)&lt;MIN(DAY(AF48),DAY(EOMONTH(AsOfDate,0))),1,0)))</f>
        <v/>
      </c>
      <c r="AS48" s="12" t="str">
        <f aca="false">IF(AE48=0,"",IF(OR(AG48&lt;2,AI48&gt;AsOfDate),AR48,IF((AI48-1)&lt;AF48,-1,12*(YEAR((AI48-1))-YEAR(AF48))+MONTH((AI48-1))-MONTH(AF48)-IF(DAY((AI48-1))&lt;MIN(DAY(AF48),DAY(EOMONTH((AI48-1),0))),1,0))))</f>
        <v/>
      </c>
      <c r="AT48" s="12" t="str">
        <f aca="false">IF(AE48=0,"",IF(OR(AG48&lt;3,AJ48&gt;AsOfDate),AR48,IF((AJ48-1)&lt;AF48,-1,12*(YEAR((AJ48-1))-YEAR(AF48))+MONTH((AJ48-1))-MONTH(AF48)-IF(DAY((AJ48-1))&lt;MIN(DAY(AF48),DAY(EOMONTH((AJ48-1),0))),1,0))))</f>
        <v/>
      </c>
      <c r="AU48" s="12" t="str">
        <f aca="false">IF(AE48=0,"",IF(PFYDate&lt;AF48,-1,12*(YEAR(PFYDate)-YEAR(AF48))+MONTH(PFYDate)-MONTH(AF48)-IF(DAY(PFYDate)&lt;MIN(DAY(AF48),DAY(EOMONTH(PFYDate,0))),1,0)))</f>
        <v/>
      </c>
      <c r="AV48" s="12" t="str">
        <f aca="false">IF(AE48=0,"",IF(OR(AG48&lt;2,AI48&gt;PFYDate),AU48,IF((AI48-1)&lt;AF48,-1,12*(YEAR((AI48-1))-YEAR(AF48))+MONTH((AI48-1))-MONTH(AF48)-IF(DAY((AI48-1))&lt;MIN(DAY(AF48),DAY(EOMONTH((AI48-1),0))),1,0))))</f>
        <v/>
      </c>
      <c r="AW48" s="12" t="str">
        <f aca="false">IF(AE48=0,"",IF(OR(AG48&lt;3,AJ48&gt;PFYDate),AU48,IF((AJ48-1)&lt;AF48,-1,12*(YEAR((AJ48-1))-YEAR(AF48))+MONTH((AJ48-1))-MONTH(AF48)-IF(DAY((AJ48-1))&lt;MIN(DAY(AF48),DAY(EOMONTH((AJ48-1),0))),1,0))))</f>
        <v/>
      </c>
      <c r="AX48" s="12" t="str">
        <f aca="false">IF(AE48=0,"",IF(AN48="FT",IF(AS48&lt;FT_First,0,IF(AS48&lt;FT_Y5,1+INT((AS48-FT_First)/FT_Int1),FT_PreY5+FT_PerYear*INT((AS48-FT_Y5)/12)+FT_AnnivDays+INT(MOD(AS48-FT_Y5,12)/FT_Int2))),IF(AN48="PT",IF(AS48&lt;PT_First,0,1+INT((AS48-PT_First)/PT_Int)),0))+IF(AND(AG48&gt;=2,AI48&lt;=AsOfDate),IF(AO48="FT",IF(AT48&lt;FT_First,0,IF(AT48&lt;FT_Y5,1+INT((AT48-FT_First)/FT_Int1),FT_PreY5+FT_PerYear*INT((AT48-FT_Y5)/12)+FT_AnnivDays+INT(MOD(AT48-FT_Y5,12)/FT_Int2))),IF(AO48="PT",IF(AT48&lt;PT_First,0,1+INT((AT48-PT_First)/PT_Int)),0))-IF(AO48="FT",IF(AS48&lt;FT_First,0,IF(AS48&lt;FT_Y5,1+INT((AS48-FT_First)/FT_Int1),FT_PreY5+FT_PerYear*INT((AS48-FT_Y5)/12)+FT_AnnivDays+INT(MOD(AS48-FT_Y5,12)/FT_Int2))),IF(AO48="PT",IF(AS48&lt;PT_First,0,1+INT((AS48-PT_First)/PT_Int)),0)),0)+IF(AND(AG48&gt;=3,AJ48&lt;=AsOfDate),IF(AP48="FT",IF(AR48&lt;FT_First,0,IF(AR48&lt;FT_Y5,1+INT((AR48-FT_First)/FT_Int1),FT_PreY5+FT_PerYear*INT((AR48-FT_Y5)/12)+FT_AnnivDays+INT(MOD(AR48-FT_Y5,12)/FT_Int2))),IF(AP48="PT",IF(AR48&lt;PT_First,0,1+INT((AR48-PT_First)/PT_Int)),0))-IF(AP48="FT",IF(AT48&lt;FT_First,0,IF(AT48&lt;FT_Y5,1+INT((AT48-FT_First)/FT_Int1),FT_PreY5+FT_PerYear*INT((AT48-FT_Y5)/12)+FT_AnnivDays+INT(MOD(AT48-FT_Y5,12)/FT_Int2))),IF(AP48="PT",IF(AT48&lt;PT_First,0,1+INT((AT48-PT_First)/PT_Int)),0)),0))</f>
        <v/>
      </c>
      <c r="AY48" s="12" t="str">
        <f aca="false">IF(AE48=0,"",IF(AN48="FT",IF(AV48&lt;FT_First,0,IF(AV48&lt;FT_Y5,1+INT((AV48-FT_First)/FT_Int1),FT_PreY5+FT_PerYear*INT((AV48-FT_Y5)/12)+FT_AnnivDays+INT(MOD(AV48-FT_Y5,12)/FT_Int2))),IF(AN48="PT",IF(AV48&lt;PT_First,0,1+INT((AV48-PT_First)/PT_Int)),0))+IF(AND(AG48&gt;=2,AI48&lt;=PFYDate),IF(AO48="FT",IF(AW48&lt;FT_First,0,IF(AW48&lt;FT_Y5,1+INT((AW48-FT_First)/FT_Int1),FT_PreY5+FT_PerYear*INT((AW48-FT_Y5)/12)+FT_AnnivDays+INT(MOD(AW48-FT_Y5,12)/FT_Int2))),IF(AO48="PT",IF(AW48&lt;PT_First,0,1+INT((AW48-PT_First)/PT_Int)),0))-IF(AO48="FT",IF(AV48&lt;FT_First,0,IF(AV48&lt;FT_Y5,1+INT((AV48-FT_First)/FT_Int1),FT_PreY5+FT_PerYear*INT((AV48-FT_Y5)/12)+FT_AnnivDays+INT(MOD(AV48-FT_Y5,12)/FT_Int2))),IF(AO48="PT",IF(AV48&lt;PT_First,0,1+INT((AV48-PT_First)/PT_Int)),0)),0)+IF(AND(AG48&gt;=3,AJ48&lt;=PFYDate),IF(AP48="FT",IF(AU48&lt;FT_First,0,IF(AU48&lt;FT_Y5,1+INT((AU48-FT_First)/FT_Int1),FT_PreY5+FT_PerYear*INT((AU48-FT_Y5)/12)+FT_AnnivDays+INT(MOD(AU48-FT_Y5,12)/FT_Int2))),IF(AP48="PT",IF(AU48&lt;PT_First,0,1+INT((AU48-PT_First)/PT_Int)),0))-IF(AP48="FT",IF(AW48&lt;FT_First,0,IF(AW48&lt;FT_Y5,1+INT((AW48-FT_First)/FT_Int1),FT_PreY5+FT_PerYear*INT((AW48-FT_Y5)/12)+FT_AnnivDays+INT(MOD(AW48-FT_Y5,12)/FT_Int2))),IF(AP48="PT",IF(AW48&lt;PT_First,0,1+INT((AW48-PT_First)/PT_Int)),0)),0))</f>
        <v/>
      </c>
      <c r="AZ48" s="12" t="str">
        <f aca="false">IF(AE48=0,"",IF(AQ48="FT",IF(AR48&lt;FT_First,FT_First,IF(AR48&lt;FT_Y5,MIN(FT_Y5,FT_First+FT_Int1*(INT((AR48-FT_First)/FT_Int1)+1)),FT_Y5+12*INT((AR48-FT_Y5)/12)+FT_Int2*(INT(MOD(AR48-FT_Y5,12)/FT_Int2)+1))),IF(AQ48="PT",IF(AR48&lt;PT_First,PT_First,PT_First+PT_Int*(INT((AR48-PT_First)/PT_Int)+1)),"")))</f>
        <v/>
      </c>
      <c r="BA48" s="12" t="str">
        <f aca="false">IF(AE48=0,"",IF(NOT(LH_Ready),0,COUNTIFS(INDEX(LH_Data,0,LH_ColFirst),$A48,INDEX(LH_Data,0,LH_ColSur),$B48,INDEX(LH_Data,0,LH_ColCat),BonusCat)))</f>
        <v/>
      </c>
      <c r="BB48" s="12" t="str">
        <f aca="false">IF(AE48=0,"",IF(OR(NOT(LH_Ready),BA48=0),0,SUMPRODUCT(MAX((INDEX(LH_Data,0,LH_ColFirst)=$A48)*(INDEX(LH_Data,0,LH_ColSur)=$B48)*(INDEX(LH_Data,0,LH_ColCat)=BonusCat)*ROW(LH_Data)))))</f>
        <v/>
      </c>
    </row>
    <row r="49" customFormat="false" ht="15" hidden="false" customHeight="false" outlineLevel="0" collapsed="false">
      <c r="A49" s="15"/>
      <c r="B49" s="15"/>
      <c r="C49" s="15"/>
      <c r="D49" s="16"/>
      <c r="E49" s="10" t="str">
        <f aca="false">IF(OR(AE49=0,$D49=""),"",DATE(YEAR(AsOfDate)+IF(DATE(YEAR(AsOfDate),MONTH($D49),DAY($D49))&lt;=AsOfDate,1,0),MONTH($D49),DAY($D49)))</f>
        <v/>
      </c>
      <c r="F49" s="16"/>
      <c r="G49" s="16"/>
      <c r="H49" s="16"/>
      <c r="I49" s="16"/>
      <c r="J49" s="16"/>
      <c r="K49" s="10" t="str">
        <f aca="false">IF(AE49=0,"",DATE(YEAR(AsOfDate)+IF(DATE(YEAR(AsOfDate),MONTH($F49),DAY($F49))&lt;=AsOfDate,1,0),MONTH($F49),DAY($F49)))</f>
        <v/>
      </c>
      <c r="L49" s="11" t="str">
        <f aca="false">IF(AE49=0,"",ROUND((AsOfDate-$F49)/365.25,1))</f>
        <v/>
      </c>
      <c r="M49" s="12" t="str">
        <f aca="false">IF(AE49=0,"",IF(AsOfDate&lt;AF49,"-",DATEDIF(AF49,AsOfDate,"y")&amp;"y "&amp;DATEDIF(AF49,AsOfDate,"ym")&amp;"m "&amp;DATEDIF(AF49,AsOfDate,"md")&amp;"d"))</f>
        <v/>
      </c>
      <c r="N49" s="13" t="str">
        <f aca="false">IF(AE49=0,"",O49*HoursPerDay)</f>
        <v/>
      </c>
      <c r="O49" s="13" t="str">
        <f aca="false">IF(AE49=0,"",AX49)</f>
        <v/>
      </c>
      <c r="P49" s="17"/>
      <c r="Q49" s="12" t="str">
        <f aca="false">IF(AE49=0,"",IF(AG49&lt;2,"",AK49&amp;" to "&amp;AL49&amp;" on "&amp;TEXT(AI49,"dd/mm/yyyy")&amp;IF(AI49&gt;AsOfDate," (future)",IF(AN49=AO49,"",IF(AO49="None"," - STOPPED accruing",IF(AN49="None"," - now qualifying"," - pathway changed"))))&amp;IF(AG49&lt;3,"","; "&amp;AL49&amp;" to "&amp;AM49&amp;" on "&amp;TEXT(AJ49,"dd/mm/yyyy")&amp;IF(AJ49&gt;AsOfDate," (future)",IF(AO49=AP49,"",IF(AP49="None"," - STOPPED accruing",IF(AO49="None"," - now qualifying"," - pathway changed")))))))</f>
        <v/>
      </c>
      <c r="R49" s="12" t="str">
        <f aca="false">IF(AE49=0,"",IF(AQ49="None",IF(O49&gt;0,"No longer accruing","Not eligible - "&amp;IF(AND(OR(ISNUMBER(SEARCH("part",$C49)),UPPER(TRIM($C49))="PT",UPPER(TRIM($C49))="PTE"),$P49&lt;&gt;"",N($P49)&lt;PT_MinHours),"under "&amp;PT_MinHours&amp;" hrs",IF(IF($C49="","",IF(OR(ISNUMBER(SEARCH("full",$C49)),UPPER(TRIM($C49))="FT",UPPER(TRIM($C49))="FTE"),"Full-Time",IF(OR(ISNUMBER(SEARCH("part",$C49)),UPPER(TRIM($C49))="PT",UPPER(TRIM($C49))="PTE"),"Part-Time",IF(OR(ISNUMBER(SEARCH("cas",$C49)),UPPER(TRIM($C49))="CAS"),"Casual","Unknown"))))="Unknown","type not recognised",$C49))),IF(O49&gt;0,"Yes - accruing","Not yet - from "&amp;TEXT(S49,"dd/mm/yyyy"))))</f>
        <v/>
      </c>
      <c r="S49" s="10" t="str">
        <f aca="false">IF(AE49=0,"",IF(AQ49="None","",EDATE(AF49,AZ49)))</f>
        <v/>
      </c>
      <c r="T49" s="13" t="str">
        <f aca="false">IF(OR(AE49=0,W49=""),"",W49-U49+V49)</f>
        <v/>
      </c>
      <c r="U49" s="13" t="str">
        <f aca="false">IF(AE49=0,"",IF(NOT(LH_Ready),"",SUMIFS(INDEX(LH_Data,0,LH_ColAcc),INDEX(LH_Data,0,LH_ColFirst),$A49,INDEX(LH_Data,0,LH_ColSur),$B49,INDEX(LH_Data,0,LH_ColCat),BonusCat)*UnitFactor))</f>
        <v/>
      </c>
      <c r="V49" s="13" t="str">
        <f aca="false">IF(AE49=0,"",IF(NOT(LH_Ready),"",SUMIFS(INDEX(LH_Data,0,LH_ColTaken),INDEX(LH_Data,0,LH_ColFirst),$A49,INDEX(LH_Data,0,LH_ColSur),$B49,INDEX(LH_Data,0,LH_ColCat),BonusCat)*UnitFactor))</f>
        <v/>
      </c>
      <c r="W49" s="13" t="str">
        <f aca="false">IF(AE49=0,"",IF(NOT(LH_Ready),"",IF(BB49=0,0,INDEX(INDEX(LH_Data,0,LH_ColClose),BB49-1)*UnitFactor)))</f>
        <v/>
      </c>
      <c r="X49" s="13" t="str">
        <f aca="false">IF(AE49=0,"",(AX49-AY49)*HoursPerDay)</f>
        <v/>
      </c>
      <c r="Y49" s="13" t="str">
        <f aca="false">IF(AE49=0,"",IF(NOT(LH_Ready),"",IF(BA49=0,N49,X49-N(U49))))</f>
        <v/>
      </c>
      <c r="Z49" s="12" t="str">
        <f aca="false">IF(OR(AE49=0,Y49=""),"",IF(Y49&gt;0,"Yes","No"))</f>
        <v/>
      </c>
      <c r="AA49" s="12" t="str">
        <f aca="false">IF(AE49=0,IF(LEN($A49&amp;$B49)=0,"","FIX INPUT - StartDate missing"),IF(AD49&lt;&gt;"","FIX INPUT - "&amp;AD49,IF(NOT(LH_Ready),"Paste Leave History export (Settings must show YES)",IF(Y49&gt;0,"ACCRUE "&amp;ROUND(Y49,2)&amp;" hrs ("&amp;ROUND(Y49/HoursPerDay,2)&amp;" days)"&amp;IF(BA49=0," - no Bonus Leave in EH yet, full catch-up since start",""),IF(Y49&lt;0,"CHECK - EH accrued "&amp;ROUND(-Y49,2)&amp;""&amp;" hrs more than policy",IF(O49&gt;0,"OK - nothing to add",IF(AQ49="None",R49,"Not yet - first day on "&amp;TEXT(S49,"dd/mm/yyyy"))))))))</f>
        <v/>
      </c>
      <c r="AB49" s="13" t="str">
        <f aca="false">IF(OR(AE49=0,T49=""),"",AY49*HoursPerDay-T49)</f>
        <v/>
      </c>
      <c r="AC49" s="12" t="str">
        <f aca="false">IF(AE49=0,"",BA49)</f>
        <v/>
      </c>
      <c r="AD49" s="12" t="str">
        <f aca="false">IF(AE49=0,"",TRIM(IF(IF($C49="","",IF(OR(ISNUMBER(SEARCH("full",$C49)),UPPER(TRIM($C49))="FT",UPPER(TRIM($C49))="FTE"),"Full-Time",IF(OR(ISNUMBER(SEARCH("part",$C49)),UPPER(TRIM($C49))="PT",UPPER(TRIM($C49))="PTE"),"Part-Time",IF(OR(ISNUMBER(SEARCH("cas",$C49)),UPPER(TRIM($C49))="CAS"),"Casual","Unknown"))))="Unknown","EmploymentType not recognised - use Full-Time, Part-Time or Casual. ","")&amp;IF(AND(AG49&gt;=1,IF(AG49&gt;=3,AM49,IF(AG49=2,AL49,AK49))&lt;&gt;IF($C49="","",IF(OR(ISNUMBER(SEARCH("full",$C49)),UPPER(TRIM($C49))="FT",UPPER(TRIM($C49))="FTE"),"Full-Time",IF(OR(ISNUMBER(SEARCH("part",$C49)),UPPER(TRIM($C49))="PT",UPPER(TRIM($C49))="PTE"),"Part-Time",IF(OR(ISNUMBER(SEARCH("cas",$C49)),UPPER(TRIM($C49))="CAS"),"Casual","Unknown"))))),"EmploymentType does not match latest start date ("&amp;IF(AG49&gt;=3,AM49,IF(AG49=2,AL49,AK49))&amp;"). ","")&amp;IF(AND(AG49&gt;=1,AH49&lt;&gt;$F49),"Earliest type date should equal StartDate. ","")&amp;IF(AND(AG49&gt;=2,AH49=AI49),"Two types start on the same date. ","")&amp;IF(AND(OR(ISNUMBER(SEARCH("part",$C49)),UPPER(TRIM($C49))="PT",UPPER(TRIM($C49))="PTE"),$P49=""),"Part-time: enter PT Hrs/Week (blank = 24+). ","")))</f>
        <v/>
      </c>
      <c r="AE49" s="12" t="n">
        <f aca="false">IF(OR(LEN($A49&amp;$B49)=0,$F49=""),0,1)</f>
        <v>0</v>
      </c>
      <c r="AF49" s="10" t="str">
        <f aca="false">IF(AE49=0,"",IF($J49&lt;&gt;"",$J49,$F49))</f>
        <v/>
      </c>
      <c r="AG49" s="12" t="str">
        <f aca="false">IF(AE49=0,"",COUNT($G49:$I49))</f>
        <v/>
      </c>
      <c r="AH49" s="10" t="str">
        <f aca="false">IF(AE49=0,"",IFERROR(SMALL($G49:$I49,1),""))</f>
        <v/>
      </c>
      <c r="AI49" s="10" t="str">
        <f aca="false">IF(AE49=0,"",IFERROR(SMALL($G49:$I49,2),""))</f>
        <v/>
      </c>
      <c r="AJ49" s="10" t="str">
        <f aca="false">IF(AE49=0,"",IFERROR(SMALL($G49:$I49,3),""))</f>
        <v/>
      </c>
      <c r="AK49" s="12" t="str">
        <f aca="false">IF(AE49=0,"",IF(AH49="","",IF(AH49=$G49,"Part-Time",IF(AH49=$H49,"Full-Time","Casual"))))</f>
        <v/>
      </c>
      <c r="AL49" s="12" t="str">
        <f aca="false">IF(AE49=0,"",IF(AI49="","",IF(AI49=$G49,"Part-Time",IF(AI49=$H49,"Full-Time","Casual"))))</f>
        <v/>
      </c>
      <c r="AM49" s="12" t="str">
        <f aca="false">IF(AE49=0,"",IF(AJ49="","",IF(AJ49=$G49,"Part-Time",IF(AJ49=$H49,"Full-Time","Casual"))))</f>
        <v/>
      </c>
      <c r="AN49" s="12" t="str">
        <f aca="false">IF(AE49=0,"",IF(AG49=0,IF(OR(ISNUMBER(SEARCH("full",$C49)),UPPER(TRIM($C49))="FT",UPPER(TRIM($C49))="FTE"),"FT",IF(AND(OR(ISNUMBER(SEARCH("part",$C49)),UPPER(TRIM($C49))="PT",UPPER(TRIM($C49))="PTE"),OR($P49="",N($P49)&gt;=PT_MinHours)),"PT","None")),IF(OR(ISNUMBER(SEARCH("full",AK49)),UPPER(TRIM(AK49))="FT",UPPER(TRIM(AK49))="FTE"),"FT",IF(AND(OR(ISNUMBER(SEARCH("part",AK49)),UPPER(TRIM(AK49))="PT",UPPER(TRIM(AK49))="PTE"),OR($P49="",N($P49)&gt;=PT_MinHours)),"PT","None"))))</f>
        <v/>
      </c>
      <c r="AO49" s="12" t="str">
        <f aca="false">IF(AE49=0,"",IF(AG49&lt;2,"",IF(OR(ISNUMBER(SEARCH("full",AL49)),UPPER(TRIM(AL49))="FT",UPPER(TRIM(AL49))="FTE"),"FT",IF(AND(OR(ISNUMBER(SEARCH("part",AL49)),UPPER(TRIM(AL49))="PT",UPPER(TRIM(AL49))="PTE"),OR($P49="",N($P49)&gt;=PT_MinHours)),"PT","None"))))</f>
        <v/>
      </c>
      <c r="AP49" s="12" t="str">
        <f aca="false">IF(AE49=0,"",IF(AG49&lt;3,"",IF(OR(ISNUMBER(SEARCH("full",AM49)),UPPER(TRIM(AM49))="FT",UPPER(TRIM(AM49))="FTE"),"FT",IF(AND(OR(ISNUMBER(SEARCH("part",AM49)),UPPER(TRIM(AM49))="PT",UPPER(TRIM(AM49))="PTE"),OR($P49="",N($P49)&gt;=PT_MinHours)),"PT","None"))))</f>
        <v/>
      </c>
      <c r="AQ49" s="12" t="str">
        <f aca="false">IF(AE49=0,"",IF(AND(AG49&gt;=3,AJ49&lt;=AsOfDate),AP49,IF(AND(AG49&gt;=2,AI49&lt;=AsOfDate),AO49,AN49)))</f>
        <v/>
      </c>
      <c r="AR49" s="12" t="str">
        <f aca="false">IF(AE49=0,"",IF(AsOfDate&lt;AF49,-1,12*(YEAR(AsOfDate)-YEAR(AF49))+MONTH(AsOfDate)-MONTH(AF49)-IF(DAY(AsOfDate)&lt;MIN(DAY(AF49),DAY(EOMONTH(AsOfDate,0))),1,0)))</f>
        <v/>
      </c>
      <c r="AS49" s="12" t="str">
        <f aca="false">IF(AE49=0,"",IF(OR(AG49&lt;2,AI49&gt;AsOfDate),AR49,IF((AI49-1)&lt;AF49,-1,12*(YEAR((AI49-1))-YEAR(AF49))+MONTH((AI49-1))-MONTH(AF49)-IF(DAY((AI49-1))&lt;MIN(DAY(AF49),DAY(EOMONTH((AI49-1),0))),1,0))))</f>
        <v/>
      </c>
      <c r="AT49" s="12" t="str">
        <f aca="false">IF(AE49=0,"",IF(OR(AG49&lt;3,AJ49&gt;AsOfDate),AR49,IF((AJ49-1)&lt;AF49,-1,12*(YEAR((AJ49-1))-YEAR(AF49))+MONTH((AJ49-1))-MONTH(AF49)-IF(DAY((AJ49-1))&lt;MIN(DAY(AF49),DAY(EOMONTH((AJ49-1),0))),1,0))))</f>
        <v/>
      </c>
      <c r="AU49" s="12" t="str">
        <f aca="false">IF(AE49=0,"",IF(PFYDate&lt;AF49,-1,12*(YEAR(PFYDate)-YEAR(AF49))+MONTH(PFYDate)-MONTH(AF49)-IF(DAY(PFYDate)&lt;MIN(DAY(AF49),DAY(EOMONTH(PFYDate,0))),1,0)))</f>
        <v/>
      </c>
      <c r="AV49" s="12" t="str">
        <f aca="false">IF(AE49=0,"",IF(OR(AG49&lt;2,AI49&gt;PFYDate),AU49,IF((AI49-1)&lt;AF49,-1,12*(YEAR((AI49-1))-YEAR(AF49))+MONTH((AI49-1))-MONTH(AF49)-IF(DAY((AI49-1))&lt;MIN(DAY(AF49),DAY(EOMONTH((AI49-1),0))),1,0))))</f>
        <v/>
      </c>
      <c r="AW49" s="12" t="str">
        <f aca="false">IF(AE49=0,"",IF(OR(AG49&lt;3,AJ49&gt;PFYDate),AU49,IF((AJ49-1)&lt;AF49,-1,12*(YEAR((AJ49-1))-YEAR(AF49))+MONTH((AJ49-1))-MONTH(AF49)-IF(DAY((AJ49-1))&lt;MIN(DAY(AF49),DAY(EOMONTH((AJ49-1),0))),1,0))))</f>
        <v/>
      </c>
      <c r="AX49" s="12" t="str">
        <f aca="false">IF(AE49=0,"",IF(AN49="FT",IF(AS49&lt;FT_First,0,IF(AS49&lt;FT_Y5,1+INT((AS49-FT_First)/FT_Int1),FT_PreY5+FT_PerYear*INT((AS49-FT_Y5)/12)+FT_AnnivDays+INT(MOD(AS49-FT_Y5,12)/FT_Int2))),IF(AN49="PT",IF(AS49&lt;PT_First,0,1+INT((AS49-PT_First)/PT_Int)),0))+IF(AND(AG49&gt;=2,AI49&lt;=AsOfDate),IF(AO49="FT",IF(AT49&lt;FT_First,0,IF(AT49&lt;FT_Y5,1+INT((AT49-FT_First)/FT_Int1),FT_PreY5+FT_PerYear*INT((AT49-FT_Y5)/12)+FT_AnnivDays+INT(MOD(AT49-FT_Y5,12)/FT_Int2))),IF(AO49="PT",IF(AT49&lt;PT_First,0,1+INT((AT49-PT_First)/PT_Int)),0))-IF(AO49="FT",IF(AS49&lt;FT_First,0,IF(AS49&lt;FT_Y5,1+INT((AS49-FT_First)/FT_Int1),FT_PreY5+FT_PerYear*INT((AS49-FT_Y5)/12)+FT_AnnivDays+INT(MOD(AS49-FT_Y5,12)/FT_Int2))),IF(AO49="PT",IF(AS49&lt;PT_First,0,1+INT((AS49-PT_First)/PT_Int)),0)),0)+IF(AND(AG49&gt;=3,AJ49&lt;=AsOfDate),IF(AP49="FT",IF(AR49&lt;FT_First,0,IF(AR49&lt;FT_Y5,1+INT((AR49-FT_First)/FT_Int1),FT_PreY5+FT_PerYear*INT((AR49-FT_Y5)/12)+FT_AnnivDays+INT(MOD(AR49-FT_Y5,12)/FT_Int2))),IF(AP49="PT",IF(AR49&lt;PT_First,0,1+INT((AR49-PT_First)/PT_Int)),0))-IF(AP49="FT",IF(AT49&lt;FT_First,0,IF(AT49&lt;FT_Y5,1+INT((AT49-FT_First)/FT_Int1),FT_PreY5+FT_PerYear*INT((AT49-FT_Y5)/12)+FT_AnnivDays+INT(MOD(AT49-FT_Y5,12)/FT_Int2))),IF(AP49="PT",IF(AT49&lt;PT_First,0,1+INT((AT49-PT_First)/PT_Int)),0)),0))</f>
        <v/>
      </c>
      <c r="AY49" s="12" t="str">
        <f aca="false">IF(AE49=0,"",IF(AN49="FT",IF(AV49&lt;FT_First,0,IF(AV49&lt;FT_Y5,1+INT((AV49-FT_First)/FT_Int1),FT_PreY5+FT_PerYear*INT((AV49-FT_Y5)/12)+FT_AnnivDays+INT(MOD(AV49-FT_Y5,12)/FT_Int2))),IF(AN49="PT",IF(AV49&lt;PT_First,0,1+INT((AV49-PT_First)/PT_Int)),0))+IF(AND(AG49&gt;=2,AI49&lt;=PFYDate),IF(AO49="FT",IF(AW49&lt;FT_First,0,IF(AW49&lt;FT_Y5,1+INT((AW49-FT_First)/FT_Int1),FT_PreY5+FT_PerYear*INT((AW49-FT_Y5)/12)+FT_AnnivDays+INT(MOD(AW49-FT_Y5,12)/FT_Int2))),IF(AO49="PT",IF(AW49&lt;PT_First,0,1+INT((AW49-PT_First)/PT_Int)),0))-IF(AO49="FT",IF(AV49&lt;FT_First,0,IF(AV49&lt;FT_Y5,1+INT((AV49-FT_First)/FT_Int1),FT_PreY5+FT_PerYear*INT((AV49-FT_Y5)/12)+FT_AnnivDays+INT(MOD(AV49-FT_Y5,12)/FT_Int2))),IF(AO49="PT",IF(AV49&lt;PT_First,0,1+INT((AV49-PT_First)/PT_Int)),0)),0)+IF(AND(AG49&gt;=3,AJ49&lt;=PFYDate),IF(AP49="FT",IF(AU49&lt;FT_First,0,IF(AU49&lt;FT_Y5,1+INT((AU49-FT_First)/FT_Int1),FT_PreY5+FT_PerYear*INT((AU49-FT_Y5)/12)+FT_AnnivDays+INT(MOD(AU49-FT_Y5,12)/FT_Int2))),IF(AP49="PT",IF(AU49&lt;PT_First,0,1+INT((AU49-PT_First)/PT_Int)),0))-IF(AP49="FT",IF(AW49&lt;FT_First,0,IF(AW49&lt;FT_Y5,1+INT((AW49-FT_First)/FT_Int1),FT_PreY5+FT_PerYear*INT((AW49-FT_Y5)/12)+FT_AnnivDays+INT(MOD(AW49-FT_Y5,12)/FT_Int2))),IF(AP49="PT",IF(AW49&lt;PT_First,0,1+INT((AW49-PT_First)/PT_Int)),0)),0))</f>
        <v/>
      </c>
      <c r="AZ49" s="12" t="str">
        <f aca="false">IF(AE49=0,"",IF(AQ49="FT",IF(AR49&lt;FT_First,FT_First,IF(AR49&lt;FT_Y5,MIN(FT_Y5,FT_First+FT_Int1*(INT((AR49-FT_First)/FT_Int1)+1)),FT_Y5+12*INT((AR49-FT_Y5)/12)+FT_Int2*(INT(MOD(AR49-FT_Y5,12)/FT_Int2)+1))),IF(AQ49="PT",IF(AR49&lt;PT_First,PT_First,PT_First+PT_Int*(INT((AR49-PT_First)/PT_Int)+1)),"")))</f>
        <v/>
      </c>
      <c r="BA49" s="12" t="str">
        <f aca="false">IF(AE49=0,"",IF(NOT(LH_Ready),0,COUNTIFS(INDEX(LH_Data,0,LH_ColFirst),$A49,INDEX(LH_Data,0,LH_ColSur),$B49,INDEX(LH_Data,0,LH_ColCat),BonusCat)))</f>
        <v/>
      </c>
      <c r="BB49" s="12" t="str">
        <f aca="false">IF(AE49=0,"",IF(OR(NOT(LH_Ready),BA49=0),0,SUMPRODUCT(MAX((INDEX(LH_Data,0,LH_ColFirst)=$A49)*(INDEX(LH_Data,0,LH_ColSur)=$B49)*(INDEX(LH_Data,0,LH_ColCat)=BonusCat)*ROW(LH_Data)))))</f>
        <v/>
      </c>
    </row>
    <row r="50" customFormat="false" ht="15" hidden="false" customHeight="false" outlineLevel="0" collapsed="false">
      <c r="A50" s="15"/>
      <c r="B50" s="15"/>
      <c r="C50" s="15"/>
      <c r="D50" s="16"/>
      <c r="E50" s="10" t="str">
        <f aca="false">IF(OR(AE50=0,$D50=""),"",DATE(YEAR(AsOfDate)+IF(DATE(YEAR(AsOfDate),MONTH($D50),DAY($D50))&lt;=AsOfDate,1,0),MONTH($D50),DAY($D50)))</f>
        <v/>
      </c>
      <c r="F50" s="16"/>
      <c r="G50" s="16"/>
      <c r="H50" s="16"/>
      <c r="I50" s="16"/>
      <c r="J50" s="16"/>
      <c r="K50" s="10" t="str">
        <f aca="false">IF(AE50=0,"",DATE(YEAR(AsOfDate)+IF(DATE(YEAR(AsOfDate),MONTH($F50),DAY($F50))&lt;=AsOfDate,1,0),MONTH($F50),DAY($F50)))</f>
        <v/>
      </c>
      <c r="L50" s="11" t="str">
        <f aca="false">IF(AE50=0,"",ROUND((AsOfDate-$F50)/365.25,1))</f>
        <v/>
      </c>
      <c r="M50" s="12" t="str">
        <f aca="false">IF(AE50=0,"",IF(AsOfDate&lt;AF50,"-",DATEDIF(AF50,AsOfDate,"y")&amp;"y "&amp;DATEDIF(AF50,AsOfDate,"ym")&amp;"m "&amp;DATEDIF(AF50,AsOfDate,"md")&amp;"d"))</f>
        <v/>
      </c>
      <c r="N50" s="13" t="str">
        <f aca="false">IF(AE50=0,"",O50*HoursPerDay)</f>
        <v/>
      </c>
      <c r="O50" s="13" t="str">
        <f aca="false">IF(AE50=0,"",AX50)</f>
        <v/>
      </c>
      <c r="P50" s="17"/>
      <c r="Q50" s="12" t="str">
        <f aca="false">IF(AE50=0,"",IF(AG50&lt;2,"",AK50&amp;" to "&amp;AL50&amp;" on "&amp;TEXT(AI50,"dd/mm/yyyy")&amp;IF(AI50&gt;AsOfDate," (future)",IF(AN50=AO50,"",IF(AO50="None"," - STOPPED accruing",IF(AN50="None"," - now qualifying"," - pathway changed"))))&amp;IF(AG50&lt;3,"","; "&amp;AL50&amp;" to "&amp;AM50&amp;" on "&amp;TEXT(AJ50,"dd/mm/yyyy")&amp;IF(AJ50&gt;AsOfDate," (future)",IF(AO50=AP50,"",IF(AP50="None"," - STOPPED accruing",IF(AO50="None"," - now qualifying"," - pathway changed")))))))</f>
        <v/>
      </c>
      <c r="R50" s="12" t="str">
        <f aca="false">IF(AE50=0,"",IF(AQ50="None",IF(O50&gt;0,"No longer accruing","Not eligible - "&amp;IF(AND(OR(ISNUMBER(SEARCH("part",$C50)),UPPER(TRIM($C50))="PT",UPPER(TRIM($C50))="PTE"),$P50&lt;&gt;"",N($P50)&lt;PT_MinHours),"under "&amp;PT_MinHours&amp;" hrs",IF(IF($C50="","",IF(OR(ISNUMBER(SEARCH("full",$C50)),UPPER(TRIM($C50))="FT",UPPER(TRIM($C50))="FTE"),"Full-Time",IF(OR(ISNUMBER(SEARCH("part",$C50)),UPPER(TRIM($C50))="PT",UPPER(TRIM($C50))="PTE"),"Part-Time",IF(OR(ISNUMBER(SEARCH("cas",$C50)),UPPER(TRIM($C50))="CAS"),"Casual","Unknown"))))="Unknown","type not recognised",$C50))),IF(O50&gt;0,"Yes - accruing","Not yet - from "&amp;TEXT(S50,"dd/mm/yyyy"))))</f>
        <v/>
      </c>
      <c r="S50" s="10" t="str">
        <f aca="false">IF(AE50=0,"",IF(AQ50="None","",EDATE(AF50,AZ50)))</f>
        <v/>
      </c>
      <c r="T50" s="13" t="str">
        <f aca="false">IF(OR(AE50=0,W50=""),"",W50-U50+V50)</f>
        <v/>
      </c>
      <c r="U50" s="13" t="str">
        <f aca="false">IF(AE50=0,"",IF(NOT(LH_Ready),"",SUMIFS(INDEX(LH_Data,0,LH_ColAcc),INDEX(LH_Data,0,LH_ColFirst),$A50,INDEX(LH_Data,0,LH_ColSur),$B50,INDEX(LH_Data,0,LH_ColCat),BonusCat)*UnitFactor))</f>
        <v/>
      </c>
      <c r="V50" s="13" t="str">
        <f aca="false">IF(AE50=0,"",IF(NOT(LH_Ready),"",SUMIFS(INDEX(LH_Data,0,LH_ColTaken),INDEX(LH_Data,0,LH_ColFirst),$A50,INDEX(LH_Data,0,LH_ColSur),$B50,INDEX(LH_Data,0,LH_ColCat),BonusCat)*UnitFactor))</f>
        <v/>
      </c>
      <c r="W50" s="13" t="str">
        <f aca="false">IF(AE50=0,"",IF(NOT(LH_Ready),"",IF(BB50=0,0,INDEX(INDEX(LH_Data,0,LH_ColClose),BB50-1)*UnitFactor)))</f>
        <v/>
      </c>
      <c r="X50" s="13" t="str">
        <f aca="false">IF(AE50=0,"",(AX50-AY50)*HoursPerDay)</f>
        <v/>
      </c>
      <c r="Y50" s="13" t="str">
        <f aca="false">IF(AE50=0,"",IF(NOT(LH_Ready),"",IF(BA50=0,N50,X50-N(U50))))</f>
        <v/>
      </c>
      <c r="Z50" s="12" t="str">
        <f aca="false">IF(OR(AE50=0,Y50=""),"",IF(Y50&gt;0,"Yes","No"))</f>
        <v/>
      </c>
      <c r="AA50" s="12" t="str">
        <f aca="false">IF(AE50=0,IF(LEN($A50&amp;$B50)=0,"","FIX INPUT - StartDate missing"),IF(AD50&lt;&gt;"","FIX INPUT - "&amp;AD50,IF(NOT(LH_Ready),"Paste Leave History export (Settings must show YES)",IF(Y50&gt;0,"ACCRUE "&amp;ROUND(Y50,2)&amp;" hrs ("&amp;ROUND(Y50/HoursPerDay,2)&amp;" days)"&amp;IF(BA50=0," - no Bonus Leave in EH yet, full catch-up since start",""),IF(Y50&lt;0,"CHECK - EH accrued "&amp;ROUND(-Y50,2)&amp;""&amp;" hrs more than policy",IF(O50&gt;0,"OK - nothing to add",IF(AQ50="None",R50,"Not yet - first day on "&amp;TEXT(S50,"dd/mm/yyyy"))))))))</f>
        <v/>
      </c>
      <c r="AB50" s="13" t="str">
        <f aca="false">IF(OR(AE50=0,T50=""),"",AY50*HoursPerDay-T50)</f>
        <v/>
      </c>
      <c r="AC50" s="12" t="str">
        <f aca="false">IF(AE50=0,"",BA50)</f>
        <v/>
      </c>
      <c r="AD50" s="12" t="str">
        <f aca="false">IF(AE50=0,"",TRIM(IF(IF($C50="","",IF(OR(ISNUMBER(SEARCH("full",$C50)),UPPER(TRIM($C50))="FT",UPPER(TRIM($C50))="FTE"),"Full-Time",IF(OR(ISNUMBER(SEARCH("part",$C50)),UPPER(TRIM($C50))="PT",UPPER(TRIM($C50))="PTE"),"Part-Time",IF(OR(ISNUMBER(SEARCH("cas",$C50)),UPPER(TRIM($C50))="CAS"),"Casual","Unknown"))))="Unknown","EmploymentType not recognised - use Full-Time, Part-Time or Casual. ","")&amp;IF(AND(AG50&gt;=1,IF(AG50&gt;=3,AM50,IF(AG50=2,AL50,AK50))&lt;&gt;IF($C50="","",IF(OR(ISNUMBER(SEARCH("full",$C50)),UPPER(TRIM($C50))="FT",UPPER(TRIM($C50))="FTE"),"Full-Time",IF(OR(ISNUMBER(SEARCH("part",$C50)),UPPER(TRIM($C50))="PT",UPPER(TRIM($C50))="PTE"),"Part-Time",IF(OR(ISNUMBER(SEARCH("cas",$C50)),UPPER(TRIM($C50))="CAS"),"Casual","Unknown"))))),"EmploymentType does not match latest start date ("&amp;IF(AG50&gt;=3,AM50,IF(AG50=2,AL50,AK50))&amp;"). ","")&amp;IF(AND(AG50&gt;=1,AH50&lt;&gt;$F50),"Earliest type date should equal StartDate. ","")&amp;IF(AND(AG50&gt;=2,AH50=AI50),"Two types start on the same date. ","")&amp;IF(AND(OR(ISNUMBER(SEARCH("part",$C50)),UPPER(TRIM($C50))="PT",UPPER(TRIM($C50))="PTE"),$P50=""),"Part-time: enter PT Hrs/Week (blank = 24+). ","")))</f>
        <v/>
      </c>
      <c r="AE50" s="12" t="n">
        <f aca="false">IF(OR(LEN($A50&amp;$B50)=0,$F50=""),0,1)</f>
        <v>0</v>
      </c>
      <c r="AF50" s="10" t="str">
        <f aca="false">IF(AE50=0,"",IF($J50&lt;&gt;"",$J50,$F50))</f>
        <v/>
      </c>
      <c r="AG50" s="12" t="str">
        <f aca="false">IF(AE50=0,"",COUNT($G50:$I50))</f>
        <v/>
      </c>
      <c r="AH50" s="10" t="str">
        <f aca="false">IF(AE50=0,"",IFERROR(SMALL($G50:$I50,1),""))</f>
        <v/>
      </c>
      <c r="AI50" s="10" t="str">
        <f aca="false">IF(AE50=0,"",IFERROR(SMALL($G50:$I50,2),""))</f>
        <v/>
      </c>
      <c r="AJ50" s="10" t="str">
        <f aca="false">IF(AE50=0,"",IFERROR(SMALL($G50:$I50,3),""))</f>
        <v/>
      </c>
      <c r="AK50" s="12" t="str">
        <f aca="false">IF(AE50=0,"",IF(AH50="","",IF(AH50=$G50,"Part-Time",IF(AH50=$H50,"Full-Time","Casual"))))</f>
        <v/>
      </c>
      <c r="AL50" s="12" t="str">
        <f aca="false">IF(AE50=0,"",IF(AI50="","",IF(AI50=$G50,"Part-Time",IF(AI50=$H50,"Full-Time","Casual"))))</f>
        <v/>
      </c>
      <c r="AM50" s="12" t="str">
        <f aca="false">IF(AE50=0,"",IF(AJ50="","",IF(AJ50=$G50,"Part-Time",IF(AJ50=$H50,"Full-Time","Casual"))))</f>
        <v/>
      </c>
      <c r="AN50" s="12" t="str">
        <f aca="false">IF(AE50=0,"",IF(AG50=0,IF(OR(ISNUMBER(SEARCH("full",$C50)),UPPER(TRIM($C50))="FT",UPPER(TRIM($C50))="FTE"),"FT",IF(AND(OR(ISNUMBER(SEARCH("part",$C50)),UPPER(TRIM($C50))="PT",UPPER(TRIM($C50))="PTE"),OR($P50="",N($P50)&gt;=PT_MinHours)),"PT","None")),IF(OR(ISNUMBER(SEARCH("full",AK50)),UPPER(TRIM(AK50))="FT",UPPER(TRIM(AK50))="FTE"),"FT",IF(AND(OR(ISNUMBER(SEARCH("part",AK50)),UPPER(TRIM(AK50))="PT",UPPER(TRIM(AK50))="PTE"),OR($P50="",N($P50)&gt;=PT_MinHours)),"PT","None"))))</f>
        <v/>
      </c>
      <c r="AO50" s="12" t="str">
        <f aca="false">IF(AE50=0,"",IF(AG50&lt;2,"",IF(OR(ISNUMBER(SEARCH("full",AL50)),UPPER(TRIM(AL50))="FT",UPPER(TRIM(AL50))="FTE"),"FT",IF(AND(OR(ISNUMBER(SEARCH("part",AL50)),UPPER(TRIM(AL50))="PT",UPPER(TRIM(AL50))="PTE"),OR($P50="",N($P50)&gt;=PT_MinHours)),"PT","None"))))</f>
        <v/>
      </c>
      <c r="AP50" s="12" t="str">
        <f aca="false">IF(AE50=0,"",IF(AG50&lt;3,"",IF(OR(ISNUMBER(SEARCH("full",AM50)),UPPER(TRIM(AM50))="FT",UPPER(TRIM(AM50))="FTE"),"FT",IF(AND(OR(ISNUMBER(SEARCH("part",AM50)),UPPER(TRIM(AM50))="PT",UPPER(TRIM(AM50))="PTE"),OR($P50="",N($P50)&gt;=PT_MinHours)),"PT","None"))))</f>
        <v/>
      </c>
      <c r="AQ50" s="12" t="str">
        <f aca="false">IF(AE50=0,"",IF(AND(AG50&gt;=3,AJ50&lt;=AsOfDate),AP50,IF(AND(AG50&gt;=2,AI50&lt;=AsOfDate),AO50,AN50)))</f>
        <v/>
      </c>
      <c r="AR50" s="12" t="str">
        <f aca="false">IF(AE50=0,"",IF(AsOfDate&lt;AF50,-1,12*(YEAR(AsOfDate)-YEAR(AF50))+MONTH(AsOfDate)-MONTH(AF50)-IF(DAY(AsOfDate)&lt;MIN(DAY(AF50),DAY(EOMONTH(AsOfDate,0))),1,0)))</f>
        <v/>
      </c>
      <c r="AS50" s="12" t="str">
        <f aca="false">IF(AE50=0,"",IF(OR(AG50&lt;2,AI50&gt;AsOfDate),AR50,IF((AI50-1)&lt;AF50,-1,12*(YEAR((AI50-1))-YEAR(AF50))+MONTH((AI50-1))-MONTH(AF50)-IF(DAY((AI50-1))&lt;MIN(DAY(AF50),DAY(EOMONTH((AI50-1),0))),1,0))))</f>
        <v/>
      </c>
      <c r="AT50" s="12" t="str">
        <f aca="false">IF(AE50=0,"",IF(OR(AG50&lt;3,AJ50&gt;AsOfDate),AR50,IF((AJ50-1)&lt;AF50,-1,12*(YEAR((AJ50-1))-YEAR(AF50))+MONTH((AJ50-1))-MONTH(AF50)-IF(DAY((AJ50-1))&lt;MIN(DAY(AF50),DAY(EOMONTH((AJ50-1),0))),1,0))))</f>
        <v/>
      </c>
      <c r="AU50" s="12" t="str">
        <f aca="false">IF(AE50=0,"",IF(PFYDate&lt;AF50,-1,12*(YEAR(PFYDate)-YEAR(AF50))+MONTH(PFYDate)-MONTH(AF50)-IF(DAY(PFYDate)&lt;MIN(DAY(AF50),DAY(EOMONTH(PFYDate,0))),1,0)))</f>
        <v/>
      </c>
      <c r="AV50" s="12" t="str">
        <f aca="false">IF(AE50=0,"",IF(OR(AG50&lt;2,AI50&gt;PFYDate),AU50,IF((AI50-1)&lt;AF50,-1,12*(YEAR((AI50-1))-YEAR(AF50))+MONTH((AI50-1))-MONTH(AF50)-IF(DAY((AI50-1))&lt;MIN(DAY(AF50),DAY(EOMONTH((AI50-1),0))),1,0))))</f>
        <v/>
      </c>
      <c r="AW50" s="12" t="str">
        <f aca="false">IF(AE50=0,"",IF(OR(AG50&lt;3,AJ50&gt;PFYDate),AU50,IF((AJ50-1)&lt;AF50,-1,12*(YEAR((AJ50-1))-YEAR(AF50))+MONTH((AJ50-1))-MONTH(AF50)-IF(DAY((AJ50-1))&lt;MIN(DAY(AF50),DAY(EOMONTH((AJ50-1),0))),1,0))))</f>
        <v/>
      </c>
      <c r="AX50" s="12" t="str">
        <f aca="false">IF(AE50=0,"",IF(AN50="FT",IF(AS50&lt;FT_First,0,IF(AS50&lt;FT_Y5,1+INT((AS50-FT_First)/FT_Int1),FT_PreY5+FT_PerYear*INT((AS50-FT_Y5)/12)+FT_AnnivDays+INT(MOD(AS50-FT_Y5,12)/FT_Int2))),IF(AN50="PT",IF(AS50&lt;PT_First,0,1+INT((AS50-PT_First)/PT_Int)),0))+IF(AND(AG50&gt;=2,AI50&lt;=AsOfDate),IF(AO50="FT",IF(AT50&lt;FT_First,0,IF(AT50&lt;FT_Y5,1+INT((AT50-FT_First)/FT_Int1),FT_PreY5+FT_PerYear*INT((AT50-FT_Y5)/12)+FT_AnnivDays+INT(MOD(AT50-FT_Y5,12)/FT_Int2))),IF(AO50="PT",IF(AT50&lt;PT_First,0,1+INT((AT50-PT_First)/PT_Int)),0))-IF(AO50="FT",IF(AS50&lt;FT_First,0,IF(AS50&lt;FT_Y5,1+INT((AS50-FT_First)/FT_Int1),FT_PreY5+FT_PerYear*INT((AS50-FT_Y5)/12)+FT_AnnivDays+INT(MOD(AS50-FT_Y5,12)/FT_Int2))),IF(AO50="PT",IF(AS50&lt;PT_First,0,1+INT((AS50-PT_First)/PT_Int)),0)),0)+IF(AND(AG50&gt;=3,AJ50&lt;=AsOfDate),IF(AP50="FT",IF(AR50&lt;FT_First,0,IF(AR50&lt;FT_Y5,1+INT((AR50-FT_First)/FT_Int1),FT_PreY5+FT_PerYear*INT((AR50-FT_Y5)/12)+FT_AnnivDays+INT(MOD(AR50-FT_Y5,12)/FT_Int2))),IF(AP50="PT",IF(AR50&lt;PT_First,0,1+INT((AR50-PT_First)/PT_Int)),0))-IF(AP50="FT",IF(AT50&lt;FT_First,0,IF(AT50&lt;FT_Y5,1+INT((AT50-FT_First)/FT_Int1),FT_PreY5+FT_PerYear*INT((AT50-FT_Y5)/12)+FT_AnnivDays+INT(MOD(AT50-FT_Y5,12)/FT_Int2))),IF(AP50="PT",IF(AT50&lt;PT_First,0,1+INT((AT50-PT_First)/PT_Int)),0)),0))</f>
        <v/>
      </c>
      <c r="AY50" s="12" t="str">
        <f aca="false">IF(AE50=0,"",IF(AN50="FT",IF(AV50&lt;FT_First,0,IF(AV50&lt;FT_Y5,1+INT((AV50-FT_First)/FT_Int1),FT_PreY5+FT_PerYear*INT((AV50-FT_Y5)/12)+FT_AnnivDays+INT(MOD(AV50-FT_Y5,12)/FT_Int2))),IF(AN50="PT",IF(AV50&lt;PT_First,0,1+INT((AV50-PT_First)/PT_Int)),0))+IF(AND(AG50&gt;=2,AI50&lt;=PFYDate),IF(AO50="FT",IF(AW50&lt;FT_First,0,IF(AW50&lt;FT_Y5,1+INT((AW50-FT_First)/FT_Int1),FT_PreY5+FT_PerYear*INT((AW50-FT_Y5)/12)+FT_AnnivDays+INT(MOD(AW50-FT_Y5,12)/FT_Int2))),IF(AO50="PT",IF(AW50&lt;PT_First,0,1+INT((AW50-PT_First)/PT_Int)),0))-IF(AO50="FT",IF(AV50&lt;FT_First,0,IF(AV50&lt;FT_Y5,1+INT((AV50-FT_First)/FT_Int1),FT_PreY5+FT_PerYear*INT((AV50-FT_Y5)/12)+FT_AnnivDays+INT(MOD(AV50-FT_Y5,12)/FT_Int2))),IF(AO50="PT",IF(AV50&lt;PT_First,0,1+INT((AV50-PT_First)/PT_Int)),0)),0)+IF(AND(AG50&gt;=3,AJ50&lt;=PFYDate),IF(AP50="FT",IF(AU50&lt;FT_First,0,IF(AU50&lt;FT_Y5,1+INT((AU50-FT_First)/FT_Int1),FT_PreY5+FT_PerYear*INT((AU50-FT_Y5)/12)+FT_AnnivDays+INT(MOD(AU50-FT_Y5,12)/FT_Int2))),IF(AP50="PT",IF(AU50&lt;PT_First,0,1+INT((AU50-PT_First)/PT_Int)),0))-IF(AP50="FT",IF(AW50&lt;FT_First,0,IF(AW50&lt;FT_Y5,1+INT((AW50-FT_First)/FT_Int1),FT_PreY5+FT_PerYear*INT((AW50-FT_Y5)/12)+FT_AnnivDays+INT(MOD(AW50-FT_Y5,12)/FT_Int2))),IF(AP50="PT",IF(AW50&lt;PT_First,0,1+INT((AW50-PT_First)/PT_Int)),0)),0))</f>
        <v/>
      </c>
      <c r="AZ50" s="12" t="str">
        <f aca="false">IF(AE50=0,"",IF(AQ50="FT",IF(AR50&lt;FT_First,FT_First,IF(AR50&lt;FT_Y5,MIN(FT_Y5,FT_First+FT_Int1*(INT((AR50-FT_First)/FT_Int1)+1)),FT_Y5+12*INT((AR50-FT_Y5)/12)+FT_Int2*(INT(MOD(AR50-FT_Y5,12)/FT_Int2)+1))),IF(AQ50="PT",IF(AR50&lt;PT_First,PT_First,PT_First+PT_Int*(INT((AR50-PT_First)/PT_Int)+1)),"")))</f>
        <v/>
      </c>
      <c r="BA50" s="12" t="str">
        <f aca="false">IF(AE50=0,"",IF(NOT(LH_Ready),0,COUNTIFS(INDEX(LH_Data,0,LH_ColFirst),$A50,INDEX(LH_Data,0,LH_ColSur),$B50,INDEX(LH_Data,0,LH_ColCat),BonusCat)))</f>
        <v/>
      </c>
      <c r="BB50" s="12" t="str">
        <f aca="false">IF(AE50=0,"",IF(OR(NOT(LH_Ready),BA50=0),0,SUMPRODUCT(MAX((INDEX(LH_Data,0,LH_ColFirst)=$A50)*(INDEX(LH_Data,0,LH_ColSur)=$B50)*(INDEX(LH_Data,0,LH_ColCat)=BonusCat)*ROW(LH_Data)))))</f>
        <v/>
      </c>
    </row>
    <row r="51" customFormat="false" ht="15" hidden="false" customHeight="false" outlineLevel="0" collapsed="false">
      <c r="A51" s="15"/>
      <c r="B51" s="15"/>
      <c r="C51" s="15"/>
      <c r="D51" s="16"/>
      <c r="E51" s="10" t="str">
        <f aca="false">IF(OR(AE51=0,$D51=""),"",DATE(YEAR(AsOfDate)+IF(DATE(YEAR(AsOfDate),MONTH($D51),DAY($D51))&lt;=AsOfDate,1,0),MONTH($D51),DAY($D51)))</f>
        <v/>
      </c>
      <c r="F51" s="16"/>
      <c r="G51" s="16"/>
      <c r="H51" s="16"/>
      <c r="I51" s="16"/>
      <c r="J51" s="16"/>
      <c r="K51" s="10" t="str">
        <f aca="false">IF(AE51=0,"",DATE(YEAR(AsOfDate)+IF(DATE(YEAR(AsOfDate),MONTH($F51),DAY($F51))&lt;=AsOfDate,1,0),MONTH($F51),DAY($F51)))</f>
        <v/>
      </c>
      <c r="L51" s="11" t="str">
        <f aca="false">IF(AE51=0,"",ROUND((AsOfDate-$F51)/365.25,1))</f>
        <v/>
      </c>
      <c r="M51" s="12" t="str">
        <f aca="false">IF(AE51=0,"",IF(AsOfDate&lt;AF51,"-",DATEDIF(AF51,AsOfDate,"y")&amp;"y "&amp;DATEDIF(AF51,AsOfDate,"ym")&amp;"m "&amp;DATEDIF(AF51,AsOfDate,"md")&amp;"d"))</f>
        <v/>
      </c>
      <c r="N51" s="13" t="str">
        <f aca="false">IF(AE51=0,"",O51*HoursPerDay)</f>
        <v/>
      </c>
      <c r="O51" s="13" t="str">
        <f aca="false">IF(AE51=0,"",AX51)</f>
        <v/>
      </c>
      <c r="P51" s="17"/>
      <c r="Q51" s="12" t="str">
        <f aca="false">IF(AE51=0,"",IF(AG51&lt;2,"",AK51&amp;" to "&amp;AL51&amp;" on "&amp;TEXT(AI51,"dd/mm/yyyy")&amp;IF(AI51&gt;AsOfDate," (future)",IF(AN51=AO51,"",IF(AO51="None"," - STOPPED accruing",IF(AN51="None"," - now qualifying"," - pathway changed"))))&amp;IF(AG51&lt;3,"","; "&amp;AL51&amp;" to "&amp;AM51&amp;" on "&amp;TEXT(AJ51,"dd/mm/yyyy")&amp;IF(AJ51&gt;AsOfDate," (future)",IF(AO51=AP51,"",IF(AP51="None"," - STOPPED accruing",IF(AO51="None"," - now qualifying"," - pathway changed")))))))</f>
        <v/>
      </c>
      <c r="R51" s="12" t="str">
        <f aca="false">IF(AE51=0,"",IF(AQ51="None",IF(O51&gt;0,"No longer accruing","Not eligible - "&amp;IF(AND(OR(ISNUMBER(SEARCH("part",$C51)),UPPER(TRIM($C51))="PT",UPPER(TRIM($C51))="PTE"),$P51&lt;&gt;"",N($P51)&lt;PT_MinHours),"under "&amp;PT_MinHours&amp;" hrs",IF(IF($C51="","",IF(OR(ISNUMBER(SEARCH("full",$C51)),UPPER(TRIM($C51))="FT",UPPER(TRIM($C51))="FTE"),"Full-Time",IF(OR(ISNUMBER(SEARCH("part",$C51)),UPPER(TRIM($C51))="PT",UPPER(TRIM($C51))="PTE"),"Part-Time",IF(OR(ISNUMBER(SEARCH("cas",$C51)),UPPER(TRIM($C51))="CAS"),"Casual","Unknown"))))="Unknown","type not recognised",$C51))),IF(O51&gt;0,"Yes - accruing","Not yet - from "&amp;TEXT(S51,"dd/mm/yyyy"))))</f>
        <v/>
      </c>
      <c r="S51" s="10" t="str">
        <f aca="false">IF(AE51=0,"",IF(AQ51="None","",EDATE(AF51,AZ51)))</f>
        <v/>
      </c>
      <c r="T51" s="13" t="str">
        <f aca="false">IF(OR(AE51=0,W51=""),"",W51-U51+V51)</f>
        <v/>
      </c>
      <c r="U51" s="13" t="str">
        <f aca="false">IF(AE51=0,"",IF(NOT(LH_Ready),"",SUMIFS(INDEX(LH_Data,0,LH_ColAcc),INDEX(LH_Data,0,LH_ColFirst),$A51,INDEX(LH_Data,0,LH_ColSur),$B51,INDEX(LH_Data,0,LH_ColCat),BonusCat)*UnitFactor))</f>
        <v/>
      </c>
      <c r="V51" s="13" t="str">
        <f aca="false">IF(AE51=0,"",IF(NOT(LH_Ready),"",SUMIFS(INDEX(LH_Data,0,LH_ColTaken),INDEX(LH_Data,0,LH_ColFirst),$A51,INDEX(LH_Data,0,LH_ColSur),$B51,INDEX(LH_Data,0,LH_ColCat),BonusCat)*UnitFactor))</f>
        <v/>
      </c>
      <c r="W51" s="13" t="str">
        <f aca="false">IF(AE51=0,"",IF(NOT(LH_Ready),"",IF(BB51=0,0,INDEX(INDEX(LH_Data,0,LH_ColClose),BB51-1)*UnitFactor)))</f>
        <v/>
      </c>
      <c r="X51" s="13" t="str">
        <f aca="false">IF(AE51=0,"",(AX51-AY51)*HoursPerDay)</f>
        <v/>
      </c>
      <c r="Y51" s="13" t="str">
        <f aca="false">IF(AE51=0,"",IF(NOT(LH_Ready),"",IF(BA51=0,N51,X51-N(U51))))</f>
        <v/>
      </c>
      <c r="Z51" s="12" t="str">
        <f aca="false">IF(OR(AE51=0,Y51=""),"",IF(Y51&gt;0,"Yes","No"))</f>
        <v/>
      </c>
      <c r="AA51" s="12" t="str">
        <f aca="false">IF(AE51=0,IF(LEN($A51&amp;$B51)=0,"","FIX INPUT - StartDate missing"),IF(AD51&lt;&gt;"","FIX INPUT - "&amp;AD51,IF(NOT(LH_Ready),"Paste Leave History export (Settings must show YES)",IF(Y51&gt;0,"ACCRUE "&amp;ROUND(Y51,2)&amp;" hrs ("&amp;ROUND(Y51/HoursPerDay,2)&amp;" days)"&amp;IF(BA51=0," - no Bonus Leave in EH yet, full catch-up since start",""),IF(Y51&lt;0,"CHECK - EH accrued "&amp;ROUND(-Y51,2)&amp;""&amp;" hrs more than policy",IF(O51&gt;0,"OK - nothing to add",IF(AQ51="None",R51,"Not yet - first day on "&amp;TEXT(S51,"dd/mm/yyyy"))))))))</f>
        <v/>
      </c>
      <c r="AB51" s="13" t="str">
        <f aca="false">IF(OR(AE51=0,T51=""),"",AY51*HoursPerDay-T51)</f>
        <v/>
      </c>
      <c r="AC51" s="12" t="str">
        <f aca="false">IF(AE51=0,"",BA51)</f>
        <v/>
      </c>
      <c r="AD51" s="12" t="str">
        <f aca="false">IF(AE51=0,"",TRIM(IF(IF($C51="","",IF(OR(ISNUMBER(SEARCH("full",$C51)),UPPER(TRIM($C51))="FT",UPPER(TRIM($C51))="FTE"),"Full-Time",IF(OR(ISNUMBER(SEARCH("part",$C51)),UPPER(TRIM($C51))="PT",UPPER(TRIM($C51))="PTE"),"Part-Time",IF(OR(ISNUMBER(SEARCH("cas",$C51)),UPPER(TRIM($C51))="CAS"),"Casual","Unknown"))))="Unknown","EmploymentType not recognised - use Full-Time, Part-Time or Casual. ","")&amp;IF(AND(AG51&gt;=1,IF(AG51&gt;=3,AM51,IF(AG51=2,AL51,AK51))&lt;&gt;IF($C51="","",IF(OR(ISNUMBER(SEARCH("full",$C51)),UPPER(TRIM($C51))="FT",UPPER(TRIM($C51))="FTE"),"Full-Time",IF(OR(ISNUMBER(SEARCH("part",$C51)),UPPER(TRIM($C51))="PT",UPPER(TRIM($C51))="PTE"),"Part-Time",IF(OR(ISNUMBER(SEARCH("cas",$C51)),UPPER(TRIM($C51))="CAS"),"Casual","Unknown"))))),"EmploymentType does not match latest start date ("&amp;IF(AG51&gt;=3,AM51,IF(AG51=2,AL51,AK51))&amp;"). ","")&amp;IF(AND(AG51&gt;=1,AH51&lt;&gt;$F51),"Earliest type date should equal StartDate. ","")&amp;IF(AND(AG51&gt;=2,AH51=AI51),"Two types start on the same date. ","")&amp;IF(AND(OR(ISNUMBER(SEARCH("part",$C51)),UPPER(TRIM($C51))="PT",UPPER(TRIM($C51))="PTE"),$P51=""),"Part-time: enter PT Hrs/Week (blank = 24+). ","")))</f>
        <v/>
      </c>
      <c r="AE51" s="12" t="n">
        <f aca="false">IF(OR(LEN($A51&amp;$B51)=0,$F51=""),0,1)</f>
        <v>0</v>
      </c>
      <c r="AF51" s="10" t="str">
        <f aca="false">IF(AE51=0,"",IF($J51&lt;&gt;"",$J51,$F51))</f>
        <v/>
      </c>
      <c r="AG51" s="12" t="str">
        <f aca="false">IF(AE51=0,"",COUNT($G51:$I51))</f>
        <v/>
      </c>
      <c r="AH51" s="10" t="str">
        <f aca="false">IF(AE51=0,"",IFERROR(SMALL($G51:$I51,1),""))</f>
        <v/>
      </c>
      <c r="AI51" s="10" t="str">
        <f aca="false">IF(AE51=0,"",IFERROR(SMALL($G51:$I51,2),""))</f>
        <v/>
      </c>
      <c r="AJ51" s="10" t="str">
        <f aca="false">IF(AE51=0,"",IFERROR(SMALL($G51:$I51,3),""))</f>
        <v/>
      </c>
      <c r="AK51" s="12" t="str">
        <f aca="false">IF(AE51=0,"",IF(AH51="","",IF(AH51=$G51,"Part-Time",IF(AH51=$H51,"Full-Time","Casual"))))</f>
        <v/>
      </c>
      <c r="AL51" s="12" t="str">
        <f aca="false">IF(AE51=0,"",IF(AI51="","",IF(AI51=$G51,"Part-Time",IF(AI51=$H51,"Full-Time","Casual"))))</f>
        <v/>
      </c>
      <c r="AM51" s="12" t="str">
        <f aca="false">IF(AE51=0,"",IF(AJ51="","",IF(AJ51=$G51,"Part-Time",IF(AJ51=$H51,"Full-Time","Casual"))))</f>
        <v/>
      </c>
      <c r="AN51" s="12" t="str">
        <f aca="false">IF(AE51=0,"",IF(AG51=0,IF(OR(ISNUMBER(SEARCH("full",$C51)),UPPER(TRIM($C51))="FT",UPPER(TRIM($C51))="FTE"),"FT",IF(AND(OR(ISNUMBER(SEARCH("part",$C51)),UPPER(TRIM($C51))="PT",UPPER(TRIM($C51))="PTE"),OR($P51="",N($P51)&gt;=PT_MinHours)),"PT","None")),IF(OR(ISNUMBER(SEARCH("full",AK51)),UPPER(TRIM(AK51))="FT",UPPER(TRIM(AK51))="FTE"),"FT",IF(AND(OR(ISNUMBER(SEARCH("part",AK51)),UPPER(TRIM(AK51))="PT",UPPER(TRIM(AK51))="PTE"),OR($P51="",N($P51)&gt;=PT_MinHours)),"PT","None"))))</f>
        <v/>
      </c>
      <c r="AO51" s="12" t="str">
        <f aca="false">IF(AE51=0,"",IF(AG51&lt;2,"",IF(OR(ISNUMBER(SEARCH("full",AL51)),UPPER(TRIM(AL51))="FT",UPPER(TRIM(AL51))="FTE"),"FT",IF(AND(OR(ISNUMBER(SEARCH("part",AL51)),UPPER(TRIM(AL51))="PT",UPPER(TRIM(AL51))="PTE"),OR($P51="",N($P51)&gt;=PT_MinHours)),"PT","None"))))</f>
        <v/>
      </c>
      <c r="AP51" s="12" t="str">
        <f aca="false">IF(AE51=0,"",IF(AG51&lt;3,"",IF(OR(ISNUMBER(SEARCH("full",AM51)),UPPER(TRIM(AM51))="FT",UPPER(TRIM(AM51))="FTE"),"FT",IF(AND(OR(ISNUMBER(SEARCH("part",AM51)),UPPER(TRIM(AM51))="PT",UPPER(TRIM(AM51))="PTE"),OR($P51="",N($P51)&gt;=PT_MinHours)),"PT","None"))))</f>
        <v/>
      </c>
      <c r="AQ51" s="12" t="str">
        <f aca="false">IF(AE51=0,"",IF(AND(AG51&gt;=3,AJ51&lt;=AsOfDate),AP51,IF(AND(AG51&gt;=2,AI51&lt;=AsOfDate),AO51,AN51)))</f>
        <v/>
      </c>
      <c r="AR51" s="12" t="str">
        <f aca="false">IF(AE51=0,"",IF(AsOfDate&lt;AF51,-1,12*(YEAR(AsOfDate)-YEAR(AF51))+MONTH(AsOfDate)-MONTH(AF51)-IF(DAY(AsOfDate)&lt;MIN(DAY(AF51),DAY(EOMONTH(AsOfDate,0))),1,0)))</f>
        <v/>
      </c>
      <c r="AS51" s="12" t="str">
        <f aca="false">IF(AE51=0,"",IF(OR(AG51&lt;2,AI51&gt;AsOfDate),AR51,IF((AI51-1)&lt;AF51,-1,12*(YEAR((AI51-1))-YEAR(AF51))+MONTH((AI51-1))-MONTH(AF51)-IF(DAY((AI51-1))&lt;MIN(DAY(AF51),DAY(EOMONTH((AI51-1),0))),1,0))))</f>
        <v/>
      </c>
      <c r="AT51" s="12" t="str">
        <f aca="false">IF(AE51=0,"",IF(OR(AG51&lt;3,AJ51&gt;AsOfDate),AR51,IF((AJ51-1)&lt;AF51,-1,12*(YEAR((AJ51-1))-YEAR(AF51))+MONTH((AJ51-1))-MONTH(AF51)-IF(DAY((AJ51-1))&lt;MIN(DAY(AF51),DAY(EOMONTH((AJ51-1),0))),1,0))))</f>
        <v/>
      </c>
      <c r="AU51" s="12" t="str">
        <f aca="false">IF(AE51=0,"",IF(PFYDate&lt;AF51,-1,12*(YEAR(PFYDate)-YEAR(AF51))+MONTH(PFYDate)-MONTH(AF51)-IF(DAY(PFYDate)&lt;MIN(DAY(AF51),DAY(EOMONTH(PFYDate,0))),1,0)))</f>
        <v/>
      </c>
      <c r="AV51" s="12" t="str">
        <f aca="false">IF(AE51=0,"",IF(OR(AG51&lt;2,AI51&gt;PFYDate),AU51,IF((AI51-1)&lt;AF51,-1,12*(YEAR((AI51-1))-YEAR(AF51))+MONTH((AI51-1))-MONTH(AF51)-IF(DAY((AI51-1))&lt;MIN(DAY(AF51),DAY(EOMONTH((AI51-1),0))),1,0))))</f>
        <v/>
      </c>
      <c r="AW51" s="12" t="str">
        <f aca="false">IF(AE51=0,"",IF(OR(AG51&lt;3,AJ51&gt;PFYDate),AU51,IF((AJ51-1)&lt;AF51,-1,12*(YEAR((AJ51-1))-YEAR(AF51))+MONTH((AJ51-1))-MONTH(AF51)-IF(DAY((AJ51-1))&lt;MIN(DAY(AF51),DAY(EOMONTH((AJ51-1),0))),1,0))))</f>
        <v/>
      </c>
      <c r="AX51" s="12" t="str">
        <f aca="false">IF(AE51=0,"",IF(AN51="FT",IF(AS51&lt;FT_First,0,IF(AS51&lt;FT_Y5,1+INT((AS51-FT_First)/FT_Int1),FT_PreY5+FT_PerYear*INT((AS51-FT_Y5)/12)+FT_AnnivDays+INT(MOD(AS51-FT_Y5,12)/FT_Int2))),IF(AN51="PT",IF(AS51&lt;PT_First,0,1+INT((AS51-PT_First)/PT_Int)),0))+IF(AND(AG51&gt;=2,AI51&lt;=AsOfDate),IF(AO51="FT",IF(AT51&lt;FT_First,0,IF(AT51&lt;FT_Y5,1+INT((AT51-FT_First)/FT_Int1),FT_PreY5+FT_PerYear*INT((AT51-FT_Y5)/12)+FT_AnnivDays+INT(MOD(AT51-FT_Y5,12)/FT_Int2))),IF(AO51="PT",IF(AT51&lt;PT_First,0,1+INT((AT51-PT_First)/PT_Int)),0))-IF(AO51="FT",IF(AS51&lt;FT_First,0,IF(AS51&lt;FT_Y5,1+INT((AS51-FT_First)/FT_Int1),FT_PreY5+FT_PerYear*INT((AS51-FT_Y5)/12)+FT_AnnivDays+INT(MOD(AS51-FT_Y5,12)/FT_Int2))),IF(AO51="PT",IF(AS51&lt;PT_First,0,1+INT((AS51-PT_First)/PT_Int)),0)),0)+IF(AND(AG51&gt;=3,AJ51&lt;=AsOfDate),IF(AP51="FT",IF(AR51&lt;FT_First,0,IF(AR51&lt;FT_Y5,1+INT((AR51-FT_First)/FT_Int1),FT_PreY5+FT_PerYear*INT((AR51-FT_Y5)/12)+FT_AnnivDays+INT(MOD(AR51-FT_Y5,12)/FT_Int2))),IF(AP51="PT",IF(AR51&lt;PT_First,0,1+INT((AR51-PT_First)/PT_Int)),0))-IF(AP51="FT",IF(AT51&lt;FT_First,0,IF(AT51&lt;FT_Y5,1+INT((AT51-FT_First)/FT_Int1),FT_PreY5+FT_PerYear*INT((AT51-FT_Y5)/12)+FT_AnnivDays+INT(MOD(AT51-FT_Y5,12)/FT_Int2))),IF(AP51="PT",IF(AT51&lt;PT_First,0,1+INT((AT51-PT_First)/PT_Int)),0)),0))</f>
        <v/>
      </c>
      <c r="AY51" s="12" t="str">
        <f aca="false">IF(AE51=0,"",IF(AN51="FT",IF(AV51&lt;FT_First,0,IF(AV51&lt;FT_Y5,1+INT((AV51-FT_First)/FT_Int1),FT_PreY5+FT_PerYear*INT((AV51-FT_Y5)/12)+FT_AnnivDays+INT(MOD(AV51-FT_Y5,12)/FT_Int2))),IF(AN51="PT",IF(AV51&lt;PT_First,0,1+INT((AV51-PT_First)/PT_Int)),0))+IF(AND(AG51&gt;=2,AI51&lt;=PFYDate),IF(AO51="FT",IF(AW51&lt;FT_First,0,IF(AW51&lt;FT_Y5,1+INT((AW51-FT_First)/FT_Int1),FT_PreY5+FT_PerYear*INT((AW51-FT_Y5)/12)+FT_AnnivDays+INT(MOD(AW51-FT_Y5,12)/FT_Int2))),IF(AO51="PT",IF(AW51&lt;PT_First,0,1+INT((AW51-PT_First)/PT_Int)),0))-IF(AO51="FT",IF(AV51&lt;FT_First,0,IF(AV51&lt;FT_Y5,1+INT((AV51-FT_First)/FT_Int1),FT_PreY5+FT_PerYear*INT((AV51-FT_Y5)/12)+FT_AnnivDays+INT(MOD(AV51-FT_Y5,12)/FT_Int2))),IF(AO51="PT",IF(AV51&lt;PT_First,0,1+INT((AV51-PT_First)/PT_Int)),0)),0)+IF(AND(AG51&gt;=3,AJ51&lt;=PFYDate),IF(AP51="FT",IF(AU51&lt;FT_First,0,IF(AU51&lt;FT_Y5,1+INT((AU51-FT_First)/FT_Int1),FT_PreY5+FT_PerYear*INT((AU51-FT_Y5)/12)+FT_AnnivDays+INT(MOD(AU51-FT_Y5,12)/FT_Int2))),IF(AP51="PT",IF(AU51&lt;PT_First,0,1+INT((AU51-PT_First)/PT_Int)),0))-IF(AP51="FT",IF(AW51&lt;FT_First,0,IF(AW51&lt;FT_Y5,1+INT((AW51-FT_First)/FT_Int1),FT_PreY5+FT_PerYear*INT((AW51-FT_Y5)/12)+FT_AnnivDays+INT(MOD(AW51-FT_Y5,12)/FT_Int2))),IF(AP51="PT",IF(AW51&lt;PT_First,0,1+INT((AW51-PT_First)/PT_Int)),0)),0))</f>
        <v/>
      </c>
      <c r="AZ51" s="12" t="str">
        <f aca="false">IF(AE51=0,"",IF(AQ51="FT",IF(AR51&lt;FT_First,FT_First,IF(AR51&lt;FT_Y5,MIN(FT_Y5,FT_First+FT_Int1*(INT((AR51-FT_First)/FT_Int1)+1)),FT_Y5+12*INT((AR51-FT_Y5)/12)+FT_Int2*(INT(MOD(AR51-FT_Y5,12)/FT_Int2)+1))),IF(AQ51="PT",IF(AR51&lt;PT_First,PT_First,PT_First+PT_Int*(INT((AR51-PT_First)/PT_Int)+1)),"")))</f>
        <v/>
      </c>
      <c r="BA51" s="12" t="str">
        <f aca="false">IF(AE51=0,"",IF(NOT(LH_Ready),0,COUNTIFS(INDEX(LH_Data,0,LH_ColFirst),$A51,INDEX(LH_Data,0,LH_ColSur),$B51,INDEX(LH_Data,0,LH_ColCat),BonusCat)))</f>
        <v/>
      </c>
      <c r="BB51" s="12" t="str">
        <f aca="false">IF(AE51=0,"",IF(OR(NOT(LH_Ready),BA51=0),0,SUMPRODUCT(MAX((INDEX(LH_Data,0,LH_ColFirst)=$A51)*(INDEX(LH_Data,0,LH_ColSur)=$B51)*(INDEX(LH_Data,0,LH_ColCat)=BonusCat)*ROW(LH_Data)))))</f>
        <v/>
      </c>
    </row>
    <row r="52" customFormat="false" ht="15" hidden="false" customHeight="false" outlineLevel="0" collapsed="false">
      <c r="A52" s="15"/>
      <c r="B52" s="15"/>
      <c r="C52" s="15"/>
      <c r="D52" s="16"/>
      <c r="E52" s="10" t="str">
        <f aca="false">IF(OR(AE52=0,$D52=""),"",DATE(YEAR(AsOfDate)+IF(DATE(YEAR(AsOfDate),MONTH($D52),DAY($D52))&lt;=AsOfDate,1,0),MONTH($D52),DAY($D52)))</f>
        <v/>
      </c>
      <c r="F52" s="16"/>
      <c r="G52" s="16"/>
      <c r="H52" s="16"/>
      <c r="I52" s="16"/>
      <c r="J52" s="16"/>
      <c r="K52" s="10" t="str">
        <f aca="false">IF(AE52=0,"",DATE(YEAR(AsOfDate)+IF(DATE(YEAR(AsOfDate),MONTH($F52),DAY($F52))&lt;=AsOfDate,1,0),MONTH($F52),DAY($F52)))</f>
        <v/>
      </c>
      <c r="L52" s="11" t="str">
        <f aca="false">IF(AE52=0,"",ROUND((AsOfDate-$F52)/365.25,1))</f>
        <v/>
      </c>
      <c r="M52" s="12" t="str">
        <f aca="false">IF(AE52=0,"",IF(AsOfDate&lt;AF52,"-",DATEDIF(AF52,AsOfDate,"y")&amp;"y "&amp;DATEDIF(AF52,AsOfDate,"ym")&amp;"m "&amp;DATEDIF(AF52,AsOfDate,"md")&amp;"d"))</f>
        <v/>
      </c>
      <c r="N52" s="13" t="str">
        <f aca="false">IF(AE52=0,"",O52*HoursPerDay)</f>
        <v/>
      </c>
      <c r="O52" s="13" t="str">
        <f aca="false">IF(AE52=0,"",AX52)</f>
        <v/>
      </c>
      <c r="P52" s="17"/>
      <c r="Q52" s="12" t="str">
        <f aca="false">IF(AE52=0,"",IF(AG52&lt;2,"",AK52&amp;" to "&amp;AL52&amp;" on "&amp;TEXT(AI52,"dd/mm/yyyy")&amp;IF(AI52&gt;AsOfDate," (future)",IF(AN52=AO52,"",IF(AO52="None"," - STOPPED accruing",IF(AN52="None"," - now qualifying"," - pathway changed"))))&amp;IF(AG52&lt;3,"","; "&amp;AL52&amp;" to "&amp;AM52&amp;" on "&amp;TEXT(AJ52,"dd/mm/yyyy")&amp;IF(AJ52&gt;AsOfDate," (future)",IF(AO52=AP52,"",IF(AP52="None"," - STOPPED accruing",IF(AO52="None"," - now qualifying"," - pathway changed")))))))</f>
        <v/>
      </c>
      <c r="R52" s="12" t="str">
        <f aca="false">IF(AE52=0,"",IF(AQ52="None",IF(O52&gt;0,"No longer accruing","Not eligible - "&amp;IF(AND(OR(ISNUMBER(SEARCH("part",$C52)),UPPER(TRIM($C52))="PT",UPPER(TRIM($C52))="PTE"),$P52&lt;&gt;"",N($P52)&lt;PT_MinHours),"under "&amp;PT_MinHours&amp;" hrs",IF(IF($C52="","",IF(OR(ISNUMBER(SEARCH("full",$C52)),UPPER(TRIM($C52))="FT",UPPER(TRIM($C52))="FTE"),"Full-Time",IF(OR(ISNUMBER(SEARCH("part",$C52)),UPPER(TRIM($C52))="PT",UPPER(TRIM($C52))="PTE"),"Part-Time",IF(OR(ISNUMBER(SEARCH("cas",$C52)),UPPER(TRIM($C52))="CAS"),"Casual","Unknown"))))="Unknown","type not recognised",$C52))),IF(O52&gt;0,"Yes - accruing","Not yet - from "&amp;TEXT(S52,"dd/mm/yyyy"))))</f>
        <v/>
      </c>
      <c r="S52" s="10" t="str">
        <f aca="false">IF(AE52=0,"",IF(AQ52="None","",EDATE(AF52,AZ52)))</f>
        <v/>
      </c>
      <c r="T52" s="13" t="str">
        <f aca="false">IF(OR(AE52=0,W52=""),"",W52-U52+V52)</f>
        <v/>
      </c>
      <c r="U52" s="13" t="str">
        <f aca="false">IF(AE52=0,"",IF(NOT(LH_Ready),"",SUMIFS(INDEX(LH_Data,0,LH_ColAcc),INDEX(LH_Data,0,LH_ColFirst),$A52,INDEX(LH_Data,0,LH_ColSur),$B52,INDEX(LH_Data,0,LH_ColCat),BonusCat)*UnitFactor))</f>
        <v/>
      </c>
      <c r="V52" s="13" t="str">
        <f aca="false">IF(AE52=0,"",IF(NOT(LH_Ready),"",SUMIFS(INDEX(LH_Data,0,LH_ColTaken),INDEX(LH_Data,0,LH_ColFirst),$A52,INDEX(LH_Data,0,LH_ColSur),$B52,INDEX(LH_Data,0,LH_ColCat),BonusCat)*UnitFactor))</f>
        <v/>
      </c>
      <c r="W52" s="13" t="str">
        <f aca="false">IF(AE52=0,"",IF(NOT(LH_Ready),"",IF(BB52=0,0,INDEX(INDEX(LH_Data,0,LH_ColClose),BB52-1)*UnitFactor)))</f>
        <v/>
      </c>
      <c r="X52" s="13" t="str">
        <f aca="false">IF(AE52=0,"",(AX52-AY52)*HoursPerDay)</f>
        <v/>
      </c>
      <c r="Y52" s="13" t="str">
        <f aca="false">IF(AE52=0,"",IF(NOT(LH_Ready),"",IF(BA52=0,N52,X52-N(U52))))</f>
        <v/>
      </c>
      <c r="Z52" s="12" t="str">
        <f aca="false">IF(OR(AE52=0,Y52=""),"",IF(Y52&gt;0,"Yes","No"))</f>
        <v/>
      </c>
      <c r="AA52" s="12" t="str">
        <f aca="false">IF(AE52=0,IF(LEN($A52&amp;$B52)=0,"","FIX INPUT - StartDate missing"),IF(AD52&lt;&gt;"","FIX INPUT - "&amp;AD52,IF(NOT(LH_Ready),"Paste Leave History export (Settings must show YES)",IF(Y52&gt;0,"ACCRUE "&amp;ROUND(Y52,2)&amp;" hrs ("&amp;ROUND(Y52/HoursPerDay,2)&amp;" days)"&amp;IF(BA52=0," - no Bonus Leave in EH yet, full catch-up since start",""),IF(Y52&lt;0,"CHECK - EH accrued "&amp;ROUND(-Y52,2)&amp;""&amp;" hrs more than policy",IF(O52&gt;0,"OK - nothing to add",IF(AQ52="None",R52,"Not yet - first day on "&amp;TEXT(S52,"dd/mm/yyyy"))))))))</f>
        <v/>
      </c>
      <c r="AB52" s="13" t="str">
        <f aca="false">IF(OR(AE52=0,T52=""),"",AY52*HoursPerDay-T52)</f>
        <v/>
      </c>
      <c r="AC52" s="12" t="str">
        <f aca="false">IF(AE52=0,"",BA52)</f>
        <v/>
      </c>
      <c r="AD52" s="12" t="str">
        <f aca="false">IF(AE52=0,"",TRIM(IF(IF($C52="","",IF(OR(ISNUMBER(SEARCH("full",$C52)),UPPER(TRIM($C52))="FT",UPPER(TRIM($C52))="FTE"),"Full-Time",IF(OR(ISNUMBER(SEARCH("part",$C52)),UPPER(TRIM($C52))="PT",UPPER(TRIM($C52))="PTE"),"Part-Time",IF(OR(ISNUMBER(SEARCH("cas",$C52)),UPPER(TRIM($C52))="CAS"),"Casual","Unknown"))))="Unknown","EmploymentType not recognised - use Full-Time, Part-Time or Casual. ","")&amp;IF(AND(AG52&gt;=1,IF(AG52&gt;=3,AM52,IF(AG52=2,AL52,AK52))&lt;&gt;IF($C52="","",IF(OR(ISNUMBER(SEARCH("full",$C52)),UPPER(TRIM($C52))="FT",UPPER(TRIM($C52))="FTE"),"Full-Time",IF(OR(ISNUMBER(SEARCH("part",$C52)),UPPER(TRIM($C52))="PT",UPPER(TRIM($C52))="PTE"),"Part-Time",IF(OR(ISNUMBER(SEARCH("cas",$C52)),UPPER(TRIM($C52))="CAS"),"Casual","Unknown"))))),"EmploymentType does not match latest start date ("&amp;IF(AG52&gt;=3,AM52,IF(AG52=2,AL52,AK52))&amp;"). ","")&amp;IF(AND(AG52&gt;=1,AH52&lt;&gt;$F52),"Earliest type date should equal StartDate. ","")&amp;IF(AND(AG52&gt;=2,AH52=AI52),"Two types start on the same date. ","")&amp;IF(AND(OR(ISNUMBER(SEARCH("part",$C52)),UPPER(TRIM($C52))="PT",UPPER(TRIM($C52))="PTE"),$P52=""),"Part-time: enter PT Hrs/Week (blank = 24+). ","")))</f>
        <v/>
      </c>
      <c r="AE52" s="12" t="n">
        <f aca="false">IF(OR(LEN($A52&amp;$B52)=0,$F52=""),0,1)</f>
        <v>0</v>
      </c>
      <c r="AF52" s="10" t="str">
        <f aca="false">IF(AE52=0,"",IF($J52&lt;&gt;"",$J52,$F52))</f>
        <v/>
      </c>
      <c r="AG52" s="12" t="str">
        <f aca="false">IF(AE52=0,"",COUNT($G52:$I52))</f>
        <v/>
      </c>
      <c r="AH52" s="10" t="str">
        <f aca="false">IF(AE52=0,"",IFERROR(SMALL($G52:$I52,1),""))</f>
        <v/>
      </c>
      <c r="AI52" s="10" t="str">
        <f aca="false">IF(AE52=0,"",IFERROR(SMALL($G52:$I52,2),""))</f>
        <v/>
      </c>
      <c r="AJ52" s="10" t="str">
        <f aca="false">IF(AE52=0,"",IFERROR(SMALL($G52:$I52,3),""))</f>
        <v/>
      </c>
      <c r="AK52" s="12" t="str">
        <f aca="false">IF(AE52=0,"",IF(AH52="","",IF(AH52=$G52,"Part-Time",IF(AH52=$H52,"Full-Time","Casual"))))</f>
        <v/>
      </c>
      <c r="AL52" s="12" t="str">
        <f aca="false">IF(AE52=0,"",IF(AI52="","",IF(AI52=$G52,"Part-Time",IF(AI52=$H52,"Full-Time","Casual"))))</f>
        <v/>
      </c>
      <c r="AM52" s="12" t="str">
        <f aca="false">IF(AE52=0,"",IF(AJ52="","",IF(AJ52=$G52,"Part-Time",IF(AJ52=$H52,"Full-Time","Casual"))))</f>
        <v/>
      </c>
      <c r="AN52" s="12" t="str">
        <f aca="false">IF(AE52=0,"",IF(AG52=0,IF(OR(ISNUMBER(SEARCH("full",$C52)),UPPER(TRIM($C52))="FT",UPPER(TRIM($C52))="FTE"),"FT",IF(AND(OR(ISNUMBER(SEARCH("part",$C52)),UPPER(TRIM($C52))="PT",UPPER(TRIM($C52))="PTE"),OR($P52="",N($P52)&gt;=PT_MinHours)),"PT","None")),IF(OR(ISNUMBER(SEARCH("full",AK52)),UPPER(TRIM(AK52))="FT",UPPER(TRIM(AK52))="FTE"),"FT",IF(AND(OR(ISNUMBER(SEARCH("part",AK52)),UPPER(TRIM(AK52))="PT",UPPER(TRIM(AK52))="PTE"),OR($P52="",N($P52)&gt;=PT_MinHours)),"PT","None"))))</f>
        <v/>
      </c>
      <c r="AO52" s="12" t="str">
        <f aca="false">IF(AE52=0,"",IF(AG52&lt;2,"",IF(OR(ISNUMBER(SEARCH("full",AL52)),UPPER(TRIM(AL52))="FT",UPPER(TRIM(AL52))="FTE"),"FT",IF(AND(OR(ISNUMBER(SEARCH("part",AL52)),UPPER(TRIM(AL52))="PT",UPPER(TRIM(AL52))="PTE"),OR($P52="",N($P52)&gt;=PT_MinHours)),"PT","None"))))</f>
        <v/>
      </c>
      <c r="AP52" s="12" t="str">
        <f aca="false">IF(AE52=0,"",IF(AG52&lt;3,"",IF(OR(ISNUMBER(SEARCH("full",AM52)),UPPER(TRIM(AM52))="FT",UPPER(TRIM(AM52))="FTE"),"FT",IF(AND(OR(ISNUMBER(SEARCH("part",AM52)),UPPER(TRIM(AM52))="PT",UPPER(TRIM(AM52))="PTE"),OR($P52="",N($P52)&gt;=PT_MinHours)),"PT","None"))))</f>
        <v/>
      </c>
      <c r="AQ52" s="12" t="str">
        <f aca="false">IF(AE52=0,"",IF(AND(AG52&gt;=3,AJ52&lt;=AsOfDate),AP52,IF(AND(AG52&gt;=2,AI52&lt;=AsOfDate),AO52,AN52)))</f>
        <v/>
      </c>
      <c r="AR52" s="12" t="str">
        <f aca="false">IF(AE52=0,"",IF(AsOfDate&lt;AF52,-1,12*(YEAR(AsOfDate)-YEAR(AF52))+MONTH(AsOfDate)-MONTH(AF52)-IF(DAY(AsOfDate)&lt;MIN(DAY(AF52),DAY(EOMONTH(AsOfDate,0))),1,0)))</f>
        <v/>
      </c>
      <c r="AS52" s="12" t="str">
        <f aca="false">IF(AE52=0,"",IF(OR(AG52&lt;2,AI52&gt;AsOfDate),AR52,IF((AI52-1)&lt;AF52,-1,12*(YEAR((AI52-1))-YEAR(AF52))+MONTH((AI52-1))-MONTH(AF52)-IF(DAY((AI52-1))&lt;MIN(DAY(AF52),DAY(EOMONTH((AI52-1),0))),1,0))))</f>
        <v/>
      </c>
      <c r="AT52" s="12" t="str">
        <f aca="false">IF(AE52=0,"",IF(OR(AG52&lt;3,AJ52&gt;AsOfDate),AR52,IF((AJ52-1)&lt;AF52,-1,12*(YEAR((AJ52-1))-YEAR(AF52))+MONTH((AJ52-1))-MONTH(AF52)-IF(DAY((AJ52-1))&lt;MIN(DAY(AF52),DAY(EOMONTH((AJ52-1),0))),1,0))))</f>
        <v/>
      </c>
      <c r="AU52" s="12" t="str">
        <f aca="false">IF(AE52=0,"",IF(PFYDate&lt;AF52,-1,12*(YEAR(PFYDate)-YEAR(AF52))+MONTH(PFYDate)-MONTH(AF52)-IF(DAY(PFYDate)&lt;MIN(DAY(AF52),DAY(EOMONTH(PFYDate,0))),1,0)))</f>
        <v/>
      </c>
      <c r="AV52" s="12" t="str">
        <f aca="false">IF(AE52=0,"",IF(OR(AG52&lt;2,AI52&gt;PFYDate),AU52,IF((AI52-1)&lt;AF52,-1,12*(YEAR((AI52-1))-YEAR(AF52))+MONTH((AI52-1))-MONTH(AF52)-IF(DAY((AI52-1))&lt;MIN(DAY(AF52),DAY(EOMONTH((AI52-1),0))),1,0))))</f>
        <v/>
      </c>
      <c r="AW52" s="12" t="str">
        <f aca="false">IF(AE52=0,"",IF(OR(AG52&lt;3,AJ52&gt;PFYDate),AU52,IF((AJ52-1)&lt;AF52,-1,12*(YEAR((AJ52-1))-YEAR(AF52))+MONTH((AJ52-1))-MONTH(AF52)-IF(DAY((AJ52-1))&lt;MIN(DAY(AF52),DAY(EOMONTH((AJ52-1),0))),1,0))))</f>
        <v/>
      </c>
      <c r="AX52" s="12" t="str">
        <f aca="false">IF(AE52=0,"",IF(AN52="FT",IF(AS52&lt;FT_First,0,IF(AS52&lt;FT_Y5,1+INT((AS52-FT_First)/FT_Int1),FT_PreY5+FT_PerYear*INT((AS52-FT_Y5)/12)+FT_AnnivDays+INT(MOD(AS52-FT_Y5,12)/FT_Int2))),IF(AN52="PT",IF(AS52&lt;PT_First,0,1+INT((AS52-PT_First)/PT_Int)),0))+IF(AND(AG52&gt;=2,AI52&lt;=AsOfDate),IF(AO52="FT",IF(AT52&lt;FT_First,0,IF(AT52&lt;FT_Y5,1+INT((AT52-FT_First)/FT_Int1),FT_PreY5+FT_PerYear*INT((AT52-FT_Y5)/12)+FT_AnnivDays+INT(MOD(AT52-FT_Y5,12)/FT_Int2))),IF(AO52="PT",IF(AT52&lt;PT_First,0,1+INT((AT52-PT_First)/PT_Int)),0))-IF(AO52="FT",IF(AS52&lt;FT_First,0,IF(AS52&lt;FT_Y5,1+INT((AS52-FT_First)/FT_Int1),FT_PreY5+FT_PerYear*INT((AS52-FT_Y5)/12)+FT_AnnivDays+INT(MOD(AS52-FT_Y5,12)/FT_Int2))),IF(AO52="PT",IF(AS52&lt;PT_First,0,1+INT((AS52-PT_First)/PT_Int)),0)),0)+IF(AND(AG52&gt;=3,AJ52&lt;=AsOfDate),IF(AP52="FT",IF(AR52&lt;FT_First,0,IF(AR52&lt;FT_Y5,1+INT((AR52-FT_First)/FT_Int1),FT_PreY5+FT_PerYear*INT((AR52-FT_Y5)/12)+FT_AnnivDays+INT(MOD(AR52-FT_Y5,12)/FT_Int2))),IF(AP52="PT",IF(AR52&lt;PT_First,0,1+INT((AR52-PT_First)/PT_Int)),0))-IF(AP52="FT",IF(AT52&lt;FT_First,0,IF(AT52&lt;FT_Y5,1+INT((AT52-FT_First)/FT_Int1),FT_PreY5+FT_PerYear*INT((AT52-FT_Y5)/12)+FT_AnnivDays+INT(MOD(AT52-FT_Y5,12)/FT_Int2))),IF(AP52="PT",IF(AT52&lt;PT_First,0,1+INT((AT52-PT_First)/PT_Int)),0)),0))</f>
        <v/>
      </c>
      <c r="AY52" s="12" t="str">
        <f aca="false">IF(AE52=0,"",IF(AN52="FT",IF(AV52&lt;FT_First,0,IF(AV52&lt;FT_Y5,1+INT((AV52-FT_First)/FT_Int1),FT_PreY5+FT_PerYear*INT((AV52-FT_Y5)/12)+FT_AnnivDays+INT(MOD(AV52-FT_Y5,12)/FT_Int2))),IF(AN52="PT",IF(AV52&lt;PT_First,0,1+INT((AV52-PT_First)/PT_Int)),0))+IF(AND(AG52&gt;=2,AI52&lt;=PFYDate),IF(AO52="FT",IF(AW52&lt;FT_First,0,IF(AW52&lt;FT_Y5,1+INT((AW52-FT_First)/FT_Int1),FT_PreY5+FT_PerYear*INT((AW52-FT_Y5)/12)+FT_AnnivDays+INT(MOD(AW52-FT_Y5,12)/FT_Int2))),IF(AO52="PT",IF(AW52&lt;PT_First,0,1+INT((AW52-PT_First)/PT_Int)),0))-IF(AO52="FT",IF(AV52&lt;FT_First,0,IF(AV52&lt;FT_Y5,1+INT((AV52-FT_First)/FT_Int1),FT_PreY5+FT_PerYear*INT((AV52-FT_Y5)/12)+FT_AnnivDays+INT(MOD(AV52-FT_Y5,12)/FT_Int2))),IF(AO52="PT",IF(AV52&lt;PT_First,0,1+INT((AV52-PT_First)/PT_Int)),0)),0)+IF(AND(AG52&gt;=3,AJ52&lt;=PFYDate),IF(AP52="FT",IF(AU52&lt;FT_First,0,IF(AU52&lt;FT_Y5,1+INT((AU52-FT_First)/FT_Int1),FT_PreY5+FT_PerYear*INT((AU52-FT_Y5)/12)+FT_AnnivDays+INT(MOD(AU52-FT_Y5,12)/FT_Int2))),IF(AP52="PT",IF(AU52&lt;PT_First,0,1+INT((AU52-PT_First)/PT_Int)),0))-IF(AP52="FT",IF(AW52&lt;FT_First,0,IF(AW52&lt;FT_Y5,1+INT((AW52-FT_First)/FT_Int1),FT_PreY5+FT_PerYear*INT((AW52-FT_Y5)/12)+FT_AnnivDays+INT(MOD(AW52-FT_Y5,12)/FT_Int2))),IF(AP52="PT",IF(AW52&lt;PT_First,0,1+INT((AW52-PT_First)/PT_Int)),0)),0))</f>
        <v/>
      </c>
      <c r="AZ52" s="12" t="str">
        <f aca="false">IF(AE52=0,"",IF(AQ52="FT",IF(AR52&lt;FT_First,FT_First,IF(AR52&lt;FT_Y5,MIN(FT_Y5,FT_First+FT_Int1*(INT((AR52-FT_First)/FT_Int1)+1)),FT_Y5+12*INT((AR52-FT_Y5)/12)+FT_Int2*(INT(MOD(AR52-FT_Y5,12)/FT_Int2)+1))),IF(AQ52="PT",IF(AR52&lt;PT_First,PT_First,PT_First+PT_Int*(INT((AR52-PT_First)/PT_Int)+1)),"")))</f>
        <v/>
      </c>
      <c r="BA52" s="12" t="str">
        <f aca="false">IF(AE52=0,"",IF(NOT(LH_Ready),0,COUNTIFS(INDEX(LH_Data,0,LH_ColFirst),$A52,INDEX(LH_Data,0,LH_ColSur),$B52,INDEX(LH_Data,0,LH_ColCat),BonusCat)))</f>
        <v/>
      </c>
      <c r="BB52" s="12" t="str">
        <f aca="false">IF(AE52=0,"",IF(OR(NOT(LH_Ready),BA52=0),0,SUMPRODUCT(MAX((INDEX(LH_Data,0,LH_ColFirst)=$A52)*(INDEX(LH_Data,0,LH_ColSur)=$B52)*(INDEX(LH_Data,0,LH_ColCat)=BonusCat)*ROW(LH_Data)))))</f>
        <v/>
      </c>
    </row>
    <row r="53" customFormat="false" ht="15" hidden="false" customHeight="false" outlineLevel="0" collapsed="false">
      <c r="A53" s="15"/>
      <c r="B53" s="15"/>
      <c r="C53" s="15"/>
      <c r="D53" s="16"/>
      <c r="E53" s="10" t="str">
        <f aca="false">IF(OR(AE53=0,$D53=""),"",DATE(YEAR(AsOfDate)+IF(DATE(YEAR(AsOfDate),MONTH($D53),DAY($D53))&lt;=AsOfDate,1,0),MONTH($D53),DAY($D53)))</f>
        <v/>
      </c>
      <c r="F53" s="16"/>
      <c r="G53" s="16"/>
      <c r="H53" s="16"/>
      <c r="I53" s="16"/>
      <c r="J53" s="16"/>
      <c r="K53" s="10" t="str">
        <f aca="false">IF(AE53=0,"",DATE(YEAR(AsOfDate)+IF(DATE(YEAR(AsOfDate),MONTH($F53),DAY($F53))&lt;=AsOfDate,1,0),MONTH($F53),DAY($F53)))</f>
        <v/>
      </c>
      <c r="L53" s="11" t="str">
        <f aca="false">IF(AE53=0,"",ROUND((AsOfDate-$F53)/365.25,1))</f>
        <v/>
      </c>
      <c r="M53" s="12" t="str">
        <f aca="false">IF(AE53=0,"",IF(AsOfDate&lt;AF53,"-",DATEDIF(AF53,AsOfDate,"y")&amp;"y "&amp;DATEDIF(AF53,AsOfDate,"ym")&amp;"m "&amp;DATEDIF(AF53,AsOfDate,"md")&amp;"d"))</f>
        <v/>
      </c>
      <c r="N53" s="13" t="str">
        <f aca="false">IF(AE53=0,"",O53*HoursPerDay)</f>
        <v/>
      </c>
      <c r="O53" s="13" t="str">
        <f aca="false">IF(AE53=0,"",AX53)</f>
        <v/>
      </c>
      <c r="P53" s="17"/>
      <c r="Q53" s="12" t="str">
        <f aca="false">IF(AE53=0,"",IF(AG53&lt;2,"",AK53&amp;" to "&amp;AL53&amp;" on "&amp;TEXT(AI53,"dd/mm/yyyy")&amp;IF(AI53&gt;AsOfDate," (future)",IF(AN53=AO53,"",IF(AO53="None"," - STOPPED accruing",IF(AN53="None"," - now qualifying"," - pathway changed"))))&amp;IF(AG53&lt;3,"","; "&amp;AL53&amp;" to "&amp;AM53&amp;" on "&amp;TEXT(AJ53,"dd/mm/yyyy")&amp;IF(AJ53&gt;AsOfDate," (future)",IF(AO53=AP53,"",IF(AP53="None"," - STOPPED accruing",IF(AO53="None"," - now qualifying"," - pathway changed")))))))</f>
        <v/>
      </c>
      <c r="R53" s="12" t="str">
        <f aca="false">IF(AE53=0,"",IF(AQ53="None",IF(O53&gt;0,"No longer accruing","Not eligible - "&amp;IF(AND(OR(ISNUMBER(SEARCH("part",$C53)),UPPER(TRIM($C53))="PT",UPPER(TRIM($C53))="PTE"),$P53&lt;&gt;"",N($P53)&lt;PT_MinHours),"under "&amp;PT_MinHours&amp;" hrs",IF(IF($C53="","",IF(OR(ISNUMBER(SEARCH("full",$C53)),UPPER(TRIM($C53))="FT",UPPER(TRIM($C53))="FTE"),"Full-Time",IF(OR(ISNUMBER(SEARCH("part",$C53)),UPPER(TRIM($C53))="PT",UPPER(TRIM($C53))="PTE"),"Part-Time",IF(OR(ISNUMBER(SEARCH("cas",$C53)),UPPER(TRIM($C53))="CAS"),"Casual","Unknown"))))="Unknown","type not recognised",$C53))),IF(O53&gt;0,"Yes - accruing","Not yet - from "&amp;TEXT(S53,"dd/mm/yyyy"))))</f>
        <v/>
      </c>
      <c r="S53" s="10" t="str">
        <f aca="false">IF(AE53=0,"",IF(AQ53="None","",EDATE(AF53,AZ53)))</f>
        <v/>
      </c>
      <c r="T53" s="13" t="str">
        <f aca="false">IF(OR(AE53=0,W53=""),"",W53-U53+V53)</f>
        <v/>
      </c>
      <c r="U53" s="13" t="str">
        <f aca="false">IF(AE53=0,"",IF(NOT(LH_Ready),"",SUMIFS(INDEX(LH_Data,0,LH_ColAcc),INDEX(LH_Data,0,LH_ColFirst),$A53,INDEX(LH_Data,0,LH_ColSur),$B53,INDEX(LH_Data,0,LH_ColCat),BonusCat)*UnitFactor))</f>
        <v/>
      </c>
      <c r="V53" s="13" t="str">
        <f aca="false">IF(AE53=0,"",IF(NOT(LH_Ready),"",SUMIFS(INDEX(LH_Data,0,LH_ColTaken),INDEX(LH_Data,0,LH_ColFirst),$A53,INDEX(LH_Data,0,LH_ColSur),$B53,INDEX(LH_Data,0,LH_ColCat),BonusCat)*UnitFactor))</f>
        <v/>
      </c>
      <c r="W53" s="13" t="str">
        <f aca="false">IF(AE53=0,"",IF(NOT(LH_Ready),"",IF(BB53=0,0,INDEX(INDEX(LH_Data,0,LH_ColClose),BB53-1)*UnitFactor)))</f>
        <v/>
      </c>
      <c r="X53" s="13" t="str">
        <f aca="false">IF(AE53=0,"",(AX53-AY53)*HoursPerDay)</f>
        <v/>
      </c>
      <c r="Y53" s="13" t="str">
        <f aca="false">IF(AE53=0,"",IF(NOT(LH_Ready),"",IF(BA53=0,N53,X53-N(U53))))</f>
        <v/>
      </c>
      <c r="Z53" s="12" t="str">
        <f aca="false">IF(OR(AE53=0,Y53=""),"",IF(Y53&gt;0,"Yes","No"))</f>
        <v/>
      </c>
      <c r="AA53" s="12" t="str">
        <f aca="false">IF(AE53=0,IF(LEN($A53&amp;$B53)=0,"","FIX INPUT - StartDate missing"),IF(AD53&lt;&gt;"","FIX INPUT - "&amp;AD53,IF(NOT(LH_Ready),"Paste Leave History export (Settings must show YES)",IF(Y53&gt;0,"ACCRUE "&amp;ROUND(Y53,2)&amp;" hrs ("&amp;ROUND(Y53/HoursPerDay,2)&amp;" days)"&amp;IF(BA53=0," - no Bonus Leave in EH yet, full catch-up since start",""),IF(Y53&lt;0,"CHECK - EH accrued "&amp;ROUND(-Y53,2)&amp;""&amp;" hrs more than policy",IF(O53&gt;0,"OK - nothing to add",IF(AQ53="None",R53,"Not yet - first day on "&amp;TEXT(S53,"dd/mm/yyyy"))))))))</f>
        <v/>
      </c>
      <c r="AB53" s="13" t="str">
        <f aca="false">IF(OR(AE53=0,T53=""),"",AY53*HoursPerDay-T53)</f>
        <v/>
      </c>
      <c r="AC53" s="12" t="str">
        <f aca="false">IF(AE53=0,"",BA53)</f>
        <v/>
      </c>
      <c r="AD53" s="12" t="str">
        <f aca="false">IF(AE53=0,"",TRIM(IF(IF($C53="","",IF(OR(ISNUMBER(SEARCH("full",$C53)),UPPER(TRIM($C53))="FT",UPPER(TRIM($C53))="FTE"),"Full-Time",IF(OR(ISNUMBER(SEARCH("part",$C53)),UPPER(TRIM($C53))="PT",UPPER(TRIM($C53))="PTE"),"Part-Time",IF(OR(ISNUMBER(SEARCH("cas",$C53)),UPPER(TRIM($C53))="CAS"),"Casual","Unknown"))))="Unknown","EmploymentType not recognised - use Full-Time, Part-Time or Casual. ","")&amp;IF(AND(AG53&gt;=1,IF(AG53&gt;=3,AM53,IF(AG53=2,AL53,AK53))&lt;&gt;IF($C53="","",IF(OR(ISNUMBER(SEARCH("full",$C53)),UPPER(TRIM($C53))="FT",UPPER(TRIM($C53))="FTE"),"Full-Time",IF(OR(ISNUMBER(SEARCH("part",$C53)),UPPER(TRIM($C53))="PT",UPPER(TRIM($C53))="PTE"),"Part-Time",IF(OR(ISNUMBER(SEARCH("cas",$C53)),UPPER(TRIM($C53))="CAS"),"Casual","Unknown"))))),"EmploymentType does not match latest start date ("&amp;IF(AG53&gt;=3,AM53,IF(AG53=2,AL53,AK53))&amp;"). ","")&amp;IF(AND(AG53&gt;=1,AH53&lt;&gt;$F53),"Earliest type date should equal StartDate. ","")&amp;IF(AND(AG53&gt;=2,AH53=AI53),"Two types start on the same date. ","")&amp;IF(AND(OR(ISNUMBER(SEARCH("part",$C53)),UPPER(TRIM($C53))="PT",UPPER(TRIM($C53))="PTE"),$P53=""),"Part-time: enter PT Hrs/Week (blank = 24+). ","")))</f>
        <v/>
      </c>
      <c r="AE53" s="12" t="n">
        <f aca="false">IF(OR(LEN($A53&amp;$B53)=0,$F53=""),0,1)</f>
        <v>0</v>
      </c>
      <c r="AF53" s="10" t="str">
        <f aca="false">IF(AE53=0,"",IF($J53&lt;&gt;"",$J53,$F53))</f>
        <v/>
      </c>
      <c r="AG53" s="12" t="str">
        <f aca="false">IF(AE53=0,"",COUNT($G53:$I53))</f>
        <v/>
      </c>
      <c r="AH53" s="10" t="str">
        <f aca="false">IF(AE53=0,"",IFERROR(SMALL($G53:$I53,1),""))</f>
        <v/>
      </c>
      <c r="AI53" s="10" t="str">
        <f aca="false">IF(AE53=0,"",IFERROR(SMALL($G53:$I53,2),""))</f>
        <v/>
      </c>
      <c r="AJ53" s="10" t="str">
        <f aca="false">IF(AE53=0,"",IFERROR(SMALL($G53:$I53,3),""))</f>
        <v/>
      </c>
      <c r="AK53" s="12" t="str">
        <f aca="false">IF(AE53=0,"",IF(AH53="","",IF(AH53=$G53,"Part-Time",IF(AH53=$H53,"Full-Time","Casual"))))</f>
        <v/>
      </c>
      <c r="AL53" s="12" t="str">
        <f aca="false">IF(AE53=0,"",IF(AI53="","",IF(AI53=$G53,"Part-Time",IF(AI53=$H53,"Full-Time","Casual"))))</f>
        <v/>
      </c>
      <c r="AM53" s="12" t="str">
        <f aca="false">IF(AE53=0,"",IF(AJ53="","",IF(AJ53=$G53,"Part-Time",IF(AJ53=$H53,"Full-Time","Casual"))))</f>
        <v/>
      </c>
      <c r="AN53" s="12" t="str">
        <f aca="false">IF(AE53=0,"",IF(AG53=0,IF(OR(ISNUMBER(SEARCH("full",$C53)),UPPER(TRIM($C53))="FT",UPPER(TRIM($C53))="FTE"),"FT",IF(AND(OR(ISNUMBER(SEARCH("part",$C53)),UPPER(TRIM($C53))="PT",UPPER(TRIM($C53))="PTE"),OR($P53="",N($P53)&gt;=PT_MinHours)),"PT","None")),IF(OR(ISNUMBER(SEARCH("full",AK53)),UPPER(TRIM(AK53))="FT",UPPER(TRIM(AK53))="FTE"),"FT",IF(AND(OR(ISNUMBER(SEARCH("part",AK53)),UPPER(TRIM(AK53))="PT",UPPER(TRIM(AK53))="PTE"),OR($P53="",N($P53)&gt;=PT_MinHours)),"PT","None"))))</f>
        <v/>
      </c>
      <c r="AO53" s="12" t="str">
        <f aca="false">IF(AE53=0,"",IF(AG53&lt;2,"",IF(OR(ISNUMBER(SEARCH("full",AL53)),UPPER(TRIM(AL53))="FT",UPPER(TRIM(AL53))="FTE"),"FT",IF(AND(OR(ISNUMBER(SEARCH("part",AL53)),UPPER(TRIM(AL53))="PT",UPPER(TRIM(AL53))="PTE"),OR($P53="",N($P53)&gt;=PT_MinHours)),"PT","None"))))</f>
        <v/>
      </c>
      <c r="AP53" s="12" t="str">
        <f aca="false">IF(AE53=0,"",IF(AG53&lt;3,"",IF(OR(ISNUMBER(SEARCH("full",AM53)),UPPER(TRIM(AM53))="FT",UPPER(TRIM(AM53))="FTE"),"FT",IF(AND(OR(ISNUMBER(SEARCH("part",AM53)),UPPER(TRIM(AM53))="PT",UPPER(TRIM(AM53))="PTE"),OR($P53="",N($P53)&gt;=PT_MinHours)),"PT","None"))))</f>
        <v/>
      </c>
      <c r="AQ53" s="12" t="str">
        <f aca="false">IF(AE53=0,"",IF(AND(AG53&gt;=3,AJ53&lt;=AsOfDate),AP53,IF(AND(AG53&gt;=2,AI53&lt;=AsOfDate),AO53,AN53)))</f>
        <v/>
      </c>
      <c r="AR53" s="12" t="str">
        <f aca="false">IF(AE53=0,"",IF(AsOfDate&lt;AF53,-1,12*(YEAR(AsOfDate)-YEAR(AF53))+MONTH(AsOfDate)-MONTH(AF53)-IF(DAY(AsOfDate)&lt;MIN(DAY(AF53),DAY(EOMONTH(AsOfDate,0))),1,0)))</f>
        <v/>
      </c>
      <c r="AS53" s="12" t="str">
        <f aca="false">IF(AE53=0,"",IF(OR(AG53&lt;2,AI53&gt;AsOfDate),AR53,IF((AI53-1)&lt;AF53,-1,12*(YEAR((AI53-1))-YEAR(AF53))+MONTH((AI53-1))-MONTH(AF53)-IF(DAY((AI53-1))&lt;MIN(DAY(AF53),DAY(EOMONTH((AI53-1),0))),1,0))))</f>
        <v/>
      </c>
      <c r="AT53" s="12" t="str">
        <f aca="false">IF(AE53=0,"",IF(OR(AG53&lt;3,AJ53&gt;AsOfDate),AR53,IF((AJ53-1)&lt;AF53,-1,12*(YEAR((AJ53-1))-YEAR(AF53))+MONTH((AJ53-1))-MONTH(AF53)-IF(DAY((AJ53-1))&lt;MIN(DAY(AF53),DAY(EOMONTH((AJ53-1),0))),1,0))))</f>
        <v/>
      </c>
      <c r="AU53" s="12" t="str">
        <f aca="false">IF(AE53=0,"",IF(PFYDate&lt;AF53,-1,12*(YEAR(PFYDate)-YEAR(AF53))+MONTH(PFYDate)-MONTH(AF53)-IF(DAY(PFYDate)&lt;MIN(DAY(AF53),DAY(EOMONTH(PFYDate,0))),1,0)))</f>
        <v/>
      </c>
      <c r="AV53" s="12" t="str">
        <f aca="false">IF(AE53=0,"",IF(OR(AG53&lt;2,AI53&gt;PFYDate),AU53,IF((AI53-1)&lt;AF53,-1,12*(YEAR((AI53-1))-YEAR(AF53))+MONTH((AI53-1))-MONTH(AF53)-IF(DAY((AI53-1))&lt;MIN(DAY(AF53),DAY(EOMONTH((AI53-1),0))),1,0))))</f>
        <v/>
      </c>
      <c r="AW53" s="12" t="str">
        <f aca="false">IF(AE53=0,"",IF(OR(AG53&lt;3,AJ53&gt;PFYDate),AU53,IF((AJ53-1)&lt;AF53,-1,12*(YEAR((AJ53-1))-YEAR(AF53))+MONTH((AJ53-1))-MONTH(AF53)-IF(DAY((AJ53-1))&lt;MIN(DAY(AF53),DAY(EOMONTH((AJ53-1),0))),1,0))))</f>
        <v/>
      </c>
      <c r="AX53" s="12" t="str">
        <f aca="false">IF(AE53=0,"",IF(AN53="FT",IF(AS53&lt;FT_First,0,IF(AS53&lt;FT_Y5,1+INT((AS53-FT_First)/FT_Int1),FT_PreY5+FT_PerYear*INT((AS53-FT_Y5)/12)+FT_AnnivDays+INT(MOD(AS53-FT_Y5,12)/FT_Int2))),IF(AN53="PT",IF(AS53&lt;PT_First,0,1+INT((AS53-PT_First)/PT_Int)),0))+IF(AND(AG53&gt;=2,AI53&lt;=AsOfDate),IF(AO53="FT",IF(AT53&lt;FT_First,0,IF(AT53&lt;FT_Y5,1+INT((AT53-FT_First)/FT_Int1),FT_PreY5+FT_PerYear*INT((AT53-FT_Y5)/12)+FT_AnnivDays+INT(MOD(AT53-FT_Y5,12)/FT_Int2))),IF(AO53="PT",IF(AT53&lt;PT_First,0,1+INT((AT53-PT_First)/PT_Int)),0))-IF(AO53="FT",IF(AS53&lt;FT_First,0,IF(AS53&lt;FT_Y5,1+INT((AS53-FT_First)/FT_Int1),FT_PreY5+FT_PerYear*INT((AS53-FT_Y5)/12)+FT_AnnivDays+INT(MOD(AS53-FT_Y5,12)/FT_Int2))),IF(AO53="PT",IF(AS53&lt;PT_First,0,1+INT((AS53-PT_First)/PT_Int)),0)),0)+IF(AND(AG53&gt;=3,AJ53&lt;=AsOfDate),IF(AP53="FT",IF(AR53&lt;FT_First,0,IF(AR53&lt;FT_Y5,1+INT((AR53-FT_First)/FT_Int1),FT_PreY5+FT_PerYear*INT((AR53-FT_Y5)/12)+FT_AnnivDays+INT(MOD(AR53-FT_Y5,12)/FT_Int2))),IF(AP53="PT",IF(AR53&lt;PT_First,0,1+INT((AR53-PT_First)/PT_Int)),0))-IF(AP53="FT",IF(AT53&lt;FT_First,0,IF(AT53&lt;FT_Y5,1+INT((AT53-FT_First)/FT_Int1),FT_PreY5+FT_PerYear*INT((AT53-FT_Y5)/12)+FT_AnnivDays+INT(MOD(AT53-FT_Y5,12)/FT_Int2))),IF(AP53="PT",IF(AT53&lt;PT_First,0,1+INT((AT53-PT_First)/PT_Int)),0)),0))</f>
        <v/>
      </c>
      <c r="AY53" s="12" t="str">
        <f aca="false">IF(AE53=0,"",IF(AN53="FT",IF(AV53&lt;FT_First,0,IF(AV53&lt;FT_Y5,1+INT((AV53-FT_First)/FT_Int1),FT_PreY5+FT_PerYear*INT((AV53-FT_Y5)/12)+FT_AnnivDays+INT(MOD(AV53-FT_Y5,12)/FT_Int2))),IF(AN53="PT",IF(AV53&lt;PT_First,0,1+INT((AV53-PT_First)/PT_Int)),0))+IF(AND(AG53&gt;=2,AI53&lt;=PFYDate),IF(AO53="FT",IF(AW53&lt;FT_First,0,IF(AW53&lt;FT_Y5,1+INT((AW53-FT_First)/FT_Int1),FT_PreY5+FT_PerYear*INT((AW53-FT_Y5)/12)+FT_AnnivDays+INT(MOD(AW53-FT_Y5,12)/FT_Int2))),IF(AO53="PT",IF(AW53&lt;PT_First,0,1+INT((AW53-PT_First)/PT_Int)),0))-IF(AO53="FT",IF(AV53&lt;FT_First,0,IF(AV53&lt;FT_Y5,1+INT((AV53-FT_First)/FT_Int1),FT_PreY5+FT_PerYear*INT((AV53-FT_Y5)/12)+FT_AnnivDays+INT(MOD(AV53-FT_Y5,12)/FT_Int2))),IF(AO53="PT",IF(AV53&lt;PT_First,0,1+INT((AV53-PT_First)/PT_Int)),0)),0)+IF(AND(AG53&gt;=3,AJ53&lt;=PFYDate),IF(AP53="FT",IF(AU53&lt;FT_First,0,IF(AU53&lt;FT_Y5,1+INT((AU53-FT_First)/FT_Int1),FT_PreY5+FT_PerYear*INT((AU53-FT_Y5)/12)+FT_AnnivDays+INT(MOD(AU53-FT_Y5,12)/FT_Int2))),IF(AP53="PT",IF(AU53&lt;PT_First,0,1+INT((AU53-PT_First)/PT_Int)),0))-IF(AP53="FT",IF(AW53&lt;FT_First,0,IF(AW53&lt;FT_Y5,1+INT((AW53-FT_First)/FT_Int1),FT_PreY5+FT_PerYear*INT((AW53-FT_Y5)/12)+FT_AnnivDays+INT(MOD(AW53-FT_Y5,12)/FT_Int2))),IF(AP53="PT",IF(AW53&lt;PT_First,0,1+INT((AW53-PT_First)/PT_Int)),0)),0))</f>
        <v/>
      </c>
      <c r="AZ53" s="12" t="str">
        <f aca="false">IF(AE53=0,"",IF(AQ53="FT",IF(AR53&lt;FT_First,FT_First,IF(AR53&lt;FT_Y5,MIN(FT_Y5,FT_First+FT_Int1*(INT((AR53-FT_First)/FT_Int1)+1)),FT_Y5+12*INT((AR53-FT_Y5)/12)+FT_Int2*(INT(MOD(AR53-FT_Y5,12)/FT_Int2)+1))),IF(AQ53="PT",IF(AR53&lt;PT_First,PT_First,PT_First+PT_Int*(INT((AR53-PT_First)/PT_Int)+1)),"")))</f>
        <v/>
      </c>
      <c r="BA53" s="12" t="str">
        <f aca="false">IF(AE53=0,"",IF(NOT(LH_Ready),0,COUNTIFS(INDEX(LH_Data,0,LH_ColFirst),$A53,INDEX(LH_Data,0,LH_ColSur),$B53,INDEX(LH_Data,0,LH_ColCat),BonusCat)))</f>
        <v/>
      </c>
      <c r="BB53" s="12" t="str">
        <f aca="false">IF(AE53=0,"",IF(OR(NOT(LH_Ready),BA53=0),0,SUMPRODUCT(MAX((INDEX(LH_Data,0,LH_ColFirst)=$A53)*(INDEX(LH_Data,0,LH_ColSur)=$B53)*(INDEX(LH_Data,0,LH_ColCat)=BonusCat)*ROW(LH_Data)))))</f>
        <v/>
      </c>
    </row>
    <row r="54" customFormat="false" ht="15" hidden="false" customHeight="false" outlineLevel="0" collapsed="false">
      <c r="A54" s="15"/>
      <c r="B54" s="15"/>
      <c r="C54" s="15"/>
      <c r="D54" s="16"/>
      <c r="E54" s="10" t="str">
        <f aca="false">IF(OR(AE54=0,$D54=""),"",DATE(YEAR(AsOfDate)+IF(DATE(YEAR(AsOfDate),MONTH($D54),DAY($D54))&lt;=AsOfDate,1,0),MONTH($D54),DAY($D54)))</f>
        <v/>
      </c>
      <c r="F54" s="16"/>
      <c r="G54" s="16"/>
      <c r="H54" s="16"/>
      <c r="I54" s="16"/>
      <c r="J54" s="16"/>
      <c r="K54" s="10" t="str">
        <f aca="false">IF(AE54=0,"",DATE(YEAR(AsOfDate)+IF(DATE(YEAR(AsOfDate),MONTH($F54),DAY($F54))&lt;=AsOfDate,1,0),MONTH($F54),DAY($F54)))</f>
        <v/>
      </c>
      <c r="L54" s="11" t="str">
        <f aca="false">IF(AE54=0,"",ROUND((AsOfDate-$F54)/365.25,1))</f>
        <v/>
      </c>
      <c r="M54" s="12" t="str">
        <f aca="false">IF(AE54=0,"",IF(AsOfDate&lt;AF54,"-",DATEDIF(AF54,AsOfDate,"y")&amp;"y "&amp;DATEDIF(AF54,AsOfDate,"ym")&amp;"m "&amp;DATEDIF(AF54,AsOfDate,"md")&amp;"d"))</f>
        <v/>
      </c>
      <c r="N54" s="13" t="str">
        <f aca="false">IF(AE54=0,"",O54*HoursPerDay)</f>
        <v/>
      </c>
      <c r="O54" s="13" t="str">
        <f aca="false">IF(AE54=0,"",AX54)</f>
        <v/>
      </c>
      <c r="P54" s="17"/>
      <c r="Q54" s="12" t="str">
        <f aca="false">IF(AE54=0,"",IF(AG54&lt;2,"",AK54&amp;" to "&amp;AL54&amp;" on "&amp;TEXT(AI54,"dd/mm/yyyy")&amp;IF(AI54&gt;AsOfDate," (future)",IF(AN54=AO54,"",IF(AO54="None"," - STOPPED accruing",IF(AN54="None"," - now qualifying"," - pathway changed"))))&amp;IF(AG54&lt;3,"","; "&amp;AL54&amp;" to "&amp;AM54&amp;" on "&amp;TEXT(AJ54,"dd/mm/yyyy")&amp;IF(AJ54&gt;AsOfDate," (future)",IF(AO54=AP54,"",IF(AP54="None"," - STOPPED accruing",IF(AO54="None"," - now qualifying"," - pathway changed")))))))</f>
        <v/>
      </c>
      <c r="R54" s="12" t="str">
        <f aca="false">IF(AE54=0,"",IF(AQ54="None",IF(O54&gt;0,"No longer accruing","Not eligible - "&amp;IF(AND(OR(ISNUMBER(SEARCH("part",$C54)),UPPER(TRIM($C54))="PT",UPPER(TRIM($C54))="PTE"),$P54&lt;&gt;"",N($P54)&lt;PT_MinHours),"under "&amp;PT_MinHours&amp;" hrs",IF(IF($C54="","",IF(OR(ISNUMBER(SEARCH("full",$C54)),UPPER(TRIM($C54))="FT",UPPER(TRIM($C54))="FTE"),"Full-Time",IF(OR(ISNUMBER(SEARCH("part",$C54)),UPPER(TRIM($C54))="PT",UPPER(TRIM($C54))="PTE"),"Part-Time",IF(OR(ISNUMBER(SEARCH("cas",$C54)),UPPER(TRIM($C54))="CAS"),"Casual","Unknown"))))="Unknown","type not recognised",$C54))),IF(O54&gt;0,"Yes - accruing","Not yet - from "&amp;TEXT(S54,"dd/mm/yyyy"))))</f>
        <v/>
      </c>
      <c r="S54" s="10" t="str">
        <f aca="false">IF(AE54=0,"",IF(AQ54="None","",EDATE(AF54,AZ54)))</f>
        <v/>
      </c>
      <c r="T54" s="13" t="str">
        <f aca="false">IF(OR(AE54=0,W54=""),"",W54-U54+V54)</f>
        <v/>
      </c>
      <c r="U54" s="13" t="str">
        <f aca="false">IF(AE54=0,"",IF(NOT(LH_Ready),"",SUMIFS(INDEX(LH_Data,0,LH_ColAcc),INDEX(LH_Data,0,LH_ColFirst),$A54,INDEX(LH_Data,0,LH_ColSur),$B54,INDEX(LH_Data,0,LH_ColCat),BonusCat)*UnitFactor))</f>
        <v/>
      </c>
      <c r="V54" s="13" t="str">
        <f aca="false">IF(AE54=0,"",IF(NOT(LH_Ready),"",SUMIFS(INDEX(LH_Data,0,LH_ColTaken),INDEX(LH_Data,0,LH_ColFirst),$A54,INDEX(LH_Data,0,LH_ColSur),$B54,INDEX(LH_Data,0,LH_ColCat),BonusCat)*UnitFactor))</f>
        <v/>
      </c>
      <c r="W54" s="13" t="str">
        <f aca="false">IF(AE54=0,"",IF(NOT(LH_Ready),"",IF(BB54=0,0,INDEX(INDEX(LH_Data,0,LH_ColClose),BB54-1)*UnitFactor)))</f>
        <v/>
      </c>
      <c r="X54" s="13" t="str">
        <f aca="false">IF(AE54=0,"",(AX54-AY54)*HoursPerDay)</f>
        <v/>
      </c>
      <c r="Y54" s="13" t="str">
        <f aca="false">IF(AE54=0,"",IF(NOT(LH_Ready),"",IF(BA54=0,N54,X54-N(U54))))</f>
        <v/>
      </c>
      <c r="Z54" s="12" t="str">
        <f aca="false">IF(OR(AE54=0,Y54=""),"",IF(Y54&gt;0,"Yes","No"))</f>
        <v/>
      </c>
      <c r="AA54" s="12" t="str">
        <f aca="false">IF(AE54=0,IF(LEN($A54&amp;$B54)=0,"","FIX INPUT - StartDate missing"),IF(AD54&lt;&gt;"","FIX INPUT - "&amp;AD54,IF(NOT(LH_Ready),"Paste Leave History export (Settings must show YES)",IF(Y54&gt;0,"ACCRUE "&amp;ROUND(Y54,2)&amp;" hrs ("&amp;ROUND(Y54/HoursPerDay,2)&amp;" days)"&amp;IF(BA54=0," - no Bonus Leave in EH yet, full catch-up since start",""),IF(Y54&lt;0,"CHECK - EH accrued "&amp;ROUND(-Y54,2)&amp;""&amp;" hrs more than policy",IF(O54&gt;0,"OK - nothing to add",IF(AQ54="None",R54,"Not yet - first day on "&amp;TEXT(S54,"dd/mm/yyyy"))))))))</f>
        <v/>
      </c>
      <c r="AB54" s="13" t="str">
        <f aca="false">IF(OR(AE54=0,T54=""),"",AY54*HoursPerDay-T54)</f>
        <v/>
      </c>
      <c r="AC54" s="12" t="str">
        <f aca="false">IF(AE54=0,"",BA54)</f>
        <v/>
      </c>
      <c r="AD54" s="12" t="str">
        <f aca="false">IF(AE54=0,"",TRIM(IF(IF($C54="","",IF(OR(ISNUMBER(SEARCH("full",$C54)),UPPER(TRIM($C54))="FT",UPPER(TRIM($C54))="FTE"),"Full-Time",IF(OR(ISNUMBER(SEARCH("part",$C54)),UPPER(TRIM($C54))="PT",UPPER(TRIM($C54))="PTE"),"Part-Time",IF(OR(ISNUMBER(SEARCH("cas",$C54)),UPPER(TRIM($C54))="CAS"),"Casual","Unknown"))))="Unknown","EmploymentType not recognised - use Full-Time, Part-Time or Casual. ","")&amp;IF(AND(AG54&gt;=1,IF(AG54&gt;=3,AM54,IF(AG54=2,AL54,AK54))&lt;&gt;IF($C54="","",IF(OR(ISNUMBER(SEARCH("full",$C54)),UPPER(TRIM($C54))="FT",UPPER(TRIM($C54))="FTE"),"Full-Time",IF(OR(ISNUMBER(SEARCH("part",$C54)),UPPER(TRIM($C54))="PT",UPPER(TRIM($C54))="PTE"),"Part-Time",IF(OR(ISNUMBER(SEARCH("cas",$C54)),UPPER(TRIM($C54))="CAS"),"Casual","Unknown"))))),"EmploymentType does not match latest start date ("&amp;IF(AG54&gt;=3,AM54,IF(AG54=2,AL54,AK54))&amp;"). ","")&amp;IF(AND(AG54&gt;=1,AH54&lt;&gt;$F54),"Earliest type date should equal StartDate. ","")&amp;IF(AND(AG54&gt;=2,AH54=AI54),"Two types start on the same date. ","")&amp;IF(AND(OR(ISNUMBER(SEARCH("part",$C54)),UPPER(TRIM($C54))="PT",UPPER(TRIM($C54))="PTE"),$P54=""),"Part-time: enter PT Hrs/Week (blank = 24+). ","")))</f>
        <v/>
      </c>
      <c r="AE54" s="12" t="n">
        <f aca="false">IF(OR(LEN($A54&amp;$B54)=0,$F54=""),0,1)</f>
        <v>0</v>
      </c>
      <c r="AF54" s="10" t="str">
        <f aca="false">IF(AE54=0,"",IF($J54&lt;&gt;"",$J54,$F54))</f>
        <v/>
      </c>
      <c r="AG54" s="12" t="str">
        <f aca="false">IF(AE54=0,"",COUNT($G54:$I54))</f>
        <v/>
      </c>
      <c r="AH54" s="10" t="str">
        <f aca="false">IF(AE54=0,"",IFERROR(SMALL($G54:$I54,1),""))</f>
        <v/>
      </c>
      <c r="AI54" s="10" t="str">
        <f aca="false">IF(AE54=0,"",IFERROR(SMALL($G54:$I54,2),""))</f>
        <v/>
      </c>
      <c r="AJ54" s="10" t="str">
        <f aca="false">IF(AE54=0,"",IFERROR(SMALL($G54:$I54,3),""))</f>
        <v/>
      </c>
      <c r="AK54" s="12" t="str">
        <f aca="false">IF(AE54=0,"",IF(AH54="","",IF(AH54=$G54,"Part-Time",IF(AH54=$H54,"Full-Time","Casual"))))</f>
        <v/>
      </c>
      <c r="AL54" s="12" t="str">
        <f aca="false">IF(AE54=0,"",IF(AI54="","",IF(AI54=$G54,"Part-Time",IF(AI54=$H54,"Full-Time","Casual"))))</f>
        <v/>
      </c>
      <c r="AM54" s="12" t="str">
        <f aca="false">IF(AE54=0,"",IF(AJ54="","",IF(AJ54=$G54,"Part-Time",IF(AJ54=$H54,"Full-Time","Casual"))))</f>
        <v/>
      </c>
      <c r="AN54" s="12" t="str">
        <f aca="false">IF(AE54=0,"",IF(AG54=0,IF(OR(ISNUMBER(SEARCH("full",$C54)),UPPER(TRIM($C54))="FT",UPPER(TRIM($C54))="FTE"),"FT",IF(AND(OR(ISNUMBER(SEARCH("part",$C54)),UPPER(TRIM($C54))="PT",UPPER(TRIM($C54))="PTE"),OR($P54="",N($P54)&gt;=PT_MinHours)),"PT","None")),IF(OR(ISNUMBER(SEARCH("full",AK54)),UPPER(TRIM(AK54))="FT",UPPER(TRIM(AK54))="FTE"),"FT",IF(AND(OR(ISNUMBER(SEARCH("part",AK54)),UPPER(TRIM(AK54))="PT",UPPER(TRIM(AK54))="PTE"),OR($P54="",N($P54)&gt;=PT_MinHours)),"PT","None"))))</f>
        <v/>
      </c>
      <c r="AO54" s="12" t="str">
        <f aca="false">IF(AE54=0,"",IF(AG54&lt;2,"",IF(OR(ISNUMBER(SEARCH("full",AL54)),UPPER(TRIM(AL54))="FT",UPPER(TRIM(AL54))="FTE"),"FT",IF(AND(OR(ISNUMBER(SEARCH("part",AL54)),UPPER(TRIM(AL54))="PT",UPPER(TRIM(AL54))="PTE"),OR($P54="",N($P54)&gt;=PT_MinHours)),"PT","None"))))</f>
        <v/>
      </c>
      <c r="AP54" s="12" t="str">
        <f aca="false">IF(AE54=0,"",IF(AG54&lt;3,"",IF(OR(ISNUMBER(SEARCH("full",AM54)),UPPER(TRIM(AM54))="FT",UPPER(TRIM(AM54))="FTE"),"FT",IF(AND(OR(ISNUMBER(SEARCH("part",AM54)),UPPER(TRIM(AM54))="PT",UPPER(TRIM(AM54))="PTE"),OR($P54="",N($P54)&gt;=PT_MinHours)),"PT","None"))))</f>
        <v/>
      </c>
      <c r="AQ54" s="12" t="str">
        <f aca="false">IF(AE54=0,"",IF(AND(AG54&gt;=3,AJ54&lt;=AsOfDate),AP54,IF(AND(AG54&gt;=2,AI54&lt;=AsOfDate),AO54,AN54)))</f>
        <v/>
      </c>
      <c r="AR54" s="12" t="str">
        <f aca="false">IF(AE54=0,"",IF(AsOfDate&lt;AF54,-1,12*(YEAR(AsOfDate)-YEAR(AF54))+MONTH(AsOfDate)-MONTH(AF54)-IF(DAY(AsOfDate)&lt;MIN(DAY(AF54),DAY(EOMONTH(AsOfDate,0))),1,0)))</f>
        <v/>
      </c>
      <c r="AS54" s="12" t="str">
        <f aca="false">IF(AE54=0,"",IF(OR(AG54&lt;2,AI54&gt;AsOfDate),AR54,IF((AI54-1)&lt;AF54,-1,12*(YEAR((AI54-1))-YEAR(AF54))+MONTH((AI54-1))-MONTH(AF54)-IF(DAY((AI54-1))&lt;MIN(DAY(AF54),DAY(EOMONTH((AI54-1),0))),1,0))))</f>
        <v/>
      </c>
      <c r="AT54" s="12" t="str">
        <f aca="false">IF(AE54=0,"",IF(OR(AG54&lt;3,AJ54&gt;AsOfDate),AR54,IF((AJ54-1)&lt;AF54,-1,12*(YEAR((AJ54-1))-YEAR(AF54))+MONTH((AJ54-1))-MONTH(AF54)-IF(DAY((AJ54-1))&lt;MIN(DAY(AF54),DAY(EOMONTH((AJ54-1),0))),1,0))))</f>
        <v/>
      </c>
      <c r="AU54" s="12" t="str">
        <f aca="false">IF(AE54=0,"",IF(PFYDate&lt;AF54,-1,12*(YEAR(PFYDate)-YEAR(AF54))+MONTH(PFYDate)-MONTH(AF54)-IF(DAY(PFYDate)&lt;MIN(DAY(AF54),DAY(EOMONTH(PFYDate,0))),1,0)))</f>
        <v/>
      </c>
      <c r="AV54" s="12" t="str">
        <f aca="false">IF(AE54=0,"",IF(OR(AG54&lt;2,AI54&gt;PFYDate),AU54,IF((AI54-1)&lt;AF54,-1,12*(YEAR((AI54-1))-YEAR(AF54))+MONTH((AI54-1))-MONTH(AF54)-IF(DAY((AI54-1))&lt;MIN(DAY(AF54),DAY(EOMONTH((AI54-1),0))),1,0))))</f>
        <v/>
      </c>
      <c r="AW54" s="12" t="str">
        <f aca="false">IF(AE54=0,"",IF(OR(AG54&lt;3,AJ54&gt;PFYDate),AU54,IF((AJ54-1)&lt;AF54,-1,12*(YEAR((AJ54-1))-YEAR(AF54))+MONTH((AJ54-1))-MONTH(AF54)-IF(DAY((AJ54-1))&lt;MIN(DAY(AF54),DAY(EOMONTH((AJ54-1),0))),1,0))))</f>
        <v/>
      </c>
      <c r="AX54" s="12" t="str">
        <f aca="false">IF(AE54=0,"",IF(AN54="FT",IF(AS54&lt;FT_First,0,IF(AS54&lt;FT_Y5,1+INT((AS54-FT_First)/FT_Int1),FT_PreY5+FT_PerYear*INT((AS54-FT_Y5)/12)+FT_AnnivDays+INT(MOD(AS54-FT_Y5,12)/FT_Int2))),IF(AN54="PT",IF(AS54&lt;PT_First,0,1+INT((AS54-PT_First)/PT_Int)),0))+IF(AND(AG54&gt;=2,AI54&lt;=AsOfDate),IF(AO54="FT",IF(AT54&lt;FT_First,0,IF(AT54&lt;FT_Y5,1+INT((AT54-FT_First)/FT_Int1),FT_PreY5+FT_PerYear*INT((AT54-FT_Y5)/12)+FT_AnnivDays+INT(MOD(AT54-FT_Y5,12)/FT_Int2))),IF(AO54="PT",IF(AT54&lt;PT_First,0,1+INT((AT54-PT_First)/PT_Int)),0))-IF(AO54="FT",IF(AS54&lt;FT_First,0,IF(AS54&lt;FT_Y5,1+INT((AS54-FT_First)/FT_Int1),FT_PreY5+FT_PerYear*INT((AS54-FT_Y5)/12)+FT_AnnivDays+INT(MOD(AS54-FT_Y5,12)/FT_Int2))),IF(AO54="PT",IF(AS54&lt;PT_First,0,1+INT((AS54-PT_First)/PT_Int)),0)),0)+IF(AND(AG54&gt;=3,AJ54&lt;=AsOfDate),IF(AP54="FT",IF(AR54&lt;FT_First,0,IF(AR54&lt;FT_Y5,1+INT((AR54-FT_First)/FT_Int1),FT_PreY5+FT_PerYear*INT((AR54-FT_Y5)/12)+FT_AnnivDays+INT(MOD(AR54-FT_Y5,12)/FT_Int2))),IF(AP54="PT",IF(AR54&lt;PT_First,0,1+INT((AR54-PT_First)/PT_Int)),0))-IF(AP54="FT",IF(AT54&lt;FT_First,0,IF(AT54&lt;FT_Y5,1+INT((AT54-FT_First)/FT_Int1),FT_PreY5+FT_PerYear*INT((AT54-FT_Y5)/12)+FT_AnnivDays+INT(MOD(AT54-FT_Y5,12)/FT_Int2))),IF(AP54="PT",IF(AT54&lt;PT_First,0,1+INT((AT54-PT_First)/PT_Int)),0)),0))</f>
        <v/>
      </c>
      <c r="AY54" s="12" t="str">
        <f aca="false">IF(AE54=0,"",IF(AN54="FT",IF(AV54&lt;FT_First,0,IF(AV54&lt;FT_Y5,1+INT((AV54-FT_First)/FT_Int1),FT_PreY5+FT_PerYear*INT((AV54-FT_Y5)/12)+FT_AnnivDays+INT(MOD(AV54-FT_Y5,12)/FT_Int2))),IF(AN54="PT",IF(AV54&lt;PT_First,0,1+INT((AV54-PT_First)/PT_Int)),0))+IF(AND(AG54&gt;=2,AI54&lt;=PFYDate),IF(AO54="FT",IF(AW54&lt;FT_First,0,IF(AW54&lt;FT_Y5,1+INT((AW54-FT_First)/FT_Int1),FT_PreY5+FT_PerYear*INT((AW54-FT_Y5)/12)+FT_AnnivDays+INT(MOD(AW54-FT_Y5,12)/FT_Int2))),IF(AO54="PT",IF(AW54&lt;PT_First,0,1+INT((AW54-PT_First)/PT_Int)),0))-IF(AO54="FT",IF(AV54&lt;FT_First,0,IF(AV54&lt;FT_Y5,1+INT((AV54-FT_First)/FT_Int1),FT_PreY5+FT_PerYear*INT((AV54-FT_Y5)/12)+FT_AnnivDays+INT(MOD(AV54-FT_Y5,12)/FT_Int2))),IF(AO54="PT",IF(AV54&lt;PT_First,0,1+INT((AV54-PT_First)/PT_Int)),0)),0)+IF(AND(AG54&gt;=3,AJ54&lt;=PFYDate),IF(AP54="FT",IF(AU54&lt;FT_First,0,IF(AU54&lt;FT_Y5,1+INT((AU54-FT_First)/FT_Int1),FT_PreY5+FT_PerYear*INT((AU54-FT_Y5)/12)+FT_AnnivDays+INT(MOD(AU54-FT_Y5,12)/FT_Int2))),IF(AP54="PT",IF(AU54&lt;PT_First,0,1+INT((AU54-PT_First)/PT_Int)),0))-IF(AP54="FT",IF(AW54&lt;FT_First,0,IF(AW54&lt;FT_Y5,1+INT((AW54-FT_First)/FT_Int1),FT_PreY5+FT_PerYear*INT((AW54-FT_Y5)/12)+FT_AnnivDays+INT(MOD(AW54-FT_Y5,12)/FT_Int2))),IF(AP54="PT",IF(AW54&lt;PT_First,0,1+INT((AW54-PT_First)/PT_Int)),0)),0))</f>
        <v/>
      </c>
      <c r="AZ54" s="12" t="str">
        <f aca="false">IF(AE54=0,"",IF(AQ54="FT",IF(AR54&lt;FT_First,FT_First,IF(AR54&lt;FT_Y5,MIN(FT_Y5,FT_First+FT_Int1*(INT((AR54-FT_First)/FT_Int1)+1)),FT_Y5+12*INT((AR54-FT_Y5)/12)+FT_Int2*(INT(MOD(AR54-FT_Y5,12)/FT_Int2)+1))),IF(AQ54="PT",IF(AR54&lt;PT_First,PT_First,PT_First+PT_Int*(INT((AR54-PT_First)/PT_Int)+1)),"")))</f>
        <v/>
      </c>
      <c r="BA54" s="12" t="str">
        <f aca="false">IF(AE54=0,"",IF(NOT(LH_Ready),0,COUNTIFS(INDEX(LH_Data,0,LH_ColFirst),$A54,INDEX(LH_Data,0,LH_ColSur),$B54,INDEX(LH_Data,0,LH_ColCat),BonusCat)))</f>
        <v/>
      </c>
      <c r="BB54" s="12" t="str">
        <f aca="false">IF(AE54=0,"",IF(OR(NOT(LH_Ready),BA54=0),0,SUMPRODUCT(MAX((INDEX(LH_Data,0,LH_ColFirst)=$A54)*(INDEX(LH_Data,0,LH_ColSur)=$B54)*(INDEX(LH_Data,0,LH_ColCat)=BonusCat)*ROW(LH_Data)))))</f>
        <v/>
      </c>
    </row>
    <row r="55" customFormat="false" ht="15" hidden="false" customHeight="false" outlineLevel="0" collapsed="false">
      <c r="A55" s="15"/>
      <c r="B55" s="15"/>
      <c r="C55" s="15"/>
      <c r="D55" s="16"/>
      <c r="E55" s="10" t="str">
        <f aca="false">IF(OR(AE55=0,$D55=""),"",DATE(YEAR(AsOfDate)+IF(DATE(YEAR(AsOfDate),MONTH($D55),DAY($D55))&lt;=AsOfDate,1,0),MONTH($D55),DAY($D55)))</f>
        <v/>
      </c>
      <c r="F55" s="16"/>
      <c r="G55" s="16"/>
      <c r="H55" s="16"/>
      <c r="I55" s="16"/>
      <c r="J55" s="16"/>
      <c r="K55" s="10" t="str">
        <f aca="false">IF(AE55=0,"",DATE(YEAR(AsOfDate)+IF(DATE(YEAR(AsOfDate),MONTH($F55),DAY($F55))&lt;=AsOfDate,1,0),MONTH($F55),DAY($F55)))</f>
        <v/>
      </c>
      <c r="L55" s="11" t="str">
        <f aca="false">IF(AE55=0,"",ROUND((AsOfDate-$F55)/365.25,1))</f>
        <v/>
      </c>
      <c r="M55" s="12" t="str">
        <f aca="false">IF(AE55=0,"",IF(AsOfDate&lt;AF55,"-",DATEDIF(AF55,AsOfDate,"y")&amp;"y "&amp;DATEDIF(AF55,AsOfDate,"ym")&amp;"m "&amp;DATEDIF(AF55,AsOfDate,"md")&amp;"d"))</f>
        <v/>
      </c>
      <c r="N55" s="13" t="str">
        <f aca="false">IF(AE55=0,"",O55*HoursPerDay)</f>
        <v/>
      </c>
      <c r="O55" s="13" t="str">
        <f aca="false">IF(AE55=0,"",AX55)</f>
        <v/>
      </c>
      <c r="P55" s="17"/>
      <c r="Q55" s="12" t="str">
        <f aca="false">IF(AE55=0,"",IF(AG55&lt;2,"",AK55&amp;" to "&amp;AL55&amp;" on "&amp;TEXT(AI55,"dd/mm/yyyy")&amp;IF(AI55&gt;AsOfDate," (future)",IF(AN55=AO55,"",IF(AO55="None"," - STOPPED accruing",IF(AN55="None"," - now qualifying"," - pathway changed"))))&amp;IF(AG55&lt;3,"","; "&amp;AL55&amp;" to "&amp;AM55&amp;" on "&amp;TEXT(AJ55,"dd/mm/yyyy")&amp;IF(AJ55&gt;AsOfDate," (future)",IF(AO55=AP55,"",IF(AP55="None"," - STOPPED accruing",IF(AO55="None"," - now qualifying"," - pathway changed")))))))</f>
        <v/>
      </c>
      <c r="R55" s="12" t="str">
        <f aca="false">IF(AE55=0,"",IF(AQ55="None",IF(O55&gt;0,"No longer accruing","Not eligible - "&amp;IF(AND(OR(ISNUMBER(SEARCH("part",$C55)),UPPER(TRIM($C55))="PT",UPPER(TRIM($C55))="PTE"),$P55&lt;&gt;"",N($P55)&lt;PT_MinHours),"under "&amp;PT_MinHours&amp;" hrs",IF(IF($C55="","",IF(OR(ISNUMBER(SEARCH("full",$C55)),UPPER(TRIM($C55))="FT",UPPER(TRIM($C55))="FTE"),"Full-Time",IF(OR(ISNUMBER(SEARCH("part",$C55)),UPPER(TRIM($C55))="PT",UPPER(TRIM($C55))="PTE"),"Part-Time",IF(OR(ISNUMBER(SEARCH("cas",$C55)),UPPER(TRIM($C55))="CAS"),"Casual","Unknown"))))="Unknown","type not recognised",$C55))),IF(O55&gt;0,"Yes - accruing","Not yet - from "&amp;TEXT(S55,"dd/mm/yyyy"))))</f>
        <v/>
      </c>
      <c r="S55" s="10" t="str">
        <f aca="false">IF(AE55=0,"",IF(AQ55="None","",EDATE(AF55,AZ55)))</f>
        <v/>
      </c>
      <c r="T55" s="13" t="str">
        <f aca="false">IF(OR(AE55=0,W55=""),"",W55-U55+V55)</f>
        <v/>
      </c>
      <c r="U55" s="13" t="str">
        <f aca="false">IF(AE55=0,"",IF(NOT(LH_Ready),"",SUMIFS(INDEX(LH_Data,0,LH_ColAcc),INDEX(LH_Data,0,LH_ColFirst),$A55,INDEX(LH_Data,0,LH_ColSur),$B55,INDEX(LH_Data,0,LH_ColCat),BonusCat)*UnitFactor))</f>
        <v/>
      </c>
      <c r="V55" s="13" t="str">
        <f aca="false">IF(AE55=0,"",IF(NOT(LH_Ready),"",SUMIFS(INDEX(LH_Data,0,LH_ColTaken),INDEX(LH_Data,0,LH_ColFirst),$A55,INDEX(LH_Data,0,LH_ColSur),$B55,INDEX(LH_Data,0,LH_ColCat),BonusCat)*UnitFactor))</f>
        <v/>
      </c>
      <c r="W55" s="13" t="str">
        <f aca="false">IF(AE55=0,"",IF(NOT(LH_Ready),"",IF(BB55=0,0,INDEX(INDEX(LH_Data,0,LH_ColClose),BB55-1)*UnitFactor)))</f>
        <v/>
      </c>
      <c r="X55" s="13" t="str">
        <f aca="false">IF(AE55=0,"",(AX55-AY55)*HoursPerDay)</f>
        <v/>
      </c>
      <c r="Y55" s="13" t="str">
        <f aca="false">IF(AE55=0,"",IF(NOT(LH_Ready),"",IF(BA55=0,N55,X55-N(U55))))</f>
        <v/>
      </c>
      <c r="Z55" s="12" t="str">
        <f aca="false">IF(OR(AE55=0,Y55=""),"",IF(Y55&gt;0,"Yes","No"))</f>
        <v/>
      </c>
      <c r="AA55" s="12" t="str">
        <f aca="false">IF(AE55=0,IF(LEN($A55&amp;$B55)=0,"","FIX INPUT - StartDate missing"),IF(AD55&lt;&gt;"","FIX INPUT - "&amp;AD55,IF(NOT(LH_Ready),"Paste Leave History export (Settings must show YES)",IF(Y55&gt;0,"ACCRUE "&amp;ROUND(Y55,2)&amp;" hrs ("&amp;ROUND(Y55/HoursPerDay,2)&amp;" days)"&amp;IF(BA55=0," - no Bonus Leave in EH yet, full catch-up since start",""),IF(Y55&lt;0,"CHECK - EH accrued "&amp;ROUND(-Y55,2)&amp;""&amp;" hrs more than policy",IF(O55&gt;0,"OK - nothing to add",IF(AQ55="None",R55,"Not yet - first day on "&amp;TEXT(S55,"dd/mm/yyyy"))))))))</f>
        <v/>
      </c>
      <c r="AB55" s="13" t="str">
        <f aca="false">IF(OR(AE55=0,T55=""),"",AY55*HoursPerDay-T55)</f>
        <v/>
      </c>
      <c r="AC55" s="12" t="str">
        <f aca="false">IF(AE55=0,"",BA55)</f>
        <v/>
      </c>
      <c r="AD55" s="12" t="str">
        <f aca="false">IF(AE55=0,"",TRIM(IF(IF($C55="","",IF(OR(ISNUMBER(SEARCH("full",$C55)),UPPER(TRIM($C55))="FT",UPPER(TRIM($C55))="FTE"),"Full-Time",IF(OR(ISNUMBER(SEARCH("part",$C55)),UPPER(TRIM($C55))="PT",UPPER(TRIM($C55))="PTE"),"Part-Time",IF(OR(ISNUMBER(SEARCH("cas",$C55)),UPPER(TRIM($C55))="CAS"),"Casual","Unknown"))))="Unknown","EmploymentType not recognised - use Full-Time, Part-Time or Casual. ","")&amp;IF(AND(AG55&gt;=1,IF(AG55&gt;=3,AM55,IF(AG55=2,AL55,AK55))&lt;&gt;IF($C55="","",IF(OR(ISNUMBER(SEARCH("full",$C55)),UPPER(TRIM($C55))="FT",UPPER(TRIM($C55))="FTE"),"Full-Time",IF(OR(ISNUMBER(SEARCH("part",$C55)),UPPER(TRIM($C55))="PT",UPPER(TRIM($C55))="PTE"),"Part-Time",IF(OR(ISNUMBER(SEARCH("cas",$C55)),UPPER(TRIM($C55))="CAS"),"Casual","Unknown"))))),"EmploymentType does not match latest start date ("&amp;IF(AG55&gt;=3,AM55,IF(AG55=2,AL55,AK55))&amp;"). ","")&amp;IF(AND(AG55&gt;=1,AH55&lt;&gt;$F55),"Earliest type date should equal StartDate. ","")&amp;IF(AND(AG55&gt;=2,AH55=AI55),"Two types start on the same date. ","")&amp;IF(AND(OR(ISNUMBER(SEARCH("part",$C55)),UPPER(TRIM($C55))="PT",UPPER(TRIM($C55))="PTE"),$P55=""),"Part-time: enter PT Hrs/Week (blank = 24+). ","")))</f>
        <v/>
      </c>
      <c r="AE55" s="12" t="n">
        <f aca="false">IF(OR(LEN($A55&amp;$B55)=0,$F55=""),0,1)</f>
        <v>0</v>
      </c>
      <c r="AF55" s="10" t="str">
        <f aca="false">IF(AE55=0,"",IF($J55&lt;&gt;"",$J55,$F55))</f>
        <v/>
      </c>
      <c r="AG55" s="12" t="str">
        <f aca="false">IF(AE55=0,"",COUNT($G55:$I55))</f>
        <v/>
      </c>
      <c r="AH55" s="10" t="str">
        <f aca="false">IF(AE55=0,"",IFERROR(SMALL($G55:$I55,1),""))</f>
        <v/>
      </c>
      <c r="AI55" s="10" t="str">
        <f aca="false">IF(AE55=0,"",IFERROR(SMALL($G55:$I55,2),""))</f>
        <v/>
      </c>
      <c r="AJ55" s="10" t="str">
        <f aca="false">IF(AE55=0,"",IFERROR(SMALL($G55:$I55,3),""))</f>
        <v/>
      </c>
      <c r="AK55" s="12" t="str">
        <f aca="false">IF(AE55=0,"",IF(AH55="","",IF(AH55=$G55,"Part-Time",IF(AH55=$H55,"Full-Time","Casual"))))</f>
        <v/>
      </c>
      <c r="AL55" s="12" t="str">
        <f aca="false">IF(AE55=0,"",IF(AI55="","",IF(AI55=$G55,"Part-Time",IF(AI55=$H55,"Full-Time","Casual"))))</f>
        <v/>
      </c>
      <c r="AM55" s="12" t="str">
        <f aca="false">IF(AE55=0,"",IF(AJ55="","",IF(AJ55=$G55,"Part-Time",IF(AJ55=$H55,"Full-Time","Casual"))))</f>
        <v/>
      </c>
      <c r="AN55" s="12" t="str">
        <f aca="false">IF(AE55=0,"",IF(AG55=0,IF(OR(ISNUMBER(SEARCH("full",$C55)),UPPER(TRIM($C55))="FT",UPPER(TRIM($C55))="FTE"),"FT",IF(AND(OR(ISNUMBER(SEARCH("part",$C55)),UPPER(TRIM($C55))="PT",UPPER(TRIM($C55))="PTE"),OR($P55="",N($P55)&gt;=PT_MinHours)),"PT","None")),IF(OR(ISNUMBER(SEARCH("full",AK55)),UPPER(TRIM(AK55))="FT",UPPER(TRIM(AK55))="FTE"),"FT",IF(AND(OR(ISNUMBER(SEARCH("part",AK55)),UPPER(TRIM(AK55))="PT",UPPER(TRIM(AK55))="PTE"),OR($P55="",N($P55)&gt;=PT_MinHours)),"PT","None"))))</f>
        <v/>
      </c>
      <c r="AO55" s="12" t="str">
        <f aca="false">IF(AE55=0,"",IF(AG55&lt;2,"",IF(OR(ISNUMBER(SEARCH("full",AL55)),UPPER(TRIM(AL55))="FT",UPPER(TRIM(AL55))="FTE"),"FT",IF(AND(OR(ISNUMBER(SEARCH("part",AL55)),UPPER(TRIM(AL55))="PT",UPPER(TRIM(AL55))="PTE"),OR($P55="",N($P55)&gt;=PT_MinHours)),"PT","None"))))</f>
        <v/>
      </c>
      <c r="AP55" s="12" t="str">
        <f aca="false">IF(AE55=0,"",IF(AG55&lt;3,"",IF(OR(ISNUMBER(SEARCH("full",AM55)),UPPER(TRIM(AM55))="FT",UPPER(TRIM(AM55))="FTE"),"FT",IF(AND(OR(ISNUMBER(SEARCH("part",AM55)),UPPER(TRIM(AM55))="PT",UPPER(TRIM(AM55))="PTE"),OR($P55="",N($P55)&gt;=PT_MinHours)),"PT","None"))))</f>
        <v/>
      </c>
      <c r="AQ55" s="12" t="str">
        <f aca="false">IF(AE55=0,"",IF(AND(AG55&gt;=3,AJ55&lt;=AsOfDate),AP55,IF(AND(AG55&gt;=2,AI55&lt;=AsOfDate),AO55,AN55)))</f>
        <v/>
      </c>
      <c r="AR55" s="12" t="str">
        <f aca="false">IF(AE55=0,"",IF(AsOfDate&lt;AF55,-1,12*(YEAR(AsOfDate)-YEAR(AF55))+MONTH(AsOfDate)-MONTH(AF55)-IF(DAY(AsOfDate)&lt;MIN(DAY(AF55),DAY(EOMONTH(AsOfDate,0))),1,0)))</f>
        <v/>
      </c>
      <c r="AS55" s="12" t="str">
        <f aca="false">IF(AE55=0,"",IF(OR(AG55&lt;2,AI55&gt;AsOfDate),AR55,IF((AI55-1)&lt;AF55,-1,12*(YEAR((AI55-1))-YEAR(AF55))+MONTH((AI55-1))-MONTH(AF55)-IF(DAY((AI55-1))&lt;MIN(DAY(AF55),DAY(EOMONTH((AI55-1),0))),1,0))))</f>
        <v/>
      </c>
      <c r="AT55" s="12" t="str">
        <f aca="false">IF(AE55=0,"",IF(OR(AG55&lt;3,AJ55&gt;AsOfDate),AR55,IF((AJ55-1)&lt;AF55,-1,12*(YEAR((AJ55-1))-YEAR(AF55))+MONTH((AJ55-1))-MONTH(AF55)-IF(DAY((AJ55-1))&lt;MIN(DAY(AF55),DAY(EOMONTH((AJ55-1),0))),1,0))))</f>
        <v/>
      </c>
      <c r="AU55" s="12" t="str">
        <f aca="false">IF(AE55=0,"",IF(PFYDate&lt;AF55,-1,12*(YEAR(PFYDate)-YEAR(AF55))+MONTH(PFYDate)-MONTH(AF55)-IF(DAY(PFYDate)&lt;MIN(DAY(AF55),DAY(EOMONTH(PFYDate,0))),1,0)))</f>
        <v/>
      </c>
      <c r="AV55" s="12" t="str">
        <f aca="false">IF(AE55=0,"",IF(OR(AG55&lt;2,AI55&gt;PFYDate),AU55,IF((AI55-1)&lt;AF55,-1,12*(YEAR((AI55-1))-YEAR(AF55))+MONTH((AI55-1))-MONTH(AF55)-IF(DAY((AI55-1))&lt;MIN(DAY(AF55),DAY(EOMONTH((AI55-1),0))),1,0))))</f>
        <v/>
      </c>
      <c r="AW55" s="12" t="str">
        <f aca="false">IF(AE55=0,"",IF(OR(AG55&lt;3,AJ55&gt;PFYDate),AU55,IF((AJ55-1)&lt;AF55,-1,12*(YEAR((AJ55-1))-YEAR(AF55))+MONTH((AJ55-1))-MONTH(AF55)-IF(DAY((AJ55-1))&lt;MIN(DAY(AF55),DAY(EOMONTH((AJ55-1),0))),1,0))))</f>
        <v/>
      </c>
      <c r="AX55" s="12" t="str">
        <f aca="false">IF(AE55=0,"",IF(AN55="FT",IF(AS55&lt;FT_First,0,IF(AS55&lt;FT_Y5,1+INT((AS55-FT_First)/FT_Int1),FT_PreY5+FT_PerYear*INT((AS55-FT_Y5)/12)+FT_AnnivDays+INT(MOD(AS55-FT_Y5,12)/FT_Int2))),IF(AN55="PT",IF(AS55&lt;PT_First,0,1+INT((AS55-PT_First)/PT_Int)),0))+IF(AND(AG55&gt;=2,AI55&lt;=AsOfDate),IF(AO55="FT",IF(AT55&lt;FT_First,0,IF(AT55&lt;FT_Y5,1+INT((AT55-FT_First)/FT_Int1),FT_PreY5+FT_PerYear*INT((AT55-FT_Y5)/12)+FT_AnnivDays+INT(MOD(AT55-FT_Y5,12)/FT_Int2))),IF(AO55="PT",IF(AT55&lt;PT_First,0,1+INT((AT55-PT_First)/PT_Int)),0))-IF(AO55="FT",IF(AS55&lt;FT_First,0,IF(AS55&lt;FT_Y5,1+INT((AS55-FT_First)/FT_Int1),FT_PreY5+FT_PerYear*INT((AS55-FT_Y5)/12)+FT_AnnivDays+INT(MOD(AS55-FT_Y5,12)/FT_Int2))),IF(AO55="PT",IF(AS55&lt;PT_First,0,1+INT((AS55-PT_First)/PT_Int)),0)),0)+IF(AND(AG55&gt;=3,AJ55&lt;=AsOfDate),IF(AP55="FT",IF(AR55&lt;FT_First,0,IF(AR55&lt;FT_Y5,1+INT((AR55-FT_First)/FT_Int1),FT_PreY5+FT_PerYear*INT((AR55-FT_Y5)/12)+FT_AnnivDays+INT(MOD(AR55-FT_Y5,12)/FT_Int2))),IF(AP55="PT",IF(AR55&lt;PT_First,0,1+INT((AR55-PT_First)/PT_Int)),0))-IF(AP55="FT",IF(AT55&lt;FT_First,0,IF(AT55&lt;FT_Y5,1+INT((AT55-FT_First)/FT_Int1),FT_PreY5+FT_PerYear*INT((AT55-FT_Y5)/12)+FT_AnnivDays+INT(MOD(AT55-FT_Y5,12)/FT_Int2))),IF(AP55="PT",IF(AT55&lt;PT_First,0,1+INT((AT55-PT_First)/PT_Int)),0)),0))</f>
        <v/>
      </c>
      <c r="AY55" s="12" t="str">
        <f aca="false">IF(AE55=0,"",IF(AN55="FT",IF(AV55&lt;FT_First,0,IF(AV55&lt;FT_Y5,1+INT((AV55-FT_First)/FT_Int1),FT_PreY5+FT_PerYear*INT((AV55-FT_Y5)/12)+FT_AnnivDays+INT(MOD(AV55-FT_Y5,12)/FT_Int2))),IF(AN55="PT",IF(AV55&lt;PT_First,0,1+INT((AV55-PT_First)/PT_Int)),0))+IF(AND(AG55&gt;=2,AI55&lt;=PFYDate),IF(AO55="FT",IF(AW55&lt;FT_First,0,IF(AW55&lt;FT_Y5,1+INT((AW55-FT_First)/FT_Int1),FT_PreY5+FT_PerYear*INT((AW55-FT_Y5)/12)+FT_AnnivDays+INT(MOD(AW55-FT_Y5,12)/FT_Int2))),IF(AO55="PT",IF(AW55&lt;PT_First,0,1+INT((AW55-PT_First)/PT_Int)),0))-IF(AO55="FT",IF(AV55&lt;FT_First,0,IF(AV55&lt;FT_Y5,1+INT((AV55-FT_First)/FT_Int1),FT_PreY5+FT_PerYear*INT((AV55-FT_Y5)/12)+FT_AnnivDays+INT(MOD(AV55-FT_Y5,12)/FT_Int2))),IF(AO55="PT",IF(AV55&lt;PT_First,0,1+INT((AV55-PT_First)/PT_Int)),0)),0)+IF(AND(AG55&gt;=3,AJ55&lt;=PFYDate),IF(AP55="FT",IF(AU55&lt;FT_First,0,IF(AU55&lt;FT_Y5,1+INT((AU55-FT_First)/FT_Int1),FT_PreY5+FT_PerYear*INT((AU55-FT_Y5)/12)+FT_AnnivDays+INT(MOD(AU55-FT_Y5,12)/FT_Int2))),IF(AP55="PT",IF(AU55&lt;PT_First,0,1+INT((AU55-PT_First)/PT_Int)),0))-IF(AP55="FT",IF(AW55&lt;FT_First,0,IF(AW55&lt;FT_Y5,1+INT((AW55-FT_First)/FT_Int1),FT_PreY5+FT_PerYear*INT((AW55-FT_Y5)/12)+FT_AnnivDays+INT(MOD(AW55-FT_Y5,12)/FT_Int2))),IF(AP55="PT",IF(AW55&lt;PT_First,0,1+INT((AW55-PT_First)/PT_Int)),0)),0))</f>
        <v/>
      </c>
      <c r="AZ55" s="12" t="str">
        <f aca="false">IF(AE55=0,"",IF(AQ55="FT",IF(AR55&lt;FT_First,FT_First,IF(AR55&lt;FT_Y5,MIN(FT_Y5,FT_First+FT_Int1*(INT((AR55-FT_First)/FT_Int1)+1)),FT_Y5+12*INT((AR55-FT_Y5)/12)+FT_Int2*(INT(MOD(AR55-FT_Y5,12)/FT_Int2)+1))),IF(AQ55="PT",IF(AR55&lt;PT_First,PT_First,PT_First+PT_Int*(INT((AR55-PT_First)/PT_Int)+1)),"")))</f>
        <v/>
      </c>
      <c r="BA55" s="12" t="str">
        <f aca="false">IF(AE55=0,"",IF(NOT(LH_Ready),0,COUNTIFS(INDEX(LH_Data,0,LH_ColFirst),$A55,INDEX(LH_Data,0,LH_ColSur),$B55,INDEX(LH_Data,0,LH_ColCat),BonusCat)))</f>
        <v/>
      </c>
      <c r="BB55" s="12" t="str">
        <f aca="false">IF(AE55=0,"",IF(OR(NOT(LH_Ready),BA55=0),0,SUMPRODUCT(MAX((INDEX(LH_Data,0,LH_ColFirst)=$A55)*(INDEX(LH_Data,0,LH_ColSur)=$B55)*(INDEX(LH_Data,0,LH_ColCat)=BonusCat)*ROW(LH_Data)))))</f>
        <v/>
      </c>
    </row>
    <row r="56" customFormat="false" ht="15" hidden="false" customHeight="false" outlineLevel="0" collapsed="false">
      <c r="A56" s="15"/>
      <c r="B56" s="15"/>
      <c r="C56" s="15"/>
      <c r="D56" s="16"/>
      <c r="E56" s="10" t="str">
        <f aca="false">IF(OR(AE56=0,$D56=""),"",DATE(YEAR(AsOfDate)+IF(DATE(YEAR(AsOfDate),MONTH($D56),DAY($D56))&lt;=AsOfDate,1,0),MONTH($D56),DAY($D56)))</f>
        <v/>
      </c>
      <c r="F56" s="16"/>
      <c r="G56" s="16"/>
      <c r="H56" s="16"/>
      <c r="I56" s="16"/>
      <c r="J56" s="16"/>
      <c r="K56" s="10" t="str">
        <f aca="false">IF(AE56=0,"",DATE(YEAR(AsOfDate)+IF(DATE(YEAR(AsOfDate),MONTH($F56),DAY($F56))&lt;=AsOfDate,1,0),MONTH($F56),DAY($F56)))</f>
        <v/>
      </c>
      <c r="L56" s="11" t="str">
        <f aca="false">IF(AE56=0,"",ROUND((AsOfDate-$F56)/365.25,1))</f>
        <v/>
      </c>
      <c r="M56" s="12" t="str">
        <f aca="false">IF(AE56=0,"",IF(AsOfDate&lt;AF56,"-",DATEDIF(AF56,AsOfDate,"y")&amp;"y "&amp;DATEDIF(AF56,AsOfDate,"ym")&amp;"m "&amp;DATEDIF(AF56,AsOfDate,"md")&amp;"d"))</f>
        <v/>
      </c>
      <c r="N56" s="13" t="str">
        <f aca="false">IF(AE56=0,"",O56*HoursPerDay)</f>
        <v/>
      </c>
      <c r="O56" s="13" t="str">
        <f aca="false">IF(AE56=0,"",AX56)</f>
        <v/>
      </c>
      <c r="P56" s="17"/>
      <c r="Q56" s="12" t="str">
        <f aca="false">IF(AE56=0,"",IF(AG56&lt;2,"",AK56&amp;" to "&amp;AL56&amp;" on "&amp;TEXT(AI56,"dd/mm/yyyy")&amp;IF(AI56&gt;AsOfDate," (future)",IF(AN56=AO56,"",IF(AO56="None"," - STOPPED accruing",IF(AN56="None"," - now qualifying"," - pathway changed"))))&amp;IF(AG56&lt;3,"","; "&amp;AL56&amp;" to "&amp;AM56&amp;" on "&amp;TEXT(AJ56,"dd/mm/yyyy")&amp;IF(AJ56&gt;AsOfDate," (future)",IF(AO56=AP56,"",IF(AP56="None"," - STOPPED accruing",IF(AO56="None"," - now qualifying"," - pathway changed")))))))</f>
        <v/>
      </c>
      <c r="R56" s="12" t="str">
        <f aca="false">IF(AE56=0,"",IF(AQ56="None",IF(O56&gt;0,"No longer accruing","Not eligible - "&amp;IF(AND(OR(ISNUMBER(SEARCH("part",$C56)),UPPER(TRIM($C56))="PT",UPPER(TRIM($C56))="PTE"),$P56&lt;&gt;"",N($P56)&lt;PT_MinHours),"under "&amp;PT_MinHours&amp;" hrs",IF(IF($C56="","",IF(OR(ISNUMBER(SEARCH("full",$C56)),UPPER(TRIM($C56))="FT",UPPER(TRIM($C56))="FTE"),"Full-Time",IF(OR(ISNUMBER(SEARCH("part",$C56)),UPPER(TRIM($C56))="PT",UPPER(TRIM($C56))="PTE"),"Part-Time",IF(OR(ISNUMBER(SEARCH("cas",$C56)),UPPER(TRIM($C56))="CAS"),"Casual","Unknown"))))="Unknown","type not recognised",$C56))),IF(O56&gt;0,"Yes - accruing","Not yet - from "&amp;TEXT(S56,"dd/mm/yyyy"))))</f>
        <v/>
      </c>
      <c r="S56" s="10" t="str">
        <f aca="false">IF(AE56=0,"",IF(AQ56="None","",EDATE(AF56,AZ56)))</f>
        <v/>
      </c>
      <c r="T56" s="13" t="str">
        <f aca="false">IF(OR(AE56=0,W56=""),"",W56-U56+V56)</f>
        <v/>
      </c>
      <c r="U56" s="13" t="str">
        <f aca="false">IF(AE56=0,"",IF(NOT(LH_Ready),"",SUMIFS(INDEX(LH_Data,0,LH_ColAcc),INDEX(LH_Data,0,LH_ColFirst),$A56,INDEX(LH_Data,0,LH_ColSur),$B56,INDEX(LH_Data,0,LH_ColCat),BonusCat)*UnitFactor))</f>
        <v/>
      </c>
      <c r="V56" s="13" t="str">
        <f aca="false">IF(AE56=0,"",IF(NOT(LH_Ready),"",SUMIFS(INDEX(LH_Data,0,LH_ColTaken),INDEX(LH_Data,0,LH_ColFirst),$A56,INDEX(LH_Data,0,LH_ColSur),$B56,INDEX(LH_Data,0,LH_ColCat),BonusCat)*UnitFactor))</f>
        <v/>
      </c>
      <c r="W56" s="13" t="str">
        <f aca="false">IF(AE56=0,"",IF(NOT(LH_Ready),"",IF(BB56=0,0,INDEX(INDEX(LH_Data,0,LH_ColClose),BB56-1)*UnitFactor)))</f>
        <v/>
      </c>
      <c r="X56" s="13" t="str">
        <f aca="false">IF(AE56=0,"",(AX56-AY56)*HoursPerDay)</f>
        <v/>
      </c>
      <c r="Y56" s="13" t="str">
        <f aca="false">IF(AE56=0,"",IF(NOT(LH_Ready),"",IF(BA56=0,N56,X56-N(U56))))</f>
        <v/>
      </c>
      <c r="Z56" s="12" t="str">
        <f aca="false">IF(OR(AE56=0,Y56=""),"",IF(Y56&gt;0,"Yes","No"))</f>
        <v/>
      </c>
      <c r="AA56" s="12" t="str">
        <f aca="false">IF(AE56=0,IF(LEN($A56&amp;$B56)=0,"","FIX INPUT - StartDate missing"),IF(AD56&lt;&gt;"","FIX INPUT - "&amp;AD56,IF(NOT(LH_Ready),"Paste Leave History export (Settings must show YES)",IF(Y56&gt;0,"ACCRUE "&amp;ROUND(Y56,2)&amp;" hrs ("&amp;ROUND(Y56/HoursPerDay,2)&amp;" days)"&amp;IF(BA56=0," - no Bonus Leave in EH yet, full catch-up since start",""),IF(Y56&lt;0,"CHECK - EH accrued "&amp;ROUND(-Y56,2)&amp;""&amp;" hrs more than policy",IF(O56&gt;0,"OK - nothing to add",IF(AQ56="None",R56,"Not yet - first day on "&amp;TEXT(S56,"dd/mm/yyyy"))))))))</f>
        <v/>
      </c>
      <c r="AB56" s="13" t="str">
        <f aca="false">IF(OR(AE56=0,T56=""),"",AY56*HoursPerDay-T56)</f>
        <v/>
      </c>
      <c r="AC56" s="12" t="str">
        <f aca="false">IF(AE56=0,"",BA56)</f>
        <v/>
      </c>
      <c r="AD56" s="12" t="str">
        <f aca="false">IF(AE56=0,"",TRIM(IF(IF($C56="","",IF(OR(ISNUMBER(SEARCH("full",$C56)),UPPER(TRIM($C56))="FT",UPPER(TRIM($C56))="FTE"),"Full-Time",IF(OR(ISNUMBER(SEARCH("part",$C56)),UPPER(TRIM($C56))="PT",UPPER(TRIM($C56))="PTE"),"Part-Time",IF(OR(ISNUMBER(SEARCH("cas",$C56)),UPPER(TRIM($C56))="CAS"),"Casual","Unknown"))))="Unknown","EmploymentType not recognised - use Full-Time, Part-Time or Casual. ","")&amp;IF(AND(AG56&gt;=1,IF(AG56&gt;=3,AM56,IF(AG56=2,AL56,AK56))&lt;&gt;IF($C56="","",IF(OR(ISNUMBER(SEARCH("full",$C56)),UPPER(TRIM($C56))="FT",UPPER(TRIM($C56))="FTE"),"Full-Time",IF(OR(ISNUMBER(SEARCH("part",$C56)),UPPER(TRIM($C56))="PT",UPPER(TRIM($C56))="PTE"),"Part-Time",IF(OR(ISNUMBER(SEARCH("cas",$C56)),UPPER(TRIM($C56))="CAS"),"Casual","Unknown"))))),"EmploymentType does not match latest start date ("&amp;IF(AG56&gt;=3,AM56,IF(AG56=2,AL56,AK56))&amp;"). ","")&amp;IF(AND(AG56&gt;=1,AH56&lt;&gt;$F56),"Earliest type date should equal StartDate. ","")&amp;IF(AND(AG56&gt;=2,AH56=AI56),"Two types start on the same date. ","")&amp;IF(AND(OR(ISNUMBER(SEARCH("part",$C56)),UPPER(TRIM($C56))="PT",UPPER(TRIM($C56))="PTE"),$P56=""),"Part-time: enter PT Hrs/Week (blank = 24+). ","")))</f>
        <v/>
      </c>
      <c r="AE56" s="12" t="n">
        <f aca="false">IF(OR(LEN($A56&amp;$B56)=0,$F56=""),0,1)</f>
        <v>0</v>
      </c>
      <c r="AF56" s="10" t="str">
        <f aca="false">IF(AE56=0,"",IF($J56&lt;&gt;"",$J56,$F56))</f>
        <v/>
      </c>
      <c r="AG56" s="12" t="str">
        <f aca="false">IF(AE56=0,"",COUNT($G56:$I56))</f>
        <v/>
      </c>
      <c r="AH56" s="10" t="str">
        <f aca="false">IF(AE56=0,"",IFERROR(SMALL($G56:$I56,1),""))</f>
        <v/>
      </c>
      <c r="AI56" s="10" t="str">
        <f aca="false">IF(AE56=0,"",IFERROR(SMALL($G56:$I56,2),""))</f>
        <v/>
      </c>
      <c r="AJ56" s="10" t="str">
        <f aca="false">IF(AE56=0,"",IFERROR(SMALL($G56:$I56,3),""))</f>
        <v/>
      </c>
      <c r="AK56" s="12" t="str">
        <f aca="false">IF(AE56=0,"",IF(AH56="","",IF(AH56=$G56,"Part-Time",IF(AH56=$H56,"Full-Time","Casual"))))</f>
        <v/>
      </c>
      <c r="AL56" s="12" t="str">
        <f aca="false">IF(AE56=0,"",IF(AI56="","",IF(AI56=$G56,"Part-Time",IF(AI56=$H56,"Full-Time","Casual"))))</f>
        <v/>
      </c>
      <c r="AM56" s="12" t="str">
        <f aca="false">IF(AE56=0,"",IF(AJ56="","",IF(AJ56=$G56,"Part-Time",IF(AJ56=$H56,"Full-Time","Casual"))))</f>
        <v/>
      </c>
      <c r="AN56" s="12" t="str">
        <f aca="false">IF(AE56=0,"",IF(AG56=0,IF(OR(ISNUMBER(SEARCH("full",$C56)),UPPER(TRIM($C56))="FT",UPPER(TRIM($C56))="FTE"),"FT",IF(AND(OR(ISNUMBER(SEARCH("part",$C56)),UPPER(TRIM($C56))="PT",UPPER(TRIM($C56))="PTE"),OR($P56="",N($P56)&gt;=PT_MinHours)),"PT","None")),IF(OR(ISNUMBER(SEARCH("full",AK56)),UPPER(TRIM(AK56))="FT",UPPER(TRIM(AK56))="FTE"),"FT",IF(AND(OR(ISNUMBER(SEARCH("part",AK56)),UPPER(TRIM(AK56))="PT",UPPER(TRIM(AK56))="PTE"),OR($P56="",N($P56)&gt;=PT_MinHours)),"PT","None"))))</f>
        <v/>
      </c>
      <c r="AO56" s="12" t="str">
        <f aca="false">IF(AE56=0,"",IF(AG56&lt;2,"",IF(OR(ISNUMBER(SEARCH("full",AL56)),UPPER(TRIM(AL56))="FT",UPPER(TRIM(AL56))="FTE"),"FT",IF(AND(OR(ISNUMBER(SEARCH("part",AL56)),UPPER(TRIM(AL56))="PT",UPPER(TRIM(AL56))="PTE"),OR($P56="",N($P56)&gt;=PT_MinHours)),"PT","None"))))</f>
        <v/>
      </c>
      <c r="AP56" s="12" t="str">
        <f aca="false">IF(AE56=0,"",IF(AG56&lt;3,"",IF(OR(ISNUMBER(SEARCH("full",AM56)),UPPER(TRIM(AM56))="FT",UPPER(TRIM(AM56))="FTE"),"FT",IF(AND(OR(ISNUMBER(SEARCH("part",AM56)),UPPER(TRIM(AM56))="PT",UPPER(TRIM(AM56))="PTE"),OR($P56="",N($P56)&gt;=PT_MinHours)),"PT","None"))))</f>
        <v/>
      </c>
      <c r="AQ56" s="12" t="str">
        <f aca="false">IF(AE56=0,"",IF(AND(AG56&gt;=3,AJ56&lt;=AsOfDate),AP56,IF(AND(AG56&gt;=2,AI56&lt;=AsOfDate),AO56,AN56)))</f>
        <v/>
      </c>
      <c r="AR56" s="12" t="str">
        <f aca="false">IF(AE56=0,"",IF(AsOfDate&lt;AF56,-1,12*(YEAR(AsOfDate)-YEAR(AF56))+MONTH(AsOfDate)-MONTH(AF56)-IF(DAY(AsOfDate)&lt;MIN(DAY(AF56),DAY(EOMONTH(AsOfDate,0))),1,0)))</f>
        <v/>
      </c>
      <c r="AS56" s="12" t="str">
        <f aca="false">IF(AE56=0,"",IF(OR(AG56&lt;2,AI56&gt;AsOfDate),AR56,IF((AI56-1)&lt;AF56,-1,12*(YEAR((AI56-1))-YEAR(AF56))+MONTH((AI56-1))-MONTH(AF56)-IF(DAY((AI56-1))&lt;MIN(DAY(AF56),DAY(EOMONTH((AI56-1),0))),1,0))))</f>
        <v/>
      </c>
      <c r="AT56" s="12" t="str">
        <f aca="false">IF(AE56=0,"",IF(OR(AG56&lt;3,AJ56&gt;AsOfDate),AR56,IF((AJ56-1)&lt;AF56,-1,12*(YEAR((AJ56-1))-YEAR(AF56))+MONTH((AJ56-1))-MONTH(AF56)-IF(DAY((AJ56-1))&lt;MIN(DAY(AF56),DAY(EOMONTH((AJ56-1),0))),1,0))))</f>
        <v/>
      </c>
      <c r="AU56" s="12" t="str">
        <f aca="false">IF(AE56=0,"",IF(PFYDate&lt;AF56,-1,12*(YEAR(PFYDate)-YEAR(AF56))+MONTH(PFYDate)-MONTH(AF56)-IF(DAY(PFYDate)&lt;MIN(DAY(AF56),DAY(EOMONTH(PFYDate,0))),1,0)))</f>
        <v/>
      </c>
      <c r="AV56" s="12" t="str">
        <f aca="false">IF(AE56=0,"",IF(OR(AG56&lt;2,AI56&gt;PFYDate),AU56,IF((AI56-1)&lt;AF56,-1,12*(YEAR((AI56-1))-YEAR(AF56))+MONTH((AI56-1))-MONTH(AF56)-IF(DAY((AI56-1))&lt;MIN(DAY(AF56),DAY(EOMONTH((AI56-1),0))),1,0))))</f>
        <v/>
      </c>
      <c r="AW56" s="12" t="str">
        <f aca="false">IF(AE56=0,"",IF(OR(AG56&lt;3,AJ56&gt;PFYDate),AU56,IF((AJ56-1)&lt;AF56,-1,12*(YEAR((AJ56-1))-YEAR(AF56))+MONTH((AJ56-1))-MONTH(AF56)-IF(DAY((AJ56-1))&lt;MIN(DAY(AF56),DAY(EOMONTH((AJ56-1),0))),1,0))))</f>
        <v/>
      </c>
      <c r="AX56" s="12" t="str">
        <f aca="false">IF(AE56=0,"",IF(AN56="FT",IF(AS56&lt;FT_First,0,IF(AS56&lt;FT_Y5,1+INT((AS56-FT_First)/FT_Int1),FT_PreY5+FT_PerYear*INT((AS56-FT_Y5)/12)+FT_AnnivDays+INT(MOD(AS56-FT_Y5,12)/FT_Int2))),IF(AN56="PT",IF(AS56&lt;PT_First,0,1+INT((AS56-PT_First)/PT_Int)),0))+IF(AND(AG56&gt;=2,AI56&lt;=AsOfDate),IF(AO56="FT",IF(AT56&lt;FT_First,0,IF(AT56&lt;FT_Y5,1+INT((AT56-FT_First)/FT_Int1),FT_PreY5+FT_PerYear*INT((AT56-FT_Y5)/12)+FT_AnnivDays+INT(MOD(AT56-FT_Y5,12)/FT_Int2))),IF(AO56="PT",IF(AT56&lt;PT_First,0,1+INT((AT56-PT_First)/PT_Int)),0))-IF(AO56="FT",IF(AS56&lt;FT_First,0,IF(AS56&lt;FT_Y5,1+INT((AS56-FT_First)/FT_Int1),FT_PreY5+FT_PerYear*INT((AS56-FT_Y5)/12)+FT_AnnivDays+INT(MOD(AS56-FT_Y5,12)/FT_Int2))),IF(AO56="PT",IF(AS56&lt;PT_First,0,1+INT((AS56-PT_First)/PT_Int)),0)),0)+IF(AND(AG56&gt;=3,AJ56&lt;=AsOfDate),IF(AP56="FT",IF(AR56&lt;FT_First,0,IF(AR56&lt;FT_Y5,1+INT((AR56-FT_First)/FT_Int1),FT_PreY5+FT_PerYear*INT((AR56-FT_Y5)/12)+FT_AnnivDays+INT(MOD(AR56-FT_Y5,12)/FT_Int2))),IF(AP56="PT",IF(AR56&lt;PT_First,0,1+INT((AR56-PT_First)/PT_Int)),0))-IF(AP56="FT",IF(AT56&lt;FT_First,0,IF(AT56&lt;FT_Y5,1+INT((AT56-FT_First)/FT_Int1),FT_PreY5+FT_PerYear*INT((AT56-FT_Y5)/12)+FT_AnnivDays+INT(MOD(AT56-FT_Y5,12)/FT_Int2))),IF(AP56="PT",IF(AT56&lt;PT_First,0,1+INT((AT56-PT_First)/PT_Int)),0)),0))</f>
        <v/>
      </c>
      <c r="AY56" s="12" t="str">
        <f aca="false">IF(AE56=0,"",IF(AN56="FT",IF(AV56&lt;FT_First,0,IF(AV56&lt;FT_Y5,1+INT((AV56-FT_First)/FT_Int1),FT_PreY5+FT_PerYear*INT((AV56-FT_Y5)/12)+FT_AnnivDays+INT(MOD(AV56-FT_Y5,12)/FT_Int2))),IF(AN56="PT",IF(AV56&lt;PT_First,0,1+INT((AV56-PT_First)/PT_Int)),0))+IF(AND(AG56&gt;=2,AI56&lt;=PFYDate),IF(AO56="FT",IF(AW56&lt;FT_First,0,IF(AW56&lt;FT_Y5,1+INT((AW56-FT_First)/FT_Int1),FT_PreY5+FT_PerYear*INT((AW56-FT_Y5)/12)+FT_AnnivDays+INT(MOD(AW56-FT_Y5,12)/FT_Int2))),IF(AO56="PT",IF(AW56&lt;PT_First,0,1+INT((AW56-PT_First)/PT_Int)),0))-IF(AO56="FT",IF(AV56&lt;FT_First,0,IF(AV56&lt;FT_Y5,1+INT((AV56-FT_First)/FT_Int1),FT_PreY5+FT_PerYear*INT((AV56-FT_Y5)/12)+FT_AnnivDays+INT(MOD(AV56-FT_Y5,12)/FT_Int2))),IF(AO56="PT",IF(AV56&lt;PT_First,0,1+INT((AV56-PT_First)/PT_Int)),0)),0)+IF(AND(AG56&gt;=3,AJ56&lt;=PFYDate),IF(AP56="FT",IF(AU56&lt;FT_First,0,IF(AU56&lt;FT_Y5,1+INT((AU56-FT_First)/FT_Int1),FT_PreY5+FT_PerYear*INT((AU56-FT_Y5)/12)+FT_AnnivDays+INT(MOD(AU56-FT_Y5,12)/FT_Int2))),IF(AP56="PT",IF(AU56&lt;PT_First,0,1+INT((AU56-PT_First)/PT_Int)),0))-IF(AP56="FT",IF(AW56&lt;FT_First,0,IF(AW56&lt;FT_Y5,1+INT((AW56-FT_First)/FT_Int1),FT_PreY5+FT_PerYear*INT((AW56-FT_Y5)/12)+FT_AnnivDays+INT(MOD(AW56-FT_Y5,12)/FT_Int2))),IF(AP56="PT",IF(AW56&lt;PT_First,0,1+INT((AW56-PT_First)/PT_Int)),0)),0))</f>
        <v/>
      </c>
      <c r="AZ56" s="12" t="str">
        <f aca="false">IF(AE56=0,"",IF(AQ56="FT",IF(AR56&lt;FT_First,FT_First,IF(AR56&lt;FT_Y5,MIN(FT_Y5,FT_First+FT_Int1*(INT((AR56-FT_First)/FT_Int1)+1)),FT_Y5+12*INT((AR56-FT_Y5)/12)+FT_Int2*(INT(MOD(AR56-FT_Y5,12)/FT_Int2)+1))),IF(AQ56="PT",IF(AR56&lt;PT_First,PT_First,PT_First+PT_Int*(INT((AR56-PT_First)/PT_Int)+1)),"")))</f>
        <v/>
      </c>
      <c r="BA56" s="12" t="str">
        <f aca="false">IF(AE56=0,"",IF(NOT(LH_Ready),0,COUNTIFS(INDEX(LH_Data,0,LH_ColFirst),$A56,INDEX(LH_Data,0,LH_ColSur),$B56,INDEX(LH_Data,0,LH_ColCat),BonusCat)))</f>
        <v/>
      </c>
      <c r="BB56" s="12" t="str">
        <f aca="false">IF(AE56=0,"",IF(OR(NOT(LH_Ready),BA56=0),0,SUMPRODUCT(MAX((INDEX(LH_Data,0,LH_ColFirst)=$A56)*(INDEX(LH_Data,0,LH_ColSur)=$B56)*(INDEX(LH_Data,0,LH_ColCat)=BonusCat)*ROW(LH_Data)))))</f>
        <v/>
      </c>
    </row>
    <row r="57" customFormat="false" ht="15" hidden="false" customHeight="false" outlineLevel="0" collapsed="false">
      <c r="A57" s="15"/>
      <c r="B57" s="15"/>
      <c r="C57" s="15"/>
      <c r="D57" s="16"/>
      <c r="E57" s="10" t="str">
        <f aca="false">IF(OR(AE57=0,$D57=""),"",DATE(YEAR(AsOfDate)+IF(DATE(YEAR(AsOfDate),MONTH($D57),DAY($D57))&lt;=AsOfDate,1,0),MONTH($D57),DAY($D57)))</f>
        <v/>
      </c>
      <c r="F57" s="16"/>
      <c r="G57" s="16"/>
      <c r="H57" s="16"/>
      <c r="I57" s="16"/>
      <c r="J57" s="16"/>
      <c r="K57" s="10" t="str">
        <f aca="false">IF(AE57=0,"",DATE(YEAR(AsOfDate)+IF(DATE(YEAR(AsOfDate),MONTH($F57),DAY($F57))&lt;=AsOfDate,1,0),MONTH($F57),DAY($F57)))</f>
        <v/>
      </c>
      <c r="L57" s="11" t="str">
        <f aca="false">IF(AE57=0,"",ROUND((AsOfDate-$F57)/365.25,1))</f>
        <v/>
      </c>
      <c r="M57" s="12" t="str">
        <f aca="false">IF(AE57=0,"",IF(AsOfDate&lt;AF57,"-",DATEDIF(AF57,AsOfDate,"y")&amp;"y "&amp;DATEDIF(AF57,AsOfDate,"ym")&amp;"m "&amp;DATEDIF(AF57,AsOfDate,"md")&amp;"d"))</f>
        <v/>
      </c>
      <c r="N57" s="13" t="str">
        <f aca="false">IF(AE57=0,"",O57*HoursPerDay)</f>
        <v/>
      </c>
      <c r="O57" s="13" t="str">
        <f aca="false">IF(AE57=0,"",AX57)</f>
        <v/>
      </c>
      <c r="P57" s="17"/>
      <c r="Q57" s="12" t="str">
        <f aca="false">IF(AE57=0,"",IF(AG57&lt;2,"",AK57&amp;" to "&amp;AL57&amp;" on "&amp;TEXT(AI57,"dd/mm/yyyy")&amp;IF(AI57&gt;AsOfDate," (future)",IF(AN57=AO57,"",IF(AO57="None"," - STOPPED accruing",IF(AN57="None"," - now qualifying"," - pathway changed"))))&amp;IF(AG57&lt;3,"","; "&amp;AL57&amp;" to "&amp;AM57&amp;" on "&amp;TEXT(AJ57,"dd/mm/yyyy")&amp;IF(AJ57&gt;AsOfDate," (future)",IF(AO57=AP57,"",IF(AP57="None"," - STOPPED accruing",IF(AO57="None"," - now qualifying"," - pathway changed")))))))</f>
        <v/>
      </c>
      <c r="R57" s="12" t="str">
        <f aca="false">IF(AE57=0,"",IF(AQ57="None",IF(O57&gt;0,"No longer accruing","Not eligible - "&amp;IF(AND(OR(ISNUMBER(SEARCH("part",$C57)),UPPER(TRIM($C57))="PT",UPPER(TRIM($C57))="PTE"),$P57&lt;&gt;"",N($P57)&lt;PT_MinHours),"under "&amp;PT_MinHours&amp;" hrs",IF(IF($C57="","",IF(OR(ISNUMBER(SEARCH("full",$C57)),UPPER(TRIM($C57))="FT",UPPER(TRIM($C57))="FTE"),"Full-Time",IF(OR(ISNUMBER(SEARCH("part",$C57)),UPPER(TRIM($C57))="PT",UPPER(TRIM($C57))="PTE"),"Part-Time",IF(OR(ISNUMBER(SEARCH("cas",$C57)),UPPER(TRIM($C57))="CAS"),"Casual","Unknown"))))="Unknown","type not recognised",$C57))),IF(O57&gt;0,"Yes - accruing","Not yet - from "&amp;TEXT(S57,"dd/mm/yyyy"))))</f>
        <v/>
      </c>
      <c r="S57" s="10" t="str">
        <f aca="false">IF(AE57=0,"",IF(AQ57="None","",EDATE(AF57,AZ57)))</f>
        <v/>
      </c>
      <c r="T57" s="13" t="str">
        <f aca="false">IF(OR(AE57=0,W57=""),"",W57-U57+V57)</f>
        <v/>
      </c>
      <c r="U57" s="13" t="str">
        <f aca="false">IF(AE57=0,"",IF(NOT(LH_Ready),"",SUMIFS(INDEX(LH_Data,0,LH_ColAcc),INDEX(LH_Data,0,LH_ColFirst),$A57,INDEX(LH_Data,0,LH_ColSur),$B57,INDEX(LH_Data,0,LH_ColCat),BonusCat)*UnitFactor))</f>
        <v/>
      </c>
      <c r="V57" s="13" t="str">
        <f aca="false">IF(AE57=0,"",IF(NOT(LH_Ready),"",SUMIFS(INDEX(LH_Data,0,LH_ColTaken),INDEX(LH_Data,0,LH_ColFirst),$A57,INDEX(LH_Data,0,LH_ColSur),$B57,INDEX(LH_Data,0,LH_ColCat),BonusCat)*UnitFactor))</f>
        <v/>
      </c>
      <c r="W57" s="13" t="str">
        <f aca="false">IF(AE57=0,"",IF(NOT(LH_Ready),"",IF(BB57=0,0,INDEX(INDEX(LH_Data,0,LH_ColClose),BB57-1)*UnitFactor)))</f>
        <v/>
      </c>
      <c r="X57" s="13" t="str">
        <f aca="false">IF(AE57=0,"",(AX57-AY57)*HoursPerDay)</f>
        <v/>
      </c>
      <c r="Y57" s="13" t="str">
        <f aca="false">IF(AE57=0,"",IF(NOT(LH_Ready),"",IF(BA57=0,N57,X57-N(U57))))</f>
        <v/>
      </c>
      <c r="Z57" s="12" t="str">
        <f aca="false">IF(OR(AE57=0,Y57=""),"",IF(Y57&gt;0,"Yes","No"))</f>
        <v/>
      </c>
      <c r="AA57" s="12" t="str">
        <f aca="false">IF(AE57=0,IF(LEN($A57&amp;$B57)=0,"","FIX INPUT - StartDate missing"),IF(AD57&lt;&gt;"","FIX INPUT - "&amp;AD57,IF(NOT(LH_Ready),"Paste Leave History export (Settings must show YES)",IF(Y57&gt;0,"ACCRUE "&amp;ROUND(Y57,2)&amp;" hrs ("&amp;ROUND(Y57/HoursPerDay,2)&amp;" days)"&amp;IF(BA57=0," - no Bonus Leave in EH yet, full catch-up since start",""),IF(Y57&lt;0,"CHECK - EH accrued "&amp;ROUND(-Y57,2)&amp;""&amp;" hrs more than policy",IF(O57&gt;0,"OK - nothing to add",IF(AQ57="None",R57,"Not yet - first day on "&amp;TEXT(S57,"dd/mm/yyyy"))))))))</f>
        <v/>
      </c>
      <c r="AB57" s="13" t="str">
        <f aca="false">IF(OR(AE57=0,T57=""),"",AY57*HoursPerDay-T57)</f>
        <v/>
      </c>
      <c r="AC57" s="12" t="str">
        <f aca="false">IF(AE57=0,"",BA57)</f>
        <v/>
      </c>
      <c r="AD57" s="12" t="str">
        <f aca="false">IF(AE57=0,"",TRIM(IF(IF($C57="","",IF(OR(ISNUMBER(SEARCH("full",$C57)),UPPER(TRIM($C57))="FT",UPPER(TRIM($C57))="FTE"),"Full-Time",IF(OR(ISNUMBER(SEARCH("part",$C57)),UPPER(TRIM($C57))="PT",UPPER(TRIM($C57))="PTE"),"Part-Time",IF(OR(ISNUMBER(SEARCH("cas",$C57)),UPPER(TRIM($C57))="CAS"),"Casual","Unknown"))))="Unknown","EmploymentType not recognised - use Full-Time, Part-Time or Casual. ","")&amp;IF(AND(AG57&gt;=1,IF(AG57&gt;=3,AM57,IF(AG57=2,AL57,AK57))&lt;&gt;IF($C57="","",IF(OR(ISNUMBER(SEARCH("full",$C57)),UPPER(TRIM($C57))="FT",UPPER(TRIM($C57))="FTE"),"Full-Time",IF(OR(ISNUMBER(SEARCH("part",$C57)),UPPER(TRIM($C57))="PT",UPPER(TRIM($C57))="PTE"),"Part-Time",IF(OR(ISNUMBER(SEARCH("cas",$C57)),UPPER(TRIM($C57))="CAS"),"Casual","Unknown"))))),"EmploymentType does not match latest start date ("&amp;IF(AG57&gt;=3,AM57,IF(AG57=2,AL57,AK57))&amp;"). ","")&amp;IF(AND(AG57&gt;=1,AH57&lt;&gt;$F57),"Earliest type date should equal StartDate. ","")&amp;IF(AND(AG57&gt;=2,AH57=AI57),"Two types start on the same date. ","")&amp;IF(AND(OR(ISNUMBER(SEARCH("part",$C57)),UPPER(TRIM($C57))="PT",UPPER(TRIM($C57))="PTE"),$P57=""),"Part-time: enter PT Hrs/Week (blank = 24+). ","")))</f>
        <v/>
      </c>
      <c r="AE57" s="12" t="n">
        <f aca="false">IF(OR(LEN($A57&amp;$B57)=0,$F57=""),0,1)</f>
        <v>0</v>
      </c>
      <c r="AF57" s="10" t="str">
        <f aca="false">IF(AE57=0,"",IF($J57&lt;&gt;"",$J57,$F57))</f>
        <v/>
      </c>
      <c r="AG57" s="12" t="str">
        <f aca="false">IF(AE57=0,"",COUNT($G57:$I57))</f>
        <v/>
      </c>
      <c r="AH57" s="10" t="str">
        <f aca="false">IF(AE57=0,"",IFERROR(SMALL($G57:$I57,1),""))</f>
        <v/>
      </c>
      <c r="AI57" s="10" t="str">
        <f aca="false">IF(AE57=0,"",IFERROR(SMALL($G57:$I57,2),""))</f>
        <v/>
      </c>
      <c r="AJ57" s="10" t="str">
        <f aca="false">IF(AE57=0,"",IFERROR(SMALL($G57:$I57,3),""))</f>
        <v/>
      </c>
      <c r="AK57" s="12" t="str">
        <f aca="false">IF(AE57=0,"",IF(AH57="","",IF(AH57=$G57,"Part-Time",IF(AH57=$H57,"Full-Time","Casual"))))</f>
        <v/>
      </c>
      <c r="AL57" s="12" t="str">
        <f aca="false">IF(AE57=0,"",IF(AI57="","",IF(AI57=$G57,"Part-Time",IF(AI57=$H57,"Full-Time","Casual"))))</f>
        <v/>
      </c>
      <c r="AM57" s="12" t="str">
        <f aca="false">IF(AE57=0,"",IF(AJ57="","",IF(AJ57=$G57,"Part-Time",IF(AJ57=$H57,"Full-Time","Casual"))))</f>
        <v/>
      </c>
      <c r="AN57" s="12" t="str">
        <f aca="false">IF(AE57=0,"",IF(AG57=0,IF(OR(ISNUMBER(SEARCH("full",$C57)),UPPER(TRIM($C57))="FT",UPPER(TRIM($C57))="FTE"),"FT",IF(AND(OR(ISNUMBER(SEARCH("part",$C57)),UPPER(TRIM($C57))="PT",UPPER(TRIM($C57))="PTE"),OR($P57="",N($P57)&gt;=PT_MinHours)),"PT","None")),IF(OR(ISNUMBER(SEARCH("full",AK57)),UPPER(TRIM(AK57))="FT",UPPER(TRIM(AK57))="FTE"),"FT",IF(AND(OR(ISNUMBER(SEARCH("part",AK57)),UPPER(TRIM(AK57))="PT",UPPER(TRIM(AK57))="PTE"),OR($P57="",N($P57)&gt;=PT_MinHours)),"PT","None"))))</f>
        <v/>
      </c>
      <c r="AO57" s="12" t="str">
        <f aca="false">IF(AE57=0,"",IF(AG57&lt;2,"",IF(OR(ISNUMBER(SEARCH("full",AL57)),UPPER(TRIM(AL57))="FT",UPPER(TRIM(AL57))="FTE"),"FT",IF(AND(OR(ISNUMBER(SEARCH("part",AL57)),UPPER(TRIM(AL57))="PT",UPPER(TRIM(AL57))="PTE"),OR($P57="",N($P57)&gt;=PT_MinHours)),"PT","None"))))</f>
        <v/>
      </c>
      <c r="AP57" s="12" t="str">
        <f aca="false">IF(AE57=0,"",IF(AG57&lt;3,"",IF(OR(ISNUMBER(SEARCH("full",AM57)),UPPER(TRIM(AM57))="FT",UPPER(TRIM(AM57))="FTE"),"FT",IF(AND(OR(ISNUMBER(SEARCH("part",AM57)),UPPER(TRIM(AM57))="PT",UPPER(TRIM(AM57))="PTE"),OR($P57="",N($P57)&gt;=PT_MinHours)),"PT","None"))))</f>
        <v/>
      </c>
      <c r="AQ57" s="12" t="str">
        <f aca="false">IF(AE57=0,"",IF(AND(AG57&gt;=3,AJ57&lt;=AsOfDate),AP57,IF(AND(AG57&gt;=2,AI57&lt;=AsOfDate),AO57,AN57)))</f>
        <v/>
      </c>
      <c r="AR57" s="12" t="str">
        <f aca="false">IF(AE57=0,"",IF(AsOfDate&lt;AF57,-1,12*(YEAR(AsOfDate)-YEAR(AF57))+MONTH(AsOfDate)-MONTH(AF57)-IF(DAY(AsOfDate)&lt;MIN(DAY(AF57),DAY(EOMONTH(AsOfDate,0))),1,0)))</f>
        <v/>
      </c>
      <c r="AS57" s="12" t="str">
        <f aca="false">IF(AE57=0,"",IF(OR(AG57&lt;2,AI57&gt;AsOfDate),AR57,IF((AI57-1)&lt;AF57,-1,12*(YEAR((AI57-1))-YEAR(AF57))+MONTH((AI57-1))-MONTH(AF57)-IF(DAY((AI57-1))&lt;MIN(DAY(AF57),DAY(EOMONTH((AI57-1),0))),1,0))))</f>
        <v/>
      </c>
      <c r="AT57" s="12" t="str">
        <f aca="false">IF(AE57=0,"",IF(OR(AG57&lt;3,AJ57&gt;AsOfDate),AR57,IF((AJ57-1)&lt;AF57,-1,12*(YEAR((AJ57-1))-YEAR(AF57))+MONTH((AJ57-1))-MONTH(AF57)-IF(DAY((AJ57-1))&lt;MIN(DAY(AF57),DAY(EOMONTH((AJ57-1),0))),1,0))))</f>
        <v/>
      </c>
      <c r="AU57" s="12" t="str">
        <f aca="false">IF(AE57=0,"",IF(PFYDate&lt;AF57,-1,12*(YEAR(PFYDate)-YEAR(AF57))+MONTH(PFYDate)-MONTH(AF57)-IF(DAY(PFYDate)&lt;MIN(DAY(AF57),DAY(EOMONTH(PFYDate,0))),1,0)))</f>
        <v/>
      </c>
      <c r="AV57" s="12" t="str">
        <f aca="false">IF(AE57=0,"",IF(OR(AG57&lt;2,AI57&gt;PFYDate),AU57,IF((AI57-1)&lt;AF57,-1,12*(YEAR((AI57-1))-YEAR(AF57))+MONTH((AI57-1))-MONTH(AF57)-IF(DAY((AI57-1))&lt;MIN(DAY(AF57),DAY(EOMONTH((AI57-1),0))),1,0))))</f>
        <v/>
      </c>
      <c r="AW57" s="12" t="str">
        <f aca="false">IF(AE57=0,"",IF(OR(AG57&lt;3,AJ57&gt;PFYDate),AU57,IF((AJ57-1)&lt;AF57,-1,12*(YEAR((AJ57-1))-YEAR(AF57))+MONTH((AJ57-1))-MONTH(AF57)-IF(DAY((AJ57-1))&lt;MIN(DAY(AF57),DAY(EOMONTH((AJ57-1),0))),1,0))))</f>
        <v/>
      </c>
      <c r="AX57" s="12" t="str">
        <f aca="false">IF(AE57=0,"",IF(AN57="FT",IF(AS57&lt;FT_First,0,IF(AS57&lt;FT_Y5,1+INT((AS57-FT_First)/FT_Int1),FT_PreY5+FT_PerYear*INT((AS57-FT_Y5)/12)+FT_AnnivDays+INT(MOD(AS57-FT_Y5,12)/FT_Int2))),IF(AN57="PT",IF(AS57&lt;PT_First,0,1+INT((AS57-PT_First)/PT_Int)),0))+IF(AND(AG57&gt;=2,AI57&lt;=AsOfDate),IF(AO57="FT",IF(AT57&lt;FT_First,0,IF(AT57&lt;FT_Y5,1+INT((AT57-FT_First)/FT_Int1),FT_PreY5+FT_PerYear*INT((AT57-FT_Y5)/12)+FT_AnnivDays+INT(MOD(AT57-FT_Y5,12)/FT_Int2))),IF(AO57="PT",IF(AT57&lt;PT_First,0,1+INT((AT57-PT_First)/PT_Int)),0))-IF(AO57="FT",IF(AS57&lt;FT_First,0,IF(AS57&lt;FT_Y5,1+INT((AS57-FT_First)/FT_Int1),FT_PreY5+FT_PerYear*INT((AS57-FT_Y5)/12)+FT_AnnivDays+INT(MOD(AS57-FT_Y5,12)/FT_Int2))),IF(AO57="PT",IF(AS57&lt;PT_First,0,1+INT((AS57-PT_First)/PT_Int)),0)),0)+IF(AND(AG57&gt;=3,AJ57&lt;=AsOfDate),IF(AP57="FT",IF(AR57&lt;FT_First,0,IF(AR57&lt;FT_Y5,1+INT((AR57-FT_First)/FT_Int1),FT_PreY5+FT_PerYear*INT((AR57-FT_Y5)/12)+FT_AnnivDays+INT(MOD(AR57-FT_Y5,12)/FT_Int2))),IF(AP57="PT",IF(AR57&lt;PT_First,0,1+INT((AR57-PT_First)/PT_Int)),0))-IF(AP57="FT",IF(AT57&lt;FT_First,0,IF(AT57&lt;FT_Y5,1+INT((AT57-FT_First)/FT_Int1),FT_PreY5+FT_PerYear*INT((AT57-FT_Y5)/12)+FT_AnnivDays+INT(MOD(AT57-FT_Y5,12)/FT_Int2))),IF(AP57="PT",IF(AT57&lt;PT_First,0,1+INT((AT57-PT_First)/PT_Int)),0)),0))</f>
        <v/>
      </c>
      <c r="AY57" s="12" t="str">
        <f aca="false">IF(AE57=0,"",IF(AN57="FT",IF(AV57&lt;FT_First,0,IF(AV57&lt;FT_Y5,1+INT((AV57-FT_First)/FT_Int1),FT_PreY5+FT_PerYear*INT((AV57-FT_Y5)/12)+FT_AnnivDays+INT(MOD(AV57-FT_Y5,12)/FT_Int2))),IF(AN57="PT",IF(AV57&lt;PT_First,0,1+INT((AV57-PT_First)/PT_Int)),0))+IF(AND(AG57&gt;=2,AI57&lt;=PFYDate),IF(AO57="FT",IF(AW57&lt;FT_First,0,IF(AW57&lt;FT_Y5,1+INT((AW57-FT_First)/FT_Int1),FT_PreY5+FT_PerYear*INT((AW57-FT_Y5)/12)+FT_AnnivDays+INT(MOD(AW57-FT_Y5,12)/FT_Int2))),IF(AO57="PT",IF(AW57&lt;PT_First,0,1+INT((AW57-PT_First)/PT_Int)),0))-IF(AO57="FT",IF(AV57&lt;FT_First,0,IF(AV57&lt;FT_Y5,1+INT((AV57-FT_First)/FT_Int1),FT_PreY5+FT_PerYear*INT((AV57-FT_Y5)/12)+FT_AnnivDays+INT(MOD(AV57-FT_Y5,12)/FT_Int2))),IF(AO57="PT",IF(AV57&lt;PT_First,0,1+INT((AV57-PT_First)/PT_Int)),0)),0)+IF(AND(AG57&gt;=3,AJ57&lt;=PFYDate),IF(AP57="FT",IF(AU57&lt;FT_First,0,IF(AU57&lt;FT_Y5,1+INT((AU57-FT_First)/FT_Int1),FT_PreY5+FT_PerYear*INT((AU57-FT_Y5)/12)+FT_AnnivDays+INT(MOD(AU57-FT_Y5,12)/FT_Int2))),IF(AP57="PT",IF(AU57&lt;PT_First,0,1+INT((AU57-PT_First)/PT_Int)),0))-IF(AP57="FT",IF(AW57&lt;FT_First,0,IF(AW57&lt;FT_Y5,1+INT((AW57-FT_First)/FT_Int1),FT_PreY5+FT_PerYear*INT((AW57-FT_Y5)/12)+FT_AnnivDays+INT(MOD(AW57-FT_Y5,12)/FT_Int2))),IF(AP57="PT",IF(AW57&lt;PT_First,0,1+INT((AW57-PT_First)/PT_Int)),0)),0))</f>
        <v/>
      </c>
      <c r="AZ57" s="12" t="str">
        <f aca="false">IF(AE57=0,"",IF(AQ57="FT",IF(AR57&lt;FT_First,FT_First,IF(AR57&lt;FT_Y5,MIN(FT_Y5,FT_First+FT_Int1*(INT((AR57-FT_First)/FT_Int1)+1)),FT_Y5+12*INT((AR57-FT_Y5)/12)+FT_Int2*(INT(MOD(AR57-FT_Y5,12)/FT_Int2)+1))),IF(AQ57="PT",IF(AR57&lt;PT_First,PT_First,PT_First+PT_Int*(INT((AR57-PT_First)/PT_Int)+1)),"")))</f>
        <v/>
      </c>
      <c r="BA57" s="12" t="str">
        <f aca="false">IF(AE57=0,"",IF(NOT(LH_Ready),0,COUNTIFS(INDEX(LH_Data,0,LH_ColFirst),$A57,INDEX(LH_Data,0,LH_ColSur),$B57,INDEX(LH_Data,0,LH_ColCat),BonusCat)))</f>
        <v/>
      </c>
      <c r="BB57" s="12" t="str">
        <f aca="false">IF(AE57=0,"",IF(OR(NOT(LH_Ready),BA57=0),0,SUMPRODUCT(MAX((INDEX(LH_Data,0,LH_ColFirst)=$A57)*(INDEX(LH_Data,0,LH_ColSur)=$B57)*(INDEX(LH_Data,0,LH_ColCat)=BonusCat)*ROW(LH_Data)))))</f>
        <v/>
      </c>
    </row>
    <row r="58" customFormat="false" ht="15" hidden="false" customHeight="false" outlineLevel="0" collapsed="false">
      <c r="A58" s="15"/>
      <c r="B58" s="15"/>
      <c r="C58" s="15"/>
      <c r="D58" s="16"/>
      <c r="E58" s="10" t="str">
        <f aca="false">IF(OR(AE58=0,$D58=""),"",DATE(YEAR(AsOfDate)+IF(DATE(YEAR(AsOfDate),MONTH($D58),DAY($D58))&lt;=AsOfDate,1,0),MONTH($D58),DAY($D58)))</f>
        <v/>
      </c>
      <c r="F58" s="16"/>
      <c r="G58" s="16"/>
      <c r="H58" s="16"/>
      <c r="I58" s="16"/>
      <c r="J58" s="16"/>
      <c r="K58" s="10" t="str">
        <f aca="false">IF(AE58=0,"",DATE(YEAR(AsOfDate)+IF(DATE(YEAR(AsOfDate),MONTH($F58),DAY($F58))&lt;=AsOfDate,1,0),MONTH($F58),DAY($F58)))</f>
        <v/>
      </c>
      <c r="L58" s="11" t="str">
        <f aca="false">IF(AE58=0,"",ROUND((AsOfDate-$F58)/365.25,1))</f>
        <v/>
      </c>
      <c r="M58" s="12" t="str">
        <f aca="false">IF(AE58=0,"",IF(AsOfDate&lt;AF58,"-",DATEDIF(AF58,AsOfDate,"y")&amp;"y "&amp;DATEDIF(AF58,AsOfDate,"ym")&amp;"m "&amp;DATEDIF(AF58,AsOfDate,"md")&amp;"d"))</f>
        <v/>
      </c>
      <c r="N58" s="13" t="str">
        <f aca="false">IF(AE58=0,"",O58*HoursPerDay)</f>
        <v/>
      </c>
      <c r="O58" s="13" t="str">
        <f aca="false">IF(AE58=0,"",AX58)</f>
        <v/>
      </c>
      <c r="P58" s="17"/>
      <c r="Q58" s="12" t="str">
        <f aca="false">IF(AE58=0,"",IF(AG58&lt;2,"",AK58&amp;" to "&amp;AL58&amp;" on "&amp;TEXT(AI58,"dd/mm/yyyy")&amp;IF(AI58&gt;AsOfDate," (future)",IF(AN58=AO58,"",IF(AO58="None"," - STOPPED accruing",IF(AN58="None"," - now qualifying"," - pathway changed"))))&amp;IF(AG58&lt;3,"","; "&amp;AL58&amp;" to "&amp;AM58&amp;" on "&amp;TEXT(AJ58,"dd/mm/yyyy")&amp;IF(AJ58&gt;AsOfDate," (future)",IF(AO58=AP58,"",IF(AP58="None"," - STOPPED accruing",IF(AO58="None"," - now qualifying"," - pathway changed")))))))</f>
        <v/>
      </c>
      <c r="R58" s="12" t="str">
        <f aca="false">IF(AE58=0,"",IF(AQ58="None",IF(O58&gt;0,"No longer accruing","Not eligible - "&amp;IF(AND(OR(ISNUMBER(SEARCH("part",$C58)),UPPER(TRIM($C58))="PT",UPPER(TRIM($C58))="PTE"),$P58&lt;&gt;"",N($P58)&lt;PT_MinHours),"under "&amp;PT_MinHours&amp;" hrs",IF(IF($C58="","",IF(OR(ISNUMBER(SEARCH("full",$C58)),UPPER(TRIM($C58))="FT",UPPER(TRIM($C58))="FTE"),"Full-Time",IF(OR(ISNUMBER(SEARCH("part",$C58)),UPPER(TRIM($C58))="PT",UPPER(TRIM($C58))="PTE"),"Part-Time",IF(OR(ISNUMBER(SEARCH("cas",$C58)),UPPER(TRIM($C58))="CAS"),"Casual","Unknown"))))="Unknown","type not recognised",$C58))),IF(O58&gt;0,"Yes - accruing","Not yet - from "&amp;TEXT(S58,"dd/mm/yyyy"))))</f>
        <v/>
      </c>
      <c r="S58" s="10" t="str">
        <f aca="false">IF(AE58=0,"",IF(AQ58="None","",EDATE(AF58,AZ58)))</f>
        <v/>
      </c>
      <c r="T58" s="13" t="str">
        <f aca="false">IF(OR(AE58=0,W58=""),"",W58-U58+V58)</f>
        <v/>
      </c>
      <c r="U58" s="13" t="str">
        <f aca="false">IF(AE58=0,"",IF(NOT(LH_Ready),"",SUMIFS(INDEX(LH_Data,0,LH_ColAcc),INDEX(LH_Data,0,LH_ColFirst),$A58,INDEX(LH_Data,0,LH_ColSur),$B58,INDEX(LH_Data,0,LH_ColCat),BonusCat)*UnitFactor))</f>
        <v/>
      </c>
      <c r="V58" s="13" t="str">
        <f aca="false">IF(AE58=0,"",IF(NOT(LH_Ready),"",SUMIFS(INDEX(LH_Data,0,LH_ColTaken),INDEX(LH_Data,0,LH_ColFirst),$A58,INDEX(LH_Data,0,LH_ColSur),$B58,INDEX(LH_Data,0,LH_ColCat),BonusCat)*UnitFactor))</f>
        <v/>
      </c>
      <c r="W58" s="13" t="str">
        <f aca="false">IF(AE58=0,"",IF(NOT(LH_Ready),"",IF(BB58=0,0,INDEX(INDEX(LH_Data,0,LH_ColClose),BB58-1)*UnitFactor)))</f>
        <v/>
      </c>
      <c r="X58" s="13" t="str">
        <f aca="false">IF(AE58=0,"",(AX58-AY58)*HoursPerDay)</f>
        <v/>
      </c>
      <c r="Y58" s="13" t="str">
        <f aca="false">IF(AE58=0,"",IF(NOT(LH_Ready),"",IF(BA58=0,N58,X58-N(U58))))</f>
        <v/>
      </c>
      <c r="Z58" s="12" t="str">
        <f aca="false">IF(OR(AE58=0,Y58=""),"",IF(Y58&gt;0,"Yes","No"))</f>
        <v/>
      </c>
      <c r="AA58" s="12" t="str">
        <f aca="false">IF(AE58=0,IF(LEN($A58&amp;$B58)=0,"","FIX INPUT - StartDate missing"),IF(AD58&lt;&gt;"","FIX INPUT - "&amp;AD58,IF(NOT(LH_Ready),"Paste Leave History export (Settings must show YES)",IF(Y58&gt;0,"ACCRUE "&amp;ROUND(Y58,2)&amp;" hrs ("&amp;ROUND(Y58/HoursPerDay,2)&amp;" days)"&amp;IF(BA58=0," - no Bonus Leave in EH yet, full catch-up since start",""),IF(Y58&lt;0,"CHECK - EH accrued "&amp;ROUND(-Y58,2)&amp;""&amp;" hrs more than policy",IF(O58&gt;0,"OK - nothing to add",IF(AQ58="None",R58,"Not yet - first day on "&amp;TEXT(S58,"dd/mm/yyyy"))))))))</f>
        <v/>
      </c>
      <c r="AB58" s="13" t="str">
        <f aca="false">IF(OR(AE58=0,T58=""),"",AY58*HoursPerDay-T58)</f>
        <v/>
      </c>
      <c r="AC58" s="12" t="str">
        <f aca="false">IF(AE58=0,"",BA58)</f>
        <v/>
      </c>
      <c r="AD58" s="12" t="str">
        <f aca="false">IF(AE58=0,"",TRIM(IF(IF($C58="","",IF(OR(ISNUMBER(SEARCH("full",$C58)),UPPER(TRIM($C58))="FT",UPPER(TRIM($C58))="FTE"),"Full-Time",IF(OR(ISNUMBER(SEARCH("part",$C58)),UPPER(TRIM($C58))="PT",UPPER(TRIM($C58))="PTE"),"Part-Time",IF(OR(ISNUMBER(SEARCH("cas",$C58)),UPPER(TRIM($C58))="CAS"),"Casual","Unknown"))))="Unknown","EmploymentType not recognised - use Full-Time, Part-Time or Casual. ","")&amp;IF(AND(AG58&gt;=1,IF(AG58&gt;=3,AM58,IF(AG58=2,AL58,AK58))&lt;&gt;IF($C58="","",IF(OR(ISNUMBER(SEARCH("full",$C58)),UPPER(TRIM($C58))="FT",UPPER(TRIM($C58))="FTE"),"Full-Time",IF(OR(ISNUMBER(SEARCH("part",$C58)),UPPER(TRIM($C58))="PT",UPPER(TRIM($C58))="PTE"),"Part-Time",IF(OR(ISNUMBER(SEARCH("cas",$C58)),UPPER(TRIM($C58))="CAS"),"Casual","Unknown"))))),"EmploymentType does not match latest start date ("&amp;IF(AG58&gt;=3,AM58,IF(AG58=2,AL58,AK58))&amp;"). ","")&amp;IF(AND(AG58&gt;=1,AH58&lt;&gt;$F58),"Earliest type date should equal StartDate. ","")&amp;IF(AND(AG58&gt;=2,AH58=AI58),"Two types start on the same date. ","")&amp;IF(AND(OR(ISNUMBER(SEARCH("part",$C58)),UPPER(TRIM($C58))="PT",UPPER(TRIM($C58))="PTE"),$P58=""),"Part-time: enter PT Hrs/Week (blank = 24+). ","")))</f>
        <v/>
      </c>
      <c r="AE58" s="12" t="n">
        <f aca="false">IF(OR(LEN($A58&amp;$B58)=0,$F58=""),0,1)</f>
        <v>0</v>
      </c>
      <c r="AF58" s="10" t="str">
        <f aca="false">IF(AE58=0,"",IF($J58&lt;&gt;"",$J58,$F58))</f>
        <v/>
      </c>
      <c r="AG58" s="12" t="str">
        <f aca="false">IF(AE58=0,"",COUNT($G58:$I58))</f>
        <v/>
      </c>
      <c r="AH58" s="10" t="str">
        <f aca="false">IF(AE58=0,"",IFERROR(SMALL($G58:$I58,1),""))</f>
        <v/>
      </c>
      <c r="AI58" s="10" t="str">
        <f aca="false">IF(AE58=0,"",IFERROR(SMALL($G58:$I58,2),""))</f>
        <v/>
      </c>
      <c r="AJ58" s="10" t="str">
        <f aca="false">IF(AE58=0,"",IFERROR(SMALL($G58:$I58,3),""))</f>
        <v/>
      </c>
      <c r="AK58" s="12" t="str">
        <f aca="false">IF(AE58=0,"",IF(AH58="","",IF(AH58=$G58,"Part-Time",IF(AH58=$H58,"Full-Time","Casual"))))</f>
        <v/>
      </c>
      <c r="AL58" s="12" t="str">
        <f aca="false">IF(AE58=0,"",IF(AI58="","",IF(AI58=$G58,"Part-Time",IF(AI58=$H58,"Full-Time","Casual"))))</f>
        <v/>
      </c>
      <c r="AM58" s="12" t="str">
        <f aca="false">IF(AE58=0,"",IF(AJ58="","",IF(AJ58=$G58,"Part-Time",IF(AJ58=$H58,"Full-Time","Casual"))))</f>
        <v/>
      </c>
      <c r="AN58" s="12" t="str">
        <f aca="false">IF(AE58=0,"",IF(AG58=0,IF(OR(ISNUMBER(SEARCH("full",$C58)),UPPER(TRIM($C58))="FT",UPPER(TRIM($C58))="FTE"),"FT",IF(AND(OR(ISNUMBER(SEARCH("part",$C58)),UPPER(TRIM($C58))="PT",UPPER(TRIM($C58))="PTE"),OR($P58="",N($P58)&gt;=PT_MinHours)),"PT","None")),IF(OR(ISNUMBER(SEARCH("full",AK58)),UPPER(TRIM(AK58))="FT",UPPER(TRIM(AK58))="FTE"),"FT",IF(AND(OR(ISNUMBER(SEARCH("part",AK58)),UPPER(TRIM(AK58))="PT",UPPER(TRIM(AK58))="PTE"),OR($P58="",N($P58)&gt;=PT_MinHours)),"PT","None"))))</f>
        <v/>
      </c>
      <c r="AO58" s="12" t="str">
        <f aca="false">IF(AE58=0,"",IF(AG58&lt;2,"",IF(OR(ISNUMBER(SEARCH("full",AL58)),UPPER(TRIM(AL58))="FT",UPPER(TRIM(AL58))="FTE"),"FT",IF(AND(OR(ISNUMBER(SEARCH("part",AL58)),UPPER(TRIM(AL58))="PT",UPPER(TRIM(AL58))="PTE"),OR($P58="",N($P58)&gt;=PT_MinHours)),"PT","None"))))</f>
        <v/>
      </c>
      <c r="AP58" s="12" t="str">
        <f aca="false">IF(AE58=0,"",IF(AG58&lt;3,"",IF(OR(ISNUMBER(SEARCH("full",AM58)),UPPER(TRIM(AM58))="FT",UPPER(TRIM(AM58))="FTE"),"FT",IF(AND(OR(ISNUMBER(SEARCH("part",AM58)),UPPER(TRIM(AM58))="PT",UPPER(TRIM(AM58))="PTE"),OR($P58="",N($P58)&gt;=PT_MinHours)),"PT","None"))))</f>
        <v/>
      </c>
      <c r="AQ58" s="12" t="str">
        <f aca="false">IF(AE58=0,"",IF(AND(AG58&gt;=3,AJ58&lt;=AsOfDate),AP58,IF(AND(AG58&gt;=2,AI58&lt;=AsOfDate),AO58,AN58)))</f>
        <v/>
      </c>
      <c r="AR58" s="12" t="str">
        <f aca="false">IF(AE58=0,"",IF(AsOfDate&lt;AF58,-1,12*(YEAR(AsOfDate)-YEAR(AF58))+MONTH(AsOfDate)-MONTH(AF58)-IF(DAY(AsOfDate)&lt;MIN(DAY(AF58),DAY(EOMONTH(AsOfDate,0))),1,0)))</f>
        <v/>
      </c>
      <c r="AS58" s="12" t="str">
        <f aca="false">IF(AE58=0,"",IF(OR(AG58&lt;2,AI58&gt;AsOfDate),AR58,IF((AI58-1)&lt;AF58,-1,12*(YEAR((AI58-1))-YEAR(AF58))+MONTH((AI58-1))-MONTH(AF58)-IF(DAY((AI58-1))&lt;MIN(DAY(AF58),DAY(EOMONTH((AI58-1),0))),1,0))))</f>
        <v/>
      </c>
      <c r="AT58" s="12" t="str">
        <f aca="false">IF(AE58=0,"",IF(OR(AG58&lt;3,AJ58&gt;AsOfDate),AR58,IF((AJ58-1)&lt;AF58,-1,12*(YEAR((AJ58-1))-YEAR(AF58))+MONTH((AJ58-1))-MONTH(AF58)-IF(DAY((AJ58-1))&lt;MIN(DAY(AF58),DAY(EOMONTH((AJ58-1),0))),1,0))))</f>
        <v/>
      </c>
      <c r="AU58" s="12" t="str">
        <f aca="false">IF(AE58=0,"",IF(PFYDate&lt;AF58,-1,12*(YEAR(PFYDate)-YEAR(AF58))+MONTH(PFYDate)-MONTH(AF58)-IF(DAY(PFYDate)&lt;MIN(DAY(AF58),DAY(EOMONTH(PFYDate,0))),1,0)))</f>
        <v/>
      </c>
      <c r="AV58" s="12" t="str">
        <f aca="false">IF(AE58=0,"",IF(OR(AG58&lt;2,AI58&gt;PFYDate),AU58,IF((AI58-1)&lt;AF58,-1,12*(YEAR((AI58-1))-YEAR(AF58))+MONTH((AI58-1))-MONTH(AF58)-IF(DAY((AI58-1))&lt;MIN(DAY(AF58),DAY(EOMONTH((AI58-1),0))),1,0))))</f>
        <v/>
      </c>
      <c r="AW58" s="12" t="str">
        <f aca="false">IF(AE58=0,"",IF(OR(AG58&lt;3,AJ58&gt;PFYDate),AU58,IF((AJ58-1)&lt;AF58,-1,12*(YEAR((AJ58-1))-YEAR(AF58))+MONTH((AJ58-1))-MONTH(AF58)-IF(DAY((AJ58-1))&lt;MIN(DAY(AF58),DAY(EOMONTH((AJ58-1),0))),1,0))))</f>
        <v/>
      </c>
      <c r="AX58" s="12" t="str">
        <f aca="false">IF(AE58=0,"",IF(AN58="FT",IF(AS58&lt;FT_First,0,IF(AS58&lt;FT_Y5,1+INT((AS58-FT_First)/FT_Int1),FT_PreY5+FT_PerYear*INT((AS58-FT_Y5)/12)+FT_AnnivDays+INT(MOD(AS58-FT_Y5,12)/FT_Int2))),IF(AN58="PT",IF(AS58&lt;PT_First,0,1+INT((AS58-PT_First)/PT_Int)),0))+IF(AND(AG58&gt;=2,AI58&lt;=AsOfDate),IF(AO58="FT",IF(AT58&lt;FT_First,0,IF(AT58&lt;FT_Y5,1+INT((AT58-FT_First)/FT_Int1),FT_PreY5+FT_PerYear*INT((AT58-FT_Y5)/12)+FT_AnnivDays+INT(MOD(AT58-FT_Y5,12)/FT_Int2))),IF(AO58="PT",IF(AT58&lt;PT_First,0,1+INT((AT58-PT_First)/PT_Int)),0))-IF(AO58="FT",IF(AS58&lt;FT_First,0,IF(AS58&lt;FT_Y5,1+INT((AS58-FT_First)/FT_Int1),FT_PreY5+FT_PerYear*INT((AS58-FT_Y5)/12)+FT_AnnivDays+INT(MOD(AS58-FT_Y5,12)/FT_Int2))),IF(AO58="PT",IF(AS58&lt;PT_First,0,1+INT((AS58-PT_First)/PT_Int)),0)),0)+IF(AND(AG58&gt;=3,AJ58&lt;=AsOfDate),IF(AP58="FT",IF(AR58&lt;FT_First,0,IF(AR58&lt;FT_Y5,1+INT((AR58-FT_First)/FT_Int1),FT_PreY5+FT_PerYear*INT((AR58-FT_Y5)/12)+FT_AnnivDays+INT(MOD(AR58-FT_Y5,12)/FT_Int2))),IF(AP58="PT",IF(AR58&lt;PT_First,0,1+INT((AR58-PT_First)/PT_Int)),0))-IF(AP58="FT",IF(AT58&lt;FT_First,0,IF(AT58&lt;FT_Y5,1+INT((AT58-FT_First)/FT_Int1),FT_PreY5+FT_PerYear*INT((AT58-FT_Y5)/12)+FT_AnnivDays+INT(MOD(AT58-FT_Y5,12)/FT_Int2))),IF(AP58="PT",IF(AT58&lt;PT_First,0,1+INT((AT58-PT_First)/PT_Int)),0)),0))</f>
        <v/>
      </c>
      <c r="AY58" s="12" t="str">
        <f aca="false">IF(AE58=0,"",IF(AN58="FT",IF(AV58&lt;FT_First,0,IF(AV58&lt;FT_Y5,1+INT((AV58-FT_First)/FT_Int1),FT_PreY5+FT_PerYear*INT((AV58-FT_Y5)/12)+FT_AnnivDays+INT(MOD(AV58-FT_Y5,12)/FT_Int2))),IF(AN58="PT",IF(AV58&lt;PT_First,0,1+INT((AV58-PT_First)/PT_Int)),0))+IF(AND(AG58&gt;=2,AI58&lt;=PFYDate),IF(AO58="FT",IF(AW58&lt;FT_First,0,IF(AW58&lt;FT_Y5,1+INT((AW58-FT_First)/FT_Int1),FT_PreY5+FT_PerYear*INT((AW58-FT_Y5)/12)+FT_AnnivDays+INT(MOD(AW58-FT_Y5,12)/FT_Int2))),IF(AO58="PT",IF(AW58&lt;PT_First,0,1+INT((AW58-PT_First)/PT_Int)),0))-IF(AO58="FT",IF(AV58&lt;FT_First,0,IF(AV58&lt;FT_Y5,1+INT((AV58-FT_First)/FT_Int1),FT_PreY5+FT_PerYear*INT((AV58-FT_Y5)/12)+FT_AnnivDays+INT(MOD(AV58-FT_Y5,12)/FT_Int2))),IF(AO58="PT",IF(AV58&lt;PT_First,0,1+INT((AV58-PT_First)/PT_Int)),0)),0)+IF(AND(AG58&gt;=3,AJ58&lt;=PFYDate),IF(AP58="FT",IF(AU58&lt;FT_First,0,IF(AU58&lt;FT_Y5,1+INT((AU58-FT_First)/FT_Int1),FT_PreY5+FT_PerYear*INT((AU58-FT_Y5)/12)+FT_AnnivDays+INT(MOD(AU58-FT_Y5,12)/FT_Int2))),IF(AP58="PT",IF(AU58&lt;PT_First,0,1+INT((AU58-PT_First)/PT_Int)),0))-IF(AP58="FT",IF(AW58&lt;FT_First,0,IF(AW58&lt;FT_Y5,1+INT((AW58-FT_First)/FT_Int1),FT_PreY5+FT_PerYear*INT((AW58-FT_Y5)/12)+FT_AnnivDays+INT(MOD(AW58-FT_Y5,12)/FT_Int2))),IF(AP58="PT",IF(AW58&lt;PT_First,0,1+INT((AW58-PT_First)/PT_Int)),0)),0))</f>
        <v/>
      </c>
      <c r="AZ58" s="12" t="str">
        <f aca="false">IF(AE58=0,"",IF(AQ58="FT",IF(AR58&lt;FT_First,FT_First,IF(AR58&lt;FT_Y5,MIN(FT_Y5,FT_First+FT_Int1*(INT((AR58-FT_First)/FT_Int1)+1)),FT_Y5+12*INT((AR58-FT_Y5)/12)+FT_Int2*(INT(MOD(AR58-FT_Y5,12)/FT_Int2)+1))),IF(AQ58="PT",IF(AR58&lt;PT_First,PT_First,PT_First+PT_Int*(INT((AR58-PT_First)/PT_Int)+1)),"")))</f>
        <v/>
      </c>
      <c r="BA58" s="12" t="str">
        <f aca="false">IF(AE58=0,"",IF(NOT(LH_Ready),0,COUNTIFS(INDEX(LH_Data,0,LH_ColFirst),$A58,INDEX(LH_Data,0,LH_ColSur),$B58,INDEX(LH_Data,0,LH_ColCat),BonusCat)))</f>
        <v/>
      </c>
      <c r="BB58" s="12" t="str">
        <f aca="false">IF(AE58=0,"",IF(OR(NOT(LH_Ready),BA58=0),0,SUMPRODUCT(MAX((INDEX(LH_Data,0,LH_ColFirst)=$A58)*(INDEX(LH_Data,0,LH_ColSur)=$B58)*(INDEX(LH_Data,0,LH_ColCat)=BonusCat)*ROW(LH_Data)))))</f>
        <v/>
      </c>
    </row>
    <row r="59" customFormat="false" ht="15" hidden="false" customHeight="false" outlineLevel="0" collapsed="false">
      <c r="A59" s="15"/>
      <c r="B59" s="15"/>
      <c r="C59" s="15"/>
      <c r="D59" s="16"/>
      <c r="E59" s="10" t="str">
        <f aca="false">IF(OR(AE59=0,$D59=""),"",DATE(YEAR(AsOfDate)+IF(DATE(YEAR(AsOfDate),MONTH($D59),DAY($D59))&lt;=AsOfDate,1,0),MONTH($D59),DAY($D59)))</f>
        <v/>
      </c>
      <c r="F59" s="16"/>
      <c r="G59" s="16"/>
      <c r="H59" s="16"/>
      <c r="I59" s="16"/>
      <c r="J59" s="16"/>
      <c r="K59" s="10" t="str">
        <f aca="false">IF(AE59=0,"",DATE(YEAR(AsOfDate)+IF(DATE(YEAR(AsOfDate),MONTH($F59),DAY($F59))&lt;=AsOfDate,1,0),MONTH($F59),DAY($F59)))</f>
        <v/>
      </c>
      <c r="L59" s="11" t="str">
        <f aca="false">IF(AE59=0,"",ROUND((AsOfDate-$F59)/365.25,1))</f>
        <v/>
      </c>
      <c r="M59" s="12" t="str">
        <f aca="false">IF(AE59=0,"",IF(AsOfDate&lt;AF59,"-",DATEDIF(AF59,AsOfDate,"y")&amp;"y "&amp;DATEDIF(AF59,AsOfDate,"ym")&amp;"m "&amp;DATEDIF(AF59,AsOfDate,"md")&amp;"d"))</f>
        <v/>
      </c>
      <c r="N59" s="13" t="str">
        <f aca="false">IF(AE59=0,"",O59*HoursPerDay)</f>
        <v/>
      </c>
      <c r="O59" s="13" t="str">
        <f aca="false">IF(AE59=0,"",AX59)</f>
        <v/>
      </c>
      <c r="P59" s="17"/>
      <c r="Q59" s="12" t="str">
        <f aca="false">IF(AE59=0,"",IF(AG59&lt;2,"",AK59&amp;" to "&amp;AL59&amp;" on "&amp;TEXT(AI59,"dd/mm/yyyy")&amp;IF(AI59&gt;AsOfDate," (future)",IF(AN59=AO59,"",IF(AO59="None"," - STOPPED accruing",IF(AN59="None"," - now qualifying"," - pathway changed"))))&amp;IF(AG59&lt;3,"","; "&amp;AL59&amp;" to "&amp;AM59&amp;" on "&amp;TEXT(AJ59,"dd/mm/yyyy")&amp;IF(AJ59&gt;AsOfDate," (future)",IF(AO59=AP59,"",IF(AP59="None"," - STOPPED accruing",IF(AO59="None"," - now qualifying"," - pathway changed")))))))</f>
        <v/>
      </c>
      <c r="R59" s="12" t="str">
        <f aca="false">IF(AE59=0,"",IF(AQ59="None",IF(O59&gt;0,"No longer accruing","Not eligible - "&amp;IF(AND(OR(ISNUMBER(SEARCH("part",$C59)),UPPER(TRIM($C59))="PT",UPPER(TRIM($C59))="PTE"),$P59&lt;&gt;"",N($P59)&lt;PT_MinHours),"under "&amp;PT_MinHours&amp;" hrs",IF(IF($C59="","",IF(OR(ISNUMBER(SEARCH("full",$C59)),UPPER(TRIM($C59))="FT",UPPER(TRIM($C59))="FTE"),"Full-Time",IF(OR(ISNUMBER(SEARCH("part",$C59)),UPPER(TRIM($C59))="PT",UPPER(TRIM($C59))="PTE"),"Part-Time",IF(OR(ISNUMBER(SEARCH("cas",$C59)),UPPER(TRIM($C59))="CAS"),"Casual","Unknown"))))="Unknown","type not recognised",$C59))),IF(O59&gt;0,"Yes - accruing","Not yet - from "&amp;TEXT(S59,"dd/mm/yyyy"))))</f>
        <v/>
      </c>
      <c r="S59" s="10" t="str">
        <f aca="false">IF(AE59=0,"",IF(AQ59="None","",EDATE(AF59,AZ59)))</f>
        <v/>
      </c>
      <c r="T59" s="13" t="str">
        <f aca="false">IF(OR(AE59=0,W59=""),"",W59-U59+V59)</f>
        <v/>
      </c>
      <c r="U59" s="13" t="str">
        <f aca="false">IF(AE59=0,"",IF(NOT(LH_Ready),"",SUMIFS(INDEX(LH_Data,0,LH_ColAcc),INDEX(LH_Data,0,LH_ColFirst),$A59,INDEX(LH_Data,0,LH_ColSur),$B59,INDEX(LH_Data,0,LH_ColCat),BonusCat)*UnitFactor))</f>
        <v/>
      </c>
      <c r="V59" s="13" t="str">
        <f aca="false">IF(AE59=0,"",IF(NOT(LH_Ready),"",SUMIFS(INDEX(LH_Data,0,LH_ColTaken),INDEX(LH_Data,0,LH_ColFirst),$A59,INDEX(LH_Data,0,LH_ColSur),$B59,INDEX(LH_Data,0,LH_ColCat),BonusCat)*UnitFactor))</f>
        <v/>
      </c>
      <c r="W59" s="13" t="str">
        <f aca="false">IF(AE59=0,"",IF(NOT(LH_Ready),"",IF(BB59=0,0,INDEX(INDEX(LH_Data,0,LH_ColClose),BB59-1)*UnitFactor)))</f>
        <v/>
      </c>
      <c r="X59" s="13" t="str">
        <f aca="false">IF(AE59=0,"",(AX59-AY59)*HoursPerDay)</f>
        <v/>
      </c>
      <c r="Y59" s="13" t="str">
        <f aca="false">IF(AE59=0,"",IF(NOT(LH_Ready),"",IF(BA59=0,N59,X59-N(U59))))</f>
        <v/>
      </c>
      <c r="Z59" s="12" t="str">
        <f aca="false">IF(OR(AE59=0,Y59=""),"",IF(Y59&gt;0,"Yes","No"))</f>
        <v/>
      </c>
      <c r="AA59" s="12" t="str">
        <f aca="false">IF(AE59=0,IF(LEN($A59&amp;$B59)=0,"","FIX INPUT - StartDate missing"),IF(AD59&lt;&gt;"","FIX INPUT - "&amp;AD59,IF(NOT(LH_Ready),"Paste Leave History export (Settings must show YES)",IF(Y59&gt;0,"ACCRUE "&amp;ROUND(Y59,2)&amp;" hrs ("&amp;ROUND(Y59/HoursPerDay,2)&amp;" days)"&amp;IF(BA59=0," - no Bonus Leave in EH yet, full catch-up since start",""),IF(Y59&lt;0,"CHECK - EH accrued "&amp;ROUND(-Y59,2)&amp;""&amp;" hrs more than policy",IF(O59&gt;0,"OK - nothing to add",IF(AQ59="None",R59,"Not yet - first day on "&amp;TEXT(S59,"dd/mm/yyyy"))))))))</f>
        <v/>
      </c>
      <c r="AB59" s="13" t="str">
        <f aca="false">IF(OR(AE59=0,T59=""),"",AY59*HoursPerDay-T59)</f>
        <v/>
      </c>
      <c r="AC59" s="12" t="str">
        <f aca="false">IF(AE59=0,"",BA59)</f>
        <v/>
      </c>
      <c r="AD59" s="12" t="str">
        <f aca="false">IF(AE59=0,"",TRIM(IF(IF($C59="","",IF(OR(ISNUMBER(SEARCH("full",$C59)),UPPER(TRIM($C59))="FT",UPPER(TRIM($C59))="FTE"),"Full-Time",IF(OR(ISNUMBER(SEARCH("part",$C59)),UPPER(TRIM($C59))="PT",UPPER(TRIM($C59))="PTE"),"Part-Time",IF(OR(ISNUMBER(SEARCH("cas",$C59)),UPPER(TRIM($C59))="CAS"),"Casual","Unknown"))))="Unknown","EmploymentType not recognised - use Full-Time, Part-Time or Casual. ","")&amp;IF(AND(AG59&gt;=1,IF(AG59&gt;=3,AM59,IF(AG59=2,AL59,AK59))&lt;&gt;IF($C59="","",IF(OR(ISNUMBER(SEARCH("full",$C59)),UPPER(TRIM($C59))="FT",UPPER(TRIM($C59))="FTE"),"Full-Time",IF(OR(ISNUMBER(SEARCH("part",$C59)),UPPER(TRIM($C59))="PT",UPPER(TRIM($C59))="PTE"),"Part-Time",IF(OR(ISNUMBER(SEARCH("cas",$C59)),UPPER(TRIM($C59))="CAS"),"Casual","Unknown"))))),"EmploymentType does not match latest start date ("&amp;IF(AG59&gt;=3,AM59,IF(AG59=2,AL59,AK59))&amp;"). ","")&amp;IF(AND(AG59&gt;=1,AH59&lt;&gt;$F59),"Earliest type date should equal StartDate. ","")&amp;IF(AND(AG59&gt;=2,AH59=AI59),"Two types start on the same date. ","")&amp;IF(AND(OR(ISNUMBER(SEARCH("part",$C59)),UPPER(TRIM($C59))="PT",UPPER(TRIM($C59))="PTE"),$P59=""),"Part-time: enter PT Hrs/Week (blank = 24+). ","")))</f>
        <v/>
      </c>
      <c r="AE59" s="12" t="n">
        <f aca="false">IF(OR(LEN($A59&amp;$B59)=0,$F59=""),0,1)</f>
        <v>0</v>
      </c>
      <c r="AF59" s="10" t="str">
        <f aca="false">IF(AE59=0,"",IF($J59&lt;&gt;"",$J59,$F59))</f>
        <v/>
      </c>
      <c r="AG59" s="12" t="str">
        <f aca="false">IF(AE59=0,"",COUNT($G59:$I59))</f>
        <v/>
      </c>
      <c r="AH59" s="10" t="str">
        <f aca="false">IF(AE59=0,"",IFERROR(SMALL($G59:$I59,1),""))</f>
        <v/>
      </c>
      <c r="AI59" s="10" t="str">
        <f aca="false">IF(AE59=0,"",IFERROR(SMALL($G59:$I59,2),""))</f>
        <v/>
      </c>
      <c r="AJ59" s="10" t="str">
        <f aca="false">IF(AE59=0,"",IFERROR(SMALL($G59:$I59,3),""))</f>
        <v/>
      </c>
      <c r="AK59" s="12" t="str">
        <f aca="false">IF(AE59=0,"",IF(AH59="","",IF(AH59=$G59,"Part-Time",IF(AH59=$H59,"Full-Time","Casual"))))</f>
        <v/>
      </c>
      <c r="AL59" s="12" t="str">
        <f aca="false">IF(AE59=0,"",IF(AI59="","",IF(AI59=$G59,"Part-Time",IF(AI59=$H59,"Full-Time","Casual"))))</f>
        <v/>
      </c>
      <c r="AM59" s="12" t="str">
        <f aca="false">IF(AE59=0,"",IF(AJ59="","",IF(AJ59=$G59,"Part-Time",IF(AJ59=$H59,"Full-Time","Casual"))))</f>
        <v/>
      </c>
      <c r="AN59" s="12" t="str">
        <f aca="false">IF(AE59=0,"",IF(AG59=0,IF(OR(ISNUMBER(SEARCH("full",$C59)),UPPER(TRIM($C59))="FT",UPPER(TRIM($C59))="FTE"),"FT",IF(AND(OR(ISNUMBER(SEARCH("part",$C59)),UPPER(TRIM($C59))="PT",UPPER(TRIM($C59))="PTE"),OR($P59="",N($P59)&gt;=PT_MinHours)),"PT","None")),IF(OR(ISNUMBER(SEARCH("full",AK59)),UPPER(TRIM(AK59))="FT",UPPER(TRIM(AK59))="FTE"),"FT",IF(AND(OR(ISNUMBER(SEARCH("part",AK59)),UPPER(TRIM(AK59))="PT",UPPER(TRIM(AK59))="PTE"),OR($P59="",N($P59)&gt;=PT_MinHours)),"PT","None"))))</f>
        <v/>
      </c>
      <c r="AO59" s="12" t="str">
        <f aca="false">IF(AE59=0,"",IF(AG59&lt;2,"",IF(OR(ISNUMBER(SEARCH("full",AL59)),UPPER(TRIM(AL59))="FT",UPPER(TRIM(AL59))="FTE"),"FT",IF(AND(OR(ISNUMBER(SEARCH("part",AL59)),UPPER(TRIM(AL59))="PT",UPPER(TRIM(AL59))="PTE"),OR($P59="",N($P59)&gt;=PT_MinHours)),"PT","None"))))</f>
        <v/>
      </c>
      <c r="AP59" s="12" t="str">
        <f aca="false">IF(AE59=0,"",IF(AG59&lt;3,"",IF(OR(ISNUMBER(SEARCH("full",AM59)),UPPER(TRIM(AM59))="FT",UPPER(TRIM(AM59))="FTE"),"FT",IF(AND(OR(ISNUMBER(SEARCH("part",AM59)),UPPER(TRIM(AM59))="PT",UPPER(TRIM(AM59))="PTE"),OR($P59="",N($P59)&gt;=PT_MinHours)),"PT","None"))))</f>
        <v/>
      </c>
      <c r="AQ59" s="12" t="str">
        <f aca="false">IF(AE59=0,"",IF(AND(AG59&gt;=3,AJ59&lt;=AsOfDate),AP59,IF(AND(AG59&gt;=2,AI59&lt;=AsOfDate),AO59,AN59)))</f>
        <v/>
      </c>
      <c r="AR59" s="12" t="str">
        <f aca="false">IF(AE59=0,"",IF(AsOfDate&lt;AF59,-1,12*(YEAR(AsOfDate)-YEAR(AF59))+MONTH(AsOfDate)-MONTH(AF59)-IF(DAY(AsOfDate)&lt;MIN(DAY(AF59),DAY(EOMONTH(AsOfDate,0))),1,0)))</f>
        <v/>
      </c>
      <c r="AS59" s="12" t="str">
        <f aca="false">IF(AE59=0,"",IF(OR(AG59&lt;2,AI59&gt;AsOfDate),AR59,IF((AI59-1)&lt;AF59,-1,12*(YEAR((AI59-1))-YEAR(AF59))+MONTH((AI59-1))-MONTH(AF59)-IF(DAY((AI59-1))&lt;MIN(DAY(AF59),DAY(EOMONTH((AI59-1),0))),1,0))))</f>
        <v/>
      </c>
      <c r="AT59" s="12" t="str">
        <f aca="false">IF(AE59=0,"",IF(OR(AG59&lt;3,AJ59&gt;AsOfDate),AR59,IF((AJ59-1)&lt;AF59,-1,12*(YEAR((AJ59-1))-YEAR(AF59))+MONTH((AJ59-1))-MONTH(AF59)-IF(DAY((AJ59-1))&lt;MIN(DAY(AF59),DAY(EOMONTH((AJ59-1),0))),1,0))))</f>
        <v/>
      </c>
      <c r="AU59" s="12" t="str">
        <f aca="false">IF(AE59=0,"",IF(PFYDate&lt;AF59,-1,12*(YEAR(PFYDate)-YEAR(AF59))+MONTH(PFYDate)-MONTH(AF59)-IF(DAY(PFYDate)&lt;MIN(DAY(AF59),DAY(EOMONTH(PFYDate,0))),1,0)))</f>
        <v/>
      </c>
      <c r="AV59" s="12" t="str">
        <f aca="false">IF(AE59=0,"",IF(OR(AG59&lt;2,AI59&gt;PFYDate),AU59,IF((AI59-1)&lt;AF59,-1,12*(YEAR((AI59-1))-YEAR(AF59))+MONTH((AI59-1))-MONTH(AF59)-IF(DAY((AI59-1))&lt;MIN(DAY(AF59),DAY(EOMONTH((AI59-1),0))),1,0))))</f>
        <v/>
      </c>
      <c r="AW59" s="12" t="str">
        <f aca="false">IF(AE59=0,"",IF(OR(AG59&lt;3,AJ59&gt;PFYDate),AU59,IF((AJ59-1)&lt;AF59,-1,12*(YEAR((AJ59-1))-YEAR(AF59))+MONTH((AJ59-1))-MONTH(AF59)-IF(DAY((AJ59-1))&lt;MIN(DAY(AF59),DAY(EOMONTH((AJ59-1),0))),1,0))))</f>
        <v/>
      </c>
      <c r="AX59" s="12" t="str">
        <f aca="false">IF(AE59=0,"",IF(AN59="FT",IF(AS59&lt;FT_First,0,IF(AS59&lt;FT_Y5,1+INT((AS59-FT_First)/FT_Int1),FT_PreY5+FT_PerYear*INT((AS59-FT_Y5)/12)+FT_AnnivDays+INT(MOD(AS59-FT_Y5,12)/FT_Int2))),IF(AN59="PT",IF(AS59&lt;PT_First,0,1+INT((AS59-PT_First)/PT_Int)),0))+IF(AND(AG59&gt;=2,AI59&lt;=AsOfDate),IF(AO59="FT",IF(AT59&lt;FT_First,0,IF(AT59&lt;FT_Y5,1+INT((AT59-FT_First)/FT_Int1),FT_PreY5+FT_PerYear*INT((AT59-FT_Y5)/12)+FT_AnnivDays+INT(MOD(AT59-FT_Y5,12)/FT_Int2))),IF(AO59="PT",IF(AT59&lt;PT_First,0,1+INT((AT59-PT_First)/PT_Int)),0))-IF(AO59="FT",IF(AS59&lt;FT_First,0,IF(AS59&lt;FT_Y5,1+INT((AS59-FT_First)/FT_Int1),FT_PreY5+FT_PerYear*INT((AS59-FT_Y5)/12)+FT_AnnivDays+INT(MOD(AS59-FT_Y5,12)/FT_Int2))),IF(AO59="PT",IF(AS59&lt;PT_First,0,1+INT((AS59-PT_First)/PT_Int)),0)),0)+IF(AND(AG59&gt;=3,AJ59&lt;=AsOfDate),IF(AP59="FT",IF(AR59&lt;FT_First,0,IF(AR59&lt;FT_Y5,1+INT((AR59-FT_First)/FT_Int1),FT_PreY5+FT_PerYear*INT((AR59-FT_Y5)/12)+FT_AnnivDays+INT(MOD(AR59-FT_Y5,12)/FT_Int2))),IF(AP59="PT",IF(AR59&lt;PT_First,0,1+INT((AR59-PT_First)/PT_Int)),0))-IF(AP59="FT",IF(AT59&lt;FT_First,0,IF(AT59&lt;FT_Y5,1+INT((AT59-FT_First)/FT_Int1),FT_PreY5+FT_PerYear*INT((AT59-FT_Y5)/12)+FT_AnnivDays+INT(MOD(AT59-FT_Y5,12)/FT_Int2))),IF(AP59="PT",IF(AT59&lt;PT_First,0,1+INT((AT59-PT_First)/PT_Int)),0)),0))</f>
        <v/>
      </c>
      <c r="AY59" s="12" t="str">
        <f aca="false">IF(AE59=0,"",IF(AN59="FT",IF(AV59&lt;FT_First,0,IF(AV59&lt;FT_Y5,1+INT((AV59-FT_First)/FT_Int1),FT_PreY5+FT_PerYear*INT((AV59-FT_Y5)/12)+FT_AnnivDays+INT(MOD(AV59-FT_Y5,12)/FT_Int2))),IF(AN59="PT",IF(AV59&lt;PT_First,0,1+INT((AV59-PT_First)/PT_Int)),0))+IF(AND(AG59&gt;=2,AI59&lt;=PFYDate),IF(AO59="FT",IF(AW59&lt;FT_First,0,IF(AW59&lt;FT_Y5,1+INT((AW59-FT_First)/FT_Int1),FT_PreY5+FT_PerYear*INT((AW59-FT_Y5)/12)+FT_AnnivDays+INT(MOD(AW59-FT_Y5,12)/FT_Int2))),IF(AO59="PT",IF(AW59&lt;PT_First,0,1+INT((AW59-PT_First)/PT_Int)),0))-IF(AO59="FT",IF(AV59&lt;FT_First,0,IF(AV59&lt;FT_Y5,1+INT((AV59-FT_First)/FT_Int1),FT_PreY5+FT_PerYear*INT((AV59-FT_Y5)/12)+FT_AnnivDays+INT(MOD(AV59-FT_Y5,12)/FT_Int2))),IF(AO59="PT",IF(AV59&lt;PT_First,0,1+INT((AV59-PT_First)/PT_Int)),0)),0)+IF(AND(AG59&gt;=3,AJ59&lt;=PFYDate),IF(AP59="FT",IF(AU59&lt;FT_First,0,IF(AU59&lt;FT_Y5,1+INT((AU59-FT_First)/FT_Int1),FT_PreY5+FT_PerYear*INT((AU59-FT_Y5)/12)+FT_AnnivDays+INT(MOD(AU59-FT_Y5,12)/FT_Int2))),IF(AP59="PT",IF(AU59&lt;PT_First,0,1+INT((AU59-PT_First)/PT_Int)),0))-IF(AP59="FT",IF(AW59&lt;FT_First,0,IF(AW59&lt;FT_Y5,1+INT((AW59-FT_First)/FT_Int1),FT_PreY5+FT_PerYear*INT((AW59-FT_Y5)/12)+FT_AnnivDays+INT(MOD(AW59-FT_Y5,12)/FT_Int2))),IF(AP59="PT",IF(AW59&lt;PT_First,0,1+INT((AW59-PT_First)/PT_Int)),0)),0))</f>
        <v/>
      </c>
      <c r="AZ59" s="12" t="str">
        <f aca="false">IF(AE59=0,"",IF(AQ59="FT",IF(AR59&lt;FT_First,FT_First,IF(AR59&lt;FT_Y5,MIN(FT_Y5,FT_First+FT_Int1*(INT((AR59-FT_First)/FT_Int1)+1)),FT_Y5+12*INT((AR59-FT_Y5)/12)+FT_Int2*(INT(MOD(AR59-FT_Y5,12)/FT_Int2)+1))),IF(AQ59="PT",IF(AR59&lt;PT_First,PT_First,PT_First+PT_Int*(INT((AR59-PT_First)/PT_Int)+1)),"")))</f>
        <v/>
      </c>
      <c r="BA59" s="12" t="str">
        <f aca="false">IF(AE59=0,"",IF(NOT(LH_Ready),0,COUNTIFS(INDEX(LH_Data,0,LH_ColFirst),$A59,INDEX(LH_Data,0,LH_ColSur),$B59,INDEX(LH_Data,0,LH_ColCat),BonusCat)))</f>
        <v/>
      </c>
      <c r="BB59" s="12" t="str">
        <f aca="false">IF(AE59=0,"",IF(OR(NOT(LH_Ready),BA59=0),0,SUMPRODUCT(MAX((INDEX(LH_Data,0,LH_ColFirst)=$A59)*(INDEX(LH_Data,0,LH_ColSur)=$B59)*(INDEX(LH_Data,0,LH_ColCat)=BonusCat)*ROW(LH_Data)))))</f>
        <v/>
      </c>
    </row>
    <row r="60" customFormat="false" ht="15" hidden="false" customHeight="false" outlineLevel="0" collapsed="false">
      <c r="A60" s="15"/>
      <c r="B60" s="15"/>
      <c r="C60" s="15"/>
      <c r="D60" s="16"/>
      <c r="E60" s="10" t="str">
        <f aca="false">IF(OR(AE60=0,$D60=""),"",DATE(YEAR(AsOfDate)+IF(DATE(YEAR(AsOfDate),MONTH($D60),DAY($D60))&lt;=AsOfDate,1,0),MONTH($D60),DAY($D60)))</f>
        <v/>
      </c>
      <c r="F60" s="16"/>
      <c r="G60" s="16"/>
      <c r="H60" s="16"/>
      <c r="I60" s="16"/>
      <c r="J60" s="16"/>
      <c r="K60" s="10" t="str">
        <f aca="false">IF(AE60=0,"",DATE(YEAR(AsOfDate)+IF(DATE(YEAR(AsOfDate),MONTH($F60),DAY($F60))&lt;=AsOfDate,1,0),MONTH($F60),DAY($F60)))</f>
        <v/>
      </c>
      <c r="L60" s="11" t="str">
        <f aca="false">IF(AE60=0,"",ROUND((AsOfDate-$F60)/365.25,1))</f>
        <v/>
      </c>
      <c r="M60" s="12" t="str">
        <f aca="false">IF(AE60=0,"",IF(AsOfDate&lt;AF60,"-",DATEDIF(AF60,AsOfDate,"y")&amp;"y "&amp;DATEDIF(AF60,AsOfDate,"ym")&amp;"m "&amp;DATEDIF(AF60,AsOfDate,"md")&amp;"d"))</f>
        <v/>
      </c>
      <c r="N60" s="13" t="str">
        <f aca="false">IF(AE60=0,"",O60*HoursPerDay)</f>
        <v/>
      </c>
      <c r="O60" s="13" t="str">
        <f aca="false">IF(AE60=0,"",AX60)</f>
        <v/>
      </c>
      <c r="P60" s="17"/>
      <c r="Q60" s="12" t="str">
        <f aca="false">IF(AE60=0,"",IF(AG60&lt;2,"",AK60&amp;" to "&amp;AL60&amp;" on "&amp;TEXT(AI60,"dd/mm/yyyy")&amp;IF(AI60&gt;AsOfDate," (future)",IF(AN60=AO60,"",IF(AO60="None"," - STOPPED accruing",IF(AN60="None"," - now qualifying"," - pathway changed"))))&amp;IF(AG60&lt;3,"","; "&amp;AL60&amp;" to "&amp;AM60&amp;" on "&amp;TEXT(AJ60,"dd/mm/yyyy")&amp;IF(AJ60&gt;AsOfDate," (future)",IF(AO60=AP60,"",IF(AP60="None"," - STOPPED accruing",IF(AO60="None"," - now qualifying"," - pathway changed")))))))</f>
        <v/>
      </c>
      <c r="R60" s="12" t="str">
        <f aca="false">IF(AE60=0,"",IF(AQ60="None",IF(O60&gt;0,"No longer accruing","Not eligible - "&amp;IF(AND(OR(ISNUMBER(SEARCH("part",$C60)),UPPER(TRIM($C60))="PT",UPPER(TRIM($C60))="PTE"),$P60&lt;&gt;"",N($P60)&lt;PT_MinHours),"under "&amp;PT_MinHours&amp;" hrs",IF(IF($C60="","",IF(OR(ISNUMBER(SEARCH("full",$C60)),UPPER(TRIM($C60))="FT",UPPER(TRIM($C60))="FTE"),"Full-Time",IF(OR(ISNUMBER(SEARCH("part",$C60)),UPPER(TRIM($C60))="PT",UPPER(TRIM($C60))="PTE"),"Part-Time",IF(OR(ISNUMBER(SEARCH("cas",$C60)),UPPER(TRIM($C60))="CAS"),"Casual","Unknown"))))="Unknown","type not recognised",$C60))),IF(O60&gt;0,"Yes - accruing","Not yet - from "&amp;TEXT(S60,"dd/mm/yyyy"))))</f>
        <v/>
      </c>
      <c r="S60" s="10" t="str">
        <f aca="false">IF(AE60=0,"",IF(AQ60="None","",EDATE(AF60,AZ60)))</f>
        <v/>
      </c>
      <c r="T60" s="13" t="str">
        <f aca="false">IF(OR(AE60=0,W60=""),"",W60-U60+V60)</f>
        <v/>
      </c>
      <c r="U60" s="13" t="str">
        <f aca="false">IF(AE60=0,"",IF(NOT(LH_Ready),"",SUMIFS(INDEX(LH_Data,0,LH_ColAcc),INDEX(LH_Data,0,LH_ColFirst),$A60,INDEX(LH_Data,0,LH_ColSur),$B60,INDEX(LH_Data,0,LH_ColCat),BonusCat)*UnitFactor))</f>
        <v/>
      </c>
      <c r="V60" s="13" t="str">
        <f aca="false">IF(AE60=0,"",IF(NOT(LH_Ready),"",SUMIFS(INDEX(LH_Data,0,LH_ColTaken),INDEX(LH_Data,0,LH_ColFirst),$A60,INDEX(LH_Data,0,LH_ColSur),$B60,INDEX(LH_Data,0,LH_ColCat),BonusCat)*UnitFactor))</f>
        <v/>
      </c>
      <c r="W60" s="13" t="str">
        <f aca="false">IF(AE60=0,"",IF(NOT(LH_Ready),"",IF(BB60=0,0,INDEX(INDEX(LH_Data,0,LH_ColClose),BB60-1)*UnitFactor)))</f>
        <v/>
      </c>
      <c r="X60" s="13" t="str">
        <f aca="false">IF(AE60=0,"",(AX60-AY60)*HoursPerDay)</f>
        <v/>
      </c>
      <c r="Y60" s="13" t="str">
        <f aca="false">IF(AE60=0,"",IF(NOT(LH_Ready),"",IF(BA60=0,N60,X60-N(U60))))</f>
        <v/>
      </c>
      <c r="Z60" s="12" t="str">
        <f aca="false">IF(OR(AE60=0,Y60=""),"",IF(Y60&gt;0,"Yes","No"))</f>
        <v/>
      </c>
      <c r="AA60" s="12" t="str">
        <f aca="false">IF(AE60=0,IF(LEN($A60&amp;$B60)=0,"","FIX INPUT - StartDate missing"),IF(AD60&lt;&gt;"","FIX INPUT - "&amp;AD60,IF(NOT(LH_Ready),"Paste Leave History export (Settings must show YES)",IF(Y60&gt;0,"ACCRUE "&amp;ROUND(Y60,2)&amp;" hrs ("&amp;ROUND(Y60/HoursPerDay,2)&amp;" days)"&amp;IF(BA60=0," - no Bonus Leave in EH yet, full catch-up since start",""),IF(Y60&lt;0,"CHECK - EH accrued "&amp;ROUND(-Y60,2)&amp;""&amp;" hrs more than policy",IF(O60&gt;0,"OK - nothing to add",IF(AQ60="None",R60,"Not yet - first day on "&amp;TEXT(S60,"dd/mm/yyyy"))))))))</f>
        <v/>
      </c>
      <c r="AB60" s="13" t="str">
        <f aca="false">IF(OR(AE60=0,T60=""),"",AY60*HoursPerDay-T60)</f>
        <v/>
      </c>
      <c r="AC60" s="12" t="str">
        <f aca="false">IF(AE60=0,"",BA60)</f>
        <v/>
      </c>
      <c r="AD60" s="12" t="str">
        <f aca="false">IF(AE60=0,"",TRIM(IF(IF($C60="","",IF(OR(ISNUMBER(SEARCH("full",$C60)),UPPER(TRIM($C60))="FT",UPPER(TRIM($C60))="FTE"),"Full-Time",IF(OR(ISNUMBER(SEARCH("part",$C60)),UPPER(TRIM($C60))="PT",UPPER(TRIM($C60))="PTE"),"Part-Time",IF(OR(ISNUMBER(SEARCH("cas",$C60)),UPPER(TRIM($C60))="CAS"),"Casual","Unknown"))))="Unknown","EmploymentType not recognised - use Full-Time, Part-Time or Casual. ","")&amp;IF(AND(AG60&gt;=1,IF(AG60&gt;=3,AM60,IF(AG60=2,AL60,AK60))&lt;&gt;IF($C60="","",IF(OR(ISNUMBER(SEARCH("full",$C60)),UPPER(TRIM($C60))="FT",UPPER(TRIM($C60))="FTE"),"Full-Time",IF(OR(ISNUMBER(SEARCH("part",$C60)),UPPER(TRIM($C60))="PT",UPPER(TRIM($C60))="PTE"),"Part-Time",IF(OR(ISNUMBER(SEARCH("cas",$C60)),UPPER(TRIM($C60))="CAS"),"Casual","Unknown"))))),"EmploymentType does not match latest start date ("&amp;IF(AG60&gt;=3,AM60,IF(AG60=2,AL60,AK60))&amp;"). ","")&amp;IF(AND(AG60&gt;=1,AH60&lt;&gt;$F60),"Earliest type date should equal StartDate. ","")&amp;IF(AND(AG60&gt;=2,AH60=AI60),"Two types start on the same date. ","")&amp;IF(AND(OR(ISNUMBER(SEARCH("part",$C60)),UPPER(TRIM($C60))="PT",UPPER(TRIM($C60))="PTE"),$P60=""),"Part-time: enter PT Hrs/Week (blank = 24+). ","")))</f>
        <v/>
      </c>
      <c r="AE60" s="12" t="n">
        <f aca="false">IF(OR(LEN($A60&amp;$B60)=0,$F60=""),0,1)</f>
        <v>0</v>
      </c>
      <c r="AF60" s="10" t="str">
        <f aca="false">IF(AE60=0,"",IF($J60&lt;&gt;"",$J60,$F60))</f>
        <v/>
      </c>
      <c r="AG60" s="12" t="str">
        <f aca="false">IF(AE60=0,"",COUNT($G60:$I60))</f>
        <v/>
      </c>
      <c r="AH60" s="10" t="str">
        <f aca="false">IF(AE60=0,"",IFERROR(SMALL($G60:$I60,1),""))</f>
        <v/>
      </c>
      <c r="AI60" s="10" t="str">
        <f aca="false">IF(AE60=0,"",IFERROR(SMALL($G60:$I60,2),""))</f>
        <v/>
      </c>
      <c r="AJ60" s="10" t="str">
        <f aca="false">IF(AE60=0,"",IFERROR(SMALL($G60:$I60,3),""))</f>
        <v/>
      </c>
      <c r="AK60" s="12" t="str">
        <f aca="false">IF(AE60=0,"",IF(AH60="","",IF(AH60=$G60,"Part-Time",IF(AH60=$H60,"Full-Time","Casual"))))</f>
        <v/>
      </c>
      <c r="AL60" s="12" t="str">
        <f aca="false">IF(AE60=0,"",IF(AI60="","",IF(AI60=$G60,"Part-Time",IF(AI60=$H60,"Full-Time","Casual"))))</f>
        <v/>
      </c>
      <c r="AM60" s="12" t="str">
        <f aca="false">IF(AE60=0,"",IF(AJ60="","",IF(AJ60=$G60,"Part-Time",IF(AJ60=$H60,"Full-Time","Casual"))))</f>
        <v/>
      </c>
      <c r="AN60" s="12" t="str">
        <f aca="false">IF(AE60=0,"",IF(AG60=0,IF(OR(ISNUMBER(SEARCH("full",$C60)),UPPER(TRIM($C60))="FT",UPPER(TRIM($C60))="FTE"),"FT",IF(AND(OR(ISNUMBER(SEARCH("part",$C60)),UPPER(TRIM($C60))="PT",UPPER(TRIM($C60))="PTE"),OR($P60="",N($P60)&gt;=PT_MinHours)),"PT","None")),IF(OR(ISNUMBER(SEARCH("full",AK60)),UPPER(TRIM(AK60))="FT",UPPER(TRIM(AK60))="FTE"),"FT",IF(AND(OR(ISNUMBER(SEARCH("part",AK60)),UPPER(TRIM(AK60))="PT",UPPER(TRIM(AK60))="PTE"),OR($P60="",N($P60)&gt;=PT_MinHours)),"PT","None"))))</f>
        <v/>
      </c>
      <c r="AO60" s="12" t="str">
        <f aca="false">IF(AE60=0,"",IF(AG60&lt;2,"",IF(OR(ISNUMBER(SEARCH("full",AL60)),UPPER(TRIM(AL60))="FT",UPPER(TRIM(AL60))="FTE"),"FT",IF(AND(OR(ISNUMBER(SEARCH("part",AL60)),UPPER(TRIM(AL60))="PT",UPPER(TRIM(AL60))="PTE"),OR($P60="",N($P60)&gt;=PT_MinHours)),"PT","None"))))</f>
        <v/>
      </c>
      <c r="AP60" s="12" t="str">
        <f aca="false">IF(AE60=0,"",IF(AG60&lt;3,"",IF(OR(ISNUMBER(SEARCH("full",AM60)),UPPER(TRIM(AM60))="FT",UPPER(TRIM(AM60))="FTE"),"FT",IF(AND(OR(ISNUMBER(SEARCH("part",AM60)),UPPER(TRIM(AM60))="PT",UPPER(TRIM(AM60))="PTE"),OR($P60="",N($P60)&gt;=PT_MinHours)),"PT","None"))))</f>
        <v/>
      </c>
      <c r="AQ60" s="12" t="str">
        <f aca="false">IF(AE60=0,"",IF(AND(AG60&gt;=3,AJ60&lt;=AsOfDate),AP60,IF(AND(AG60&gt;=2,AI60&lt;=AsOfDate),AO60,AN60)))</f>
        <v/>
      </c>
      <c r="AR60" s="12" t="str">
        <f aca="false">IF(AE60=0,"",IF(AsOfDate&lt;AF60,-1,12*(YEAR(AsOfDate)-YEAR(AF60))+MONTH(AsOfDate)-MONTH(AF60)-IF(DAY(AsOfDate)&lt;MIN(DAY(AF60),DAY(EOMONTH(AsOfDate,0))),1,0)))</f>
        <v/>
      </c>
      <c r="AS60" s="12" t="str">
        <f aca="false">IF(AE60=0,"",IF(OR(AG60&lt;2,AI60&gt;AsOfDate),AR60,IF((AI60-1)&lt;AF60,-1,12*(YEAR((AI60-1))-YEAR(AF60))+MONTH((AI60-1))-MONTH(AF60)-IF(DAY((AI60-1))&lt;MIN(DAY(AF60),DAY(EOMONTH((AI60-1),0))),1,0))))</f>
        <v/>
      </c>
      <c r="AT60" s="12" t="str">
        <f aca="false">IF(AE60=0,"",IF(OR(AG60&lt;3,AJ60&gt;AsOfDate),AR60,IF((AJ60-1)&lt;AF60,-1,12*(YEAR((AJ60-1))-YEAR(AF60))+MONTH((AJ60-1))-MONTH(AF60)-IF(DAY((AJ60-1))&lt;MIN(DAY(AF60),DAY(EOMONTH((AJ60-1),0))),1,0))))</f>
        <v/>
      </c>
      <c r="AU60" s="12" t="str">
        <f aca="false">IF(AE60=0,"",IF(PFYDate&lt;AF60,-1,12*(YEAR(PFYDate)-YEAR(AF60))+MONTH(PFYDate)-MONTH(AF60)-IF(DAY(PFYDate)&lt;MIN(DAY(AF60),DAY(EOMONTH(PFYDate,0))),1,0)))</f>
        <v/>
      </c>
      <c r="AV60" s="12" t="str">
        <f aca="false">IF(AE60=0,"",IF(OR(AG60&lt;2,AI60&gt;PFYDate),AU60,IF((AI60-1)&lt;AF60,-1,12*(YEAR((AI60-1))-YEAR(AF60))+MONTH((AI60-1))-MONTH(AF60)-IF(DAY((AI60-1))&lt;MIN(DAY(AF60),DAY(EOMONTH((AI60-1),0))),1,0))))</f>
        <v/>
      </c>
      <c r="AW60" s="12" t="str">
        <f aca="false">IF(AE60=0,"",IF(OR(AG60&lt;3,AJ60&gt;PFYDate),AU60,IF((AJ60-1)&lt;AF60,-1,12*(YEAR((AJ60-1))-YEAR(AF60))+MONTH((AJ60-1))-MONTH(AF60)-IF(DAY((AJ60-1))&lt;MIN(DAY(AF60),DAY(EOMONTH((AJ60-1),0))),1,0))))</f>
        <v/>
      </c>
      <c r="AX60" s="12" t="str">
        <f aca="false">IF(AE60=0,"",IF(AN60="FT",IF(AS60&lt;FT_First,0,IF(AS60&lt;FT_Y5,1+INT((AS60-FT_First)/FT_Int1),FT_PreY5+FT_PerYear*INT((AS60-FT_Y5)/12)+FT_AnnivDays+INT(MOD(AS60-FT_Y5,12)/FT_Int2))),IF(AN60="PT",IF(AS60&lt;PT_First,0,1+INT((AS60-PT_First)/PT_Int)),0))+IF(AND(AG60&gt;=2,AI60&lt;=AsOfDate),IF(AO60="FT",IF(AT60&lt;FT_First,0,IF(AT60&lt;FT_Y5,1+INT((AT60-FT_First)/FT_Int1),FT_PreY5+FT_PerYear*INT((AT60-FT_Y5)/12)+FT_AnnivDays+INT(MOD(AT60-FT_Y5,12)/FT_Int2))),IF(AO60="PT",IF(AT60&lt;PT_First,0,1+INT((AT60-PT_First)/PT_Int)),0))-IF(AO60="FT",IF(AS60&lt;FT_First,0,IF(AS60&lt;FT_Y5,1+INT((AS60-FT_First)/FT_Int1),FT_PreY5+FT_PerYear*INT((AS60-FT_Y5)/12)+FT_AnnivDays+INT(MOD(AS60-FT_Y5,12)/FT_Int2))),IF(AO60="PT",IF(AS60&lt;PT_First,0,1+INT((AS60-PT_First)/PT_Int)),0)),0)+IF(AND(AG60&gt;=3,AJ60&lt;=AsOfDate),IF(AP60="FT",IF(AR60&lt;FT_First,0,IF(AR60&lt;FT_Y5,1+INT((AR60-FT_First)/FT_Int1),FT_PreY5+FT_PerYear*INT((AR60-FT_Y5)/12)+FT_AnnivDays+INT(MOD(AR60-FT_Y5,12)/FT_Int2))),IF(AP60="PT",IF(AR60&lt;PT_First,0,1+INT((AR60-PT_First)/PT_Int)),0))-IF(AP60="FT",IF(AT60&lt;FT_First,0,IF(AT60&lt;FT_Y5,1+INT((AT60-FT_First)/FT_Int1),FT_PreY5+FT_PerYear*INT((AT60-FT_Y5)/12)+FT_AnnivDays+INT(MOD(AT60-FT_Y5,12)/FT_Int2))),IF(AP60="PT",IF(AT60&lt;PT_First,0,1+INT((AT60-PT_First)/PT_Int)),0)),0))</f>
        <v/>
      </c>
      <c r="AY60" s="12" t="str">
        <f aca="false">IF(AE60=0,"",IF(AN60="FT",IF(AV60&lt;FT_First,0,IF(AV60&lt;FT_Y5,1+INT((AV60-FT_First)/FT_Int1),FT_PreY5+FT_PerYear*INT((AV60-FT_Y5)/12)+FT_AnnivDays+INT(MOD(AV60-FT_Y5,12)/FT_Int2))),IF(AN60="PT",IF(AV60&lt;PT_First,0,1+INT((AV60-PT_First)/PT_Int)),0))+IF(AND(AG60&gt;=2,AI60&lt;=PFYDate),IF(AO60="FT",IF(AW60&lt;FT_First,0,IF(AW60&lt;FT_Y5,1+INT((AW60-FT_First)/FT_Int1),FT_PreY5+FT_PerYear*INT((AW60-FT_Y5)/12)+FT_AnnivDays+INT(MOD(AW60-FT_Y5,12)/FT_Int2))),IF(AO60="PT",IF(AW60&lt;PT_First,0,1+INT((AW60-PT_First)/PT_Int)),0))-IF(AO60="FT",IF(AV60&lt;FT_First,0,IF(AV60&lt;FT_Y5,1+INT((AV60-FT_First)/FT_Int1),FT_PreY5+FT_PerYear*INT((AV60-FT_Y5)/12)+FT_AnnivDays+INT(MOD(AV60-FT_Y5,12)/FT_Int2))),IF(AO60="PT",IF(AV60&lt;PT_First,0,1+INT((AV60-PT_First)/PT_Int)),0)),0)+IF(AND(AG60&gt;=3,AJ60&lt;=PFYDate),IF(AP60="FT",IF(AU60&lt;FT_First,0,IF(AU60&lt;FT_Y5,1+INT((AU60-FT_First)/FT_Int1),FT_PreY5+FT_PerYear*INT((AU60-FT_Y5)/12)+FT_AnnivDays+INT(MOD(AU60-FT_Y5,12)/FT_Int2))),IF(AP60="PT",IF(AU60&lt;PT_First,0,1+INT((AU60-PT_First)/PT_Int)),0))-IF(AP60="FT",IF(AW60&lt;FT_First,0,IF(AW60&lt;FT_Y5,1+INT((AW60-FT_First)/FT_Int1),FT_PreY5+FT_PerYear*INT((AW60-FT_Y5)/12)+FT_AnnivDays+INT(MOD(AW60-FT_Y5,12)/FT_Int2))),IF(AP60="PT",IF(AW60&lt;PT_First,0,1+INT((AW60-PT_First)/PT_Int)),0)),0))</f>
        <v/>
      </c>
      <c r="AZ60" s="12" t="str">
        <f aca="false">IF(AE60=0,"",IF(AQ60="FT",IF(AR60&lt;FT_First,FT_First,IF(AR60&lt;FT_Y5,MIN(FT_Y5,FT_First+FT_Int1*(INT((AR60-FT_First)/FT_Int1)+1)),FT_Y5+12*INT((AR60-FT_Y5)/12)+FT_Int2*(INT(MOD(AR60-FT_Y5,12)/FT_Int2)+1))),IF(AQ60="PT",IF(AR60&lt;PT_First,PT_First,PT_First+PT_Int*(INT((AR60-PT_First)/PT_Int)+1)),"")))</f>
        <v/>
      </c>
      <c r="BA60" s="12" t="str">
        <f aca="false">IF(AE60=0,"",IF(NOT(LH_Ready),0,COUNTIFS(INDEX(LH_Data,0,LH_ColFirst),$A60,INDEX(LH_Data,0,LH_ColSur),$B60,INDEX(LH_Data,0,LH_ColCat),BonusCat)))</f>
        <v/>
      </c>
      <c r="BB60" s="12" t="str">
        <f aca="false">IF(AE60=0,"",IF(OR(NOT(LH_Ready),BA60=0),0,SUMPRODUCT(MAX((INDEX(LH_Data,0,LH_ColFirst)=$A60)*(INDEX(LH_Data,0,LH_ColSur)=$B60)*(INDEX(LH_Data,0,LH_ColCat)=BonusCat)*ROW(LH_Data)))))</f>
        <v/>
      </c>
    </row>
    <row r="61" customFormat="false" ht="15" hidden="false" customHeight="false" outlineLevel="0" collapsed="false">
      <c r="A61" s="15"/>
      <c r="B61" s="15"/>
      <c r="C61" s="15"/>
      <c r="D61" s="16"/>
      <c r="E61" s="10" t="str">
        <f aca="false">IF(OR(AE61=0,$D61=""),"",DATE(YEAR(AsOfDate)+IF(DATE(YEAR(AsOfDate),MONTH($D61),DAY($D61))&lt;=AsOfDate,1,0),MONTH($D61),DAY($D61)))</f>
        <v/>
      </c>
      <c r="F61" s="16"/>
      <c r="G61" s="16"/>
      <c r="H61" s="16"/>
      <c r="I61" s="16"/>
      <c r="J61" s="16"/>
      <c r="K61" s="10" t="str">
        <f aca="false">IF(AE61=0,"",DATE(YEAR(AsOfDate)+IF(DATE(YEAR(AsOfDate),MONTH($F61),DAY($F61))&lt;=AsOfDate,1,0),MONTH($F61),DAY($F61)))</f>
        <v/>
      </c>
      <c r="L61" s="11" t="str">
        <f aca="false">IF(AE61=0,"",ROUND((AsOfDate-$F61)/365.25,1))</f>
        <v/>
      </c>
      <c r="M61" s="12" t="str">
        <f aca="false">IF(AE61=0,"",IF(AsOfDate&lt;AF61,"-",DATEDIF(AF61,AsOfDate,"y")&amp;"y "&amp;DATEDIF(AF61,AsOfDate,"ym")&amp;"m "&amp;DATEDIF(AF61,AsOfDate,"md")&amp;"d"))</f>
        <v/>
      </c>
      <c r="N61" s="13" t="str">
        <f aca="false">IF(AE61=0,"",O61*HoursPerDay)</f>
        <v/>
      </c>
      <c r="O61" s="13" t="str">
        <f aca="false">IF(AE61=0,"",AX61)</f>
        <v/>
      </c>
      <c r="P61" s="17"/>
      <c r="Q61" s="12" t="str">
        <f aca="false">IF(AE61=0,"",IF(AG61&lt;2,"",AK61&amp;" to "&amp;AL61&amp;" on "&amp;TEXT(AI61,"dd/mm/yyyy")&amp;IF(AI61&gt;AsOfDate," (future)",IF(AN61=AO61,"",IF(AO61="None"," - STOPPED accruing",IF(AN61="None"," - now qualifying"," - pathway changed"))))&amp;IF(AG61&lt;3,"","; "&amp;AL61&amp;" to "&amp;AM61&amp;" on "&amp;TEXT(AJ61,"dd/mm/yyyy")&amp;IF(AJ61&gt;AsOfDate," (future)",IF(AO61=AP61,"",IF(AP61="None"," - STOPPED accruing",IF(AO61="None"," - now qualifying"," - pathway changed")))))))</f>
        <v/>
      </c>
      <c r="R61" s="12" t="str">
        <f aca="false">IF(AE61=0,"",IF(AQ61="None",IF(O61&gt;0,"No longer accruing","Not eligible - "&amp;IF(AND(OR(ISNUMBER(SEARCH("part",$C61)),UPPER(TRIM($C61))="PT",UPPER(TRIM($C61))="PTE"),$P61&lt;&gt;"",N($P61)&lt;PT_MinHours),"under "&amp;PT_MinHours&amp;" hrs",IF(IF($C61="","",IF(OR(ISNUMBER(SEARCH("full",$C61)),UPPER(TRIM($C61))="FT",UPPER(TRIM($C61))="FTE"),"Full-Time",IF(OR(ISNUMBER(SEARCH("part",$C61)),UPPER(TRIM($C61))="PT",UPPER(TRIM($C61))="PTE"),"Part-Time",IF(OR(ISNUMBER(SEARCH("cas",$C61)),UPPER(TRIM($C61))="CAS"),"Casual","Unknown"))))="Unknown","type not recognised",$C61))),IF(O61&gt;0,"Yes - accruing","Not yet - from "&amp;TEXT(S61,"dd/mm/yyyy"))))</f>
        <v/>
      </c>
      <c r="S61" s="10" t="str">
        <f aca="false">IF(AE61=0,"",IF(AQ61="None","",EDATE(AF61,AZ61)))</f>
        <v/>
      </c>
      <c r="T61" s="13" t="str">
        <f aca="false">IF(OR(AE61=0,W61=""),"",W61-U61+V61)</f>
        <v/>
      </c>
      <c r="U61" s="13" t="str">
        <f aca="false">IF(AE61=0,"",IF(NOT(LH_Ready),"",SUMIFS(INDEX(LH_Data,0,LH_ColAcc),INDEX(LH_Data,0,LH_ColFirst),$A61,INDEX(LH_Data,0,LH_ColSur),$B61,INDEX(LH_Data,0,LH_ColCat),BonusCat)*UnitFactor))</f>
        <v/>
      </c>
      <c r="V61" s="13" t="str">
        <f aca="false">IF(AE61=0,"",IF(NOT(LH_Ready),"",SUMIFS(INDEX(LH_Data,0,LH_ColTaken),INDEX(LH_Data,0,LH_ColFirst),$A61,INDEX(LH_Data,0,LH_ColSur),$B61,INDEX(LH_Data,0,LH_ColCat),BonusCat)*UnitFactor))</f>
        <v/>
      </c>
      <c r="W61" s="13" t="str">
        <f aca="false">IF(AE61=0,"",IF(NOT(LH_Ready),"",IF(BB61=0,0,INDEX(INDEX(LH_Data,0,LH_ColClose),BB61-1)*UnitFactor)))</f>
        <v/>
      </c>
      <c r="X61" s="13" t="str">
        <f aca="false">IF(AE61=0,"",(AX61-AY61)*HoursPerDay)</f>
        <v/>
      </c>
      <c r="Y61" s="13" t="str">
        <f aca="false">IF(AE61=0,"",IF(NOT(LH_Ready),"",IF(BA61=0,N61,X61-N(U61))))</f>
        <v/>
      </c>
      <c r="Z61" s="12" t="str">
        <f aca="false">IF(OR(AE61=0,Y61=""),"",IF(Y61&gt;0,"Yes","No"))</f>
        <v/>
      </c>
      <c r="AA61" s="12" t="str">
        <f aca="false">IF(AE61=0,IF(LEN($A61&amp;$B61)=0,"","FIX INPUT - StartDate missing"),IF(AD61&lt;&gt;"","FIX INPUT - "&amp;AD61,IF(NOT(LH_Ready),"Paste Leave History export (Settings must show YES)",IF(Y61&gt;0,"ACCRUE "&amp;ROUND(Y61,2)&amp;" hrs ("&amp;ROUND(Y61/HoursPerDay,2)&amp;" days)"&amp;IF(BA61=0," - no Bonus Leave in EH yet, full catch-up since start",""),IF(Y61&lt;0,"CHECK - EH accrued "&amp;ROUND(-Y61,2)&amp;""&amp;" hrs more than policy",IF(O61&gt;0,"OK - nothing to add",IF(AQ61="None",R61,"Not yet - first day on "&amp;TEXT(S61,"dd/mm/yyyy"))))))))</f>
        <v/>
      </c>
      <c r="AB61" s="13" t="str">
        <f aca="false">IF(OR(AE61=0,T61=""),"",AY61*HoursPerDay-T61)</f>
        <v/>
      </c>
      <c r="AC61" s="12" t="str">
        <f aca="false">IF(AE61=0,"",BA61)</f>
        <v/>
      </c>
      <c r="AD61" s="12" t="str">
        <f aca="false">IF(AE61=0,"",TRIM(IF(IF($C61="","",IF(OR(ISNUMBER(SEARCH("full",$C61)),UPPER(TRIM($C61))="FT",UPPER(TRIM($C61))="FTE"),"Full-Time",IF(OR(ISNUMBER(SEARCH("part",$C61)),UPPER(TRIM($C61))="PT",UPPER(TRIM($C61))="PTE"),"Part-Time",IF(OR(ISNUMBER(SEARCH("cas",$C61)),UPPER(TRIM($C61))="CAS"),"Casual","Unknown"))))="Unknown","EmploymentType not recognised - use Full-Time, Part-Time or Casual. ","")&amp;IF(AND(AG61&gt;=1,IF(AG61&gt;=3,AM61,IF(AG61=2,AL61,AK61))&lt;&gt;IF($C61="","",IF(OR(ISNUMBER(SEARCH("full",$C61)),UPPER(TRIM($C61))="FT",UPPER(TRIM($C61))="FTE"),"Full-Time",IF(OR(ISNUMBER(SEARCH("part",$C61)),UPPER(TRIM($C61))="PT",UPPER(TRIM($C61))="PTE"),"Part-Time",IF(OR(ISNUMBER(SEARCH("cas",$C61)),UPPER(TRIM($C61))="CAS"),"Casual","Unknown"))))),"EmploymentType does not match latest start date ("&amp;IF(AG61&gt;=3,AM61,IF(AG61=2,AL61,AK61))&amp;"). ","")&amp;IF(AND(AG61&gt;=1,AH61&lt;&gt;$F61),"Earliest type date should equal StartDate. ","")&amp;IF(AND(AG61&gt;=2,AH61=AI61),"Two types start on the same date. ","")&amp;IF(AND(OR(ISNUMBER(SEARCH("part",$C61)),UPPER(TRIM($C61))="PT",UPPER(TRIM($C61))="PTE"),$P61=""),"Part-time: enter PT Hrs/Week (blank = 24+). ","")))</f>
        <v/>
      </c>
      <c r="AE61" s="12" t="n">
        <f aca="false">IF(OR(LEN($A61&amp;$B61)=0,$F61=""),0,1)</f>
        <v>0</v>
      </c>
      <c r="AF61" s="10" t="str">
        <f aca="false">IF(AE61=0,"",IF($J61&lt;&gt;"",$J61,$F61))</f>
        <v/>
      </c>
      <c r="AG61" s="12" t="str">
        <f aca="false">IF(AE61=0,"",COUNT($G61:$I61))</f>
        <v/>
      </c>
      <c r="AH61" s="10" t="str">
        <f aca="false">IF(AE61=0,"",IFERROR(SMALL($G61:$I61,1),""))</f>
        <v/>
      </c>
      <c r="AI61" s="10" t="str">
        <f aca="false">IF(AE61=0,"",IFERROR(SMALL($G61:$I61,2),""))</f>
        <v/>
      </c>
      <c r="AJ61" s="10" t="str">
        <f aca="false">IF(AE61=0,"",IFERROR(SMALL($G61:$I61,3),""))</f>
        <v/>
      </c>
      <c r="AK61" s="12" t="str">
        <f aca="false">IF(AE61=0,"",IF(AH61="","",IF(AH61=$G61,"Part-Time",IF(AH61=$H61,"Full-Time","Casual"))))</f>
        <v/>
      </c>
      <c r="AL61" s="12" t="str">
        <f aca="false">IF(AE61=0,"",IF(AI61="","",IF(AI61=$G61,"Part-Time",IF(AI61=$H61,"Full-Time","Casual"))))</f>
        <v/>
      </c>
      <c r="AM61" s="12" t="str">
        <f aca="false">IF(AE61=0,"",IF(AJ61="","",IF(AJ61=$G61,"Part-Time",IF(AJ61=$H61,"Full-Time","Casual"))))</f>
        <v/>
      </c>
      <c r="AN61" s="12" t="str">
        <f aca="false">IF(AE61=0,"",IF(AG61=0,IF(OR(ISNUMBER(SEARCH("full",$C61)),UPPER(TRIM($C61))="FT",UPPER(TRIM($C61))="FTE"),"FT",IF(AND(OR(ISNUMBER(SEARCH("part",$C61)),UPPER(TRIM($C61))="PT",UPPER(TRIM($C61))="PTE"),OR($P61="",N($P61)&gt;=PT_MinHours)),"PT","None")),IF(OR(ISNUMBER(SEARCH("full",AK61)),UPPER(TRIM(AK61))="FT",UPPER(TRIM(AK61))="FTE"),"FT",IF(AND(OR(ISNUMBER(SEARCH("part",AK61)),UPPER(TRIM(AK61))="PT",UPPER(TRIM(AK61))="PTE"),OR($P61="",N($P61)&gt;=PT_MinHours)),"PT","None"))))</f>
        <v/>
      </c>
      <c r="AO61" s="12" t="str">
        <f aca="false">IF(AE61=0,"",IF(AG61&lt;2,"",IF(OR(ISNUMBER(SEARCH("full",AL61)),UPPER(TRIM(AL61))="FT",UPPER(TRIM(AL61))="FTE"),"FT",IF(AND(OR(ISNUMBER(SEARCH("part",AL61)),UPPER(TRIM(AL61))="PT",UPPER(TRIM(AL61))="PTE"),OR($P61="",N($P61)&gt;=PT_MinHours)),"PT","None"))))</f>
        <v/>
      </c>
      <c r="AP61" s="12" t="str">
        <f aca="false">IF(AE61=0,"",IF(AG61&lt;3,"",IF(OR(ISNUMBER(SEARCH("full",AM61)),UPPER(TRIM(AM61))="FT",UPPER(TRIM(AM61))="FTE"),"FT",IF(AND(OR(ISNUMBER(SEARCH("part",AM61)),UPPER(TRIM(AM61))="PT",UPPER(TRIM(AM61))="PTE"),OR($P61="",N($P61)&gt;=PT_MinHours)),"PT","None"))))</f>
        <v/>
      </c>
      <c r="AQ61" s="12" t="str">
        <f aca="false">IF(AE61=0,"",IF(AND(AG61&gt;=3,AJ61&lt;=AsOfDate),AP61,IF(AND(AG61&gt;=2,AI61&lt;=AsOfDate),AO61,AN61)))</f>
        <v/>
      </c>
      <c r="AR61" s="12" t="str">
        <f aca="false">IF(AE61=0,"",IF(AsOfDate&lt;AF61,-1,12*(YEAR(AsOfDate)-YEAR(AF61))+MONTH(AsOfDate)-MONTH(AF61)-IF(DAY(AsOfDate)&lt;MIN(DAY(AF61),DAY(EOMONTH(AsOfDate,0))),1,0)))</f>
        <v/>
      </c>
      <c r="AS61" s="12" t="str">
        <f aca="false">IF(AE61=0,"",IF(OR(AG61&lt;2,AI61&gt;AsOfDate),AR61,IF((AI61-1)&lt;AF61,-1,12*(YEAR((AI61-1))-YEAR(AF61))+MONTH((AI61-1))-MONTH(AF61)-IF(DAY((AI61-1))&lt;MIN(DAY(AF61),DAY(EOMONTH((AI61-1),0))),1,0))))</f>
        <v/>
      </c>
      <c r="AT61" s="12" t="str">
        <f aca="false">IF(AE61=0,"",IF(OR(AG61&lt;3,AJ61&gt;AsOfDate),AR61,IF((AJ61-1)&lt;AF61,-1,12*(YEAR((AJ61-1))-YEAR(AF61))+MONTH((AJ61-1))-MONTH(AF61)-IF(DAY((AJ61-1))&lt;MIN(DAY(AF61),DAY(EOMONTH((AJ61-1),0))),1,0))))</f>
        <v/>
      </c>
      <c r="AU61" s="12" t="str">
        <f aca="false">IF(AE61=0,"",IF(PFYDate&lt;AF61,-1,12*(YEAR(PFYDate)-YEAR(AF61))+MONTH(PFYDate)-MONTH(AF61)-IF(DAY(PFYDate)&lt;MIN(DAY(AF61),DAY(EOMONTH(PFYDate,0))),1,0)))</f>
        <v/>
      </c>
      <c r="AV61" s="12" t="str">
        <f aca="false">IF(AE61=0,"",IF(OR(AG61&lt;2,AI61&gt;PFYDate),AU61,IF((AI61-1)&lt;AF61,-1,12*(YEAR((AI61-1))-YEAR(AF61))+MONTH((AI61-1))-MONTH(AF61)-IF(DAY((AI61-1))&lt;MIN(DAY(AF61),DAY(EOMONTH((AI61-1),0))),1,0))))</f>
        <v/>
      </c>
      <c r="AW61" s="12" t="str">
        <f aca="false">IF(AE61=0,"",IF(OR(AG61&lt;3,AJ61&gt;PFYDate),AU61,IF((AJ61-1)&lt;AF61,-1,12*(YEAR((AJ61-1))-YEAR(AF61))+MONTH((AJ61-1))-MONTH(AF61)-IF(DAY((AJ61-1))&lt;MIN(DAY(AF61),DAY(EOMONTH((AJ61-1),0))),1,0))))</f>
        <v/>
      </c>
      <c r="AX61" s="12" t="str">
        <f aca="false">IF(AE61=0,"",IF(AN61="FT",IF(AS61&lt;FT_First,0,IF(AS61&lt;FT_Y5,1+INT((AS61-FT_First)/FT_Int1),FT_PreY5+FT_PerYear*INT((AS61-FT_Y5)/12)+FT_AnnivDays+INT(MOD(AS61-FT_Y5,12)/FT_Int2))),IF(AN61="PT",IF(AS61&lt;PT_First,0,1+INT((AS61-PT_First)/PT_Int)),0))+IF(AND(AG61&gt;=2,AI61&lt;=AsOfDate),IF(AO61="FT",IF(AT61&lt;FT_First,0,IF(AT61&lt;FT_Y5,1+INT((AT61-FT_First)/FT_Int1),FT_PreY5+FT_PerYear*INT((AT61-FT_Y5)/12)+FT_AnnivDays+INT(MOD(AT61-FT_Y5,12)/FT_Int2))),IF(AO61="PT",IF(AT61&lt;PT_First,0,1+INT((AT61-PT_First)/PT_Int)),0))-IF(AO61="FT",IF(AS61&lt;FT_First,0,IF(AS61&lt;FT_Y5,1+INT((AS61-FT_First)/FT_Int1),FT_PreY5+FT_PerYear*INT((AS61-FT_Y5)/12)+FT_AnnivDays+INT(MOD(AS61-FT_Y5,12)/FT_Int2))),IF(AO61="PT",IF(AS61&lt;PT_First,0,1+INT((AS61-PT_First)/PT_Int)),0)),0)+IF(AND(AG61&gt;=3,AJ61&lt;=AsOfDate),IF(AP61="FT",IF(AR61&lt;FT_First,0,IF(AR61&lt;FT_Y5,1+INT((AR61-FT_First)/FT_Int1),FT_PreY5+FT_PerYear*INT((AR61-FT_Y5)/12)+FT_AnnivDays+INT(MOD(AR61-FT_Y5,12)/FT_Int2))),IF(AP61="PT",IF(AR61&lt;PT_First,0,1+INT((AR61-PT_First)/PT_Int)),0))-IF(AP61="FT",IF(AT61&lt;FT_First,0,IF(AT61&lt;FT_Y5,1+INT((AT61-FT_First)/FT_Int1),FT_PreY5+FT_PerYear*INT((AT61-FT_Y5)/12)+FT_AnnivDays+INT(MOD(AT61-FT_Y5,12)/FT_Int2))),IF(AP61="PT",IF(AT61&lt;PT_First,0,1+INT((AT61-PT_First)/PT_Int)),0)),0))</f>
        <v/>
      </c>
      <c r="AY61" s="12" t="str">
        <f aca="false">IF(AE61=0,"",IF(AN61="FT",IF(AV61&lt;FT_First,0,IF(AV61&lt;FT_Y5,1+INT((AV61-FT_First)/FT_Int1),FT_PreY5+FT_PerYear*INT((AV61-FT_Y5)/12)+FT_AnnivDays+INT(MOD(AV61-FT_Y5,12)/FT_Int2))),IF(AN61="PT",IF(AV61&lt;PT_First,0,1+INT((AV61-PT_First)/PT_Int)),0))+IF(AND(AG61&gt;=2,AI61&lt;=PFYDate),IF(AO61="FT",IF(AW61&lt;FT_First,0,IF(AW61&lt;FT_Y5,1+INT((AW61-FT_First)/FT_Int1),FT_PreY5+FT_PerYear*INT((AW61-FT_Y5)/12)+FT_AnnivDays+INT(MOD(AW61-FT_Y5,12)/FT_Int2))),IF(AO61="PT",IF(AW61&lt;PT_First,0,1+INT((AW61-PT_First)/PT_Int)),0))-IF(AO61="FT",IF(AV61&lt;FT_First,0,IF(AV61&lt;FT_Y5,1+INT((AV61-FT_First)/FT_Int1),FT_PreY5+FT_PerYear*INT((AV61-FT_Y5)/12)+FT_AnnivDays+INT(MOD(AV61-FT_Y5,12)/FT_Int2))),IF(AO61="PT",IF(AV61&lt;PT_First,0,1+INT((AV61-PT_First)/PT_Int)),0)),0)+IF(AND(AG61&gt;=3,AJ61&lt;=PFYDate),IF(AP61="FT",IF(AU61&lt;FT_First,0,IF(AU61&lt;FT_Y5,1+INT((AU61-FT_First)/FT_Int1),FT_PreY5+FT_PerYear*INT((AU61-FT_Y5)/12)+FT_AnnivDays+INT(MOD(AU61-FT_Y5,12)/FT_Int2))),IF(AP61="PT",IF(AU61&lt;PT_First,0,1+INT((AU61-PT_First)/PT_Int)),0))-IF(AP61="FT",IF(AW61&lt;FT_First,0,IF(AW61&lt;FT_Y5,1+INT((AW61-FT_First)/FT_Int1),FT_PreY5+FT_PerYear*INT((AW61-FT_Y5)/12)+FT_AnnivDays+INT(MOD(AW61-FT_Y5,12)/FT_Int2))),IF(AP61="PT",IF(AW61&lt;PT_First,0,1+INT((AW61-PT_First)/PT_Int)),0)),0))</f>
        <v/>
      </c>
      <c r="AZ61" s="12" t="str">
        <f aca="false">IF(AE61=0,"",IF(AQ61="FT",IF(AR61&lt;FT_First,FT_First,IF(AR61&lt;FT_Y5,MIN(FT_Y5,FT_First+FT_Int1*(INT((AR61-FT_First)/FT_Int1)+1)),FT_Y5+12*INT((AR61-FT_Y5)/12)+FT_Int2*(INT(MOD(AR61-FT_Y5,12)/FT_Int2)+1))),IF(AQ61="PT",IF(AR61&lt;PT_First,PT_First,PT_First+PT_Int*(INT((AR61-PT_First)/PT_Int)+1)),"")))</f>
        <v/>
      </c>
      <c r="BA61" s="12" t="str">
        <f aca="false">IF(AE61=0,"",IF(NOT(LH_Ready),0,COUNTIFS(INDEX(LH_Data,0,LH_ColFirst),$A61,INDEX(LH_Data,0,LH_ColSur),$B61,INDEX(LH_Data,0,LH_ColCat),BonusCat)))</f>
        <v/>
      </c>
      <c r="BB61" s="12" t="str">
        <f aca="false">IF(AE61=0,"",IF(OR(NOT(LH_Ready),BA61=0),0,SUMPRODUCT(MAX((INDEX(LH_Data,0,LH_ColFirst)=$A61)*(INDEX(LH_Data,0,LH_ColSur)=$B61)*(INDEX(LH_Data,0,LH_ColCat)=BonusCat)*ROW(LH_Data)))))</f>
        <v/>
      </c>
    </row>
    <row r="62" customFormat="false" ht="15" hidden="false" customHeight="false" outlineLevel="0" collapsed="false">
      <c r="A62" s="15"/>
      <c r="B62" s="15"/>
      <c r="C62" s="15"/>
      <c r="D62" s="16"/>
      <c r="E62" s="10" t="str">
        <f aca="false">IF(OR(AE62=0,$D62=""),"",DATE(YEAR(AsOfDate)+IF(DATE(YEAR(AsOfDate),MONTH($D62),DAY($D62))&lt;=AsOfDate,1,0),MONTH($D62),DAY($D62)))</f>
        <v/>
      </c>
      <c r="F62" s="16"/>
      <c r="G62" s="16"/>
      <c r="H62" s="16"/>
      <c r="I62" s="16"/>
      <c r="J62" s="16"/>
      <c r="K62" s="10" t="str">
        <f aca="false">IF(AE62=0,"",DATE(YEAR(AsOfDate)+IF(DATE(YEAR(AsOfDate),MONTH($F62),DAY($F62))&lt;=AsOfDate,1,0),MONTH($F62),DAY($F62)))</f>
        <v/>
      </c>
      <c r="L62" s="11" t="str">
        <f aca="false">IF(AE62=0,"",ROUND((AsOfDate-$F62)/365.25,1))</f>
        <v/>
      </c>
      <c r="M62" s="12" t="str">
        <f aca="false">IF(AE62=0,"",IF(AsOfDate&lt;AF62,"-",DATEDIF(AF62,AsOfDate,"y")&amp;"y "&amp;DATEDIF(AF62,AsOfDate,"ym")&amp;"m "&amp;DATEDIF(AF62,AsOfDate,"md")&amp;"d"))</f>
        <v/>
      </c>
      <c r="N62" s="13" t="str">
        <f aca="false">IF(AE62=0,"",O62*HoursPerDay)</f>
        <v/>
      </c>
      <c r="O62" s="13" t="str">
        <f aca="false">IF(AE62=0,"",AX62)</f>
        <v/>
      </c>
      <c r="P62" s="17"/>
      <c r="Q62" s="12" t="str">
        <f aca="false">IF(AE62=0,"",IF(AG62&lt;2,"",AK62&amp;" to "&amp;AL62&amp;" on "&amp;TEXT(AI62,"dd/mm/yyyy")&amp;IF(AI62&gt;AsOfDate," (future)",IF(AN62=AO62,"",IF(AO62="None"," - STOPPED accruing",IF(AN62="None"," - now qualifying"," - pathway changed"))))&amp;IF(AG62&lt;3,"","; "&amp;AL62&amp;" to "&amp;AM62&amp;" on "&amp;TEXT(AJ62,"dd/mm/yyyy")&amp;IF(AJ62&gt;AsOfDate," (future)",IF(AO62=AP62,"",IF(AP62="None"," - STOPPED accruing",IF(AO62="None"," - now qualifying"," - pathway changed")))))))</f>
        <v/>
      </c>
      <c r="R62" s="12" t="str">
        <f aca="false">IF(AE62=0,"",IF(AQ62="None",IF(O62&gt;0,"No longer accruing","Not eligible - "&amp;IF(AND(OR(ISNUMBER(SEARCH("part",$C62)),UPPER(TRIM($C62))="PT",UPPER(TRIM($C62))="PTE"),$P62&lt;&gt;"",N($P62)&lt;PT_MinHours),"under "&amp;PT_MinHours&amp;" hrs",IF(IF($C62="","",IF(OR(ISNUMBER(SEARCH("full",$C62)),UPPER(TRIM($C62))="FT",UPPER(TRIM($C62))="FTE"),"Full-Time",IF(OR(ISNUMBER(SEARCH("part",$C62)),UPPER(TRIM($C62))="PT",UPPER(TRIM($C62))="PTE"),"Part-Time",IF(OR(ISNUMBER(SEARCH("cas",$C62)),UPPER(TRIM($C62))="CAS"),"Casual","Unknown"))))="Unknown","type not recognised",$C62))),IF(O62&gt;0,"Yes - accruing","Not yet - from "&amp;TEXT(S62,"dd/mm/yyyy"))))</f>
        <v/>
      </c>
      <c r="S62" s="10" t="str">
        <f aca="false">IF(AE62=0,"",IF(AQ62="None","",EDATE(AF62,AZ62)))</f>
        <v/>
      </c>
      <c r="T62" s="13" t="str">
        <f aca="false">IF(OR(AE62=0,W62=""),"",W62-U62+V62)</f>
        <v/>
      </c>
      <c r="U62" s="13" t="str">
        <f aca="false">IF(AE62=0,"",IF(NOT(LH_Ready),"",SUMIFS(INDEX(LH_Data,0,LH_ColAcc),INDEX(LH_Data,0,LH_ColFirst),$A62,INDEX(LH_Data,0,LH_ColSur),$B62,INDEX(LH_Data,0,LH_ColCat),BonusCat)*UnitFactor))</f>
        <v/>
      </c>
      <c r="V62" s="13" t="str">
        <f aca="false">IF(AE62=0,"",IF(NOT(LH_Ready),"",SUMIFS(INDEX(LH_Data,0,LH_ColTaken),INDEX(LH_Data,0,LH_ColFirst),$A62,INDEX(LH_Data,0,LH_ColSur),$B62,INDEX(LH_Data,0,LH_ColCat),BonusCat)*UnitFactor))</f>
        <v/>
      </c>
      <c r="W62" s="13" t="str">
        <f aca="false">IF(AE62=0,"",IF(NOT(LH_Ready),"",IF(BB62=0,0,INDEX(INDEX(LH_Data,0,LH_ColClose),BB62-1)*UnitFactor)))</f>
        <v/>
      </c>
      <c r="X62" s="13" t="str">
        <f aca="false">IF(AE62=0,"",(AX62-AY62)*HoursPerDay)</f>
        <v/>
      </c>
      <c r="Y62" s="13" t="str">
        <f aca="false">IF(AE62=0,"",IF(NOT(LH_Ready),"",IF(BA62=0,N62,X62-N(U62))))</f>
        <v/>
      </c>
      <c r="Z62" s="12" t="str">
        <f aca="false">IF(OR(AE62=0,Y62=""),"",IF(Y62&gt;0,"Yes","No"))</f>
        <v/>
      </c>
      <c r="AA62" s="12" t="str">
        <f aca="false">IF(AE62=0,IF(LEN($A62&amp;$B62)=0,"","FIX INPUT - StartDate missing"),IF(AD62&lt;&gt;"","FIX INPUT - "&amp;AD62,IF(NOT(LH_Ready),"Paste Leave History export (Settings must show YES)",IF(Y62&gt;0,"ACCRUE "&amp;ROUND(Y62,2)&amp;" hrs ("&amp;ROUND(Y62/HoursPerDay,2)&amp;" days)"&amp;IF(BA62=0," - no Bonus Leave in EH yet, full catch-up since start",""),IF(Y62&lt;0,"CHECK - EH accrued "&amp;ROUND(-Y62,2)&amp;""&amp;" hrs more than policy",IF(O62&gt;0,"OK - nothing to add",IF(AQ62="None",R62,"Not yet - first day on "&amp;TEXT(S62,"dd/mm/yyyy"))))))))</f>
        <v/>
      </c>
      <c r="AB62" s="13" t="str">
        <f aca="false">IF(OR(AE62=0,T62=""),"",AY62*HoursPerDay-T62)</f>
        <v/>
      </c>
      <c r="AC62" s="12" t="str">
        <f aca="false">IF(AE62=0,"",BA62)</f>
        <v/>
      </c>
      <c r="AD62" s="12" t="str">
        <f aca="false">IF(AE62=0,"",TRIM(IF(IF($C62="","",IF(OR(ISNUMBER(SEARCH("full",$C62)),UPPER(TRIM($C62))="FT",UPPER(TRIM($C62))="FTE"),"Full-Time",IF(OR(ISNUMBER(SEARCH("part",$C62)),UPPER(TRIM($C62))="PT",UPPER(TRIM($C62))="PTE"),"Part-Time",IF(OR(ISNUMBER(SEARCH("cas",$C62)),UPPER(TRIM($C62))="CAS"),"Casual","Unknown"))))="Unknown","EmploymentType not recognised - use Full-Time, Part-Time or Casual. ","")&amp;IF(AND(AG62&gt;=1,IF(AG62&gt;=3,AM62,IF(AG62=2,AL62,AK62))&lt;&gt;IF($C62="","",IF(OR(ISNUMBER(SEARCH("full",$C62)),UPPER(TRIM($C62))="FT",UPPER(TRIM($C62))="FTE"),"Full-Time",IF(OR(ISNUMBER(SEARCH("part",$C62)),UPPER(TRIM($C62))="PT",UPPER(TRIM($C62))="PTE"),"Part-Time",IF(OR(ISNUMBER(SEARCH("cas",$C62)),UPPER(TRIM($C62))="CAS"),"Casual","Unknown"))))),"EmploymentType does not match latest start date ("&amp;IF(AG62&gt;=3,AM62,IF(AG62=2,AL62,AK62))&amp;"). ","")&amp;IF(AND(AG62&gt;=1,AH62&lt;&gt;$F62),"Earliest type date should equal StartDate. ","")&amp;IF(AND(AG62&gt;=2,AH62=AI62),"Two types start on the same date. ","")&amp;IF(AND(OR(ISNUMBER(SEARCH("part",$C62)),UPPER(TRIM($C62))="PT",UPPER(TRIM($C62))="PTE"),$P62=""),"Part-time: enter PT Hrs/Week (blank = 24+). ","")))</f>
        <v/>
      </c>
      <c r="AE62" s="12" t="n">
        <f aca="false">IF(OR(LEN($A62&amp;$B62)=0,$F62=""),0,1)</f>
        <v>0</v>
      </c>
      <c r="AF62" s="10" t="str">
        <f aca="false">IF(AE62=0,"",IF($J62&lt;&gt;"",$J62,$F62))</f>
        <v/>
      </c>
      <c r="AG62" s="12" t="str">
        <f aca="false">IF(AE62=0,"",COUNT($G62:$I62))</f>
        <v/>
      </c>
      <c r="AH62" s="10" t="str">
        <f aca="false">IF(AE62=0,"",IFERROR(SMALL($G62:$I62,1),""))</f>
        <v/>
      </c>
      <c r="AI62" s="10" t="str">
        <f aca="false">IF(AE62=0,"",IFERROR(SMALL($G62:$I62,2),""))</f>
        <v/>
      </c>
      <c r="AJ62" s="10" t="str">
        <f aca="false">IF(AE62=0,"",IFERROR(SMALL($G62:$I62,3),""))</f>
        <v/>
      </c>
      <c r="AK62" s="12" t="str">
        <f aca="false">IF(AE62=0,"",IF(AH62="","",IF(AH62=$G62,"Part-Time",IF(AH62=$H62,"Full-Time","Casual"))))</f>
        <v/>
      </c>
      <c r="AL62" s="12" t="str">
        <f aca="false">IF(AE62=0,"",IF(AI62="","",IF(AI62=$G62,"Part-Time",IF(AI62=$H62,"Full-Time","Casual"))))</f>
        <v/>
      </c>
      <c r="AM62" s="12" t="str">
        <f aca="false">IF(AE62=0,"",IF(AJ62="","",IF(AJ62=$G62,"Part-Time",IF(AJ62=$H62,"Full-Time","Casual"))))</f>
        <v/>
      </c>
      <c r="AN62" s="12" t="str">
        <f aca="false">IF(AE62=0,"",IF(AG62=0,IF(OR(ISNUMBER(SEARCH("full",$C62)),UPPER(TRIM($C62))="FT",UPPER(TRIM($C62))="FTE"),"FT",IF(AND(OR(ISNUMBER(SEARCH("part",$C62)),UPPER(TRIM($C62))="PT",UPPER(TRIM($C62))="PTE"),OR($P62="",N($P62)&gt;=PT_MinHours)),"PT","None")),IF(OR(ISNUMBER(SEARCH("full",AK62)),UPPER(TRIM(AK62))="FT",UPPER(TRIM(AK62))="FTE"),"FT",IF(AND(OR(ISNUMBER(SEARCH("part",AK62)),UPPER(TRIM(AK62))="PT",UPPER(TRIM(AK62))="PTE"),OR($P62="",N($P62)&gt;=PT_MinHours)),"PT","None"))))</f>
        <v/>
      </c>
      <c r="AO62" s="12" t="str">
        <f aca="false">IF(AE62=0,"",IF(AG62&lt;2,"",IF(OR(ISNUMBER(SEARCH("full",AL62)),UPPER(TRIM(AL62))="FT",UPPER(TRIM(AL62))="FTE"),"FT",IF(AND(OR(ISNUMBER(SEARCH("part",AL62)),UPPER(TRIM(AL62))="PT",UPPER(TRIM(AL62))="PTE"),OR($P62="",N($P62)&gt;=PT_MinHours)),"PT","None"))))</f>
        <v/>
      </c>
      <c r="AP62" s="12" t="str">
        <f aca="false">IF(AE62=0,"",IF(AG62&lt;3,"",IF(OR(ISNUMBER(SEARCH("full",AM62)),UPPER(TRIM(AM62))="FT",UPPER(TRIM(AM62))="FTE"),"FT",IF(AND(OR(ISNUMBER(SEARCH("part",AM62)),UPPER(TRIM(AM62))="PT",UPPER(TRIM(AM62))="PTE"),OR($P62="",N($P62)&gt;=PT_MinHours)),"PT","None"))))</f>
        <v/>
      </c>
      <c r="AQ62" s="12" t="str">
        <f aca="false">IF(AE62=0,"",IF(AND(AG62&gt;=3,AJ62&lt;=AsOfDate),AP62,IF(AND(AG62&gt;=2,AI62&lt;=AsOfDate),AO62,AN62)))</f>
        <v/>
      </c>
      <c r="AR62" s="12" t="str">
        <f aca="false">IF(AE62=0,"",IF(AsOfDate&lt;AF62,-1,12*(YEAR(AsOfDate)-YEAR(AF62))+MONTH(AsOfDate)-MONTH(AF62)-IF(DAY(AsOfDate)&lt;MIN(DAY(AF62),DAY(EOMONTH(AsOfDate,0))),1,0)))</f>
        <v/>
      </c>
      <c r="AS62" s="12" t="str">
        <f aca="false">IF(AE62=0,"",IF(OR(AG62&lt;2,AI62&gt;AsOfDate),AR62,IF((AI62-1)&lt;AF62,-1,12*(YEAR((AI62-1))-YEAR(AF62))+MONTH((AI62-1))-MONTH(AF62)-IF(DAY((AI62-1))&lt;MIN(DAY(AF62),DAY(EOMONTH((AI62-1),0))),1,0))))</f>
        <v/>
      </c>
      <c r="AT62" s="12" t="str">
        <f aca="false">IF(AE62=0,"",IF(OR(AG62&lt;3,AJ62&gt;AsOfDate),AR62,IF((AJ62-1)&lt;AF62,-1,12*(YEAR((AJ62-1))-YEAR(AF62))+MONTH((AJ62-1))-MONTH(AF62)-IF(DAY((AJ62-1))&lt;MIN(DAY(AF62),DAY(EOMONTH((AJ62-1),0))),1,0))))</f>
        <v/>
      </c>
      <c r="AU62" s="12" t="str">
        <f aca="false">IF(AE62=0,"",IF(PFYDate&lt;AF62,-1,12*(YEAR(PFYDate)-YEAR(AF62))+MONTH(PFYDate)-MONTH(AF62)-IF(DAY(PFYDate)&lt;MIN(DAY(AF62),DAY(EOMONTH(PFYDate,0))),1,0)))</f>
        <v/>
      </c>
      <c r="AV62" s="12" t="str">
        <f aca="false">IF(AE62=0,"",IF(OR(AG62&lt;2,AI62&gt;PFYDate),AU62,IF((AI62-1)&lt;AF62,-1,12*(YEAR((AI62-1))-YEAR(AF62))+MONTH((AI62-1))-MONTH(AF62)-IF(DAY((AI62-1))&lt;MIN(DAY(AF62),DAY(EOMONTH((AI62-1),0))),1,0))))</f>
        <v/>
      </c>
      <c r="AW62" s="12" t="str">
        <f aca="false">IF(AE62=0,"",IF(OR(AG62&lt;3,AJ62&gt;PFYDate),AU62,IF((AJ62-1)&lt;AF62,-1,12*(YEAR((AJ62-1))-YEAR(AF62))+MONTH((AJ62-1))-MONTH(AF62)-IF(DAY((AJ62-1))&lt;MIN(DAY(AF62),DAY(EOMONTH((AJ62-1),0))),1,0))))</f>
        <v/>
      </c>
      <c r="AX62" s="12" t="str">
        <f aca="false">IF(AE62=0,"",IF(AN62="FT",IF(AS62&lt;FT_First,0,IF(AS62&lt;FT_Y5,1+INT((AS62-FT_First)/FT_Int1),FT_PreY5+FT_PerYear*INT((AS62-FT_Y5)/12)+FT_AnnivDays+INT(MOD(AS62-FT_Y5,12)/FT_Int2))),IF(AN62="PT",IF(AS62&lt;PT_First,0,1+INT((AS62-PT_First)/PT_Int)),0))+IF(AND(AG62&gt;=2,AI62&lt;=AsOfDate),IF(AO62="FT",IF(AT62&lt;FT_First,0,IF(AT62&lt;FT_Y5,1+INT((AT62-FT_First)/FT_Int1),FT_PreY5+FT_PerYear*INT((AT62-FT_Y5)/12)+FT_AnnivDays+INT(MOD(AT62-FT_Y5,12)/FT_Int2))),IF(AO62="PT",IF(AT62&lt;PT_First,0,1+INT((AT62-PT_First)/PT_Int)),0))-IF(AO62="FT",IF(AS62&lt;FT_First,0,IF(AS62&lt;FT_Y5,1+INT((AS62-FT_First)/FT_Int1),FT_PreY5+FT_PerYear*INT((AS62-FT_Y5)/12)+FT_AnnivDays+INT(MOD(AS62-FT_Y5,12)/FT_Int2))),IF(AO62="PT",IF(AS62&lt;PT_First,0,1+INT((AS62-PT_First)/PT_Int)),0)),0)+IF(AND(AG62&gt;=3,AJ62&lt;=AsOfDate),IF(AP62="FT",IF(AR62&lt;FT_First,0,IF(AR62&lt;FT_Y5,1+INT((AR62-FT_First)/FT_Int1),FT_PreY5+FT_PerYear*INT((AR62-FT_Y5)/12)+FT_AnnivDays+INT(MOD(AR62-FT_Y5,12)/FT_Int2))),IF(AP62="PT",IF(AR62&lt;PT_First,0,1+INT((AR62-PT_First)/PT_Int)),0))-IF(AP62="FT",IF(AT62&lt;FT_First,0,IF(AT62&lt;FT_Y5,1+INT((AT62-FT_First)/FT_Int1),FT_PreY5+FT_PerYear*INT((AT62-FT_Y5)/12)+FT_AnnivDays+INT(MOD(AT62-FT_Y5,12)/FT_Int2))),IF(AP62="PT",IF(AT62&lt;PT_First,0,1+INT((AT62-PT_First)/PT_Int)),0)),0))</f>
        <v/>
      </c>
      <c r="AY62" s="12" t="str">
        <f aca="false">IF(AE62=0,"",IF(AN62="FT",IF(AV62&lt;FT_First,0,IF(AV62&lt;FT_Y5,1+INT((AV62-FT_First)/FT_Int1),FT_PreY5+FT_PerYear*INT((AV62-FT_Y5)/12)+FT_AnnivDays+INT(MOD(AV62-FT_Y5,12)/FT_Int2))),IF(AN62="PT",IF(AV62&lt;PT_First,0,1+INT((AV62-PT_First)/PT_Int)),0))+IF(AND(AG62&gt;=2,AI62&lt;=PFYDate),IF(AO62="FT",IF(AW62&lt;FT_First,0,IF(AW62&lt;FT_Y5,1+INT((AW62-FT_First)/FT_Int1),FT_PreY5+FT_PerYear*INT((AW62-FT_Y5)/12)+FT_AnnivDays+INT(MOD(AW62-FT_Y5,12)/FT_Int2))),IF(AO62="PT",IF(AW62&lt;PT_First,0,1+INT((AW62-PT_First)/PT_Int)),0))-IF(AO62="FT",IF(AV62&lt;FT_First,0,IF(AV62&lt;FT_Y5,1+INT((AV62-FT_First)/FT_Int1),FT_PreY5+FT_PerYear*INT((AV62-FT_Y5)/12)+FT_AnnivDays+INT(MOD(AV62-FT_Y5,12)/FT_Int2))),IF(AO62="PT",IF(AV62&lt;PT_First,0,1+INT((AV62-PT_First)/PT_Int)),0)),0)+IF(AND(AG62&gt;=3,AJ62&lt;=PFYDate),IF(AP62="FT",IF(AU62&lt;FT_First,0,IF(AU62&lt;FT_Y5,1+INT((AU62-FT_First)/FT_Int1),FT_PreY5+FT_PerYear*INT((AU62-FT_Y5)/12)+FT_AnnivDays+INT(MOD(AU62-FT_Y5,12)/FT_Int2))),IF(AP62="PT",IF(AU62&lt;PT_First,0,1+INT((AU62-PT_First)/PT_Int)),0))-IF(AP62="FT",IF(AW62&lt;FT_First,0,IF(AW62&lt;FT_Y5,1+INT((AW62-FT_First)/FT_Int1),FT_PreY5+FT_PerYear*INT((AW62-FT_Y5)/12)+FT_AnnivDays+INT(MOD(AW62-FT_Y5,12)/FT_Int2))),IF(AP62="PT",IF(AW62&lt;PT_First,0,1+INT((AW62-PT_First)/PT_Int)),0)),0))</f>
        <v/>
      </c>
      <c r="AZ62" s="12" t="str">
        <f aca="false">IF(AE62=0,"",IF(AQ62="FT",IF(AR62&lt;FT_First,FT_First,IF(AR62&lt;FT_Y5,MIN(FT_Y5,FT_First+FT_Int1*(INT((AR62-FT_First)/FT_Int1)+1)),FT_Y5+12*INT((AR62-FT_Y5)/12)+FT_Int2*(INT(MOD(AR62-FT_Y5,12)/FT_Int2)+1))),IF(AQ62="PT",IF(AR62&lt;PT_First,PT_First,PT_First+PT_Int*(INT((AR62-PT_First)/PT_Int)+1)),"")))</f>
        <v/>
      </c>
      <c r="BA62" s="12" t="str">
        <f aca="false">IF(AE62=0,"",IF(NOT(LH_Ready),0,COUNTIFS(INDEX(LH_Data,0,LH_ColFirst),$A62,INDEX(LH_Data,0,LH_ColSur),$B62,INDEX(LH_Data,0,LH_ColCat),BonusCat)))</f>
        <v/>
      </c>
      <c r="BB62" s="12" t="str">
        <f aca="false">IF(AE62=0,"",IF(OR(NOT(LH_Ready),BA62=0),0,SUMPRODUCT(MAX((INDEX(LH_Data,0,LH_ColFirst)=$A62)*(INDEX(LH_Data,0,LH_ColSur)=$B62)*(INDEX(LH_Data,0,LH_ColCat)=BonusCat)*ROW(LH_Data)))))</f>
        <v/>
      </c>
    </row>
    <row r="63" customFormat="false" ht="15" hidden="false" customHeight="false" outlineLevel="0" collapsed="false">
      <c r="A63" s="15"/>
      <c r="B63" s="15"/>
      <c r="C63" s="15"/>
      <c r="D63" s="16"/>
      <c r="E63" s="10" t="str">
        <f aca="false">IF(OR(AE63=0,$D63=""),"",DATE(YEAR(AsOfDate)+IF(DATE(YEAR(AsOfDate),MONTH($D63),DAY($D63))&lt;=AsOfDate,1,0),MONTH($D63),DAY($D63)))</f>
        <v/>
      </c>
      <c r="F63" s="16"/>
      <c r="G63" s="16"/>
      <c r="H63" s="16"/>
      <c r="I63" s="16"/>
      <c r="J63" s="16"/>
      <c r="K63" s="10" t="str">
        <f aca="false">IF(AE63=0,"",DATE(YEAR(AsOfDate)+IF(DATE(YEAR(AsOfDate),MONTH($F63),DAY($F63))&lt;=AsOfDate,1,0),MONTH($F63),DAY($F63)))</f>
        <v/>
      </c>
      <c r="L63" s="11" t="str">
        <f aca="false">IF(AE63=0,"",ROUND((AsOfDate-$F63)/365.25,1))</f>
        <v/>
      </c>
      <c r="M63" s="12" t="str">
        <f aca="false">IF(AE63=0,"",IF(AsOfDate&lt;AF63,"-",DATEDIF(AF63,AsOfDate,"y")&amp;"y "&amp;DATEDIF(AF63,AsOfDate,"ym")&amp;"m "&amp;DATEDIF(AF63,AsOfDate,"md")&amp;"d"))</f>
        <v/>
      </c>
      <c r="N63" s="13" t="str">
        <f aca="false">IF(AE63=0,"",O63*HoursPerDay)</f>
        <v/>
      </c>
      <c r="O63" s="13" t="str">
        <f aca="false">IF(AE63=0,"",AX63)</f>
        <v/>
      </c>
      <c r="P63" s="17"/>
      <c r="Q63" s="12" t="str">
        <f aca="false">IF(AE63=0,"",IF(AG63&lt;2,"",AK63&amp;" to "&amp;AL63&amp;" on "&amp;TEXT(AI63,"dd/mm/yyyy")&amp;IF(AI63&gt;AsOfDate," (future)",IF(AN63=AO63,"",IF(AO63="None"," - STOPPED accruing",IF(AN63="None"," - now qualifying"," - pathway changed"))))&amp;IF(AG63&lt;3,"","; "&amp;AL63&amp;" to "&amp;AM63&amp;" on "&amp;TEXT(AJ63,"dd/mm/yyyy")&amp;IF(AJ63&gt;AsOfDate," (future)",IF(AO63=AP63,"",IF(AP63="None"," - STOPPED accruing",IF(AO63="None"," - now qualifying"," - pathway changed")))))))</f>
        <v/>
      </c>
      <c r="R63" s="12" t="str">
        <f aca="false">IF(AE63=0,"",IF(AQ63="None",IF(O63&gt;0,"No longer accruing","Not eligible - "&amp;IF(AND(OR(ISNUMBER(SEARCH("part",$C63)),UPPER(TRIM($C63))="PT",UPPER(TRIM($C63))="PTE"),$P63&lt;&gt;"",N($P63)&lt;PT_MinHours),"under "&amp;PT_MinHours&amp;" hrs",IF(IF($C63="","",IF(OR(ISNUMBER(SEARCH("full",$C63)),UPPER(TRIM($C63))="FT",UPPER(TRIM($C63))="FTE"),"Full-Time",IF(OR(ISNUMBER(SEARCH("part",$C63)),UPPER(TRIM($C63))="PT",UPPER(TRIM($C63))="PTE"),"Part-Time",IF(OR(ISNUMBER(SEARCH("cas",$C63)),UPPER(TRIM($C63))="CAS"),"Casual","Unknown"))))="Unknown","type not recognised",$C63))),IF(O63&gt;0,"Yes - accruing","Not yet - from "&amp;TEXT(S63,"dd/mm/yyyy"))))</f>
        <v/>
      </c>
      <c r="S63" s="10" t="str">
        <f aca="false">IF(AE63=0,"",IF(AQ63="None","",EDATE(AF63,AZ63)))</f>
        <v/>
      </c>
      <c r="T63" s="13" t="str">
        <f aca="false">IF(OR(AE63=0,W63=""),"",W63-U63+V63)</f>
        <v/>
      </c>
      <c r="U63" s="13" t="str">
        <f aca="false">IF(AE63=0,"",IF(NOT(LH_Ready),"",SUMIFS(INDEX(LH_Data,0,LH_ColAcc),INDEX(LH_Data,0,LH_ColFirst),$A63,INDEX(LH_Data,0,LH_ColSur),$B63,INDEX(LH_Data,0,LH_ColCat),BonusCat)*UnitFactor))</f>
        <v/>
      </c>
      <c r="V63" s="13" t="str">
        <f aca="false">IF(AE63=0,"",IF(NOT(LH_Ready),"",SUMIFS(INDEX(LH_Data,0,LH_ColTaken),INDEX(LH_Data,0,LH_ColFirst),$A63,INDEX(LH_Data,0,LH_ColSur),$B63,INDEX(LH_Data,0,LH_ColCat),BonusCat)*UnitFactor))</f>
        <v/>
      </c>
      <c r="W63" s="13" t="str">
        <f aca="false">IF(AE63=0,"",IF(NOT(LH_Ready),"",IF(BB63=0,0,INDEX(INDEX(LH_Data,0,LH_ColClose),BB63-1)*UnitFactor)))</f>
        <v/>
      </c>
      <c r="X63" s="13" t="str">
        <f aca="false">IF(AE63=0,"",(AX63-AY63)*HoursPerDay)</f>
        <v/>
      </c>
      <c r="Y63" s="13" t="str">
        <f aca="false">IF(AE63=0,"",IF(NOT(LH_Ready),"",IF(BA63=0,N63,X63-N(U63))))</f>
        <v/>
      </c>
      <c r="Z63" s="12" t="str">
        <f aca="false">IF(OR(AE63=0,Y63=""),"",IF(Y63&gt;0,"Yes","No"))</f>
        <v/>
      </c>
      <c r="AA63" s="12" t="str">
        <f aca="false">IF(AE63=0,IF(LEN($A63&amp;$B63)=0,"","FIX INPUT - StartDate missing"),IF(AD63&lt;&gt;"","FIX INPUT - "&amp;AD63,IF(NOT(LH_Ready),"Paste Leave History export (Settings must show YES)",IF(Y63&gt;0,"ACCRUE "&amp;ROUND(Y63,2)&amp;" hrs ("&amp;ROUND(Y63/HoursPerDay,2)&amp;" days)"&amp;IF(BA63=0," - no Bonus Leave in EH yet, full catch-up since start",""),IF(Y63&lt;0,"CHECK - EH accrued "&amp;ROUND(-Y63,2)&amp;""&amp;" hrs more than policy",IF(O63&gt;0,"OK - nothing to add",IF(AQ63="None",R63,"Not yet - first day on "&amp;TEXT(S63,"dd/mm/yyyy"))))))))</f>
        <v/>
      </c>
      <c r="AB63" s="13" t="str">
        <f aca="false">IF(OR(AE63=0,T63=""),"",AY63*HoursPerDay-T63)</f>
        <v/>
      </c>
      <c r="AC63" s="12" t="str">
        <f aca="false">IF(AE63=0,"",BA63)</f>
        <v/>
      </c>
      <c r="AD63" s="12" t="str">
        <f aca="false">IF(AE63=0,"",TRIM(IF(IF($C63="","",IF(OR(ISNUMBER(SEARCH("full",$C63)),UPPER(TRIM($C63))="FT",UPPER(TRIM($C63))="FTE"),"Full-Time",IF(OR(ISNUMBER(SEARCH("part",$C63)),UPPER(TRIM($C63))="PT",UPPER(TRIM($C63))="PTE"),"Part-Time",IF(OR(ISNUMBER(SEARCH("cas",$C63)),UPPER(TRIM($C63))="CAS"),"Casual","Unknown"))))="Unknown","EmploymentType not recognised - use Full-Time, Part-Time or Casual. ","")&amp;IF(AND(AG63&gt;=1,IF(AG63&gt;=3,AM63,IF(AG63=2,AL63,AK63))&lt;&gt;IF($C63="","",IF(OR(ISNUMBER(SEARCH("full",$C63)),UPPER(TRIM($C63))="FT",UPPER(TRIM($C63))="FTE"),"Full-Time",IF(OR(ISNUMBER(SEARCH("part",$C63)),UPPER(TRIM($C63))="PT",UPPER(TRIM($C63))="PTE"),"Part-Time",IF(OR(ISNUMBER(SEARCH("cas",$C63)),UPPER(TRIM($C63))="CAS"),"Casual","Unknown"))))),"EmploymentType does not match latest start date ("&amp;IF(AG63&gt;=3,AM63,IF(AG63=2,AL63,AK63))&amp;"). ","")&amp;IF(AND(AG63&gt;=1,AH63&lt;&gt;$F63),"Earliest type date should equal StartDate. ","")&amp;IF(AND(AG63&gt;=2,AH63=AI63),"Two types start on the same date. ","")&amp;IF(AND(OR(ISNUMBER(SEARCH("part",$C63)),UPPER(TRIM($C63))="PT",UPPER(TRIM($C63))="PTE"),$P63=""),"Part-time: enter PT Hrs/Week (blank = 24+). ","")))</f>
        <v/>
      </c>
      <c r="AE63" s="12" t="n">
        <f aca="false">IF(OR(LEN($A63&amp;$B63)=0,$F63=""),0,1)</f>
        <v>0</v>
      </c>
      <c r="AF63" s="10" t="str">
        <f aca="false">IF(AE63=0,"",IF($J63&lt;&gt;"",$J63,$F63))</f>
        <v/>
      </c>
      <c r="AG63" s="12" t="str">
        <f aca="false">IF(AE63=0,"",COUNT($G63:$I63))</f>
        <v/>
      </c>
      <c r="AH63" s="10" t="str">
        <f aca="false">IF(AE63=0,"",IFERROR(SMALL($G63:$I63,1),""))</f>
        <v/>
      </c>
      <c r="AI63" s="10" t="str">
        <f aca="false">IF(AE63=0,"",IFERROR(SMALL($G63:$I63,2),""))</f>
        <v/>
      </c>
      <c r="AJ63" s="10" t="str">
        <f aca="false">IF(AE63=0,"",IFERROR(SMALL($G63:$I63,3),""))</f>
        <v/>
      </c>
      <c r="AK63" s="12" t="str">
        <f aca="false">IF(AE63=0,"",IF(AH63="","",IF(AH63=$G63,"Part-Time",IF(AH63=$H63,"Full-Time","Casual"))))</f>
        <v/>
      </c>
      <c r="AL63" s="12" t="str">
        <f aca="false">IF(AE63=0,"",IF(AI63="","",IF(AI63=$G63,"Part-Time",IF(AI63=$H63,"Full-Time","Casual"))))</f>
        <v/>
      </c>
      <c r="AM63" s="12" t="str">
        <f aca="false">IF(AE63=0,"",IF(AJ63="","",IF(AJ63=$G63,"Part-Time",IF(AJ63=$H63,"Full-Time","Casual"))))</f>
        <v/>
      </c>
      <c r="AN63" s="12" t="str">
        <f aca="false">IF(AE63=0,"",IF(AG63=0,IF(OR(ISNUMBER(SEARCH("full",$C63)),UPPER(TRIM($C63))="FT",UPPER(TRIM($C63))="FTE"),"FT",IF(AND(OR(ISNUMBER(SEARCH("part",$C63)),UPPER(TRIM($C63))="PT",UPPER(TRIM($C63))="PTE"),OR($P63="",N($P63)&gt;=PT_MinHours)),"PT","None")),IF(OR(ISNUMBER(SEARCH("full",AK63)),UPPER(TRIM(AK63))="FT",UPPER(TRIM(AK63))="FTE"),"FT",IF(AND(OR(ISNUMBER(SEARCH("part",AK63)),UPPER(TRIM(AK63))="PT",UPPER(TRIM(AK63))="PTE"),OR($P63="",N($P63)&gt;=PT_MinHours)),"PT","None"))))</f>
        <v/>
      </c>
      <c r="AO63" s="12" t="str">
        <f aca="false">IF(AE63=0,"",IF(AG63&lt;2,"",IF(OR(ISNUMBER(SEARCH("full",AL63)),UPPER(TRIM(AL63))="FT",UPPER(TRIM(AL63))="FTE"),"FT",IF(AND(OR(ISNUMBER(SEARCH("part",AL63)),UPPER(TRIM(AL63))="PT",UPPER(TRIM(AL63))="PTE"),OR($P63="",N($P63)&gt;=PT_MinHours)),"PT","None"))))</f>
        <v/>
      </c>
      <c r="AP63" s="12" t="str">
        <f aca="false">IF(AE63=0,"",IF(AG63&lt;3,"",IF(OR(ISNUMBER(SEARCH("full",AM63)),UPPER(TRIM(AM63))="FT",UPPER(TRIM(AM63))="FTE"),"FT",IF(AND(OR(ISNUMBER(SEARCH("part",AM63)),UPPER(TRIM(AM63))="PT",UPPER(TRIM(AM63))="PTE"),OR($P63="",N($P63)&gt;=PT_MinHours)),"PT","None"))))</f>
        <v/>
      </c>
      <c r="AQ63" s="12" t="str">
        <f aca="false">IF(AE63=0,"",IF(AND(AG63&gt;=3,AJ63&lt;=AsOfDate),AP63,IF(AND(AG63&gt;=2,AI63&lt;=AsOfDate),AO63,AN63)))</f>
        <v/>
      </c>
      <c r="AR63" s="12" t="str">
        <f aca="false">IF(AE63=0,"",IF(AsOfDate&lt;AF63,-1,12*(YEAR(AsOfDate)-YEAR(AF63))+MONTH(AsOfDate)-MONTH(AF63)-IF(DAY(AsOfDate)&lt;MIN(DAY(AF63),DAY(EOMONTH(AsOfDate,0))),1,0)))</f>
        <v/>
      </c>
      <c r="AS63" s="12" t="str">
        <f aca="false">IF(AE63=0,"",IF(OR(AG63&lt;2,AI63&gt;AsOfDate),AR63,IF((AI63-1)&lt;AF63,-1,12*(YEAR((AI63-1))-YEAR(AF63))+MONTH((AI63-1))-MONTH(AF63)-IF(DAY((AI63-1))&lt;MIN(DAY(AF63),DAY(EOMONTH((AI63-1),0))),1,0))))</f>
        <v/>
      </c>
      <c r="AT63" s="12" t="str">
        <f aca="false">IF(AE63=0,"",IF(OR(AG63&lt;3,AJ63&gt;AsOfDate),AR63,IF((AJ63-1)&lt;AF63,-1,12*(YEAR((AJ63-1))-YEAR(AF63))+MONTH((AJ63-1))-MONTH(AF63)-IF(DAY((AJ63-1))&lt;MIN(DAY(AF63),DAY(EOMONTH((AJ63-1),0))),1,0))))</f>
        <v/>
      </c>
      <c r="AU63" s="12" t="str">
        <f aca="false">IF(AE63=0,"",IF(PFYDate&lt;AF63,-1,12*(YEAR(PFYDate)-YEAR(AF63))+MONTH(PFYDate)-MONTH(AF63)-IF(DAY(PFYDate)&lt;MIN(DAY(AF63),DAY(EOMONTH(PFYDate,0))),1,0)))</f>
        <v/>
      </c>
      <c r="AV63" s="12" t="str">
        <f aca="false">IF(AE63=0,"",IF(OR(AG63&lt;2,AI63&gt;PFYDate),AU63,IF((AI63-1)&lt;AF63,-1,12*(YEAR((AI63-1))-YEAR(AF63))+MONTH((AI63-1))-MONTH(AF63)-IF(DAY((AI63-1))&lt;MIN(DAY(AF63),DAY(EOMONTH((AI63-1),0))),1,0))))</f>
        <v/>
      </c>
      <c r="AW63" s="12" t="str">
        <f aca="false">IF(AE63=0,"",IF(OR(AG63&lt;3,AJ63&gt;PFYDate),AU63,IF((AJ63-1)&lt;AF63,-1,12*(YEAR((AJ63-1))-YEAR(AF63))+MONTH((AJ63-1))-MONTH(AF63)-IF(DAY((AJ63-1))&lt;MIN(DAY(AF63),DAY(EOMONTH((AJ63-1),0))),1,0))))</f>
        <v/>
      </c>
      <c r="AX63" s="12" t="str">
        <f aca="false">IF(AE63=0,"",IF(AN63="FT",IF(AS63&lt;FT_First,0,IF(AS63&lt;FT_Y5,1+INT((AS63-FT_First)/FT_Int1),FT_PreY5+FT_PerYear*INT((AS63-FT_Y5)/12)+FT_AnnivDays+INT(MOD(AS63-FT_Y5,12)/FT_Int2))),IF(AN63="PT",IF(AS63&lt;PT_First,0,1+INT((AS63-PT_First)/PT_Int)),0))+IF(AND(AG63&gt;=2,AI63&lt;=AsOfDate),IF(AO63="FT",IF(AT63&lt;FT_First,0,IF(AT63&lt;FT_Y5,1+INT((AT63-FT_First)/FT_Int1),FT_PreY5+FT_PerYear*INT((AT63-FT_Y5)/12)+FT_AnnivDays+INT(MOD(AT63-FT_Y5,12)/FT_Int2))),IF(AO63="PT",IF(AT63&lt;PT_First,0,1+INT((AT63-PT_First)/PT_Int)),0))-IF(AO63="FT",IF(AS63&lt;FT_First,0,IF(AS63&lt;FT_Y5,1+INT((AS63-FT_First)/FT_Int1),FT_PreY5+FT_PerYear*INT((AS63-FT_Y5)/12)+FT_AnnivDays+INT(MOD(AS63-FT_Y5,12)/FT_Int2))),IF(AO63="PT",IF(AS63&lt;PT_First,0,1+INT((AS63-PT_First)/PT_Int)),0)),0)+IF(AND(AG63&gt;=3,AJ63&lt;=AsOfDate),IF(AP63="FT",IF(AR63&lt;FT_First,0,IF(AR63&lt;FT_Y5,1+INT((AR63-FT_First)/FT_Int1),FT_PreY5+FT_PerYear*INT((AR63-FT_Y5)/12)+FT_AnnivDays+INT(MOD(AR63-FT_Y5,12)/FT_Int2))),IF(AP63="PT",IF(AR63&lt;PT_First,0,1+INT((AR63-PT_First)/PT_Int)),0))-IF(AP63="FT",IF(AT63&lt;FT_First,0,IF(AT63&lt;FT_Y5,1+INT((AT63-FT_First)/FT_Int1),FT_PreY5+FT_PerYear*INT((AT63-FT_Y5)/12)+FT_AnnivDays+INT(MOD(AT63-FT_Y5,12)/FT_Int2))),IF(AP63="PT",IF(AT63&lt;PT_First,0,1+INT((AT63-PT_First)/PT_Int)),0)),0))</f>
        <v/>
      </c>
      <c r="AY63" s="12" t="str">
        <f aca="false">IF(AE63=0,"",IF(AN63="FT",IF(AV63&lt;FT_First,0,IF(AV63&lt;FT_Y5,1+INT((AV63-FT_First)/FT_Int1),FT_PreY5+FT_PerYear*INT((AV63-FT_Y5)/12)+FT_AnnivDays+INT(MOD(AV63-FT_Y5,12)/FT_Int2))),IF(AN63="PT",IF(AV63&lt;PT_First,0,1+INT((AV63-PT_First)/PT_Int)),0))+IF(AND(AG63&gt;=2,AI63&lt;=PFYDate),IF(AO63="FT",IF(AW63&lt;FT_First,0,IF(AW63&lt;FT_Y5,1+INT((AW63-FT_First)/FT_Int1),FT_PreY5+FT_PerYear*INT((AW63-FT_Y5)/12)+FT_AnnivDays+INT(MOD(AW63-FT_Y5,12)/FT_Int2))),IF(AO63="PT",IF(AW63&lt;PT_First,0,1+INT((AW63-PT_First)/PT_Int)),0))-IF(AO63="FT",IF(AV63&lt;FT_First,0,IF(AV63&lt;FT_Y5,1+INT((AV63-FT_First)/FT_Int1),FT_PreY5+FT_PerYear*INT((AV63-FT_Y5)/12)+FT_AnnivDays+INT(MOD(AV63-FT_Y5,12)/FT_Int2))),IF(AO63="PT",IF(AV63&lt;PT_First,0,1+INT((AV63-PT_First)/PT_Int)),0)),0)+IF(AND(AG63&gt;=3,AJ63&lt;=PFYDate),IF(AP63="FT",IF(AU63&lt;FT_First,0,IF(AU63&lt;FT_Y5,1+INT((AU63-FT_First)/FT_Int1),FT_PreY5+FT_PerYear*INT((AU63-FT_Y5)/12)+FT_AnnivDays+INT(MOD(AU63-FT_Y5,12)/FT_Int2))),IF(AP63="PT",IF(AU63&lt;PT_First,0,1+INT((AU63-PT_First)/PT_Int)),0))-IF(AP63="FT",IF(AW63&lt;FT_First,0,IF(AW63&lt;FT_Y5,1+INT((AW63-FT_First)/FT_Int1),FT_PreY5+FT_PerYear*INT((AW63-FT_Y5)/12)+FT_AnnivDays+INT(MOD(AW63-FT_Y5,12)/FT_Int2))),IF(AP63="PT",IF(AW63&lt;PT_First,0,1+INT((AW63-PT_First)/PT_Int)),0)),0))</f>
        <v/>
      </c>
      <c r="AZ63" s="12" t="str">
        <f aca="false">IF(AE63=0,"",IF(AQ63="FT",IF(AR63&lt;FT_First,FT_First,IF(AR63&lt;FT_Y5,MIN(FT_Y5,FT_First+FT_Int1*(INT((AR63-FT_First)/FT_Int1)+1)),FT_Y5+12*INT((AR63-FT_Y5)/12)+FT_Int2*(INT(MOD(AR63-FT_Y5,12)/FT_Int2)+1))),IF(AQ63="PT",IF(AR63&lt;PT_First,PT_First,PT_First+PT_Int*(INT((AR63-PT_First)/PT_Int)+1)),"")))</f>
        <v/>
      </c>
      <c r="BA63" s="12" t="str">
        <f aca="false">IF(AE63=0,"",IF(NOT(LH_Ready),0,COUNTIFS(INDEX(LH_Data,0,LH_ColFirst),$A63,INDEX(LH_Data,0,LH_ColSur),$B63,INDEX(LH_Data,0,LH_ColCat),BonusCat)))</f>
        <v/>
      </c>
      <c r="BB63" s="12" t="str">
        <f aca="false">IF(AE63=0,"",IF(OR(NOT(LH_Ready),BA63=0),0,SUMPRODUCT(MAX((INDEX(LH_Data,0,LH_ColFirst)=$A63)*(INDEX(LH_Data,0,LH_ColSur)=$B63)*(INDEX(LH_Data,0,LH_ColCat)=BonusCat)*ROW(LH_Data)))))</f>
        <v/>
      </c>
    </row>
    <row r="64" customFormat="false" ht="15" hidden="false" customHeight="false" outlineLevel="0" collapsed="false">
      <c r="A64" s="15"/>
      <c r="B64" s="15"/>
      <c r="C64" s="15"/>
      <c r="D64" s="16"/>
      <c r="E64" s="10" t="str">
        <f aca="false">IF(OR(AE64=0,$D64=""),"",DATE(YEAR(AsOfDate)+IF(DATE(YEAR(AsOfDate),MONTH($D64),DAY($D64))&lt;=AsOfDate,1,0),MONTH($D64),DAY($D64)))</f>
        <v/>
      </c>
      <c r="F64" s="16"/>
      <c r="G64" s="16"/>
      <c r="H64" s="16"/>
      <c r="I64" s="16"/>
      <c r="J64" s="16"/>
      <c r="K64" s="10" t="str">
        <f aca="false">IF(AE64=0,"",DATE(YEAR(AsOfDate)+IF(DATE(YEAR(AsOfDate),MONTH($F64),DAY($F64))&lt;=AsOfDate,1,0),MONTH($F64),DAY($F64)))</f>
        <v/>
      </c>
      <c r="L64" s="11" t="str">
        <f aca="false">IF(AE64=0,"",ROUND((AsOfDate-$F64)/365.25,1))</f>
        <v/>
      </c>
      <c r="M64" s="12" t="str">
        <f aca="false">IF(AE64=0,"",IF(AsOfDate&lt;AF64,"-",DATEDIF(AF64,AsOfDate,"y")&amp;"y "&amp;DATEDIF(AF64,AsOfDate,"ym")&amp;"m "&amp;DATEDIF(AF64,AsOfDate,"md")&amp;"d"))</f>
        <v/>
      </c>
      <c r="N64" s="13" t="str">
        <f aca="false">IF(AE64=0,"",O64*HoursPerDay)</f>
        <v/>
      </c>
      <c r="O64" s="13" t="str">
        <f aca="false">IF(AE64=0,"",AX64)</f>
        <v/>
      </c>
      <c r="P64" s="17"/>
      <c r="Q64" s="12" t="str">
        <f aca="false">IF(AE64=0,"",IF(AG64&lt;2,"",AK64&amp;" to "&amp;AL64&amp;" on "&amp;TEXT(AI64,"dd/mm/yyyy")&amp;IF(AI64&gt;AsOfDate," (future)",IF(AN64=AO64,"",IF(AO64="None"," - STOPPED accruing",IF(AN64="None"," - now qualifying"," - pathway changed"))))&amp;IF(AG64&lt;3,"","; "&amp;AL64&amp;" to "&amp;AM64&amp;" on "&amp;TEXT(AJ64,"dd/mm/yyyy")&amp;IF(AJ64&gt;AsOfDate," (future)",IF(AO64=AP64,"",IF(AP64="None"," - STOPPED accruing",IF(AO64="None"," - now qualifying"," - pathway changed")))))))</f>
        <v/>
      </c>
      <c r="R64" s="12" t="str">
        <f aca="false">IF(AE64=0,"",IF(AQ64="None",IF(O64&gt;0,"No longer accruing","Not eligible - "&amp;IF(AND(OR(ISNUMBER(SEARCH("part",$C64)),UPPER(TRIM($C64))="PT",UPPER(TRIM($C64))="PTE"),$P64&lt;&gt;"",N($P64)&lt;PT_MinHours),"under "&amp;PT_MinHours&amp;" hrs",IF(IF($C64="","",IF(OR(ISNUMBER(SEARCH("full",$C64)),UPPER(TRIM($C64))="FT",UPPER(TRIM($C64))="FTE"),"Full-Time",IF(OR(ISNUMBER(SEARCH("part",$C64)),UPPER(TRIM($C64))="PT",UPPER(TRIM($C64))="PTE"),"Part-Time",IF(OR(ISNUMBER(SEARCH("cas",$C64)),UPPER(TRIM($C64))="CAS"),"Casual","Unknown"))))="Unknown","type not recognised",$C64))),IF(O64&gt;0,"Yes - accruing","Not yet - from "&amp;TEXT(S64,"dd/mm/yyyy"))))</f>
        <v/>
      </c>
      <c r="S64" s="10" t="str">
        <f aca="false">IF(AE64=0,"",IF(AQ64="None","",EDATE(AF64,AZ64)))</f>
        <v/>
      </c>
      <c r="T64" s="13" t="str">
        <f aca="false">IF(OR(AE64=0,W64=""),"",W64-U64+V64)</f>
        <v/>
      </c>
      <c r="U64" s="13" t="str">
        <f aca="false">IF(AE64=0,"",IF(NOT(LH_Ready),"",SUMIFS(INDEX(LH_Data,0,LH_ColAcc),INDEX(LH_Data,0,LH_ColFirst),$A64,INDEX(LH_Data,0,LH_ColSur),$B64,INDEX(LH_Data,0,LH_ColCat),BonusCat)*UnitFactor))</f>
        <v/>
      </c>
      <c r="V64" s="13" t="str">
        <f aca="false">IF(AE64=0,"",IF(NOT(LH_Ready),"",SUMIFS(INDEX(LH_Data,0,LH_ColTaken),INDEX(LH_Data,0,LH_ColFirst),$A64,INDEX(LH_Data,0,LH_ColSur),$B64,INDEX(LH_Data,0,LH_ColCat),BonusCat)*UnitFactor))</f>
        <v/>
      </c>
      <c r="W64" s="13" t="str">
        <f aca="false">IF(AE64=0,"",IF(NOT(LH_Ready),"",IF(BB64=0,0,INDEX(INDEX(LH_Data,0,LH_ColClose),BB64-1)*UnitFactor)))</f>
        <v/>
      </c>
      <c r="X64" s="13" t="str">
        <f aca="false">IF(AE64=0,"",(AX64-AY64)*HoursPerDay)</f>
        <v/>
      </c>
      <c r="Y64" s="13" t="str">
        <f aca="false">IF(AE64=0,"",IF(NOT(LH_Ready),"",IF(BA64=0,N64,X64-N(U64))))</f>
        <v/>
      </c>
      <c r="Z64" s="12" t="str">
        <f aca="false">IF(OR(AE64=0,Y64=""),"",IF(Y64&gt;0,"Yes","No"))</f>
        <v/>
      </c>
      <c r="AA64" s="12" t="str">
        <f aca="false">IF(AE64=0,IF(LEN($A64&amp;$B64)=0,"","FIX INPUT - StartDate missing"),IF(AD64&lt;&gt;"","FIX INPUT - "&amp;AD64,IF(NOT(LH_Ready),"Paste Leave History export (Settings must show YES)",IF(Y64&gt;0,"ACCRUE "&amp;ROUND(Y64,2)&amp;" hrs ("&amp;ROUND(Y64/HoursPerDay,2)&amp;" days)"&amp;IF(BA64=0," - no Bonus Leave in EH yet, full catch-up since start",""),IF(Y64&lt;0,"CHECK - EH accrued "&amp;ROUND(-Y64,2)&amp;""&amp;" hrs more than policy",IF(O64&gt;0,"OK - nothing to add",IF(AQ64="None",R64,"Not yet - first day on "&amp;TEXT(S64,"dd/mm/yyyy"))))))))</f>
        <v/>
      </c>
      <c r="AB64" s="13" t="str">
        <f aca="false">IF(OR(AE64=0,T64=""),"",AY64*HoursPerDay-T64)</f>
        <v/>
      </c>
      <c r="AC64" s="12" t="str">
        <f aca="false">IF(AE64=0,"",BA64)</f>
        <v/>
      </c>
      <c r="AD64" s="12" t="str">
        <f aca="false">IF(AE64=0,"",TRIM(IF(IF($C64="","",IF(OR(ISNUMBER(SEARCH("full",$C64)),UPPER(TRIM($C64))="FT",UPPER(TRIM($C64))="FTE"),"Full-Time",IF(OR(ISNUMBER(SEARCH("part",$C64)),UPPER(TRIM($C64))="PT",UPPER(TRIM($C64))="PTE"),"Part-Time",IF(OR(ISNUMBER(SEARCH("cas",$C64)),UPPER(TRIM($C64))="CAS"),"Casual","Unknown"))))="Unknown","EmploymentType not recognised - use Full-Time, Part-Time or Casual. ","")&amp;IF(AND(AG64&gt;=1,IF(AG64&gt;=3,AM64,IF(AG64=2,AL64,AK64))&lt;&gt;IF($C64="","",IF(OR(ISNUMBER(SEARCH("full",$C64)),UPPER(TRIM($C64))="FT",UPPER(TRIM($C64))="FTE"),"Full-Time",IF(OR(ISNUMBER(SEARCH("part",$C64)),UPPER(TRIM($C64))="PT",UPPER(TRIM($C64))="PTE"),"Part-Time",IF(OR(ISNUMBER(SEARCH("cas",$C64)),UPPER(TRIM($C64))="CAS"),"Casual","Unknown"))))),"EmploymentType does not match latest start date ("&amp;IF(AG64&gt;=3,AM64,IF(AG64=2,AL64,AK64))&amp;"). ","")&amp;IF(AND(AG64&gt;=1,AH64&lt;&gt;$F64),"Earliest type date should equal StartDate. ","")&amp;IF(AND(AG64&gt;=2,AH64=AI64),"Two types start on the same date. ","")&amp;IF(AND(OR(ISNUMBER(SEARCH("part",$C64)),UPPER(TRIM($C64))="PT",UPPER(TRIM($C64))="PTE"),$P64=""),"Part-time: enter PT Hrs/Week (blank = 24+). ","")))</f>
        <v/>
      </c>
      <c r="AE64" s="12" t="n">
        <f aca="false">IF(OR(LEN($A64&amp;$B64)=0,$F64=""),0,1)</f>
        <v>0</v>
      </c>
      <c r="AF64" s="10" t="str">
        <f aca="false">IF(AE64=0,"",IF($J64&lt;&gt;"",$J64,$F64))</f>
        <v/>
      </c>
      <c r="AG64" s="12" t="str">
        <f aca="false">IF(AE64=0,"",COUNT($G64:$I64))</f>
        <v/>
      </c>
      <c r="AH64" s="10" t="str">
        <f aca="false">IF(AE64=0,"",IFERROR(SMALL($G64:$I64,1),""))</f>
        <v/>
      </c>
      <c r="AI64" s="10" t="str">
        <f aca="false">IF(AE64=0,"",IFERROR(SMALL($G64:$I64,2),""))</f>
        <v/>
      </c>
      <c r="AJ64" s="10" t="str">
        <f aca="false">IF(AE64=0,"",IFERROR(SMALL($G64:$I64,3),""))</f>
        <v/>
      </c>
      <c r="AK64" s="12" t="str">
        <f aca="false">IF(AE64=0,"",IF(AH64="","",IF(AH64=$G64,"Part-Time",IF(AH64=$H64,"Full-Time","Casual"))))</f>
        <v/>
      </c>
      <c r="AL64" s="12" t="str">
        <f aca="false">IF(AE64=0,"",IF(AI64="","",IF(AI64=$G64,"Part-Time",IF(AI64=$H64,"Full-Time","Casual"))))</f>
        <v/>
      </c>
      <c r="AM64" s="12" t="str">
        <f aca="false">IF(AE64=0,"",IF(AJ64="","",IF(AJ64=$G64,"Part-Time",IF(AJ64=$H64,"Full-Time","Casual"))))</f>
        <v/>
      </c>
      <c r="AN64" s="12" t="str">
        <f aca="false">IF(AE64=0,"",IF(AG64=0,IF(OR(ISNUMBER(SEARCH("full",$C64)),UPPER(TRIM($C64))="FT",UPPER(TRIM($C64))="FTE"),"FT",IF(AND(OR(ISNUMBER(SEARCH("part",$C64)),UPPER(TRIM($C64))="PT",UPPER(TRIM($C64))="PTE"),OR($P64="",N($P64)&gt;=PT_MinHours)),"PT","None")),IF(OR(ISNUMBER(SEARCH("full",AK64)),UPPER(TRIM(AK64))="FT",UPPER(TRIM(AK64))="FTE"),"FT",IF(AND(OR(ISNUMBER(SEARCH("part",AK64)),UPPER(TRIM(AK64))="PT",UPPER(TRIM(AK64))="PTE"),OR($P64="",N($P64)&gt;=PT_MinHours)),"PT","None"))))</f>
        <v/>
      </c>
      <c r="AO64" s="12" t="str">
        <f aca="false">IF(AE64=0,"",IF(AG64&lt;2,"",IF(OR(ISNUMBER(SEARCH("full",AL64)),UPPER(TRIM(AL64))="FT",UPPER(TRIM(AL64))="FTE"),"FT",IF(AND(OR(ISNUMBER(SEARCH("part",AL64)),UPPER(TRIM(AL64))="PT",UPPER(TRIM(AL64))="PTE"),OR($P64="",N($P64)&gt;=PT_MinHours)),"PT","None"))))</f>
        <v/>
      </c>
      <c r="AP64" s="12" t="str">
        <f aca="false">IF(AE64=0,"",IF(AG64&lt;3,"",IF(OR(ISNUMBER(SEARCH("full",AM64)),UPPER(TRIM(AM64))="FT",UPPER(TRIM(AM64))="FTE"),"FT",IF(AND(OR(ISNUMBER(SEARCH("part",AM64)),UPPER(TRIM(AM64))="PT",UPPER(TRIM(AM64))="PTE"),OR($P64="",N($P64)&gt;=PT_MinHours)),"PT","None"))))</f>
        <v/>
      </c>
      <c r="AQ64" s="12" t="str">
        <f aca="false">IF(AE64=0,"",IF(AND(AG64&gt;=3,AJ64&lt;=AsOfDate),AP64,IF(AND(AG64&gt;=2,AI64&lt;=AsOfDate),AO64,AN64)))</f>
        <v/>
      </c>
      <c r="AR64" s="12" t="str">
        <f aca="false">IF(AE64=0,"",IF(AsOfDate&lt;AF64,-1,12*(YEAR(AsOfDate)-YEAR(AF64))+MONTH(AsOfDate)-MONTH(AF64)-IF(DAY(AsOfDate)&lt;MIN(DAY(AF64),DAY(EOMONTH(AsOfDate,0))),1,0)))</f>
        <v/>
      </c>
      <c r="AS64" s="12" t="str">
        <f aca="false">IF(AE64=0,"",IF(OR(AG64&lt;2,AI64&gt;AsOfDate),AR64,IF((AI64-1)&lt;AF64,-1,12*(YEAR((AI64-1))-YEAR(AF64))+MONTH((AI64-1))-MONTH(AF64)-IF(DAY((AI64-1))&lt;MIN(DAY(AF64),DAY(EOMONTH((AI64-1),0))),1,0))))</f>
        <v/>
      </c>
      <c r="AT64" s="12" t="str">
        <f aca="false">IF(AE64=0,"",IF(OR(AG64&lt;3,AJ64&gt;AsOfDate),AR64,IF((AJ64-1)&lt;AF64,-1,12*(YEAR((AJ64-1))-YEAR(AF64))+MONTH((AJ64-1))-MONTH(AF64)-IF(DAY((AJ64-1))&lt;MIN(DAY(AF64),DAY(EOMONTH((AJ64-1),0))),1,0))))</f>
        <v/>
      </c>
      <c r="AU64" s="12" t="str">
        <f aca="false">IF(AE64=0,"",IF(PFYDate&lt;AF64,-1,12*(YEAR(PFYDate)-YEAR(AF64))+MONTH(PFYDate)-MONTH(AF64)-IF(DAY(PFYDate)&lt;MIN(DAY(AF64),DAY(EOMONTH(PFYDate,0))),1,0)))</f>
        <v/>
      </c>
      <c r="AV64" s="12" t="str">
        <f aca="false">IF(AE64=0,"",IF(OR(AG64&lt;2,AI64&gt;PFYDate),AU64,IF((AI64-1)&lt;AF64,-1,12*(YEAR((AI64-1))-YEAR(AF64))+MONTH((AI64-1))-MONTH(AF64)-IF(DAY((AI64-1))&lt;MIN(DAY(AF64),DAY(EOMONTH((AI64-1),0))),1,0))))</f>
        <v/>
      </c>
      <c r="AW64" s="12" t="str">
        <f aca="false">IF(AE64=0,"",IF(OR(AG64&lt;3,AJ64&gt;PFYDate),AU64,IF((AJ64-1)&lt;AF64,-1,12*(YEAR((AJ64-1))-YEAR(AF64))+MONTH((AJ64-1))-MONTH(AF64)-IF(DAY((AJ64-1))&lt;MIN(DAY(AF64),DAY(EOMONTH((AJ64-1),0))),1,0))))</f>
        <v/>
      </c>
      <c r="AX64" s="12" t="str">
        <f aca="false">IF(AE64=0,"",IF(AN64="FT",IF(AS64&lt;FT_First,0,IF(AS64&lt;FT_Y5,1+INT((AS64-FT_First)/FT_Int1),FT_PreY5+FT_PerYear*INT((AS64-FT_Y5)/12)+FT_AnnivDays+INT(MOD(AS64-FT_Y5,12)/FT_Int2))),IF(AN64="PT",IF(AS64&lt;PT_First,0,1+INT((AS64-PT_First)/PT_Int)),0))+IF(AND(AG64&gt;=2,AI64&lt;=AsOfDate),IF(AO64="FT",IF(AT64&lt;FT_First,0,IF(AT64&lt;FT_Y5,1+INT((AT64-FT_First)/FT_Int1),FT_PreY5+FT_PerYear*INT((AT64-FT_Y5)/12)+FT_AnnivDays+INT(MOD(AT64-FT_Y5,12)/FT_Int2))),IF(AO64="PT",IF(AT64&lt;PT_First,0,1+INT((AT64-PT_First)/PT_Int)),0))-IF(AO64="FT",IF(AS64&lt;FT_First,0,IF(AS64&lt;FT_Y5,1+INT((AS64-FT_First)/FT_Int1),FT_PreY5+FT_PerYear*INT((AS64-FT_Y5)/12)+FT_AnnivDays+INT(MOD(AS64-FT_Y5,12)/FT_Int2))),IF(AO64="PT",IF(AS64&lt;PT_First,0,1+INT((AS64-PT_First)/PT_Int)),0)),0)+IF(AND(AG64&gt;=3,AJ64&lt;=AsOfDate),IF(AP64="FT",IF(AR64&lt;FT_First,0,IF(AR64&lt;FT_Y5,1+INT((AR64-FT_First)/FT_Int1),FT_PreY5+FT_PerYear*INT((AR64-FT_Y5)/12)+FT_AnnivDays+INT(MOD(AR64-FT_Y5,12)/FT_Int2))),IF(AP64="PT",IF(AR64&lt;PT_First,0,1+INT((AR64-PT_First)/PT_Int)),0))-IF(AP64="FT",IF(AT64&lt;FT_First,0,IF(AT64&lt;FT_Y5,1+INT((AT64-FT_First)/FT_Int1),FT_PreY5+FT_PerYear*INT((AT64-FT_Y5)/12)+FT_AnnivDays+INT(MOD(AT64-FT_Y5,12)/FT_Int2))),IF(AP64="PT",IF(AT64&lt;PT_First,0,1+INT((AT64-PT_First)/PT_Int)),0)),0))</f>
        <v/>
      </c>
      <c r="AY64" s="12" t="str">
        <f aca="false">IF(AE64=0,"",IF(AN64="FT",IF(AV64&lt;FT_First,0,IF(AV64&lt;FT_Y5,1+INT((AV64-FT_First)/FT_Int1),FT_PreY5+FT_PerYear*INT((AV64-FT_Y5)/12)+FT_AnnivDays+INT(MOD(AV64-FT_Y5,12)/FT_Int2))),IF(AN64="PT",IF(AV64&lt;PT_First,0,1+INT((AV64-PT_First)/PT_Int)),0))+IF(AND(AG64&gt;=2,AI64&lt;=PFYDate),IF(AO64="FT",IF(AW64&lt;FT_First,0,IF(AW64&lt;FT_Y5,1+INT((AW64-FT_First)/FT_Int1),FT_PreY5+FT_PerYear*INT((AW64-FT_Y5)/12)+FT_AnnivDays+INT(MOD(AW64-FT_Y5,12)/FT_Int2))),IF(AO64="PT",IF(AW64&lt;PT_First,0,1+INT((AW64-PT_First)/PT_Int)),0))-IF(AO64="FT",IF(AV64&lt;FT_First,0,IF(AV64&lt;FT_Y5,1+INT((AV64-FT_First)/FT_Int1),FT_PreY5+FT_PerYear*INT((AV64-FT_Y5)/12)+FT_AnnivDays+INT(MOD(AV64-FT_Y5,12)/FT_Int2))),IF(AO64="PT",IF(AV64&lt;PT_First,0,1+INT((AV64-PT_First)/PT_Int)),0)),0)+IF(AND(AG64&gt;=3,AJ64&lt;=PFYDate),IF(AP64="FT",IF(AU64&lt;FT_First,0,IF(AU64&lt;FT_Y5,1+INT((AU64-FT_First)/FT_Int1),FT_PreY5+FT_PerYear*INT((AU64-FT_Y5)/12)+FT_AnnivDays+INT(MOD(AU64-FT_Y5,12)/FT_Int2))),IF(AP64="PT",IF(AU64&lt;PT_First,0,1+INT((AU64-PT_First)/PT_Int)),0))-IF(AP64="FT",IF(AW64&lt;FT_First,0,IF(AW64&lt;FT_Y5,1+INT((AW64-FT_First)/FT_Int1),FT_PreY5+FT_PerYear*INT((AW64-FT_Y5)/12)+FT_AnnivDays+INT(MOD(AW64-FT_Y5,12)/FT_Int2))),IF(AP64="PT",IF(AW64&lt;PT_First,0,1+INT((AW64-PT_First)/PT_Int)),0)),0))</f>
        <v/>
      </c>
      <c r="AZ64" s="12" t="str">
        <f aca="false">IF(AE64=0,"",IF(AQ64="FT",IF(AR64&lt;FT_First,FT_First,IF(AR64&lt;FT_Y5,MIN(FT_Y5,FT_First+FT_Int1*(INT((AR64-FT_First)/FT_Int1)+1)),FT_Y5+12*INT((AR64-FT_Y5)/12)+FT_Int2*(INT(MOD(AR64-FT_Y5,12)/FT_Int2)+1))),IF(AQ64="PT",IF(AR64&lt;PT_First,PT_First,PT_First+PT_Int*(INT((AR64-PT_First)/PT_Int)+1)),"")))</f>
        <v/>
      </c>
      <c r="BA64" s="12" t="str">
        <f aca="false">IF(AE64=0,"",IF(NOT(LH_Ready),0,COUNTIFS(INDEX(LH_Data,0,LH_ColFirst),$A64,INDEX(LH_Data,0,LH_ColSur),$B64,INDEX(LH_Data,0,LH_ColCat),BonusCat)))</f>
        <v/>
      </c>
      <c r="BB64" s="12" t="str">
        <f aca="false">IF(AE64=0,"",IF(OR(NOT(LH_Ready),BA64=0),0,SUMPRODUCT(MAX((INDEX(LH_Data,0,LH_ColFirst)=$A64)*(INDEX(LH_Data,0,LH_ColSur)=$B64)*(INDEX(LH_Data,0,LH_ColCat)=BonusCat)*ROW(LH_Data)))))</f>
        <v/>
      </c>
    </row>
    <row r="65" customFormat="false" ht="15" hidden="false" customHeight="false" outlineLevel="0" collapsed="false">
      <c r="A65" s="15"/>
      <c r="B65" s="15"/>
      <c r="C65" s="15"/>
      <c r="D65" s="16"/>
      <c r="E65" s="10" t="str">
        <f aca="false">IF(OR(AE65=0,$D65=""),"",DATE(YEAR(AsOfDate)+IF(DATE(YEAR(AsOfDate),MONTH($D65),DAY($D65))&lt;=AsOfDate,1,0),MONTH($D65),DAY($D65)))</f>
        <v/>
      </c>
      <c r="F65" s="16"/>
      <c r="G65" s="16"/>
      <c r="H65" s="16"/>
      <c r="I65" s="16"/>
      <c r="J65" s="16"/>
      <c r="K65" s="10" t="str">
        <f aca="false">IF(AE65=0,"",DATE(YEAR(AsOfDate)+IF(DATE(YEAR(AsOfDate),MONTH($F65),DAY($F65))&lt;=AsOfDate,1,0),MONTH($F65),DAY($F65)))</f>
        <v/>
      </c>
      <c r="L65" s="11" t="str">
        <f aca="false">IF(AE65=0,"",ROUND((AsOfDate-$F65)/365.25,1))</f>
        <v/>
      </c>
      <c r="M65" s="12" t="str">
        <f aca="false">IF(AE65=0,"",IF(AsOfDate&lt;AF65,"-",DATEDIF(AF65,AsOfDate,"y")&amp;"y "&amp;DATEDIF(AF65,AsOfDate,"ym")&amp;"m "&amp;DATEDIF(AF65,AsOfDate,"md")&amp;"d"))</f>
        <v/>
      </c>
      <c r="N65" s="13" t="str">
        <f aca="false">IF(AE65=0,"",O65*HoursPerDay)</f>
        <v/>
      </c>
      <c r="O65" s="13" t="str">
        <f aca="false">IF(AE65=0,"",AX65)</f>
        <v/>
      </c>
      <c r="P65" s="17"/>
      <c r="Q65" s="12" t="str">
        <f aca="false">IF(AE65=0,"",IF(AG65&lt;2,"",AK65&amp;" to "&amp;AL65&amp;" on "&amp;TEXT(AI65,"dd/mm/yyyy")&amp;IF(AI65&gt;AsOfDate," (future)",IF(AN65=AO65,"",IF(AO65="None"," - STOPPED accruing",IF(AN65="None"," - now qualifying"," - pathway changed"))))&amp;IF(AG65&lt;3,"","; "&amp;AL65&amp;" to "&amp;AM65&amp;" on "&amp;TEXT(AJ65,"dd/mm/yyyy")&amp;IF(AJ65&gt;AsOfDate," (future)",IF(AO65=AP65,"",IF(AP65="None"," - STOPPED accruing",IF(AO65="None"," - now qualifying"," - pathway changed")))))))</f>
        <v/>
      </c>
      <c r="R65" s="12" t="str">
        <f aca="false">IF(AE65=0,"",IF(AQ65="None",IF(O65&gt;0,"No longer accruing","Not eligible - "&amp;IF(AND(OR(ISNUMBER(SEARCH("part",$C65)),UPPER(TRIM($C65))="PT",UPPER(TRIM($C65))="PTE"),$P65&lt;&gt;"",N($P65)&lt;PT_MinHours),"under "&amp;PT_MinHours&amp;" hrs",IF(IF($C65="","",IF(OR(ISNUMBER(SEARCH("full",$C65)),UPPER(TRIM($C65))="FT",UPPER(TRIM($C65))="FTE"),"Full-Time",IF(OR(ISNUMBER(SEARCH("part",$C65)),UPPER(TRIM($C65))="PT",UPPER(TRIM($C65))="PTE"),"Part-Time",IF(OR(ISNUMBER(SEARCH("cas",$C65)),UPPER(TRIM($C65))="CAS"),"Casual","Unknown"))))="Unknown","type not recognised",$C65))),IF(O65&gt;0,"Yes - accruing","Not yet - from "&amp;TEXT(S65,"dd/mm/yyyy"))))</f>
        <v/>
      </c>
      <c r="S65" s="10" t="str">
        <f aca="false">IF(AE65=0,"",IF(AQ65="None","",EDATE(AF65,AZ65)))</f>
        <v/>
      </c>
      <c r="T65" s="13" t="str">
        <f aca="false">IF(OR(AE65=0,W65=""),"",W65-U65+V65)</f>
        <v/>
      </c>
      <c r="U65" s="13" t="str">
        <f aca="false">IF(AE65=0,"",IF(NOT(LH_Ready),"",SUMIFS(INDEX(LH_Data,0,LH_ColAcc),INDEX(LH_Data,0,LH_ColFirst),$A65,INDEX(LH_Data,0,LH_ColSur),$B65,INDEX(LH_Data,0,LH_ColCat),BonusCat)*UnitFactor))</f>
        <v/>
      </c>
      <c r="V65" s="13" t="str">
        <f aca="false">IF(AE65=0,"",IF(NOT(LH_Ready),"",SUMIFS(INDEX(LH_Data,0,LH_ColTaken),INDEX(LH_Data,0,LH_ColFirst),$A65,INDEX(LH_Data,0,LH_ColSur),$B65,INDEX(LH_Data,0,LH_ColCat),BonusCat)*UnitFactor))</f>
        <v/>
      </c>
      <c r="W65" s="13" t="str">
        <f aca="false">IF(AE65=0,"",IF(NOT(LH_Ready),"",IF(BB65=0,0,INDEX(INDEX(LH_Data,0,LH_ColClose),BB65-1)*UnitFactor)))</f>
        <v/>
      </c>
      <c r="X65" s="13" t="str">
        <f aca="false">IF(AE65=0,"",(AX65-AY65)*HoursPerDay)</f>
        <v/>
      </c>
      <c r="Y65" s="13" t="str">
        <f aca="false">IF(AE65=0,"",IF(NOT(LH_Ready),"",IF(BA65=0,N65,X65-N(U65))))</f>
        <v/>
      </c>
      <c r="Z65" s="12" t="str">
        <f aca="false">IF(OR(AE65=0,Y65=""),"",IF(Y65&gt;0,"Yes","No"))</f>
        <v/>
      </c>
      <c r="AA65" s="12" t="str">
        <f aca="false">IF(AE65=0,IF(LEN($A65&amp;$B65)=0,"","FIX INPUT - StartDate missing"),IF(AD65&lt;&gt;"","FIX INPUT - "&amp;AD65,IF(NOT(LH_Ready),"Paste Leave History export (Settings must show YES)",IF(Y65&gt;0,"ACCRUE "&amp;ROUND(Y65,2)&amp;" hrs ("&amp;ROUND(Y65/HoursPerDay,2)&amp;" days)"&amp;IF(BA65=0," - no Bonus Leave in EH yet, full catch-up since start",""),IF(Y65&lt;0,"CHECK - EH accrued "&amp;ROUND(-Y65,2)&amp;""&amp;" hrs more than policy",IF(O65&gt;0,"OK - nothing to add",IF(AQ65="None",R65,"Not yet - first day on "&amp;TEXT(S65,"dd/mm/yyyy"))))))))</f>
        <v/>
      </c>
      <c r="AB65" s="13" t="str">
        <f aca="false">IF(OR(AE65=0,T65=""),"",AY65*HoursPerDay-T65)</f>
        <v/>
      </c>
      <c r="AC65" s="12" t="str">
        <f aca="false">IF(AE65=0,"",BA65)</f>
        <v/>
      </c>
      <c r="AD65" s="12" t="str">
        <f aca="false">IF(AE65=0,"",TRIM(IF(IF($C65="","",IF(OR(ISNUMBER(SEARCH("full",$C65)),UPPER(TRIM($C65))="FT",UPPER(TRIM($C65))="FTE"),"Full-Time",IF(OR(ISNUMBER(SEARCH("part",$C65)),UPPER(TRIM($C65))="PT",UPPER(TRIM($C65))="PTE"),"Part-Time",IF(OR(ISNUMBER(SEARCH("cas",$C65)),UPPER(TRIM($C65))="CAS"),"Casual","Unknown"))))="Unknown","EmploymentType not recognised - use Full-Time, Part-Time or Casual. ","")&amp;IF(AND(AG65&gt;=1,IF(AG65&gt;=3,AM65,IF(AG65=2,AL65,AK65))&lt;&gt;IF($C65="","",IF(OR(ISNUMBER(SEARCH("full",$C65)),UPPER(TRIM($C65))="FT",UPPER(TRIM($C65))="FTE"),"Full-Time",IF(OR(ISNUMBER(SEARCH("part",$C65)),UPPER(TRIM($C65))="PT",UPPER(TRIM($C65))="PTE"),"Part-Time",IF(OR(ISNUMBER(SEARCH("cas",$C65)),UPPER(TRIM($C65))="CAS"),"Casual","Unknown"))))),"EmploymentType does not match latest start date ("&amp;IF(AG65&gt;=3,AM65,IF(AG65=2,AL65,AK65))&amp;"). ","")&amp;IF(AND(AG65&gt;=1,AH65&lt;&gt;$F65),"Earliest type date should equal StartDate. ","")&amp;IF(AND(AG65&gt;=2,AH65=AI65),"Two types start on the same date. ","")&amp;IF(AND(OR(ISNUMBER(SEARCH("part",$C65)),UPPER(TRIM($C65))="PT",UPPER(TRIM($C65))="PTE"),$P65=""),"Part-time: enter PT Hrs/Week (blank = 24+). ","")))</f>
        <v/>
      </c>
      <c r="AE65" s="12" t="n">
        <f aca="false">IF(OR(LEN($A65&amp;$B65)=0,$F65=""),0,1)</f>
        <v>0</v>
      </c>
      <c r="AF65" s="10" t="str">
        <f aca="false">IF(AE65=0,"",IF($J65&lt;&gt;"",$J65,$F65))</f>
        <v/>
      </c>
      <c r="AG65" s="12" t="str">
        <f aca="false">IF(AE65=0,"",COUNT($G65:$I65))</f>
        <v/>
      </c>
      <c r="AH65" s="10" t="str">
        <f aca="false">IF(AE65=0,"",IFERROR(SMALL($G65:$I65,1),""))</f>
        <v/>
      </c>
      <c r="AI65" s="10" t="str">
        <f aca="false">IF(AE65=0,"",IFERROR(SMALL($G65:$I65,2),""))</f>
        <v/>
      </c>
      <c r="AJ65" s="10" t="str">
        <f aca="false">IF(AE65=0,"",IFERROR(SMALL($G65:$I65,3),""))</f>
        <v/>
      </c>
      <c r="AK65" s="12" t="str">
        <f aca="false">IF(AE65=0,"",IF(AH65="","",IF(AH65=$G65,"Part-Time",IF(AH65=$H65,"Full-Time","Casual"))))</f>
        <v/>
      </c>
      <c r="AL65" s="12" t="str">
        <f aca="false">IF(AE65=0,"",IF(AI65="","",IF(AI65=$G65,"Part-Time",IF(AI65=$H65,"Full-Time","Casual"))))</f>
        <v/>
      </c>
      <c r="AM65" s="12" t="str">
        <f aca="false">IF(AE65=0,"",IF(AJ65="","",IF(AJ65=$G65,"Part-Time",IF(AJ65=$H65,"Full-Time","Casual"))))</f>
        <v/>
      </c>
      <c r="AN65" s="12" t="str">
        <f aca="false">IF(AE65=0,"",IF(AG65=0,IF(OR(ISNUMBER(SEARCH("full",$C65)),UPPER(TRIM($C65))="FT",UPPER(TRIM($C65))="FTE"),"FT",IF(AND(OR(ISNUMBER(SEARCH("part",$C65)),UPPER(TRIM($C65))="PT",UPPER(TRIM($C65))="PTE"),OR($P65="",N($P65)&gt;=PT_MinHours)),"PT","None")),IF(OR(ISNUMBER(SEARCH("full",AK65)),UPPER(TRIM(AK65))="FT",UPPER(TRIM(AK65))="FTE"),"FT",IF(AND(OR(ISNUMBER(SEARCH("part",AK65)),UPPER(TRIM(AK65))="PT",UPPER(TRIM(AK65))="PTE"),OR($P65="",N($P65)&gt;=PT_MinHours)),"PT","None"))))</f>
        <v/>
      </c>
      <c r="AO65" s="12" t="str">
        <f aca="false">IF(AE65=0,"",IF(AG65&lt;2,"",IF(OR(ISNUMBER(SEARCH("full",AL65)),UPPER(TRIM(AL65))="FT",UPPER(TRIM(AL65))="FTE"),"FT",IF(AND(OR(ISNUMBER(SEARCH("part",AL65)),UPPER(TRIM(AL65))="PT",UPPER(TRIM(AL65))="PTE"),OR($P65="",N($P65)&gt;=PT_MinHours)),"PT","None"))))</f>
        <v/>
      </c>
      <c r="AP65" s="12" t="str">
        <f aca="false">IF(AE65=0,"",IF(AG65&lt;3,"",IF(OR(ISNUMBER(SEARCH("full",AM65)),UPPER(TRIM(AM65))="FT",UPPER(TRIM(AM65))="FTE"),"FT",IF(AND(OR(ISNUMBER(SEARCH("part",AM65)),UPPER(TRIM(AM65))="PT",UPPER(TRIM(AM65))="PTE"),OR($P65="",N($P65)&gt;=PT_MinHours)),"PT","None"))))</f>
        <v/>
      </c>
      <c r="AQ65" s="12" t="str">
        <f aca="false">IF(AE65=0,"",IF(AND(AG65&gt;=3,AJ65&lt;=AsOfDate),AP65,IF(AND(AG65&gt;=2,AI65&lt;=AsOfDate),AO65,AN65)))</f>
        <v/>
      </c>
      <c r="AR65" s="12" t="str">
        <f aca="false">IF(AE65=0,"",IF(AsOfDate&lt;AF65,-1,12*(YEAR(AsOfDate)-YEAR(AF65))+MONTH(AsOfDate)-MONTH(AF65)-IF(DAY(AsOfDate)&lt;MIN(DAY(AF65),DAY(EOMONTH(AsOfDate,0))),1,0)))</f>
        <v/>
      </c>
      <c r="AS65" s="12" t="str">
        <f aca="false">IF(AE65=0,"",IF(OR(AG65&lt;2,AI65&gt;AsOfDate),AR65,IF((AI65-1)&lt;AF65,-1,12*(YEAR((AI65-1))-YEAR(AF65))+MONTH((AI65-1))-MONTH(AF65)-IF(DAY((AI65-1))&lt;MIN(DAY(AF65),DAY(EOMONTH((AI65-1),0))),1,0))))</f>
        <v/>
      </c>
      <c r="AT65" s="12" t="str">
        <f aca="false">IF(AE65=0,"",IF(OR(AG65&lt;3,AJ65&gt;AsOfDate),AR65,IF((AJ65-1)&lt;AF65,-1,12*(YEAR((AJ65-1))-YEAR(AF65))+MONTH((AJ65-1))-MONTH(AF65)-IF(DAY((AJ65-1))&lt;MIN(DAY(AF65),DAY(EOMONTH((AJ65-1),0))),1,0))))</f>
        <v/>
      </c>
      <c r="AU65" s="12" t="str">
        <f aca="false">IF(AE65=0,"",IF(PFYDate&lt;AF65,-1,12*(YEAR(PFYDate)-YEAR(AF65))+MONTH(PFYDate)-MONTH(AF65)-IF(DAY(PFYDate)&lt;MIN(DAY(AF65),DAY(EOMONTH(PFYDate,0))),1,0)))</f>
        <v/>
      </c>
      <c r="AV65" s="12" t="str">
        <f aca="false">IF(AE65=0,"",IF(OR(AG65&lt;2,AI65&gt;PFYDate),AU65,IF((AI65-1)&lt;AF65,-1,12*(YEAR((AI65-1))-YEAR(AF65))+MONTH((AI65-1))-MONTH(AF65)-IF(DAY((AI65-1))&lt;MIN(DAY(AF65),DAY(EOMONTH((AI65-1),0))),1,0))))</f>
        <v/>
      </c>
      <c r="AW65" s="12" t="str">
        <f aca="false">IF(AE65=0,"",IF(OR(AG65&lt;3,AJ65&gt;PFYDate),AU65,IF((AJ65-1)&lt;AF65,-1,12*(YEAR((AJ65-1))-YEAR(AF65))+MONTH((AJ65-1))-MONTH(AF65)-IF(DAY((AJ65-1))&lt;MIN(DAY(AF65),DAY(EOMONTH((AJ65-1),0))),1,0))))</f>
        <v/>
      </c>
      <c r="AX65" s="12" t="str">
        <f aca="false">IF(AE65=0,"",IF(AN65="FT",IF(AS65&lt;FT_First,0,IF(AS65&lt;FT_Y5,1+INT((AS65-FT_First)/FT_Int1),FT_PreY5+FT_PerYear*INT((AS65-FT_Y5)/12)+FT_AnnivDays+INT(MOD(AS65-FT_Y5,12)/FT_Int2))),IF(AN65="PT",IF(AS65&lt;PT_First,0,1+INT((AS65-PT_First)/PT_Int)),0))+IF(AND(AG65&gt;=2,AI65&lt;=AsOfDate),IF(AO65="FT",IF(AT65&lt;FT_First,0,IF(AT65&lt;FT_Y5,1+INT((AT65-FT_First)/FT_Int1),FT_PreY5+FT_PerYear*INT((AT65-FT_Y5)/12)+FT_AnnivDays+INT(MOD(AT65-FT_Y5,12)/FT_Int2))),IF(AO65="PT",IF(AT65&lt;PT_First,0,1+INT((AT65-PT_First)/PT_Int)),0))-IF(AO65="FT",IF(AS65&lt;FT_First,0,IF(AS65&lt;FT_Y5,1+INT((AS65-FT_First)/FT_Int1),FT_PreY5+FT_PerYear*INT((AS65-FT_Y5)/12)+FT_AnnivDays+INT(MOD(AS65-FT_Y5,12)/FT_Int2))),IF(AO65="PT",IF(AS65&lt;PT_First,0,1+INT((AS65-PT_First)/PT_Int)),0)),0)+IF(AND(AG65&gt;=3,AJ65&lt;=AsOfDate),IF(AP65="FT",IF(AR65&lt;FT_First,0,IF(AR65&lt;FT_Y5,1+INT((AR65-FT_First)/FT_Int1),FT_PreY5+FT_PerYear*INT((AR65-FT_Y5)/12)+FT_AnnivDays+INT(MOD(AR65-FT_Y5,12)/FT_Int2))),IF(AP65="PT",IF(AR65&lt;PT_First,0,1+INT((AR65-PT_First)/PT_Int)),0))-IF(AP65="FT",IF(AT65&lt;FT_First,0,IF(AT65&lt;FT_Y5,1+INT((AT65-FT_First)/FT_Int1),FT_PreY5+FT_PerYear*INT((AT65-FT_Y5)/12)+FT_AnnivDays+INT(MOD(AT65-FT_Y5,12)/FT_Int2))),IF(AP65="PT",IF(AT65&lt;PT_First,0,1+INT((AT65-PT_First)/PT_Int)),0)),0))</f>
        <v/>
      </c>
      <c r="AY65" s="12" t="str">
        <f aca="false">IF(AE65=0,"",IF(AN65="FT",IF(AV65&lt;FT_First,0,IF(AV65&lt;FT_Y5,1+INT((AV65-FT_First)/FT_Int1),FT_PreY5+FT_PerYear*INT((AV65-FT_Y5)/12)+FT_AnnivDays+INT(MOD(AV65-FT_Y5,12)/FT_Int2))),IF(AN65="PT",IF(AV65&lt;PT_First,0,1+INT((AV65-PT_First)/PT_Int)),0))+IF(AND(AG65&gt;=2,AI65&lt;=PFYDate),IF(AO65="FT",IF(AW65&lt;FT_First,0,IF(AW65&lt;FT_Y5,1+INT((AW65-FT_First)/FT_Int1),FT_PreY5+FT_PerYear*INT((AW65-FT_Y5)/12)+FT_AnnivDays+INT(MOD(AW65-FT_Y5,12)/FT_Int2))),IF(AO65="PT",IF(AW65&lt;PT_First,0,1+INT((AW65-PT_First)/PT_Int)),0))-IF(AO65="FT",IF(AV65&lt;FT_First,0,IF(AV65&lt;FT_Y5,1+INT((AV65-FT_First)/FT_Int1),FT_PreY5+FT_PerYear*INT((AV65-FT_Y5)/12)+FT_AnnivDays+INT(MOD(AV65-FT_Y5,12)/FT_Int2))),IF(AO65="PT",IF(AV65&lt;PT_First,0,1+INT((AV65-PT_First)/PT_Int)),0)),0)+IF(AND(AG65&gt;=3,AJ65&lt;=PFYDate),IF(AP65="FT",IF(AU65&lt;FT_First,0,IF(AU65&lt;FT_Y5,1+INT((AU65-FT_First)/FT_Int1),FT_PreY5+FT_PerYear*INT((AU65-FT_Y5)/12)+FT_AnnivDays+INT(MOD(AU65-FT_Y5,12)/FT_Int2))),IF(AP65="PT",IF(AU65&lt;PT_First,0,1+INT((AU65-PT_First)/PT_Int)),0))-IF(AP65="FT",IF(AW65&lt;FT_First,0,IF(AW65&lt;FT_Y5,1+INT((AW65-FT_First)/FT_Int1),FT_PreY5+FT_PerYear*INT((AW65-FT_Y5)/12)+FT_AnnivDays+INT(MOD(AW65-FT_Y5,12)/FT_Int2))),IF(AP65="PT",IF(AW65&lt;PT_First,0,1+INT((AW65-PT_First)/PT_Int)),0)),0))</f>
        <v/>
      </c>
      <c r="AZ65" s="12" t="str">
        <f aca="false">IF(AE65=0,"",IF(AQ65="FT",IF(AR65&lt;FT_First,FT_First,IF(AR65&lt;FT_Y5,MIN(FT_Y5,FT_First+FT_Int1*(INT((AR65-FT_First)/FT_Int1)+1)),FT_Y5+12*INT((AR65-FT_Y5)/12)+FT_Int2*(INT(MOD(AR65-FT_Y5,12)/FT_Int2)+1))),IF(AQ65="PT",IF(AR65&lt;PT_First,PT_First,PT_First+PT_Int*(INT((AR65-PT_First)/PT_Int)+1)),"")))</f>
        <v/>
      </c>
      <c r="BA65" s="12" t="str">
        <f aca="false">IF(AE65=0,"",IF(NOT(LH_Ready),0,COUNTIFS(INDEX(LH_Data,0,LH_ColFirst),$A65,INDEX(LH_Data,0,LH_ColSur),$B65,INDEX(LH_Data,0,LH_ColCat),BonusCat)))</f>
        <v/>
      </c>
      <c r="BB65" s="12" t="str">
        <f aca="false">IF(AE65=0,"",IF(OR(NOT(LH_Ready),BA65=0),0,SUMPRODUCT(MAX((INDEX(LH_Data,0,LH_ColFirst)=$A65)*(INDEX(LH_Data,0,LH_ColSur)=$B65)*(INDEX(LH_Data,0,LH_ColCat)=BonusCat)*ROW(LH_Data)))))</f>
        <v/>
      </c>
    </row>
    <row r="66" customFormat="false" ht="15" hidden="false" customHeight="false" outlineLevel="0" collapsed="false">
      <c r="A66" s="15"/>
      <c r="B66" s="15"/>
      <c r="C66" s="15"/>
      <c r="D66" s="16"/>
      <c r="E66" s="10" t="str">
        <f aca="false">IF(OR(AE66=0,$D66=""),"",DATE(YEAR(AsOfDate)+IF(DATE(YEAR(AsOfDate),MONTH($D66),DAY($D66))&lt;=AsOfDate,1,0),MONTH($D66),DAY($D66)))</f>
        <v/>
      </c>
      <c r="F66" s="16"/>
      <c r="G66" s="16"/>
      <c r="H66" s="16"/>
      <c r="I66" s="16"/>
      <c r="J66" s="16"/>
      <c r="K66" s="10" t="str">
        <f aca="false">IF(AE66=0,"",DATE(YEAR(AsOfDate)+IF(DATE(YEAR(AsOfDate),MONTH($F66),DAY($F66))&lt;=AsOfDate,1,0),MONTH($F66),DAY($F66)))</f>
        <v/>
      </c>
      <c r="L66" s="11" t="str">
        <f aca="false">IF(AE66=0,"",ROUND((AsOfDate-$F66)/365.25,1))</f>
        <v/>
      </c>
      <c r="M66" s="12" t="str">
        <f aca="false">IF(AE66=0,"",IF(AsOfDate&lt;AF66,"-",DATEDIF(AF66,AsOfDate,"y")&amp;"y "&amp;DATEDIF(AF66,AsOfDate,"ym")&amp;"m "&amp;DATEDIF(AF66,AsOfDate,"md")&amp;"d"))</f>
        <v/>
      </c>
      <c r="N66" s="13" t="str">
        <f aca="false">IF(AE66=0,"",O66*HoursPerDay)</f>
        <v/>
      </c>
      <c r="O66" s="13" t="str">
        <f aca="false">IF(AE66=0,"",AX66)</f>
        <v/>
      </c>
      <c r="P66" s="17"/>
      <c r="Q66" s="12" t="str">
        <f aca="false">IF(AE66=0,"",IF(AG66&lt;2,"",AK66&amp;" to "&amp;AL66&amp;" on "&amp;TEXT(AI66,"dd/mm/yyyy")&amp;IF(AI66&gt;AsOfDate," (future)",IF(AN66=AO66,"",IF(AO66="None"," - STOPPED accruing",IF(AN66="None"," - now qualifying"," - pathway changed"))))&amp;IF(AG66&lt;3,"","; "&amp;AL66&amp;" to "&amp;AM66&amp;" on "&amp;TEXT(AJ66,"dd/mm/yyyy")&amp;IF(AJ66&gt;AsOfDate," (future)",IF(AO66=AP66,"",IF(AP66="None"," - STOPPED accruing",IF(AO66="None"," - now qualifying"," - pathway changed")))))))</f>
        <v/>
      </c>
      <c r="R66" s="12" t="str">
        <f aca="false">IF(AE66=0,"",IF(AQ66="None",IF(O66&gt;0,"No longer accruing","Not eligible - "&amp;IF(AND(OR(ISNUMBER(SEARCH("part",$C66)),UPPER(TRIM($C66))="PT",UPPER(TRIM($C66))="PTE"),$P66&lt;&gt;"",N($P66)&lt;PT_MinHours),"under "&amp;PT_MinHours&amp;" hrs",IF(IF($C66="","",IF(OR(ISNUMBER(SEARCH("full",$C66)),UPPER(TRIM($C66))="FT",UPPER(TRIM($C66))="FTE"),"Full-Time",IF(OR(ISNUMBER(SEARCH("part",$C66)),UPPER(TRIM($C66))="PT",UPPER(TRIM($C66))="PTE"),"Part-Time",IF(OR(ISNUMBER(SEARCH("cas",$C66)),UPPER(TRIM($C66))="CAS"),"Casual","Unknown"))))="Unknown","type not recognised",$C66))),IF(O66&gt;0,"Yes - accruing","Not yet - from "&amp;TEXT(S66,"dd/mm/yyyy"))))</f>
        <v/>
      </c>
      <c r="S66" s="10" t="str">
        <f aca="false">IF(AE66=0,"",IF(AQ66="None","",EDATE(AF66,AZ66)))</f>
        <v/>
      </c>
      <c r="T66" s="13" t="str">
        <f aca="false">IF(OR(AE66=0,W66=""),"",W66-U66+V66)</f>
        <v/>
      </c>
      <c r="U66" s="13" t="str">
        <f aca="false">IF(AE66=0,"",IF(NOT(LH_Ready),"",SUMIFS(INDEX(LH_Data,0,LH_ColAcc),INDEX(LH_Data,0,LH_ColFirst),$A66,INDEX(LH_Data,0,LH_ColSur),$B66,INDEX(LH_Data,0,LH_ColCat),BonusCat)*UnitFactor))</f>
        <v/>
      </c>
      <c r="V66" s="13" t="str">
        <f aca="false">IF(AE66=0,"",IF(NOT(LH_Ready),"",SUMIFS(INDEX(LH_Data,0,LH_ColTaken),INDEX(LH_Data,0,LH_ColFirst),$A66,INDEX(LH_Data,0,LH_ColSur),$B66,INDEX(LH_Data,0,LH_ColCat),BonusCat)*UnitFactor))</f>
        <v/>
      </c>
      <c r="W66" s="13" t="str">
        <f aca="false">IF(AE66=0,"",IF(NOT(LH_Ready),"",IF(BB66=0,0,INDEX(INDEX(LH_Data,0,LH_ColClose),BB66-1)*UnitFactor)))</f>
        <v/>
      </c>
      <c r="X66" s="13" t="str">
        <f aca="false">IF(AE66=0,"",(AX66-AY66)*HoursPerDay)</f>
        <v/>
      </c>
      <c r="Y66" s="13" t="str">
        <f aca="false">IF(AE66=0,"",IF(NOT(LH_Ready),"",IF(BA66=0,N66,X66-N(U66))))</f>
        <v/>
      </c>
      <c r="Z66" s="12" t="str">
        <f aca="false">IF(OR(AE66=0,Y66=""),"",IF(Y66&gt;0,"Yes","No"))</f>
        <v/>
      </c>
      <c r="AA66" s="12" t="str">
        <f aca="false">IF(AE66=0,IF(LEN($A66&amp;$B66)=0,"","FIX INPUT - StartDate missing"),IF(AD66&lt;&gt;"","FIX INPUT - "&amp;AD66,IF(NOT(LH_Ready),"Paste Leave History export (Settings must show YES)",IF(Y66&gt;0,"ACCRUE "&amp;ROUND(Y66,2)&amp;" hrs ("&amp;ROUND(Y66/HoursPerDay,2)&amp;" days)"&amp;IF(BA66=0," - no Bonus Leave in EH yet, full catch-up since start",""),IF(Y66&lt;0,"CHECK - EH accrued "&amp;ROUND(-Y66,2)&amp;""&amp;" hrs more than policy",IF(O66&gt;0,"OK - nothing to add",IF(AQ66="None",R66,"Not yet - first day on "&amp;TEXT(S66,"dd/mm/yyyy"))))))))</f>
        <v/>
      </c>
      <c r="AB66" s="13" t="str">
        <f aca="false">IF(OR(AE66=0,T66=""),"",AY66*HoursPerDay-T66)</f>
        <v/>
      </c>
      <c r="AC66" s="12" t="str">
        <f aca="false">IF(AE66=0,"",BA66)</f>
        <v/>
      </c>
      <c r="AD66" s="12" t="str">
        <f aca="false">IF(AE66=0,"",TRIM(IF(IF($C66="","",IF(OR(ISNUMBER(SEARCH("full",$C66)),UPPER(TRIM($C66))="FT",UPPER(TRIM($C66))="FTE"),"Full-Time",IF(OR(ISNUMBER(SEARCH("part",$C66)),UPPER(TRIM($C66))="PT",UPPER(TRIM($C66))="PTE"),"Part-Time",IF(OR(ISNUMBER(SEARCH("cas",$C66)),UPPER(TRIM($C66))="CAS"),"Casual","Unknown"))))="Unknown","EmploymentType not recognised - use Full-Time, Part-Time or Casual. ","")&amp;IF(AND(AG66&gt;=1,IF(AG66&gt;=3,AM66,IF(AG66=2,AL66,AK66))&lt;&gt;IF($C66="","",IF(OR(ISNUMBER(SEARCH("full",$C66)),UPPER(TRIM($C66))="FT",UPPER(TRIM($C66))="FTE"),"Full-Time",IF(OR(ISNUMBER(SEARCH("part",$C66)),UPPER(TRIM($C66))="PT",UPPER(TRIM($C66))="PTE"),"Part-Time",IF(OR(ISNUMBER(SEARCH("cas",$C66)),UPPER(TRIM($C66))="CAS"),"Casual","Unknown"))))),"EmploymentType does not match latest start date ("&amp;IF(AG66&gt;=3,AM66,IF(AG66=2,AL66,AK66))&amp;"). ","")&amp;IF(AND(AG66&gt;=1,AH66&lt;&gt;$F66),"Earliest type date should equal StartDate. ","")&amp;IF(AND(AG66&gt;=2,AH66=AI66),"Two types start on the same date. ","")&amp;IF(AND(OR(ISNUMBER(SEARCH("part",$C66)),UPPER(TRIM($C66))="PT",UPPER(TRIM($C66))="PTE"),$P66=""),"Part-time: enter PT Hrs/Week (blank = 24+). ","")))</f>
        <v/>
      </c>
      <c r="AE66" s="12" t="n">
        <f aca="false">IF(OR(LEN($A66&amp;$B66)=0,$F66=""),0,1)</f>
        <v>0</v>
      </c>
      <c r="AF66" s="10" t="str">
        <f aca="false">IF(AE66=0,"",IF($J66&lt;&gt;"",$J66,$F66))</f>
        <v/>
      </c>
      <c r="AG66" s="12" t="str">
        <f aca="false">IF(AE66=0,"",COUNT($G66:$I66))</f>
        <v/>
      </c>
      <c r="AH66" s="10" t="str">
        <f aca="false">IF(AE66=0,"",IFERROR(SMALL($G66:$I66,1),""))</f>
        <v/>
      </c>
      <c r="AI66" s="10" t="str">
        <f aca="false">IF(AE66=0,"",IFERROR(SMALL($G66:$I66,2),""))</f>
        <v/>
      </c>
      <c r="AJ66" s="10" t="str">
        <f aca="false">IF(AE66=0,"",IFERROR(SMALL($G66:$I66,3),""))</f>
        <v/>
      </c>
      <c r="AK66" s="12" t="str">
        <f aca="false">IF(AE66=0,"",IF(AH66="","",IF(AH66=$G66,"Part-Time",IF(AH66=$H66,"Full-Time","Casual"))))</f>
        <v/>
      </c>
      <c r="AL66" s="12" t="str">
        <f aca="false">IF(AE66=0,"",IF(AI66="","",IF(AI66=$G66,"Part-Time",IF(AI66=$H66,"Full-Time","Casual"))))</f>
        <v/>
      </c>
      <c r="AM66" s="12" t="str">
        <f aca="false">IF(AE66=0,"",IF(AJ66="","",IF(AJ66=$G66,"Part-Time",IF(AJ66=$H66,"Full-Time","Casual"))))</f>
        <v/>
      </c>
      <c r="AN66" s="12" t="str">
        <f aca="false">IF(AE66=0,"",IF(AG66=0,IF(OR(ISNUMBER(SEARCH("full",$C66)),UPPER(TRIM($C66))="FT",UPPER(TRIM($C66))="FTE"),"FT",IF(AND(OR(ISNUMBER(SEARCH("part",$C66)),UPPER(TRIM($C66))="PT",UPPER(TRIM($C66))="PTE"),OR($P66="",N($P66)&gt;=PT_MinHours)),"PT","None")),IF(OR(ISNUMBER(SEARCH("full",AK66)),UPPER(TRIM(AK66))="FT",UPPER(TRIM(AK66))="FTE"),"FT",IF(AND(OR(ISNUMBER(SEARCH("part",AK66)),UPPER(TRIM(AK66))="PT",UPPER(TRIM(AK66))="PTE"),OR($P66="",N($P66)&gt;=PT_MinHours)),"PT","None"))))</f>
        <v/>
      </c>
      <c r="AO66" s="12" t="str">
        <f aca="false">IF(AE66=0,"",IF(AG66&lt;2,"",IF(OR(ISNUMBER(SEARCH("full",AL66)),UPPER(TRIM(AL66))="FT",UPPER(TRIM(AL66))="FTE"),"FT",IF(AND(OR(ISNUMBER(SEARCH("part",AL66)),UPPER(TRIM(AL66))="PT",UPPER(TRIM(AL66))="PTE"),OR($P66="",N($P66)&gt;=PT_MinHours)),"PT","None"))))</f>
        <v/>
      </c>
      <c r="AP66" s="12" t="str">
        <f aca="false">IF(AE66=0,"",IF(AG66&lt;3,"",IF(OR(ISNUMBER(SEARCH("full",AM66)),UPPER(TRIM(AM66))="FT",UPPER(TRIM(AM66))="FTE"),"FT",IF(AND(OR(ISNUMBER(SEARCH("part",AM66)),UPPER(TRIM(AM66))="PT",UPPER(TRIM(AM66))="PTE"),OR($P66="",N($P66)&gt;=PT_MinHours)),"PT","None"))))</f>
        <v/>
      </c>
      <c r="AQ66" s="12" t="str">
        <f aca="false">IF(AE66=0,"",IF(AND(AG66&gt;=3,AJ66&lt;=AsOfDate),AP66,IF(AND(AG66&gt;=2,AI66&lt;=AsOfDate),AO66,AN66)))</f>
        <v/>
      </c>
      <c r="AR66" s="12" t="str">
        <f aca="false">IF(AE66=0,"",IF(AsOfDate&lt;AF66,-1,12*(YEAR(AsOfDate)-YEAR(AF66))+MONTH(AsOfDate)-MONTH(AF66)-IF(DAY(AsOfDate)&lt;MIN(DAY(AF66),DAY(EOMONTH(AsOfDate,0))),1,0)))</f>
        <v/>
      </c>
      <c r="AS66" s="12" t="str">
        <f aca="false">IF(AE66=0,"",IF(OR(AG66&lt;2,AI66&gt;AsOfDate),AR66,IF((AI66-1)&lt;AF66,-1,12*(YEAR((AI66-1))-YEAR(AF66))+MONTH((AI66-1))-MONTH(AF66)-IF(DAY((AI66-1))&lt;MIN(DAY(AF66),DAY(EOMONTH((AI66-1),0))),1,0))))</f>
        <v/>
      </c>
      <c r="AT66" s="12" t="str">
        <f aca="false">IF(AE66=0,"",IF(OR(AG66&lt;3,AJ66&gt;AsOfDate),AR66,IF((AJ66-1)&lt;AF66,-1,12*(YEAR((AJ66-1))-YEAR(AF66))+MONTH((AJ66-1))-MONTH(AF66)-IF(DAY((AJ66-1))&lt;MIN(DAY(AF66),DAY(EOMONTH((AJ66-1),0))),1,0))))</f>
        <v/>
      </c>
      <c r="AU66" s="12" t="str">
        <f aca="false">IF(AE66=0,"",IF(PFYDate&lt;AF66,-1,12*(YEAR(PFYDate)-YEAR(AF66))+MONTH(PFYDate)-MONTH(AF66)-IF(DAY(PFYDate)&lt;MIN(DAY(AF66),DAY(EOMONTH(PFYDate,0))),1,0)))</f>
        <v/>
      </c>
      <c r="AV66" s="12" t="str">
        <f aca="false">IF(AE66=0,"",IF(OR(AG66&lt;2,AI66&gt;PFYDate),AU66,IF((AI66-1)&lt;AF66,-1,12*(YEAR((AI66-1))-YEAR(AF66))+MONTH((AI66-1))-MONTH(AF66)-IF(DAY((AI66-1))&lt;MIN(DAY(AF66),DAY(EOMONTH((AI66-1),0))),1,0))))</f>
        <v/>
      </c>
      <c r="AW66" s="12" t="str">
        <f aca="false">IF(AE66=0,"",IF(OR(AG66&lt;3,AJ66&gt;PFYDate),AU66,IF((AJ66-1)&lt;AF66,-1,12*(YEAR((AJ66-1))-YEAR(AF66))+MONTH((AJ66-1))-MONTH(AF66)-IF(DAY((AJ66-1))&lt;MIN(DAY(AF66),DAY(EOMONTH((AJ66-1),0))),1,0))))</f>
        <v/>
      </c>
      <c r="AX66" s="12" t="str">
        <f aca="false">IF(AE66=0,"",IF(AN66="FT",IF(AS66&lt;FT_First,0,IF(AS66&lt;FT_Y5,1+INT((AS66-FT_First)/FT_Int1),FT_PreY5+FT_PerYear*INT((AS66-FT_Y5)/12)+FT_AnnivDays+INT(MOD(AS66-FT_Y5,12)/FT_Int2))),IF(AN66="PT",IF(AS66&lt;PT_First,0,1+INT((AS66-PT_First)/PT_Int)),0))+IF(AND(AG66&gt;=2,AI66&lt;=AsOfDate),IF(AO66="FT",IF(AT66&lt;FT_First,0,IF(AT66&lt;FT_Y5,1+INT((AT66-FT_First)/FT_Int1),FT_PreY5+FT_PerYear*INT((AT66-FT_Y5)/12)+FT_AnnivDays+INT(MOD(AT66-FT_Y5,12)/FT_Int2))),IF(AO66="PT",IF(AT66&lt;PT_First,0,1+INT((AT66-PT_First)/PT_Int)),0))-IF(AO66="FT",IF(AS66&lt;FT_First,0,IF(AS66&lt;FT_Y5,1+INT((AS66-FT_First)/FT_Int1),FT_PreY5+FT_PerYear*INT((AS66-FT_Y5)/12)+FT_AnnivDays+INT(MOD(AS66-FT_Y5,12)/FT_Int2))),IF(AO66="PT",IF(AS66&lt;PT_First,0,1+INT((AS66-PT_First)/PT_Int)),0)),0)+IF(AND(AG66&gt;=3,AJ66&lt;=AsOfDate),IF(AP66="FT",IF(AR66&lt;FT_First,0,IF(AR66&lt;FT_Y5,1+INT((AR66-FT_First)/FT_Int1),FT_PreY5+FT_PerYear*INT((AR66-FT_Y5)/12)+FT_AnnivDays+INT(MOD(AR66-FT_Y5,12)/FT_Int2))),IF(AP66="PT",IF(AR66&lt;PT_First,0,1+INT((AR66-PT_First)/PT_Int)),0))-IF(AP66="FT",IF(AT66&lt;FT_First,0,IF(AT66&lt;FT_Y5,1+INT((AT66-FT_First)/FT_Int1),FT_PreY5+FT_PerYear*INT((AT66-FT_Y5)/12)+FT_AnnivDays+INT(MOD(AT66-FT_Y5,12)/FT_Int2))),IF(AP66="PT",IF(AT66&lt;PT_First,0,1+INT((AT66-PT_First)/PT_Int)),0)),0))</f>
        <v/>
      </c>
      <c r="AY66" s="12" t="str">
        <f aca="false">IF(AE66=0,"",IF(AN66="FT",IF(AV66&lt;FT_First,0,IF(AV66&lt;FT_Y5,1+INT((AV66-FT_First)/FT_Int1),FT_PreY5+FT_PerYear*INT((AV66-FT_Y5)/12)+FT_AnnivDays+INT(MOD(AV66-FT_Y5,12)/FT_Int2))),IF(AN66="PT",IF(AV66&lt;PT_First,0,1+INT((AV66-PT_First)/PT_Int)),0))+IF(AND(AG66&gt;=2,AI66&lt;=PFYDate),IF(AO66="FT",IF(AW66&lt;FT_First,0,IF(AW66&lt;FT_Y5,1+INT((AW66-FT_First)/FT_Int1),FT_PreY5+FT_PerYear*INT((AW66-FT_Y5)/12)+FT_AnnivDays+INT(MOD(AW66-FT_Y5,12)/FT_Int2))),IF(AO66="PT",IF(AW66&lt;PT_First,0,1+INT((AW66-PT_First)/PT_Int)),0))-IF(AO66="FT",IF(AV66&lt;FT_First,0,IF(AV66&lt;FT_Y5,1+INT((AV66-FT_First)/FT_Int1),FT_PreY5+FT_PerYear*INT((AV66-FT_Y5)/12)+FT_AnnivDays+INT(MOD(AV66-FT_Y5,12)/FT_Int2))),IF(AO66="PT",IF(AV66&lt;PT_First,0,1+INT((AV66-PT_First)/PT_Int)),0)),0)+IF(AND(AG66&gt;=3,AJ66&lt;=PFYDate),IF(AP66="FT",IF(AU66&lt;FT_First,0,IF(AU66&lt;FT_Y5,1+INT((AU66-FT_First)/FT_Int1),FT_PreY5+FT_PerYear*INT((AU66-FT_Y5)/12)+FT_AnnivDays+INT(MOD(AU66-FT_Y5,12)/FT_Int2))),IF(AP66="PT",IF(AU66&lt;PT_First,0,1+INT((AU66-PT_First)/PT_Int)),0))-IF(AP66="FT",IF(AW66&lt;FT_First,0,IF(AW66&lt;FT_Y5,1+INT((AW66-FT_First)/FT_Int1),FT_PreY5+FT_PerYear*INT((AW66-FT_Y5)/12)+FT_AnnivDays+INT(MOD(AW66-FT_Y5,12)/FT_Int2))),IF(AP66="PT",IF(AW66&lt;PT_First,0,1+INT((AW66-PT_First)/PT_Int)),0)),0))</f>
        <v/>
      </c>
      <c r="AZ66" s="12" t="str">
        <f aca="false">IF(AE66=0,"",IF(AQ66="FT",IF(AR66&lt;FT_First,FT_First,IF(AR66&lt;FT_Y5,MIN(FT_Y5,FT_First+FT_Int1*(INT((AR66-FT_First)/FT_Int1)+1)),FT_Y5+12*INT((AR66-FT_Y5)/12)+FT_Int2*(INT(MOD(AR66-FT_Y5,12)/FT_Int2)+1))),IF(AQ66="PT",IF(AR66&lt;PT_First,PT_First,PT_First+PT_Int*(INT((AR66-PT_First)/PT_Int)+1)),"")))</f>
        <v/>
      </c>
      <c r="BA66" s="12" t="str">
        <f aca="false">IF(AE66=0,"",IF(NOT(LH_Ready),0,COUNTIFS(INDEX(LH_Data,0,LH_ColFirst),$A66,INDEX(LH_Data,0,LH_ColSur),$B66,INDEX(LH_Data,0,LH_ColCat),BonusCat)))</f>
        <v/>
      </c>
      <c r="BB66" s="12" t="str">
        <f aca="false">IF(AE66=0,"",IF(OR(NOT(LH_Ready),BA66=0),0,SUMPRODUCT(MAX((INDEX(LH_Data,0,LH_ColFirst)=$A66)*(INDEX(LH_Data,0,LH_ColSur)=$B66)*(INDEX(LH_Data,0,LH_ColCat)=BonusCat)*ROW(LH_Data)))))</f>
        <v/>
      </c>
    </row>
    <row r="67" customFormat="false" ht="15" hidden="false" customHeight="false" outlineLevel="0" collapsed="false">
      <c r="A67" s="15"/>
      <c r="B67" s="15"/>
      <c r="C67" s="15"/>
      <c r="D67" s="16"/>
      <c r="E67" s="10" t="str">
        <f aca="false">IF(OR(AE67=0,$D67=""),"",DATE(YEAR(AsOfDate)+IF(DATE(YEAR(AsOfDate),MONTH($D67),DAY($D67))&lt;=AsOfDate,1,0),MONTH($D67),DAY($D67)))</f>
        <v/>
      </c>
      <c r="F67" s="16"/>
      <c r="G67" s="16"/>
      <c r="H67" s="16"/>
      <c r="I67" s="16"/>
      <c r="J67" s="16"/>
      <c r="K67" s="10" t="str">
        <f aca="false">IF(AE67=0,"",DATE(YEAR(AsOfDate)+IF(DATE(YEAR(AsOfDate),MONTH($F67),DAY($F67))&lt;=AsOfDate,1,0),MONTH($F67),DAY($F67)))</f>
        <v/>
      </c>
      <c r="L67" s="11" t="str">
        <f aca="false">IF(AE67=0,"",ROUND((AsOfDate-$F67)/365.25,1))</f>
        <v/>
      </c>
      <c r="M67" s="12" t="str">
        <f aca="false">IF(AE67=0,"",IF(AsOfDate&lt;AF67,"-",DATEDIF(AF67,AsOfDate,"y")&amp;"y "&amp;DATEDIF(AF67,AsOfDate,"ym")&amp;"m "&amp;DATEDIF(AF67,AsOfDate,"md")&amp;"d"))</f>
        <v/>
      </c>
      <c r="N67" s="13" t="str">
        <f aca="false">IF(AE67=0,"",O67*HoursPerDay)</f>
        <v/>
      </c>
      <c r="O67" s="13" t="str">
        <f aca="false">IF(AE67=0,"",AX67)</f>
        <v/>
      </c>
      <c r="P67" s="17"/>
      <c r="Q67" s="12" t="str">
        <f aca="false">IF(AE67=0,"",IF(AG67&lt;2,"",AK67&amp;" to "&amp;AL67&amp;" on "&amp;TEXT(AI67,"dd/mm/yyyy")&amp;IF(AI67&gt;AsOfDate," (future)",IF(AN67=AO67,"",IF(AO67="None"," - STOPPED accruing",IF(AN67="None"," - now qualifying"," - pathway changed"))))&amp;IF(AG67&lt;3,"","; "&amp;AL67&amp;" to "&amp;AM67&amp;" on "&amp;TEXT(AJ67,"dd/mm/yyyy")&amp;IF(AJ67&gt;AsOfDate," (future)",IF(AO67=AP67,"",IF(AP67="None"," - STOPPED accruing",IF(AO67="None"," - now qualifying"," - pathway changed")))))))</f>
        <v/>
      </c>
      <c r="R67" s="12" t="str">
        <f aca="false">IF(AE67=0,"",IF(AQ67="None",IF(O67&gt;0,"No longer accruing","Not eligible - "&amp;IF(AND(OR(ISNUMBER(SEARCH("part",$C67)),UPPER(TRIM($C67))="PT",UPPER(TRIM($C67))="PTE"),$P67&lt;&gt;"",N($P67)&lt;PT_MinHours),"under "&amp;PT_MinHours&amp;" hrs",IF(IF($C67="","",IF(OR(ISNUMBER(SEARCH("full",$C67)),UPPER(TRIM($C67))="FT",UPPER(TRIM($C67))="FTE"),"Full-Time",IF(OR(ISNUMBER(SEARCH("part",$C67)),UPPER(TRIM($C67))="PT",UPPER(TRIM($C67))="PTE"),"Part-Time",IF(OR(ISNUMBER(SEARCH("cas",$C67)),UPPER(TRIM($C67))="CAS"),"Casual","Unknown"))))="Unknown","type not recognised",$C67))),IF(O67&gt;0,"Yes - accruing","Not yet - from "&amp;TEXT(S67,"dd/mm/yyyy"))))</f>
        <v/>
      </c>
      <c r="S67" s="10" t="str">
        <f aca="false">IF(AE67=0,"",IF(AQ67="None","",EDATE(AF67,AZ67)))</f>
        <v/>
      </c>
      <c r="T67" s="13" t="str">
        <f aca="false">IF(OR(AE67=0,W67=""),"",W67-U67+V67)</f>
        <v/>
      </c>
      <c r="U67" s="13" t="str">
        <f aca="false">IF(AE67=0,"",IF(NOT(LH_Ready),"",SUMIFS(INDEX(LH_Data,0,LH_ColAcc),INDEX(LH_Data,0,LH_ColFirst),$A67,INDEX(LH_Data,0,LH_ColSur),$B67,INDEX(LH_Data,0,LH_ColCat),BonusCat)*UnitFactor))</f>
        <v/>
      </c>
      <c r="V67" s="13" t="str">
        <f aca="false">IF(AE67=0,"",IF(NOT(LH_Ready),"",SUMIFS(INDEX(LH_Data,0,LH_ColTaken),INDEX(LH_Data,0,LH_ColFirst),$A67,INDEX(LH_Data,0,LH_ColSur),$B67,INDEX(LH_Data,0,LH_ColCat),BonusCat)*UnitFactor))</f>
        <v/>
      </c>
      <c r="W67" s="13" t="str">
        <f aca="false">IF(AE67=0,"",IF(NOT(LH_Ready),"",IF(BB67=0,0,INDEX(INDEX(LH_Data,0,LH_ColClose),BB67-1)*UnitFactor)))</f>
        <v/>
      </c>
      <c r="X67" s="13" t="str">
        <f aca="false">IF(AE67=0,"",(AX67-AY67)*HoursPerDay)</f>
        <v/>
      </c>
      <c r="Y67" s="13" t="str">
        <f aca="false">IF(AE67=0,"",IF(NOT(LH_Ready),"",IF(BA67=0,N67,X67-N(U67))))</f>
        <v/>
      </c>
      <c r="Z67" s="12" t="str">
        <f aca="false">IF(OR(AE67=0,Y67=""),"",IF(Y67&gt;0,"Yes","No"))</f>
        <v/>
      </c>
      <c r="AA67" s="12" t="str">
        <f aca="false">IF(AE67=0,IF(LEN($A67&amp;$B67)=0,"","FIX INPUT - StartDate missing"),IF(AD67&lt;&gt;"","FIX INPUT - "&amp;AD67,IF(NOT(LH_Ready),"Paste Leave History export (Settings must show YES)",IF(Y67&gt;0,"ACCRUE "&amp;ROUND(Y67,2)&amp;" hrs ("&amp;ROUND(Y67/HoursPerDay,2)&amp;" days)"&amp;IF(BA67=0," - no Bonus Leave in EH yet, full catch-up since start",""),IF(Y67&lt;0,"CHECK - EH accrued "&amp;ROUND(-Y67,2)&amp;""&amp;" hrs more than policy",IF(O67&gt;0,"OK - nothing to add",IF(AQ67="None",R67,"Not yet - first day on "&amp;TEXT(S67,"dd/mm/yyyy"))))))))</f>
        <v/>
      </c>
      <c r="AB67" s="13" t="str">
        <f aca="false">IF(OR(AE67=0,T67=""),"",AY67*HoursPerDay-T67)</f>
        <v/>
      </c>
      <c r="AC67" s="12" t="str">
        <f aca="false">IF(AE67=0,"",BA67)</f>
        <v/>
      </c>
      <c r="AD67" s="12" t="str">
        <f aca="false">IF(AE67=0,"",TRIM(IF(IF($C67="","",IF(OR(ISNUMBER(SEARCH("full",$C67)),UPPER(TRIM($C67))="FT",UPPER(TRIM($C67))="FTE"),"Full-Time",IF(OR(ISNUMBER(SEARCH("part",$C67)),UPPER(TRIM($C67))="PT",UPPER(TRIM($C67))="PTE"),"Part-Time",IF(OR(ISNUMBER(SEARCH("cas",$C67)),UPPER(TRIM($C67))="CAS"),"Casual","Unknown"))))="Unknown","EmploymentType not recognised - use Full-Time, Part-Time or Casual. ","")&amp;IF(AND(AG67&gt;=1,IF(AG67&gt;=3,AM67,IF(AG67=2,AL67,AK67))&lt;&gt;IF($C67="","",IF(OR(ISNUMBER(SEARCH("full",$C67)),UPPER(TRIM($C67))="FT",UPPER(TRIM($C67))="FTE"),"Full-Time",IF(OR(ISNUMBER(SEARCH("part",$C67)),UPPER(TRIM($C67))="PT",UPPER(TRIM($C67))="PTE"),"Part-Time",IF(OR(ISNUMBER(SEARCH("cas",$C67)),UPPER(TRIM($C67))="CAS"),"Casual","Unknown"))))),"EmploymentType does not match latest start date ("&amp;IF(AG67&gt;=3,AM67,IF(AG67=2,AL67,AK67))&amp;"). ","")&amp;IF(AND(AG67&gt;=1,AH67&lt;&gt;$F67),"Earliest type date should equal StartDate. ","")&amp;IF(AND(AG67&gt;=2,AH67=AI67),"Two types start on the same date. ","")&amp;IF(AND(OR(ISNUMBER(SEARCH("part",$C67)),UPPER(TRIM($C67))="PT",UPPER(TRIM($C67))="PTE"),$P67=""),"Part-time: enter PT Hrs/Week (blank = 24+). ","")))</f>
        <v/>
      </c>
      <c r="AE67" s="12" t="n">
        <f aca="false">IF(OR(LEN($A67&amp;$B67)=0,$F67=""),0,1)</f>
        <v>0</v>
      </c>
      <c r="AF67" s="10" t="str">
        <f aca="false">IF(AE67=0,"",IF($J67&lt;&gt;"",$J67,$F67))</f>
        <v/>
      </c>
      <c r="AG67" s="12" t="str">
        <f aca="false">IF(AE67=0,"",COUNT($G67:$I67))</f>
        <v/>
      </c>
      <c r="AH67" s="10" t="str">
        <f aca="false">IF(AE67=0,"",IFERROR(SMALL($G67:$I67,1),""))</f>
        <v/>
      </c>
      <c r="AI67" s="10" t="str">
        <f aca="false">IF(AE67=0,"",IFERROR(SMALL($G67:$I67,2),""))</f>
        <v/>
      </c>
      <c r="AJ67" s="10" t="str">
        <f aca="false">IF(AE67=0,"",IFERROR(SMALL($G67:$I67,3),""))</f>
        <v/>
      </c>
      <c r="AK67" s="12" t="str">
        <f aca="false">IF(AE67=0,"",IF(AH67="","",IF(AH67=$G67,"Part-Time",IF(AH67=$H67,"Full-Time","Casual"))))</f>
        <v/>
      </c>
      <c r="AL67" s="12" t="str">
        <f aca="false">IF(AE67=0,"",IF(AI67="","",IF(AI67=$G67,"Part-Time",IF(AI67=$H67,"Full-Time","Casual"))))</f>
        <v/>
      </c>
      <c r="AM67" s="12" t="str">
        <f aca="false">IF(AE67=0,"",IF(AJ67="","",IF(AJ67=$G67,"Part-Time",IF(AJ67=$H67,"Full-Time","Casual"))))</f>
        <v/>
      </c>
      <c r="AN67" s="12" t="str">
        <f aca="false">IF(AE67=0,"",IF(AG67=0,IF(OR(ISNUMBER(SEARCH("full",$C67)),UPPER(TRIM($C67))="FT",UPPER(TRIM($C67))="FTE"),"FT",IF(AND(OR(ISNUMBER(SEARCH("part",$C67)),UPPER(TRIM($C67))="PT",UPPER(TRIM($C67))="PTE"),OR($P67="",N($P67)&gt;=PT_MinHours)),"PT","None")),IF(OR(ISNUMBER(SEARCH("full",AK67)),UPPER(TRIM(AK67))="FT",UPPER(TRIM(AK67))="FTE"),"FT",IF(AND(OR(ISNUMBER(SEARCH("part",AK67)),UPPER(TRIM(AK67))="PT",UPPER(TRIM(AK67))="PTE"),OR($P67="",N($P67)&gt;=PT_MinHours)),"PT","None"))))</f>
        <v/>
      </c>
      <c r="AO67" s="12" t="str">
        <f aca="false">IF(AE67=0,"",IF(AG67&lt;2,"",IF(OR(ISNUMBER(SEARCH("full",AL67)),UPPER(TRIM(AL67))="FT",UPPER(TRIM(AL67))="FTE"),"FT",IF(AND(OR(ISNUMBER(SEARCH("part",AL67)),UPPER(TRIM(AL67))="PT",UPPER(TRIM(AL67))="PTE"),OR($P67="",N($P67)&gt;=PT_MinHours)),"PT","None"))))</f>
        <v/>
      </c>
      <c r="AP67" s="12" t="str">
        <f aca="false">IF(AE67=0,"",IF(AG67&lt;3,"",IF(OR(ISNUMBER(SEARCH("full",AM67)),UPPER(TRIM(AM67))="FT",UPPER(TRIM(AM67))="FTE"),"FT",IF(AND(OR(ISNUMBER(SEARCH("part",AM67)),UPPER(TRIM(AM67))="PT",UPPER(TRIM(AM67))="PTE"),OR($P67="",N($P67)&gt;=PT_MinHours)),"PT","None"))))</f>
        <v/>
      </c>
      <c r="AQ67" s="12" t="str">
        <f aca="false">IF(AE67=0,"",IF(AND(AG67&gt;=3,AJ67&lt;=AsOfDate),AP67,IF(AND(AG67&gt;=2,AI67&lt;=AsOfDate),AO67,AN67)))</f>
        <v/>
      </c>
      <c r="AR67" s="12" t="str">
        <f aca="false">IF(AE67=0,"",IF(AsOfDate&lt;AF67,-1,12*(YEAR(AsOfDate)-YEAR(AF67))+MONTH(AsOfDate)-MONTH(AF67)-IF(DAY(AsOfDate)&lt;MIN(DAY(AF67),DAY(EOMONTH(AsOfDate,0))),1,0)))</f>
        <v/>
      </c>
      <c r="AS67" s="12" t="str">
        <f aca="false">IF(AE67=0,"",IF(OR(AG67&lt;2,AI67&gt;AsOfDate),AR67,IF((AI67-1)&lt;AF67,-1,12*(YEAR((AI67-1))-YEAR(AF67))+MONTH((AI67-1))-MONTH(AF67)-IF(DAY((AI67-1))&lt;MIN(DAY(AF67),DAY(EOMONTH((AI67-1),0))),1,0))))</f>
        <v/>
      </c>
      <c r="AT67" s="12" t="str">
        <f aca="false">IF(AE67=0,"",IF(OR(AG67&lt;3,AJ67&gt;AsOfDate),AR67,IF((AJ67-1)&lt;AF67,-1,12*(YEAR((AJ67-1))-YEAR(AF67))+MONTH((AJ67-1))-MONTH(AF67)-IF(DAY((AJ67-1))&lt;MIN(DAY(AF67),DAY(EOMONTH((AJ67-1),0))),1,0))))</f>
        <v/>
      </c>
      <c r="AU67" s="12" t="str">
        <f aca="false">IF(AE67=0,"",IF(PFYDate&lt;AF67,-1,12*(YEAR(PFYDate)-YEAR(AF67))+MONTH(PFYDate)-MONTH(AF67)-IF(DAY(PFYDate)&lt;MIN(DAY(AF67),DAY(EOMONTH(PFYDate,0))),1,0)))</f>
        <v/>
      </c>
      <c r="AV67" s="12" t="str">
        <f aca="false">IF(AE67=0,"",IF(OR(AG67&lt;2,AI67&gt;PFYDate),AU67,IF((AI67-1)&lt;AF67,-1,12*(YEAR((AI67-1))-YEAR(AF67))+MONTH((AI67-1))-MONTH(AF67)-IF(DAY((AI67-1))&lt;MIN(DAY(AF67),DAY(EOMONTH((AI67-1),0))),1,0))))</f>
        <v/>
      </c>
      <c r="AW67" s="12" t="str">
        <f aca="false">IF(AE67=0,"",IF(OR(AG67&lt;3,AJ67&gt;PFYDate),AU67,IF((AJ67-1)&lt;AF67,-1,12*(YEAR((AJ67-1))-YEAR(AF67))+MONTH((AJ67-1))-MONTH(AF67)-IF(DAY((AJ67-1))&lt;MIN(DAY(AF67),DAY(EOMONTH((AJ67-1),0))),1,0))))</f>
        <v/>
      </c>
      <c r="AX67" s="12" t="str">
        <f aca="false">IF(AE67=0,"",IF(AN67="FT",IF(AS67&lt;FT_First,0,IF(AS67&lt;FT_Y5,1+INT((AS67-FT_First)/FT_Int1),FT_PreY5+FT_PerYear*INT((AS67-FT_Y5)/12)+FT_AnnivDays+INT(MOD(AS67-FT_Y5,12)/FT_Int2))),IF(AN67="PT",IF(AS67&lt;PT_First,0,1+INT((AS67-PT_First)/PT_Int)),0))+IF(AND(AG67&gt;=2,AI67&lt;=AsOfDate),IF(AO67="FT",IF(AT67&lt;FT_First,0,IF(AT67&lt;FT_Y5,1+INT((AT67-FT_First)/FT_Int1),FT_PreY5+FT_PerYear*INT((AT67-FT_Y5)/12)+FT_AnnivDays+INT(MOD(AT67-FT_Y5,12)/FT_Int2))),IF(AO67="PT",IF(AT67&lt;PT_First,0,1+INT((AT67-PT_First)/PT_Int)),0))-IF(AO67="FT",IF(AS67&lt;FT_First,0,IF(AS67&lt;FT_Y5,1+INT((AS67-FT_First)/FT_Int1),FT_PreY5+FT_PerYear*INT((AS67-FT_Y5)/12)+FT_AnnivDays+INT(MOD(AS67-FT_Y5,12)/FT_Int2))),IF(AO67="PT",IF(AS67&lt;PT_First,0,1+INT((AS67-PT_First)/PT_Int)),0)),0)+IF(AND(AG67&gt;=3,AJ67&lt;=AsOfDate),IF(AP67="FT",IF(AR67&lt;FT_First,0,IF(AR67&lt;FT_Y5,1+INT((AR67-FT_First)/FT_Int1),FT_PreY5+FT_PerYear*INT((AR67-FT_Y5)/12)+FT_AnnivDays+INT(MOD(AR67-FT_Y5,12)/FT_Int2))),IF(AP67="PT",IF(AR67&lt;PT_First,0,1+INT((AR67-PT_First)/PT_Int)),0))-IF(AP67="FT",IF(AT67&lt;FT_First,0,IF(AT67&lt;FT_Y5,1+INT((AT67-FT_First)/FT_Int1),FT_PreY5+FT_PerYear*INT((AT67-FT_Y5)/12)+FT_AnnivDays+INT(MOD(AT67-FT_Y5,12)/FT_Int2))),IF(AP67="PT",IF(AT67&lt;PT_First,0,1+INT((AT67-PT_First)/PT_Int)),0)),0))</f>
        <v/>
      </c>
      <c r="AY67" s="12" t="str">
        <f aca="false">IF(AE67=0,"",IF(AN67="FT",IF(AV67&lt;FT_First,0,IF(AV67&lt;FT_Y5,1+INT((AV67-FT_First)/FT_Int1),FT_PreY5+FT_PerYear*INT((AV67-FT_Y5)/12)+FT_AnnivDays+INT(MOD(AV67-FT_Y5,12)/FT_Int2))),IF(AN67="PT",IF(AV67&lt;PT_First,0,1+INT((AV67-PT_First)/PT_Int)),0))+IF(AND(AG67&gt;=2,AI67&lt;=PFYDate),IF(AO67="FT",IF(AW67&lt;FT_First,0,IF(AW67&lt;FT_Y5,1+INT((AW67-FT_First)/FT_Int1),FT_PreY5+FT_PerYear*INT((AW67-FT_Y5)/12)+FT_AnnivDays+INT(MOD(AW67-FT_Y5,12)/FT_Int2))),IF(AO67="PT",IF(AW67&lt;PT_First,0,1+INT((AW67-PT_First)/PT_Int)),0))-IF(AO67="FT",IF(AV67&lt;FT_First,0,IF(AV67&lt;FT_Y5,1+INT((AV67-FT_First)/FT_Int1),FT_PreY5+FT_PerYear*INT((AV67-FT_Y5)/12)+FT_AnnivDays+INT(MOD(AV67-FT_Y5,12)/FT_Int2))),IF(AO67="PT",IF(AV67&lt;PT_First,0,1+INT((AV67-PT_First)/PT_Int)),0)),0)+IF(AND(AG67&gt;=3,AJ67&lt;=PFYDate),IF(AP67="FT",IF(AU67&lt;FT_First,0,IF(AU67&lt;FT_Y5,1+INT((AU67-FT_First)/FT_Int1),FT_PreY5+FT_PerYear*INT((AU67-FT_Y5)/12)+FT_AnnivDays+INT(MOD(AU67-FT_Y5,12)/FT_Int2))),IF(AP67="PT",IF(AU67&lt;PT_First,0,1+INT((AU67-PT_First)/PT_Int)),0))-IF(AP67="FT",IF(AW67&lt;FT_First,0,IF(AW67&lt;FT_Y5,1+INT((AW67-FT_First)/FT_Int1),FT_PreY5+FT_PerYear*INT((AW67-FT_Y5)/12)+FT_AnnivDays+INT(MOD(AW67-FT_Y5,12)/FT_Int2))),IF(AP67="PT",IF(AW67&lt;PT_First,0,1+INT((AW67-PT_First)/PT_Int)),0)),0))</f>
        <v/>
      </c>
      <c r="AZ67" s="12" t="str">
        <f aca="false">IF(AE67=0,"",IF(AQ67="FT",IF(AR67&lt;FT_First,FT_First,IF(AR67&lt;FT_Y5,MIN(FT_Y5,FT_First+FT_Int1*(INT((AR67-FT_First)/FT_Int1)+1)),FT_Y5+12*INT((AR67-FT_Y5)/12)+FT_Int2*(INT(MOD(AR67-FT_Y5,12)/FT_Int2)+1))),IF(AQ67="PT",IF(AR67&lt;PT_First,PT_First,PT_First+PT_Int*(INT((AR67-PT_First)/PT_Int)+1)),"")))</f>
        <v/>
      </c>
      <c r="BA67" s="12" t="str">
        <f aca="false">IF(AE67=0,"",IF(NOT(LH_Ready),0,COUNTIFS(INDEX(LH_Data,0,LH_ColFirst),$A67,INDEX(LH_Data,0,LH_ColSur),$B67,INDEX(LH_Data,0,LH_ColCat),BonusCat)))</f>
        <v/>
      </c>
      <c r="BB67" s="12" t="str">
        <f aca="false">IF(AE67=0,"",IF(OR(NOT(LH_Ready),BA67=0),0,SUMPRODUCT(MAX((INDEX(LH_Data,0,LH_ColFirst)=$A67)*(INDEX(LH_Data,0,LH_ColSur)=$B67)*(INDEX(LH_Data,0,LH_ColCat)=BonusCat)*ROW(LH_Data)))))</f>
        <v/>
      </c>
    </row>
    <row r="68" customFormat="false" ht="15" hidden="false" customHeight="false" outlineLevel="0" collapsed="false">
      <c r="A68" s="15"/>
      <c r="B68" s="15"/>
      <c r="C68" s="15"/>
      <c r="D68" s="16"/>
      <c r="E68" s="10" t="str">
        <f aca="false">IF(OR(AE68=0,$D68=""),"",DATE(YEAR(AsOfDate)+IF(DATE(YEAR(AsOfDate),MONTH($D68),DAY($D68))&lt;=AsOfDate,1,0),MONTH($D68),DAY($D68)))</f>
        <v/>
      </c>
      <c r="F68" s="16"/>
      <c r="G68" s="16"/>
      <c r="H68" s="16"/>
      <c r="I68" s="16"/>
      <c r="J68" s="16"/>
      <c r="K68" s="10" t="str">
        <f aca="false">IF(AE68=0,"",DATE(YEAR(AsOfDate)+IF(DATE(YEAR(AsOfDate),MONTH($F68),DAY($F68))&lt;=AsOfDate,1,0),MONTH($F68),DAY($F68)))</f>
        <v/>
      </c>
      <c r="L68" s="11" t="str">
        <f aca="false">IF(AE68=0,"",ROUND((AsOfDate-$F68)/365.25,1))</f>
        <v/>
      </c>
      <c r="M68" s="12" t="str">
        <f aca="false">IF(AE68=0,"",IF(AsOfDate&lt;AF68,"-",DATEDIF(AF68,AsOfDate,"y")&amp;"y "&amp;DATEDIF(AF68,AsOfDate,"ym")&amp;"m "&amp;DATEDIF(AF68,AsOfDate,"md")&amp;"d"))</f>
        <v/>
      </c>
      <c r="N68" s="13" t="str">
        <f aca="false">IF(AE68=0,"",O68*HoursPerDay)</f>
        <v/>
      </c>
      <c r="O68" s="13" t="str">
        <f aca="false">IF(AE68=0,"",AX68)</f>
        <v/>
      </c>
      <c r="P68" s="17"/>
      <c r="Q68" s="12" t="str">
        <f aca="false">IF(AE68=0,"",IF(AG68&lt;2,"",AK68&amp;" to "&amp;AL68&amp;" on "&amp;TEXT(AI68,"dd/mm/yyyy")&amp;IF(AI68&gt;AsOfDate," (future)",IF(AN68=AO68,"",IF(AO68="None"," - STOPPED accruing",IF(AN68="None"," - now qualifying"," - pathway changed"))))&amp;IF(AG68&lt;3,"","; "&amp;AL68&amp;" to "&amp;AM68&amp;" on "&amp;TEXT(AJ68,"dd/mm/yyyy")&amp;IF(AJ68&gt;AsOfDate," (future)",IF(AO68=AP68,"",IF(AP68="None"," - STOPPED accruing",IF(AO68="None"," - now qualifying"," - pathway changed")))))))</f>
        <v/>
      </c>
      <c r="R68" s="12" t="str">
        <f aca="false">IF(AE68=0,"",IF(AQ68="None",IF(O68&gt;0,"No longer accruing","Not eligible - "&amp;IF(AND(OR(ISNUMBER(SEARCH("part",$C68)),UPPER(TRIM($C68))="PT",UPPER(TRIM($C68))="PTE"),$P68&lt;&gt;"",N($P68)&lt;PT_MinHours),"under "&amp;PT_MinHours&amp;" hrs",IF(IF($C68="","",IF(OR(ISNUMBER(SEARCH("full",$C68)),UPPER(TRIM($C68))="FT",UPPER(TRIM($C68))="FTE"),"Full-Time",IF(OR(ISNUMBER(SEARCH("part",$C68)),UPPER(TRIM($C68))="PT",UPPER(TRIM($C68))="PTE"),"Part-Time",IF(OR(ISNUMBER(SEARCH("cas",$C68)),UPPER(TRIM($C68))="CAS"),"Casual","Unknown"))))="Unknown","type not recognised",$C68))),IF(O68&gt;0,"Yes - accruing","Not yet - from "&amp;TEXT(S68,"dd/mm/yyyy"))))</f>
        <v/>
      </c>
      <c r="S68" s="10" t="str">
        <f aca="false">IF(AE68=0,"",IF(AQ68="None","",EDATE(AF68,AZ68)))</f>
        <v/>
      </c>
      <c r="T68" s="13" t="str">
        <f aca="false">IF(OR(AE68=0,W68=""),"",W68-U68+V68)</f>
        <v/>
      </c>
      <c r="U68" s="13" t="str">
        <f aca="false">IF(AE68=0,"",IF(NOT(LH_Ready),"",SUMIFS(INDEX(LH_Data,0,LH_ColAcc),INDEX(LH_Data,0,LH_ColFirst),$A68,INDEX(LH_Data,0,LH_ColSur),$B68,INDEX(LH_Data,0,LH_ColCat),BonusCat)*UnitFactor))</f>
        <v/>
      </c>
      <c r="V68" s="13" t="str">
        <f aca="false">IF(AE68=0,"",IF(NOT(LH_Ready),"",SUMIFS(INDEX(LH_Data,0,LH_ColTaken),INDEX(LH_Data,0,LH_ColFirst),$A68,INDEX(LH_Data,0,LH_ColSur),$B68,INDEX(LH_Data,0,LH_ColCat),BonusCat)*UnitFactor))</f>
        <v/>
      </c>
      <c r="W68" s="13" t="str">
        <f aca="false">IF(AE68=0,"",IF(NOT(LH_Ready),"",IF(BB68=0,0,INDEX(INDEX(LH_Data,0,LH_ColClose),BB68-1)*UnitFactor)))</f>
        <v/>
      </c>
      <c r="X68" s="13" t="str">
        <f aca="false">IF(AE68=0,"",(AX68-AY68)*HoursPerDay)</f>
        <v/>
      </c>
      <c r="Y68" s="13" t="str">
        <f aca="false">IF(AE68=0,"",IF(NOT(LH_Ready),"",IF(BA68=0,N68,X68-N(U68))))</f>
        <v/>
      </c>
      <c r="Z68" s="12" t="str">
        <f aca="false">IF(OR(AE68=0,Y68=""),"",IF(Y68&gt;0,"Yes","No"))</f>
        <v/>
      </c>
      <c r="AA68" s="12" t="str">
        <f aca="false">IF(AE68=0,IF(LEN($A68&amp;$B68)=0,"","FIX INPUT - StartDate missing"),IF(AD68&lt;&gt;"","FIX INPUT - "&amp;AD68,IF(NOT(LH_Ready),"Paste Leave History export (Settings must show YES)",IF(Y68&gt;0,"ACCRUE "&amp;ROUND(Y68,2)&amp;" hrs ("&amp;ROUND(Y68/HoursPerDay,2)&amp;" days)"&amp;IF(BA68=0," - no Bonus Leave in EH yet, full catch-up since start",""),IF(Y68&lt;0,"CHECK - EH accrued "&amp;ROUND(-Y68,2)&amp;""&amp;" hrs more than policy",IF(O68&gt;0,"OK - nothing to add",IF(AQ68="None",R68,"Not yet - first day on "&amp;TEXT(S68,"dd/mm/yyyy"))))))))</f>
        <v/>
      </c>
      <c r="AB68" s="13" t="str">
        <f aca="false">IF(OR(AE68=0,T68=""),"",AY68*HoursPerDay-T68)</f>
        <v/>
      </c>
      <c r="AC68" s="12" t="str">
        <f aca="false">IF(AE68=0,"",BA68)</f>
        <v/>
      </c>
      <c r="AD68" s="12" t="str">
        <f aca="false">IF(AE68=0,"",TRIM(IF(IF($C68="","",IF(OR(ISNUMBER(SEARCH("full",$C68)),UPPER(TRIM($C68))="FT",UPPER(TRIM($C68))="FTE"),"Full-Time",IF(OR(ISNUMBER(SEARCH("part",$C68)),UPPER(TRIM($C68))="PT",UPPER(TRIM($C68))="PTE"),"Part-Time",IF(OR(ISNUMBER(SEARCH("cas",$C68)),UPPER(TRIM($C68))="CAS"),"Casual","Unknown"))))="Unknown","EmploymentType not recognised - use Full-Time, Part-Time or Casual. ","")&amp;IF(AND(AG68&gt;=1,IF(AG68&gt;=3,AM68,IF(AG68=2,AL68,AK68))&lt;&gt;IF($C68="","",IF(OR(ISNUMBER(SEARCH("full",$C68)),UPPER(TRIM($C68))="FT",UPPER(TRIM($C68))="FTE"),"Full-Time",IF(OR(ISNUMBER(SEARCH("part",$C68)),UPPER(TRIM($C68))="PT",UPPER(TRIM($C68))="PTE"),"Part-Time",IF(OR(ISNUMBER(SEARCH("cas",$C68)),UPPER(TRIM($C68))="CAS"),"Casual","Unknown"))))),"EmploymentType does not match latest start date ("&amp;IF(AG68&gt;=3,AM68,IF(AG68=2,AL68,AK68))&amp;"). ","")&amp;IF(AND(AG68&gt;=1,AH68&lt;&gt;$F68),"Earliest type date should equal StartDate. ","")&amp;IF(AND(AG68&gt;=2,AH68=AI68),"Two types start on the same date. ","")&amp;IF(AND(OR(ISNUMBER(SEARCH("part",$C68)),UPPER(TRIM($C68))="PT",UPPER(TRIM($C68))="PTE"),$P68=""),"Part-time: enter PT Hrs/Week (blank = 24+). ","")))</f>
        <v/>
      </c>
      <c r="AE68" s="12" t="n">
        <f aca="false">IF(OR(LEN($A68&amp;$B68)=0,$F68=""),0,1)</f>
        <v>0</v>
      </c>
      <c r="AF68" s="10" t="str">
        <f aca="false">IF(AE68=0,"",IF($J68&lt;&gt;"",$J68,$F68))</f>
        <v/>
      </c>
      <c r="AG68" s="12" t="str">
        <f aca="false">IF(AE68=0,"",COUNT($G68:$I68))</f>
        <v/>
      </c>
      <c r="AH68" s="10" t="str">
        <f aca="false">IF(AE68=0,"",IFERROR(SMALL($G68:$I68,1),""))</f>
        <v/>
      </c>
      <c r="AI68" s="10" t="str">
        <f aca="false">IF(AE68=0,"",IFERROR(SMALL($G68:$I68,2),""))</f>
        <v/>
      </c>
      <c r="AJ68" s="10" t="str">
        <f aca="false">IF(AE68=0,"",IFERROR(SMALL($G68:$I68,3),""))</f>
        <v/>
      </c>
      <c r="AK68" s="12" t="str">
        <f aca="false">IF(AE68=0,"",IF(AH68="","",IF(AH68=$G68,"Part-Time",IF(AH68=$H68,"Full-Time","Casual"))))</f>
        <v/>
      </c>
      <c r="AL68" s="12" t="str">
        <f aca="false">IF(AE68=0,"",IF(AI68="","",IF(AI68=$G68,"Part-Time",IF(AI68=$H68,"Full-Time","Casual"))))</f>
        <v/>
      </c>
      <c r="AM68" s="12" t="str">
        <f aca="false">IF(AE68=0,"",IF(AJ68="","",IF(AJ68=$G68,"Part-Time",IF(AJ68=$H68,"Full-Time","Casual"))))</f>
        <v/>
      </c>
      <c r="AN68" s="12" t="str">
        <f aca="false">IF(AE68=0,"",IF(AG68=0,IF(OR(ISNUMBER(SEARCH("full",$C68)),UPPER(TRIM($C68))="FT",UPPER(TRIM($C68))="FTE"),"FT",IF(AND(OR(ISNUMBER(SEARCH("part",$C68)),UPPER(TRIM($C68))="PT",UPPER(TRIM($C68))="PTE"),OR($P68="",N($P68)&gt;=PT_MinHours)),"PT","None")),IF(OR(ISNUMBER(SEARCH("full",AK68)),UPPER(TRIM(AK68))="FT",UPPER(TRIM(AK68))="FTE"),"FT",IF(AND(OR(ISNUMBER(SEARCH("part",AK68)),UPPER(TRIM(AK68))="PT",UPPER(TRIM(AK68))="PTE"),OR($P68="",N($P68)&gt;=PT_MinHours)),"PT","None"))))</f>
        <v/>
      </c>
      <c r="AO68" s="12" t="str">
        <f aca="false">IF(AE68=0,"",IF(AG68&lt;2,"",IF(OR(ISNUMBER(SEARCH("full",AL68)),UPPER(TRIM(AL68))="FT",UPPER(TRIM(AL68))="FTE"),"FT",IF(AND(OR(ISNUMBER(SEARCH("part",AL68)),UPPER(TRIM(AL68))="PT",UPPER(TRIM(AL68))="PTE"),OR($P68="",N($P68)&gt;=PT_MinHours)),"PT","None"))))</f>
        <v/>
      </c>
      <c r="AP68" s="12" t="str">
        <f aca="false">IF(AE68=0,"",IF(AG68&lt;3,"",IF(OR(ISNUMBER(SEARCH("full",AM68)),UPPER(TRIM(AM68))="FT",UPPER(TRIM(AM68))="FTE"),"FT",IF(AND(OR(ISNUMBER(SEARCH("part",AM68)),UPPER(TRIM(AM68))="PT",UPPER(TRIM(AM68))="PTE"),OR($P68="",N($P68)&gt;=PT_MinHours)),"PT","None"))))</f>
        <v/>
      </c>
      <c r="AQ68" s="12" t="str">
        <f aca="false">IF(AE68=0,"",IF(AND(AG68&gt;=3,AJ68&lt;=AsOfDate),AP68,IF(AND(AG68&gt;=2,AI68&lt;=AsOfDate),AO68,AN68)))</f>
        <v/>
      </c>
      <c r="AR68" s="12" t="str">
        <f aca="false">IF(AE68=0,"",IF(AsOfDate&lt;AF68,-1,12*(YEAR(AsOfDate)-YEAR(AF68))+MONTH(AsOfDate)-MONTH(AF68)-IF(DAY(AsOfDate)&lt;MIN(DAY(AF68),DAY(EOMONTH(AsOfDate,0))),1,0)))</f>
        <v/>
      </c>
      <c r="AS68" s="12" t="str">
        <f aca="false">IF(AE68=0,"",IF(OR(AG68&lt;2,AI68&gt;AsOfDate),AR68,IF((AI68-1)&lt;AF68,-1,12*(YEAR((AI68-1))-YEAR(AF68))+MONTH((AI68-1))-MONTH(AF68)-IF(DAY((AI68-1))&lt;MIN(DAY(AF68),DAY(EOMONTH((AI68-1),0))),1,0))))</f>
        <v/>
      </c>
      <c r="AT68" s="12" t="str">
        <f aca="false">IF(AE68=0,"",IF(OR(AG68&lt;3,AJ68&gt;AsOfDate),AR68,IF((AJ68-1)&lt;AF68,-1,12*(YEAR((AJ68-1))-YEAR(AF68))+MONTH((AJ68-1))-MONTH(AF68)-IF(DAY((AJ68-1))&lt;MIN(DAY(AF68),DAY(EOMONTH((AJ68-1),0))),1,0))))</f>
        <v/>
      </c>
      <c r="AU68" s="12" t="str">
        <f aca="false">IF(AE68=0,"",IF(PFYDate&lt;AF68,-1,12*(YEAR(PFYDate)-YEAR(AF68))+MONTH(PFYDate)-MONTH(AF68)-IF(DAY(PFYDate)&lt;MIN(DAY(AF68),DAY(EOMONTH(PFYDate,0))),1,0)))</f>
        <v/>
      </c>
      <c r="AV68" s="12" t="str">
        <f aca="false">IF(AE68=0,"",IF(OR(AG68&lt;2,AI68&gt;PFYDate),AU68,IF((AI68-1)&lt;AF68,-1,12*(YEAR((AI68-1))-YEAR(AF68))+MONTH((AI68-1))-MONTH(AF68)-IF(DAY((AI68-1))&lt;MIN(DAY(AF68),DAY(EOMONTH((AI68-1),0))),1,0))))</f>
        <v/>
      </c>
      <c r="AW68" s="12" t="str">
        <f aca="false">IF(AE68=0,"",IF(OR(AG68&lt;3,AJ68&gt;PFYDate),AU68,IF((AJ68-1)&lt;AF68,-1,12*(YEAR((AJ68-1))-YEAR(AF68))+MONTH((AJ68-1))-MONTH(AF68)-IF(DAY((AJ68-1))&lt;MIN(DAY(AF68),DAY(EOMONTH((AJ68-1),0))),1,0))))</f>
        <v/>
      </c>
      <c r="AX68" s="12" t="str">
        <f aca="false">IF(AE68=0,"",IF(AN68="FT",IF(AS68&lt;FT_First,0,IF(AS68&lt;FT_Y5,1+INT((AS68-FT_First)/FT_Int1),FT_PreY5+FT_PerYear*INT((AS68-FT_Y5)/12)+FT_AnnivDays+INT(MOD(AS68-FT_Y5,12)/FT_Int2))),IF(AN68="PT",IF(AS68&lt;PT_First,0,1+INT((AS68-PT_First)/PT_Int)),0))+IF(AND(AG68&gt;=2,AI68&lt;=AsOfDate),IF(AO68="FT",IF(AT68&lt;FT_First,0,IF(AT68&lt;FT_Y5,1+INT((AT68-FT_First)/FT_Int1),FT_PreY5+FT_PerYear*INT((AT68-FT_Y5)/12)+FT_AnnivDays+INT(MOD(AT68-FT_Y5,12)/FT_Int2))),IF(AO68="PT",IF(AT68&lt;PT_First,0,1+INT((AT68-PT_First)/PT_Int)),0))-IF(AO68="FT",IF(AS68&lt;FT_First,0,IF(AS68&lt;FT_Y5,1+INT((AS68-FT_First)/FT_Int1),FT_PreY5+FT_PerYear*INT((AS68-FT_Y5)/12)+FT_AnnivDays+INT(MOD(AS68-FT_Y5,12)/FT_Int2))),IF(AO68="PT",IF(AS68&lt;PT_First,0,1+INT((AS68-PT_First)/PT_Int)),0)),0)+IF(AND(AG68&gt;=3,AJ68&lt;=AsOfDate),IF(AP68="FT",IF(AR68&lt;FT_First,0,IF(AR68&lt;FT_Y5,1+INT((AR68-FT_First)/FT_Int1),FT_PreY5+FT_PerYear*INT((AR68-FT_Y5)/12)+FT_AnnivDays+INT(MOD(AR68-FT_Y5,12)/FT_Int2))),IF(AP68="PT",IF(AR68&lt;PT_First,0,1+INT((AR68-PT_First)/PT_Int)),0))-IF(AP68="FT",IF(AT68&lt;FT_First,0,IF(AT68&lt;FT_Y5,1+INT((AT68-FT_First)/FT_Int1),FT_PreY5+FT_PerYear*INT((AT68-FT_Y5)/12)+FT_AnnivDays+INT(MOD(AT68-FT_Y5,12)/FT_Int2))),IF(AP68="PT",IF(AT68&lt;PT_First,0,1+INT((AT68-PT_First)/PT_Int)),0)),0))</f>
        <v/>
      </c>
      <c r="AY68" s="12" t="str">
        <f aca="false">IF(AE68=0,"",IF(AN68="FT",IF(AV68&lt;FT_First,0,IF(AV68&lt;FT_Y5,1+INT((AV68-FT_First)/FT_Int1),FT_PreY5+FT_PerYear*INT((AV68-FT_Y5)/12)+FT_AnnivDays+INT(MOD(AV68-FT_Y5,12)/FT_Int2))),IF(AN68="PT",IF(AV68&lt;PT_First,0,1+INT((AV68-PT_First)/PT_Int)),0))+IF(AND(AG68&gt;=2,AI68&lt;=PFYDate),IF(AO68="FT",IF(AW68&lt;FT_First,0,IF(AW68&lt;FT_Y5,1+INT((AW68-FT_First)/FT_Int1),FT_PreY5+FT_PerYear*INT((AW68-FT_Y5)/12)+FT_AnnivDays+INT(MOD(AW68-FT_Y5,12)/FT_Int2))),IF(AO68="PT",IF(AW68&lt;PT_First,0,1+INT((AW68-PT_First)/PT_Int)),0))-IF(AO68="FT",IF(AV68&lt;FT_First,0,IF(AV68&lt;FT_Y5,1+INT((AV68-FT_First)/FT_Int1),FT_PreY5+FT_PerYear*INT((AV68-FT_Y5)/12)+FT_AnnivDays+INT(MOD(AV68-FT_Y5,12)/FT_Int2))),IF(AO68="PT",IF(AV68&lt;PT_First,0,1+INT((AV68-PT_First)/PT_Int)),0)),0)+IF(AND(AG68&gt;=3,AJ68&lt;=PFYDate),IF(AP68="FT",IF(AU68&lt;FT_First,0,IF(AU68&lt;FT_Y5,1+INT((AU68-FT_First)/FT_Int1),FT_PreY5+FT_PerYear*INT((AU68-FT_Y5)/12)+FT_AnnivDays+INT(MOD(AU68-FT_Y5,12)/FT_Int2))),IF(AP68="PT",IF(AU68&lt;PT_First,0,1+INT((AU68-PT_First)/PT_Int)),0))-IF(AP68="FT",IF(AW68&lt;FT_First,0,IF(AW68&lt;FT_Y5,1+INT((AW68-FT_First)/FT_Int1),FT_PreY5+FT_PerYear*INT((AW68-FT_Y5)/12)+FT_AnnivDays+INT(MOD(AW68-FT_Y5,12)/FT_Int2))),IF(AP68="PT",IF(AW68&lt;PT_First,0,1+INT((AW68-PT_First)/PT_Int)),0)),0))</f>
        <v/>
      </c>
      <c r="AZ68" s="12" t="str">
        <f aca="false">IF(AE68=0,"",IF(AQ68="FT",IF(AR68&lt;FT_First,FT_First,IF(AR68&lt;FT_Y5,MIN(FT_Y5,FT_First+FT_Int1*(INT((AR68-FT_First)/FT_Int1)+1)),FT_Y5+12*INT((AR68-FT_Y5)/12)+FT_Int2*(INT(MOD(AR68-FT_Y5,12)/FT_Int2)+1))),IF(AQ68="PT",IF(AR68&lt;PT_First,PT_First,PT_First+PT_Int*(INT((AR68-PT_First)/PT_Int)+1)),"")))</f>
        <v/>
      </c>
      <c r="BA68" s="12" t="str">
        <f aca="false">IF(AE68=0,"",IF(NOT(LH_Ready),0,COUNTIFS(INDEX(LH_Data,0,LH_ColFirst),$A68,INDEX(LH_Data,0,LH_ColSur),$B68,INDEX(LH_Data,0,LH_ColCat),BonusCat)))</f>
        <v/>
      </c>
      <c r="BB68" s="12" t="str">
        <f aca="false">IF(AE68=0,"",IF(OR(NOT(LH_Ready),BA68=0),0,SUMPRODUCT(MAX((INDEX(LH_Data,0,LH_ColFirst)=$A68)*(INDEX(LH_Data,0,LH_ColSur)=$B68)*(INDEX(LH_Data,0,LH_ColCat)=BonusCat)*ROW(LH_Data)))))</f>
        <v/>
      </c>
    </row>
    <row r="69" customFormat="false" ht="15" hidden="false" customHeight="false" outlineLevel="0" collapsed="false">
      <c r="A69" s="15"/>
      <c r="B69" s="15"/>
      <c r="C69" s="15"/>
      <c r="D69" s="16"/>
      <c r="E69" s="10" t="str">
        <f aca="false">IF(OR(AE69=0,$D69=""),"",DATE(YEAR(AsOfDate)+IF(DATE(YEAR(AsOfDate),MONTH($D69),DAY($D69))&lt;=AsOfDate,1,0),MONTH($D69),DAY($D69)))</f>
        <v/>
      </c>
      <c r="F69" s="16"/>
      <c r="G69" s="16"/>
      <c r="H69" s="16"/>
      <c r="I69" s="16"/>
      <c r="J69" s="16"/>
      <c r="K69" s="10" t="str">
        <f aca="false">IF(AE69=0,"",DATE(YEAR(AsOfDate)+IF(DATE(YEAR(AsOfDate),MONTH($F69),DAY($F69))&lt;=AsOfDate,1,0),MONTH($F69),DAY($F69)))</f>
        <v/>
      </c>
      <c r="L69" s="11" t="str">
        <f aca="false">IF(AE69=0,"",ROUND((AsOfDate-$F69)/365.25,1))</f>
        <v/>
      </c>
      <c r="M69" s="12" t="str">
        <f aca="false">IF(AE69=0,"",IF(AsOfDate&lt;AF69,"-",DATEDIF(AF69,AsOfDate,"y")&amp;"y "&amp;DATEDIF(AF69,AsOfDate,"ym")&amp;"m "&amp;DATEDIF(AF69,AsOfDate,"md")&amp;"d"))</f>
        <v/>
      </c>
      <c r="N69" s="13" t="str">
        <f aca="false">IF(AE69=0,"",O69*HoursPerDay)</f>
        <v/>
      </c>
      <c r="O69" s="13" t="str">
        <f aca="false">IF(AE69=0,"",AX69)</f>
        <v/>
      </c>
      <c r="P69" s="17"/>
      <c r="Q69" s="12" t="str">
        <f aca="false">IF(AE69=0,"",IF(AG69&lt;2,"",AK69&amp;" to "&amp;AL69&amp;" on "&amp;TEXT(AI69,"dd/mm/yyyy")&amp;IF(AI69&gt;AsOfDate," (future)",IF(AN69=AO69,"",IF(AO69="None"," - STOPPED accruing",IF(AN69="None"," - now qualifying"," - pathway changed"))))&amp;IF(AG69&lt;3,"","; "&amp;AL69&amp;" to "&amp;AM69&amp;" on "&amp;TEXT(AJ69,"dd/mm/yyyy")&amp;IF(AJ69&gt;AsOfDate," (future)",IF(AO69=AP69,"",IF(AP69="None"," - STOPPED accruing",IF(AO69="None"," - now qualifying"," - pathway changed")))))))</f>
        <v/>
      </c>
      <c r="R69" s="12" t="str">
        <f aca="false">IF(AE69=0,"",IF(AQ69="None",IF(O69&gt;0,"No longer accruing","Not eligible - "&amp;IF(AND(OR(ISNUMBER(SEARCH("part",$C69)),UPPER(TRIM($C69))="PT",UPPER(TRIM($C69))="PTE"),$P69&lt;&gt;"",N($P69)&lt;PT_MinHours),"under "&amp;PT_MinHours&amp;" hrs",IF(IF($C69="","",IF(OR(ISNUMBER(SEARCH("full",$C69)),UPPER(TRIM($C69))="FT",UPPER(TRIM($C69))="FTE"),"Full-Time",IF(OR(ISNUMBER(SEARCH("part",$C69)),UPPER(TRIM($C69))="PT",UPPER(TRIM($C69))="PTE"),"Part-Time",IF(OR(ISNUMBER(SEARCH("cas",$C69)),UPPER(TRIM($C69))="CAS"),"Casual","Unknown"))))="Unknown","type not recognised",$C69))),IF(O69&gt;0,"Yes - accruing","Not yet - from "&amp;TEXT(S69,"dd/mm/yyyy"))))</f>
        <v/>
      </c>
      <c r="S69" s="10" t="str">
        <f aca="false">IF(AE69=0,"",IF(AQ69="None","",EDATE(AF69,AZ69)))</f>
        <v/>
      </c>
      <c r="T69" s="13" t="str">
        <f aca="false">IF(OR(AE69=0,W69=""),"",W69-U69+V69)</f>
        <v/>
      </c>
      <c r="U69" s="13" t="str">
        <f aca="false">IF(AE69=0,"",IF(NOT(LH_Ready),"",SUMIFS(INDEX(LH_Data,0,LH_ColAcc),INDEX(LH_Data,0,LH_ColFirst),$A69,INDEX(LH_Data,0,LH_ColSur),$B69,INDEX(LH_Data,0,LH_ColCat),BonusCat)*UnitFactor))</f>
        <v/>
      </c>
      <c r="V69" s="13" t="str">
        <f aca="false">IF(AE69=0,"",IF(NOT(LH_Ready),"",SUMIFS(INDEX(LH_Data,0,LH_ColTaken),INDEX(LH_Data,0,LH_ColFirst),$A69,INDEX(LH_Data,0,LH_ColSur),$B69,INDEX(LH_Data,0,LH_ColCat),BonusCat)*UnitFactor))</f>
        <v/>
      </c>
      <c r="W69" s="13" t="str">
        <f aca="false">IF(AE69=0,"",IF(NOT(LH_Ready),"",IF(BB69=0,0,INDEX(INDEX(LH_Data,0,LH_ColClose),BB69-1)*UnitFactor)))</f>
        <v/>
      </c>
      <c r="X69" s="13" t="str">
        <f aca="false">IF(AE69=0,"",(AX69-AY69)*HoursPerDay)</f>
        <v/>
      </c>
      <c r="Y69" s="13" t="str">
        <f aca="false">IF(AE69=0,"",IF(NOT(LH_Ready),"",IF(BA69=0,N69,X69-N(U69))))</f>
        <v/>
      </c>
      <c r="Z69" s="12" t="str">
        <f aca="false">IF(OR(AE69=0,Y69=""),"",IF(Y69&gt;0,"Yes","No"))</f>
        <v/>
      </c>
      <c r="AA69" s="12" t="str">
        <f aca="false">IF(AE69=0,IF(LEN($A69&amp;$B69)=0,"","FIX INPUT - StartDate missing"),IF(AD69&lt;&gt;"","FIX INPUT - "&amp;AD69,IF(NOT(LH_Ready),"Paste Leave History export (Settings must show YES)",IF(Y69&gt;0,"ACCRUE "&amp;ROUND(Y69,2)&amp;" hrs ("&amp;ROUND(Y69/HoursPerDay,2)&amp;" days)"&amp;IF(BA69=0," - no Bonus Leave in EH yet, full catch-up since start",""),IF(Y69&lt;0,"CHECK - EH accrued "&amp;ROUND(-Y69,2)&amp;""&amp;" hrs more than policy",IF(O69&gt;0,"OK - nothing to add",IF(AQ69="None",R69,"Not yet - first day on "&amp;TEXT(S69,"dd/mm/yyyy"))))))))</f>
        <v/>
      </c>
      <c r="AB69" s="13" t="str">
        <f aca="false">IF(OR(AE69=0,T69=""),"",AY69*HoursPerDay-T69)</f>
        <v/>
      </c>
      <c r="AC69" s="12" t="str">
        <f aca="false">IF(AE69=0,"",BA69)</f>
        <v/>
      </c>
      <c r="AD69" s="12" t="str">
        <f aca="false">IF(AE69=0,"",TRIM(IF(IF($C69="","",IF(OR(ISNUMBER(SEARCH("full",$C69)),UPPER(TRIM($C69))="FT",UPPER(TRIM($C69))="FTE"),"Full-Time",IF(OR(ISNUMBER(SEARCH("part",$C69)),UPPER(TRIM($C69))="PT",UPPER(TRIM($C69))="PTE"),"Part-Time",IF(OR(ISNUMBER(SEARCH("cas",$C69)),UPPER(TRIM($C69))="CAS"),"Casual","Unknown"))))="Unknown","EmploymentType not recognised - use Full-Time, Part-Time or Casual. ","")&amp;IF(AND(AG69&gt;=1,IF(AG69&gt;=3,AM69,IF(AG69=2,AL69,AK69))&lt;&gt;IF($C69="","",IF(OR(ISNUMBER(SEARCH("full",$C69)),UPPER(TRIM($C69))="FT",UPPER(TRIM($C69))="FTE"),"Full-Time",IF(OR(ISNUMBER(SEARCH("part",$C69)),UPPER(TRIM($C69))="PT",UPPER(TRIM($C69))="PTE"),"Part-Time",IF(OR(ISNUMBER(SEARCH("cas",$C69)),UPPER(TRIM($C69))="CAS"),"Casual","Unknown"))))),"EmploymentType does not match latest start date ("&amp;IF(AG69&gt;=3,AM69,IF(AG69=2,AL69,AK69))&amp;"). ","")&amp;IF(AND(AG69&gt;=1,AH69&lt;&gt;$F69),"Earliest type date should equal StartDate. ","")&amp;IF(AND(AG69&gt;=2,AH69=AI69),"Two types start on the same date. ","")&amp;IF(AND(OR(ISNUMBER(SEARCH("part",$C69)),UPPER(TRIM($C69))="PT",UPPER(TRIM($C69))="PTE"),$P69=""),"Part-time: enter PT Hrs/Week (blank = 24+). ","")))</f>
        <v/>
      </c>
      <c r="AE69" s="12" t="n">
        <f aca="false">IF(OR(LEN($A69&amp;$B69)=0,$F69=""),0,1)</f>
        <v>0</v>
      </c>
      <c r="AF69" s="10" t="str">
        <f aca="false">IF(AE69=0,"",IF($J69&lt;&gt;"",$J69,$F69))</f>
        <v/>
      </c>
      <c r="AG69" s="12" t="str">
        <f aca="false">IF(AE69=0,"",COUNT($G69:$I69))</f>
        <v/>
      </c>
      <c r="AH69" s="10" t="str">
        <f aca="false">IF(AE69=0,"",IFERROR(SMALL($G69:$I69,1),""))</f>
        <v/>
      </c>
      <c r="AI69" s="10" t="str">
        <f aca="false">IF(AE69=0,"",IFERROR(SMALL($G69:$I69,2),""))</f>
        <v/>
      </c>
      <c r="AJ69" s="10" t="str">
        <f aca="false">IF(AE69=0,"",IFERROR(SMALL($G69:$I69,3),""))</f>
        <v/>
      </c>
      <c r="AK69" s="12" t="str">
        <f aca="false">IF(AE69=0,"",IF(AH69="","",IF(AH69=$G69,"Part-Time",IF(AH69=$H69,"Full-Time","Casual"))))</f>
        <v/>
      </c>
      <c r="AL69" s="12" t="str">
        <f aca="false">IF(AE69=0,"",IF(AI69="","",IF(AI69=$G69,"Part-Time",IF(AI69=$H69,"Full-Time","Casual"))))</f>
        <v/>
      </c>
      <c r="AM69" s="12" t="str">
        <f aca="false">IF(AE69=0,"",IF(AJ69="","",IF(AJ69=$G69,"Part-Time",IF(AJ69=$H69,"Full-Time","Casual"))))</f>
        <v/>
      </c>
      <c r="AN69" s="12" t="str">
        <f aca="false">IF(AE69=0,"",IF(AG69=0,IF(OR(ISNUMBER(SEARCH("full",$C69)),UPPER(TRIM($C69))="FT",UPPER(TRIM($C69))="FTE"),"FT",IF(AND(OR(ISNUMBER(SEARCH("part",$C69)),UPPER(TRIM($C69))="PT",UPPER(TRIM($C69))="PTE"),OR($P69="",N($P69)&gt;=PT_MinHours)),"PT","None")),IF(OR(ISNUMBER(SEARCH("full",AK69)),UPPER(TRIM(AK69))="FT",UPPER(TRIM(AK69))="FTE"),"FT",IF(AND(OR(ISNUMBER(SEARCH("part",AK69)),UPPER(TRIM(AK69))="PT",UPPER(TRIM(AK69))="PTE"),OR($P69="",N($P69)&gt;=PT_MinHours)),"PT","None"))))</f>
        <v/>
      </c>
      <c r="AO69" s="12" t="str">
        <f aca="false">IF(AE69=0,"",IF(AG69&lt;2,"",IF(OR(ISNUMBER(SEARCH("full",AL69)),UPPER(TRIM(AL69))="FT",UPPER(TRIM(AL69))="FTE"),"FT",IF(AND(OR(ISNUMBER(SEARCH("part",AL69)),UPPER(TRIM(AL69))="PT",UPPER(TRIM(AL69))="PTE"),OR($P69="",N($P69)&gt;=PT_MinHours)),"PT","None"))))</f>
        <v/>
      </c>
      <c r="AP69" s="12" t="str">
        <f aca="false">IF(AE69=0,"",IF(AG69&lt;3,"",IF(OR(ISNUMBER(SEARCH("full",AM69)),UPPER(TRIM(AM69))="FT",UPPER(TRIM(AM69))="FTE"),"FT",IF(AND(OR(ISNUMBER(SEARCH("part",AM69)),UPPER(TRIM(AM69))="PT",UPPER(TRIM(AM69))="PTE"),OR($P69="",N($P69)&gt;=PT_MinHours)),"PT","None"))))</f>
        <v/>
      </c>
      <c r="AQ69" s="12" t="str">
        <f aca="false">IF(AE69=0,"",IF(AND(AG69&gt;=3,AJ69&lt;=AsOfDate),AP69,IF(AND(AG69&gt;=2,AI69&lt;=AsOfDate),AO69,AN69)))</f>
        <v/>
      </c>
      <c r="AR69" s="12" t="str">
        <f aca="false">IF(AE69=0,"",IF(AsOfDate&lt;AF69,-1,12*(YEAR(AsOfDate)-YEAR(AF69))+MONTH(AsOfDate)-MONTH(AF69)-IF(DAY(AsOfDate)&lt;MIN(DAY(AF69),DAY(EOMONTH(AsOfDate,0))),1,0)))</f>
        <v/>
      </c>
      <c r="AS69" s="12" t="str">
        <f aca="false">IF(AE69=0,"",IF(OR(AG69&lt;2,AI69&gt;AsOfDate),AR69,IF((AI69-1)&lt;AF69,-1,12*(YEAR((AI69-1))-YEAR(AF69))+MONTH((AI69-1))-MONTH(AF69)-IF(DAY((AI69-1))&lt;MIN(DAY(AF69),DAY(EOMONTH((AI69-1),0))),1,0))))</f>
        <v/>
      </c>
      <c r="AT69" s="12" t="str">
        <f aca="false">IF(AE69=0,"",IF(OR(AG69&lt;3,AJ69&gt;AsOfDate),AR69,IF((AJ69-1)&lt;AF69,-1,12*(YEAR((AJ69-1))-YEAR(AF69))+MONTH((AJ69-1))-MONTH(AF69)-IF(DAY((AJ69-1))&lt;MIN(DAY(AF69),DAY(EOMONTH((AJ69-1),0))),1,0))))</f>
        <v/>
      </c>
      <c r="AU69" s="12" t="str">
        <f aca="false">IF(AE69=0,"",IF(PFYDate&lt;AF69,-1,12*(YEAR(PFYDate)-YEAR(AF69))+MONTH(PFYDate)-MONTH(AF69)-IF(DAY(PFYDate)&lt;MIN(DAY(AF69),DAY(EOMONTH(PFYDate,0))),1,0)))</f>
        <v/>
      </c>
      <c r="AV69" s="12" t="str">
        <f aca="false">IF(AE69=0,"",IF(OR(AG69&lt;2,AI69&gt;PFYDate),AU69,IF((AI69-1)&lt;AF69,-1,12*(YEAR((AI69-1))-YEAR(AF69))+MONTH((AI69-1))-MONTH(AF69)-IF(DAY((AI69-1))&lt;MIN(DAY(AF69),DAY(EOMONTH((AI69-1),0))),1,0))))</f>
        <v/>
      </c>
      <c r="AW69" s="12" t="str">
        <f aca="false">IF(AE69=0,"",IF(OR(AG69&lt;3,AJ69&gt;PFYDate),AU69,IF((AJ69-1)&lt;AF69,-1,12*(YEAR((AJ69-1))-YEAR(AF69))+MONTH((AJ69-1))-MONTH(AF69)-IF(DAY((AJ69-1))&lt;MIN(DAY(AF69),DAY(EOMONTH((AJ69-1),0))),1,0))))</f>
        <v/>
      </c>
      <c r="AX69" s="12" t="str">
        <f aca="false">IF(AE69=0,"",IF(AN69="FT",IF(AS69&lt;FT_First,0,IF(AS69&lt;FT_Y5,1+INT((AS69-FT_First)/FT_Int1),FT_PreY5+FT_PerYear*INT((AS69-FT_Y5)/12)+FT_AnnivDays+INT(MOD(AS69-FT_Y5,12)/FT_Int2))),IF(AN69="PT",IF(AS69&lt;PT_First,0,1+INT((AS69-PT_First)/PT_Int)),0))+IF(AND(AG69&gt;=2,AI69&lt;=AsOfDate),IF(AO69="FT",IF(AT69&lt;FT_First,0,IF(AT69&lt;FT_Y5,1+INT((AT69-FT_First)/FT_Int1),FT_PreY5+FT_PerYear*INT((AT69-FT_Y5)/12)+FT_AnnivDays+INT(MOD(AT69-FT_Y5,12)/FT_Int2))),IF(AO69="PT",IF(AT69&lt;PT_First,0,1+INT((AT69-PT_First)/PT_Int)),0))-IF(AO69="FT",IF(AS69&lt;FT_First,0,IF(AS69&lt;FT_Y5,1+INT((AS69-FT_First)/FT_Int1),FT_PreY5+FT_PerYear*INT((AS69-FT_Y5)/12)+FT_AnnivDays+INT(MOD(AS69-FT_Y5,12)/FT_Int2))),IF(AO69="PT",IF(AS69&lt;PT_First,0,1+INT((AS69-PT_First)/PT_Int)),0)),0)+IF(AND(AG69&gt;=3,AJ69&lt;=AsOfDate),IF(AP69="FT",IF(AR69&lt;FT_First,0,IF(AR69&lt;FT_Y5,1+INT((AR69-FT_First)/FT_Int1),FT_PreY5+FT_PerYear*INT((AR69-FT_Y5)/12)+FT_AnnivDays+INT(MOD(AR69-FT_Y5,12)/FT_Int2))),IF(AP69="PT",IF(AR69&lt;PT_First,0,1+INT((AR69-PT_First)/PT_Int)),0))-IF(AP69="FT",IF(AT69&lt;FT_First,0,IF(AT69&lt;FT_Y5,1+INT((AT69-FT_First)/FT_Int1),FT_PreY5+FT_PerYear*INT((AT69-FT_Y5)/12)+FT_AnnivDays+INT(MOD(AT69-FT_Y5,12)/FT_Int2))),IF(AP69="PT",IF(AT69&lt;PT_First,0,1+INT((AT69-PT_First)/PT_Int)),0)),0))</f>
        <v/>
      </c>
      <c r="AY69" s="12" t="str">
        <f aca="false">IF(AE69=0,"",IF(AN69="FT",IF(AV69&lt;FT_First,0,IF(AV69&lt;FT_Y5,1+INT((AV69-FT_First)/FT_Int1),FT_PreY5+FT_PerYear*INT((AV69-FT_Y5)/12)+FT_AnnivDays+INT(MOD(AV69-FT_Y5,12)/FT_Int2))),IF(AN69="PT",IF(AV69&lt;PT_First,0,1+INT((AV69-PT_First)/PT_Int)),0))+IF(AND(AG69&gt;=2,AI69&lt;=PFYDate),IF(AO69="FT",IF(AW69&lt;FT_First,0,IF(AW69&lt;FT_Y5,1+INT((AW69-FT_First)/FT_Int1),FT_PreY5+FT_PerYear*INT((AW69-FT_Y5)/12)+FT_AnnivDays+INT(MOD(AW69-FT_Y5,12)/FT_Int2))),IF(AO69="PT",IF(AW69&lt;PT_First,0,1+INT((AW69-PT_First)/PT_Int)),0))-IF(AO69="FT",IF(AV69&lt;FT_First,0,IF(AV69&lt;FT_Y5,1+INT((AV69-FT_First)/FT_Int1),FT_PreY5+FT_PerYear*INT((AV69-FT_Y5)/12)+FT_AnnivDays+INT(MOD(AV69-FT_Y5,12)/FT_Int2))),IF(AO69="PT",IF(AV69&lt;PT_First,0,1+INT((AV69-PT_First)/PT_Int)),0)),0)+IF(AND(AG69&gt;=3,AJ69&lt;=PFYDate),IF(AP69="FT",IF(AU69&lt;FT_First,0,IF(AU69&lt;FT_Y5,1+INT((AU69-FT_First)/FT_Int1),FT_PreY5+FT_PerYear*INT((AU69-FT_Y5)/12)+FT_AnnivDays+INT(MOD(AU69-FT_Y5,12)/FT_Int2))),IF(AP69="PT",IF(AU69&lt;PT_First,0,1+INT((AU69-PT_First)/PT_Int)),0))-IF(AP69="FT",IF(AW69&lt;FT_First,0,IF(AW69&lt;FT_Y5,1+INT((AW69-FT_First)/FT_Int1),FT_PreY5+FT_PerYear*INT((AW69-FT_Y5)/12)+FT_AnnivDays+INT(MOD(AW69-FT_Y5,12)/FT_Int2))),IF(AP69="PT",IF(AW69&lt;PT_First,0,1+INT((AW69-PT_First)/PT_Int)),0)),0))</f>
        <v/>
      </c>
      <c r="AZ69" s="12" t="str">
        <f aca="false">IF(AE69=0,"",IF(AQ69="FT",IF(AR69&lt;FT_First,FT_First,IF(AR69&lt;FT_Y5,MIN(FT_Y5,FT_First+FT_Int1*(INT((AR69-FT_First)/FT_Int1)+1)),FT_Y5+12*INT((AR69-FT_Y5)/12)+FT_Int2*(INT(MOD(AR69-FT_Y5,12)/FT_Int2)+1))),IF(AQ69="PT",IF(AR69&lt;PT_First,PT_First,PT_First+PT_Int*(INT((AR69-PT_First)/PT_Int)+1)),"")))</f>
        <v/>
      </c>
      <c r="BA69" s="12" t="str">
        <f aca="false">IF(AE69=0,"",IF(NOT(LH_Ready),0,COUNTIFS(INDEX(LH_Data,0,LH_ColFirst),$A69,INDEX(LH_Data,0,LH_ColSur),$B69,INDEX(LH_Data,0,LH_ColCat),BonusCat)))</f>
        <v/>
      </c>
      <c r="BB69" s="12" t="str">
        <f aca="false">IF(AE69=0,"",IF(OR(NOT(LH_Ready),BA69=0),0,SUMPRODUCT(MAX((INDEX(LH_Data,0,LH_ColFirst)=$A69)*(INDEX(LH_Data,0,LH_ColSur)=$B69)*(INDEX(LH_Data,0,LH_ColCat)=BonusCat)*ROW(LH_Data)))))</f>
        <v/>
      </c>
    </row>
    <row r="70" customFormat="false" ht="15" hidden="false" customHeight="false" outlineLevel="0" collapsed="false">
      <c r="A70" s="15"/>
      <c r="B70" s="15"/>
      <c r="C70" s="15"/>
      <c r="D70" s="16"/>
      <c r="E70" s="10" t="str">
        <f aca="false">IF(OR(AE70=0,$D70=""),"",DATE(YEAR(AsOfDate)+IF(DATE(YEAR(AsOfDate),MONTH($D70),DAY($D70))&lt;=AsOfDate,1,0),MONTH($D70),DAY($D70)))</f>
        <v/>
      </c>
      <c r="F70" s="16"/>
      <c r="G70" s="16"/>
      <c r="H70" s="16"/>
      <c r="I70" s="16"/>
      <c r="J70" s="16"/>
      <c r="K70" s="10" t="str">
        <f aca="false">IF(AE70=0,"",DATE(YEAR(AsOfDate)+IF(DATE(YEAR(AsOfDate),MONTH($F70),DAY($F70))&lt;=AsOfDate,1,0),MONTH($F70),DAY($F70)))</f>
        <v/>
      </c>
      <c r="L70" s="11" t="str">
        <f aca="false">IF(AE70=0,"",ROUND((AsOfDate-$F70)/365.25,1))</f>
        <v/>
      </c>
      <c r="M70" s="12" t="str">
        <f aca="false">IF(AE70=0,"",IF(AsOfDate&lt;AF70,"-",DATEDIF(AF70,AsOfDate,"y")&amp;"y "&amp;DATEDIF(AF70,AsOfDate,"ym")&amp;"m "&amp;DATEDIF(AF70,AsOfDate,"md")&amp;"d"))</f>
        <v/>
      </c>
      <c r="N70" s="13" t="str">
        <f aca="false">IF(AE70=0,"",O70*HoursPerDay)</f>
        <v/>
      </c>
      <c r="O70" s="13" t="str">
        <f aca="false">IF(AE70=0,"",AX70)</f>
        <v/>
      </c>
      <c r="P70" s="17"/>
      <c r="Q70" s="12" t="str">
        <f aca="false">IF(AE70=0,"",IF(AG70&lt;2,"",AK70&amp;" to "&amp;AL70&amp;" on "&amp;TEXT(AI70,"dd/mm/yyyy")&amp;IF(AI70&gt;AsOfDate," (future)",IF(AN70=AO70,"",IF(AO70="None"," - STOPPED accruing",IF(AN70="None"," - now qualifying"," - pathway changed"))))&amp;IF(AG70&lt;3,"","; "&amp;AL70&amp;" to "&amp;AM70&amp;" on "&amp;TEXT(AJ70,"dd/mm/yyyy")&amp;IF(AJ70&gt;AsOfDate," (future)",IF(AO70=AP70,"",IF(AP70="None"," - STOPPED accruing",IF(AO70="None"," - now qualifying"," - pathway changed")))))))</f>
        <v/>
      </c>
      <c r="R70" s="12" t="str">
        <f aca="false">IF(AE70=0,"",IF(AQ70="None",IF(O70&gt;0,"No longer accruing","Not eligible - "&amp;IF(AND(OR(ISNUMBER(SEARCH("part",$C70)),UPPER(TRIM($C70))="PT",UPPER(TRIM($C70))="PTE"),$P70&lt;&gt;"",N($P70)&lt;PT_MinHours),"under "&amp;PT_MinHours&amp;" hrs",IF(IF($C70="","",IF(OR(ISNUMBER(SEARCH("full",$C70)),UPPER(TRIM($C70))="FT",UPPER(TRIM($C70))="FTE"),"Full-Time",IF(OR(ISNUMBER(SEARCH("part",$C70)),UPPER(TRIM($C70))="PT",UPPER(TRIM($C70))="PTE"),"Part-Time",IF(OR(ISNUMBER(SEARCH("cas",$C70)),UPPER(TRIM($C70))="CAS"),"Casual","Unknown"))))="Unknown","type not recognised",$C70))),IF(O70&gt;0,"Yes - accruing","Not yet - from "&amp;TEXT(S70,"dd/mm/yyyy"))))</f>
        <v/>
      </c>
      <c r="S70" s="10" t="str">
        <f aca="false">IF(AE70=0,"",IF(AQ70="None","",EDATE(AF70,AZ70)))</f>
        <v/>
      </c>
      <c r="T70" s="13" t="str">
        <f aca="false">IF(OR(AE70=0,W70=""),"",W70-U70+V70)</f>
        <v/>
      </c>
      <c r="U70" s="13" t="str">
        <f aca="false">IF(AE70=0,"",IF(NOT(LH_Ready),"",SUMIFS(INDEX(LH_Data,0,LH_ColAcc),INDEX(LH_Data,0,LH_ColFirst),$A70,INDEX(LH_Data,0,LH_ColSur),$B70,INDEX(LH_Data,0,LH_ColCat),BonusCat)*UnitFactor))</f>
        <v/>
      </c>
      <c r="V70" s="13" t="str">
        <f aca="false">IF(AE70=0,"",IF(NOT(LH_Ready),"",SUMIFS(INDEX(LH_Data,0,LH_ColTaken),INDEX(LH_Data,0,LH_ColFirst),$A70,INDEX(LH_Data,0,LH_ColSur),$B70,INDEX(LH_Data,0,LH_ColCat),BonusCat)*UnitFactor))</f>
        <v/>
      </c>
      <c r="W70" s="13" t="str">
        <f aca="false">IF(AE70=0,"",IF(NOT(LH_Ready),"",IF(BB70=0,0,INDEX(INDEX(LH_Data,0,LH_ColClose),BB70-1)*UnitFactor)))</f>
        <v/>
      </c>
      <c r="X70" s="13" t="str">
        <f aca="false">IF(AE70=0,"",(AX70-AY70)*HoursPerDay)</f>
        <v/>
      </c>
      <c r="Y70" s="13" t="str">
        <f aca="false">IF(AE70=0,"",IF(NOT(LH_Ready),"",IF(BA70=0,N70,X70-N(U70))))</f>
        <v/>
      </c>
      <c r="Z70" s="12" t="str">
        <f aca="false">IF(OR(AE70=0,Y70=""),"",IF(Y70&gt;0,"Yes","No"))</f>
        <v/>
      </c>
      <c r="AA70" s="12" t="str">
        <f aca="false">IF(AE70=0,IF(LEN($A70&amp;$B70)=0,"","FIX INPUT - StartDate missing"),IF(AD70&lt;&gt;"","FIX INPUT - "&amp;AD70,IF(NOT(LH_Ready),"Paste Leave History export (Settings must show YES)",IF(Y70&gt;0,"ACCRUE "&amp;ROUND(Y70,2)&amp;" hrs ("&amp;ROUND(Y70/HoursPerDay,2)&amp;" days)"&amp;IF(BA70=0," - no Bonus Leave in EH yet, full catch-up since start",""),IF(Y70&lt;0,"CHECK - EH accrued "&amp;ROUND(-Y70,2)&amp;""&amp;" hrs more than policy",IF(O70&gt;0,"OK - nothing to add",IF(AQ70="None",R70,"Not yet - first day on "&amp;TEXT(S70,"dd/mm/yyyy"))))))))</f>
        <v/>
      </c>
      <c r="AB70" s="13" t="str">
        <f aca="false">IF(OR(AE70=0,T70=""),"",AY70*HoursPerDay-T70)</f>
        <v/>
      </c>
      <c r="AC70" s="12" t="str">
        <f aca="false">IF(AE70=0,"",BA70)</f>
        <v/>
      </c>
      <c r="AD70" s="12" t="str">
        <f aca="false">IF(AE70=0,"",TRIM(IF(IF($C70="","",IF(OR(ISNUMBER(SEARCH("full",$C70)),UPPER(TRIM($C70))="FT",UPPER(TRIM($C70))="FTE"),"Full-Time",IF(OR(ISNUMBER(SEARCH("part",$C70)),UPPER(TRIM($C70))="PT",UPPER(TRIM($C70))="PTE"),"Part-Time",IF(OR(ISNUMBER(SEARCH("cas",$C70)),UPPER(TRIM($C70))="CAS"),"Casual","Unknown"))))="Unknown","EmploymentType not recognised - use Full-Time, Part-Time or Casual. ","")&amp;IF(AND(AG70&gt;=1,IF(AG70&gt;=3,AM70,IF(AG70=2,AL70,AK70))&lt;&gt;IF($C70="","",IF(OR(ISNUMBER(SEARCH("full",$C70)),UPPER(TRIM($C70))="FT",UPPER(TRIM($C70))="FTE"),"Full-Time",IF(OR(ISNUMBER(SEARCH("part",$C70)),UPPER(TRIM($C70))="PT",UPPER(TRIM($C70))="PTE"),"Part-Time",IF(OR(ISNUMBER(SEARCH("cas",$C70)),UPPER(TRIM($C70))="CAS"),"Casual","Unknown"))))),"EmploymentType does not match latest start date ("&amp;IF(AG70&gt;=3,AM70,IF(AG70=2,AL70,AK70))&amp;"). ","")&amp;IF(AND(AG70&gt;=1,AH70&lt;&gt;$F70),"Earliest type date should equal StartDate. ","")&amp;IF(AND(AG70&gt;=2,AH70=AI70),"Two types start on the same date. ","")&amp;IF(AND(OR(ISNUMBER(SEARCH("part",$C70)),UPPER(TRIM($C70))="PT",UPPER(TRIM($C70))="PTE"),$P70=""),"Part-time: enter PT Hrs/Week (blank = 24+). ","")))</f>
        <v/>
      </c>
      <c r="AE70" s="12" t="n">
        <f aca="false">IF(OR(LEN($A70&amp;$B70)=0,$F70=""),0,1)</f>
        <v>0</v>
      </c>
      <c r="AF70" s="10" t="str">
        <f aca="false">IF(AE70=0,"",IF($J70&lt;&gt;"",$J70,$F70))</f>
        <v/>
      </c>
      <c r="AG70" s="12" t="str">
        <f aca="false">IF(AE70=0,"",COUNT($G70:$I70))</f>
        <v/>
      </c>
      <c r="AH70" s="10" t="str">
        <f aca="false">IF(AE70=0,"",IFERROR(SMALL($G70:$I70,1),""))</f>
        <v/>
      </c>
      <c r="AI70" s="10" t="str">
        <f aca="false">IF(AE70=0,"",IFERROR(SMALL($G70:$I70,2),""))</f>
        <v/>
      </c>
      <c r="AJ70" s="10" t="str">
        <f aca="false">IF(AE70=0,"",IFERROR(SMALL($G70:$I70,3),""))</f>
        <v/>
      </c>
      <c r="AK70" s="12" t="str">
        <f aca="false">IF(AE70=0,"",IF(AH70="","",IF(AH70=$G70,"Part-Time",IF(AH70=$H70,"Full-Time","Casual"))))</f>
        <v/>
      </c>
      <c r="AL70" s="12" t="str">
        <f aca="false">IF(AE70=0,"",IF(AI70="","",IF(AI70=$G70,"Part-Time",IF(AI70=$H70,"Full-Time","Casual"))))</f>
        <v/>
      </c>
      <c r="AM70" s="12" t="str">
        <f aca="false">IF(AE70=0,"",IF(AJ70="","",IF(AJ70=$G70,"Part-Time",IF(AJ70=$H70,"Full-Time","Casual"))))</f>
        <v/>
      </c>
      <c r="AN70" s="12" t="str">
        <f aca="false">IF(AE70=0,"",IF(AG70=0,IF(OR(ISNUMBER(SEARCH("full",$C70)),UPPER(TRIM($C70))="FT",UPPER(TRIM($C70))="FTE"),"FT",IF(AND(OR(ISNUMBER(SEARCH("part",$C70)),UPPER(TRIM($C70))="PT",UPPER(TRIM($C70))="PTE"),OR($P70="",N($P70)&gt;=PT_MinHours)),"PT","None")),IF(OR(ISNUMBER(SEARCH("full",AK70)),UPPER(TRIM(AK70))="FT",UPPER(TRIM(AK70))="FTE"),"FT",IF(AND(OR(ISNUMBER(SEARCH("part",AK70)),UPPER(TRIM(AK70))="PT",UPPER(TRIM(AK70))="PTE"),OR($P70="",N($P70)&gt;=PT_MinHours)),"PT","None"))))</f>
        <v/>
      </c>
      <c r="AO70" s="12" t="str">
        <f aca="false">IF(AE70=0,"",IF(AG70&lt;2,"",IF(OR(ISNUMBER(SEARCH("full",AL70)),UPPER(TRIM(AL70))="FT",UPPER(TRIM(AL70))="FTE"),"FT",IF(AND(OR(ISNUMBER(SEARCH("part",AL70)),UPPER(TRIM(AL70))="PT",UPPER(TRIM(AL70))="PTE"),OR($P70="",N($P70)&gt;=PT_MinHours)),"PT","None"))))</f>
        <v/>
      </c>
      <c r="AP70" s="12" t="str">
        <f aca="false">IF(AE70=0,"",IF(AG70&lt;3,"",IF(OR(ISNUMBER(SEARCH("full",AM70)),UPPER(TRIM(AM70))="FT",UPPER(TRIM(AM70))="FTE"),"FT",IF(AND(OR(ISNUMBER(SEARCH("part",AM70)),UPPER(TRIM(AM70))="PT",UPPER(TRIM(AM70))="PTE"),OR($P70="",N($P70)&gt;=PT_MinHours)),"PT","None"))))</f>
        <v/>
      </c>
      <c r="AQ70" s="12" t="str">
        <f aca="false">IF(AE70=0,"",IF(AND(AG70&gt;=3,AJ70&lt;=AsOfDate),AP70,IF(AND(AG70&gt;=2,AI70&lt;=AsOfDate),AO70,AN70)))</f>
        <v/>
      </c>
      <c r="AR70" s="12" t="str">
        <f aca="false">IF(AE70=0,"",IF(AsOfDate&lt;AF70,-1,12*(YEAR(AsOfDate)-YEAR(AF70))+MONTH(AsOfDate)-MONTH(AF70)-IF(DAY(AsOfDate)&lt;MIN(DAY(AF70),DAY(EOMONTH(AsOfDate,0))),1,0)))</f>
        <v/>
      </c>
      <c r="AS70" s="12" t="str">
        <f aca="false">IF(AE70=0,"",IF(OR(AG70&lt;2,AI70&gt;AsOfDate),AR70,IF((AI70-1)&lt;AF70,-1,12*(YEAR((AI70-1))-YEAR(AF70))+MONTH((AI70-1))-MONTH(AF70)-IF(DAY((AI70-1))&lt;MIN(DAY(AF70),DAY(EOMONTH((AI70-1),0))),1,0))))</f>
        <v/>
      </c>
      <c r="AT70" s="12" t="str">
        <f aca="false">IF(AE70=0,"",IF(OR(AG70&lt;3,AJ70&gt;AsOfDate),AR70,IF((AJ70-1)&lt;AF70,-1,12*(YEAR((AJ70-1))-YEAR(AF70))+MONTH((AJ70-1))-MONTH(AF70)-IF(DAY((AJ70-1))&lt;MIN(DAY(AF70),DAY(EOMONTH((AJ70-1),0))),1,0))))</f>
        <v/>
      </c>
      <c r="AU70" s="12" t="str">
        <f aca="false">IF(AE70=0,"",IF(PFYDate&lt;AF70,-1,12*(YEAR(PFYDate)-YEAR(AF70))+MONTH(PFYDate)-MONTH(AF70)-IF(DAY(PFYDate)&lt;MIN(DAY(AF70),DAY(EOMONTH(PFYDate,0))),1,0)))</f>
        <v/>
      </c>
      <c r="AV70" s="12" t="str">
        <f aca="false">IF(AE70=0,"",IF(OR(AG70&lt;2,AI70&gt;PFYDate),AU70,IF((AI70-1)&lt;AF70,-1,12*(YEAR((AI70-1))-YEAR(AF70))+MONTH((AI70-1))-MONTH(AF70)-IF(DAY((AI70-1))&lt;MIN(DAY(AF70),DAY(EOMONTH((AI70-1),0))),1,0))))</f>
        <v/>
      </c>
      <c r="AW70" s="12" t="str">
        <f aca="false">IF(AE70=0,"",IF(OR(AG70&lt;3,AJ70&gt;PFYDate),AU70,IF((AJ70-1)&lt;AF70,-1,12*(YEAR((AJ70-1))-YEAR(AF70))+MONTH((AJ70-1))-MONTH(AF70)-IF(DAY((AJ70-1))&lt;MIN(DAY(AF70),DAY(EOMONTH((AJ70-1),0))),1,0))))</f>
        <v/>
      </c>
      <c r="AX70" s="12" t="str">
        <f aca="false">IF(AE70=0,"",IF(AN70="FT",IF(AS70&lt;FT_First,0,IF(AS70&lt;FT_Y5,1+INT((AS70-FT_First)/FT_Int1),FT_PreY5+FT_PerYear*INT((AS70-FT_Y5)/12)+FT_AnnivDays+INT(MOD(AS70-FT_Y5,12)/FT_Int2))),IF(AN70="PT",IF(AS70&lt;PT_First,0,1+INT((AS70-PT_First)/PT_Int)),0))+IF(AND(AG70&gt;=2,AI70&lt;=AsOfDate),IF(AO70="FT",IF(AT70&lt;FT_First,0,IF(AT70&lt;FT_Y5,1+INT((AT70-FT_First)/FT_Int1),FT_PreY5+FT_PerYear*INT((AT70-FT_Y5)/12)+FT_AnnivDays+INT(MOD(AT70-FT_Y5,12)/FT_Int2))),IF(AO70="PT",IF(AT70&lt;PT_First,0,1+INT((AT70-PT_First)/PT_Int)),0))-IF(AO70="FT",IF(AS70&lt;FT_First,0,IF(AS70&lt;FT_Y5,1+INT((AS70-FT_First)/FT_Int1),FT_PreY5+FT_PerYear*INT((AS70-FT_Y5)/12)+FT_AnnivDays+INT(MOD(AS70-FT_Y5,12)/FT_Int2))),IF(AO70="PT",IF(AS70&lt;PT_First,0,1+INT((AS70-PT_First)/PT_Int)),0)),0)+IF(AND(AG70&gt;=3,AJ70&lt;=AsOfDate),IF(AP70="FT",IF(AR70&lt;FT_First,0,IF(AR70&lt;FT_Y5,1+INT((AR70-FT_First)/FT_Int1),FT_PreY5+FT_PerYear*INT((AR70-FT_Y5)/12)+FT_AnnivDays+INT(MOD(AR70-FT_Y5,12)/FT_Int2))),IF(AP70="PT",IF(AR70&lt;PT_First,0,1+INT((AR70-PT_First)/PT_Int)),0))-IF(AP70="FT",IF(AT70&lt;FT_First,0,IF(AT70&lt;FT_Y5,1+INT((AT70-FT_First)/FT_Int1),FT_PreY5+FT_PerYear*INT((AT70-FT_Y5)/12)+FT_AnnivDays+INT(MOD(AT70-FT_Y5,12)/FT_Int2))),IF(AP70="PT",IF(AT70&lt;PT_First,0,1+INT((AT70-PT_First)/PT_Int)),0)),0))</f>
        <v/>
      </c>
      <c r="AY70" s="12" t="str">
        <f aca="false">IF(AE70=0,"",IF(AN70="FT",IF(AV70&lt;FT_First,0,IF(AV70&lt;FT_Y5,1+INT((AV70-FT_First)/FT_Int1),FT_PreY5+FT_PerYear*INT((AV70-FT_Y5)/12)+FT_AnnivDays+INT(MOD(AV70-FT_Y5,12)/FT_Int2))),IF(AN70="PT",IF(AV70&lt;PT_First,0,1+INT((AV70-PT_First)/PT_Int)),0))+IF(AND(AG70&gt;=2,AI70&lt;=PFYDate),IF(AO70="FT",IF(AW70&lt;FT_First,0,IF(AW70&lt;FT_Y5,1+INT((AW70-FT_First)/FT_Int1),FT_PreY5+FT_PerYear*INT((AW70-FT_Y5)/12)+FT_AnnivDays+INT(MOD(AW70-FT_Y5,12)/FT_Int2))),IF(AO70="PT",IF(AW70&lt;PT_First,0,1+INT((AW70-PT_First)/PT_Int)),0))-IF(AO70="FT",IF(AV70&lt;FT_First,0,IF(AV70&lt;FT_Y5,1+INT((AV70-FT_First)/FT_Int1),FT_PreY5+FT_PerYear*INT((AV70-FT_Y5)/12)+FT_AnnivDays+INT(MOD(AV70-FT_Y5,12)/FT_Int2))),IF(AO70="PT",IF(AV70&lt;PT_First,0,1+INT((AV70-PT_First)/PT_Int)),0)),0)+IF(AND(AG70&gt;=3,AJ70&lt;=PFYDate),IF(AP70="FT",IF(AU70&lt;FT_First,0,IF(AU70&lt;FT_Y5,1+INT((AU70-FT_First)/FT_Int1),FT_PreY5+FT_PerYear*INT((AU70-FT_Y5)/12)+FT_AnnivDays+INT(MOD(AU70-FT_Y5,12)/FT_Int2))),IF(AP70="PT",IF(AU70&lt;PT_First,0,1+INT((AU70-PT_First)/PT_Int)),0))-IF(AP70="FT",IF(AW70&lt;FT_First,0,IF(AW70&lt;FT_Y5,1+INT((AW70-FT_First)/FT_Int1),FT_PreY5+FT_PerYear*INT((AW70-FT_Y5)/12)+FT_AnnivDays+INT(MOD(AW70-FT_Y5,12)/FT_Int2))),IF(AP70="PT",IF(AW70&lt;PT_First,0,1+INT((AW70-PT_First)/PT_Int)),0)),0))</f>
        <v/>
      </c>
      <c r="AZ70" s="12" t="str">
        <f aca="false">IF(AE70=0,"",IF(AQ70="FT",IF(AR70&lt;FT_First,FT_First,IF(AR70&lt;FT_Y5,MIN(FT_Y5,FT_First+FT_Int1*(INT((AR70-FT_First)/FT_Int1)+1)),FT_Y5+12*INT((AR70-FT_Y5)/12)+FT_Int2*(INT(MOD(AR70-FT_Y5,12)/FT_Int2)+1))),IF(AQ70="PT",IF(AR70&lt;PT_First,PT_First,PT_First+PT_Int*(INT((AR70-PT_First)/PT_Int)+1)),"")))</f>
        <v/>
      </c>
      <c r="BA70" s="12" t="str">
        <f aca="false">IF(AE70=0,"",IF(NOT(LH_Ready),0,COUNTIFS(INDEX(LH_Data,0,LH_ColFirst),$A70,INDEX(LH_Data,0,LH_ColSur),$B70,INDEX(LH_Data,0,LH_ColCat),BonusCat)))</f>
        <v/>
      </c>
      <c r="BB70" s="12" t="str">
        <f aca="false">IF(AE70=0,"",IF(OR(NOT(LH_Ready),BA70=0),0,SUMPRODUCT(MAX((INDEX(LH_Data,0,LH_ColFirst)=$A70)*(INDEX(LH_Data,0,LH_ColSur)=$B70)*(INDEX(LH_Data,0,LH_ColCat)=BonusCat)*ROW(LH_Data)))))</f>
        <v/>
      </c>
    </row>
    <row r="71" customFormat="false" ht="15" hidden="false" customHeight="false" outlineLevel="0" collapsed="false">
      <c r="A71" s="15"/>
      <c r="B71" s="15"/>
      <c r="C71" s="15"/>
      <c r="D71" s="16"/>
      <c r="E71" s="10" t="str">
        <f aca="false">IF(OR(AE71=0,$D71=""),"",DATE(YEAR(AsOfDate)+IF(DATE(YEAR(AsOfDate),MONTH($D71),DAY($D71))&lt;=AsOfDate,1,0),MONTH($D71),DAY($D71)))</f>
        <v/>
      </c>
      <c r="F71" s="16"/>
      <c r="G71" s="16"/>
      <c r="H71" s="16"/>
      <c r="I71" s="16"/>
      <c r="J71" s="16"/>
      <c r="K71" s="10" t="str">
        <f aca="false">IF(AE71=0,"",DATE(YEAR(AsOfDate)+IF(DATE(YEAR(AsOfDate),MONTH($F71),DAY($F71))&lt;=AsOfDate,1,0),MONTH($F71),DAY($F71)))</f>
        <v/>
      </c>
      <c r="L71" s="11" t="str">
        <f aca="false">IF(AE71=0,"",ROUND((AsOfDate-$F71)/365.25,1))</f>
        <v/>
      </c>
      <c r="M71" s="12" t="str">
        <f aca="false">IF(AE71=0,"",IF(AsOfDate&lt;AF71,"-",DATEDIF(AF71,AsOfDate,"y")&amp;"y "&amp;DATEDIF(AF71,AsOfDate,"ym")&amp;"m "&amp;DATEDIF(AF71,AsOfDate,"md")&amp;"d"))</f>
        <v/>
      </c>
      <c r="N71" s="13" t="str">
        <f aca="false">IF(AE71=0,"",O71*HoursPerDay)</f>
        <v/>
      </c>
      <c r="O71" s="13" t="str">
        <f aca="false">IF(AE71=0,"",AX71)</f>
        <v/>
      </c>
      <c r="P71" s="17"/>
      <c r="Q71" s="12" t="str">
        <f aca="false">IF(AE71=0,"",IF(AG71&lt;2,"",AK71&amp;" to "&amp;AL71&amp;" on "&amp;TEXT(AI71,"dd/mm/yyyy")&amp;IF(AI71&gt;AsOfDate," (future)",IF(AN71=AO71,"",IF(AO71="None"," - STOPPED accruing",IF(AN71="None"," - now qualifying"," - pathway changed"))))&amp;IF(AG71&lt;3,"","; "&amp;AL71&amp;" to "&amp;AM71&amp;" on "&amp;TEXT(AJ71,"dd/mm/yyyy")&amp;IF(AJ71&gt;AsOfDate," (future)",IF(AO71=AP71,"",IF(AP71="None"," - STOPPED accruing",IF(AO71="None"," - now qualifying"," - pathway changed")))))))</f>
        <v/>
      </c>
      <c r="R71" s="12" t="str">
        <f aca="false">IF(AE71=0,"",IF(AQ71="None",IF(O71&gt;0,"No longer accruing","Not eligible - "&amp;IF(AND(OR(ISNUMBER(SEARCH("part",$C71)),UPPER(TRIM($C71))="PT",UPPER(TRIM($C71))="PTE"),$P71&lt;&gt;"",N($P71)&lt;PT_MinHours),"under "&amp;PT_MinHours&amp;" hrs",IF(IF($C71="","",IF(OR(ISNUMBER(SEARCH("full",$C71)),UPPER(TRIM($C71))="FT",UPPER(TRIM($C71))="FTE"),"Full-Time",IF(OR(ISNUMBER(SEARCH("part",$C71)),UPPER(TRIM($C71))="PT",UPPER(TRIM($C71))="PTE"),"Part-Time",IF(OR(ISNUMBER(SEARCH("cas",$C71)),UPPER(TRIM($C71))="CAS"),"Casual","Unknown"))))="Unknown","type not recognised",$C71))),IF(O71&gt;0,"Yes - accruing","Not yet - from "&amp;TEXT(S71,"dd/mm/yyyy"))))</f>
        <v/>
      </c>
      <c r="S71" s="10" t="str">
        <f aca="false">IF(AE71=0,"",IF(AQ71="None","",EDATE(AF71,AZ71)))</f>
        <v/>
      </c>
      <c r="T71" s="13" t="str">
        <f aca="false">IF(OR(AE71=0,W71=""),"",W71-U71+V71)</f>
        <v/>
      </c>
      <c r="U71" s="13" t="str">
        <f aca="false">IF(AE71=0,"",IF(NOT(LH_Ready),"",SUMIFS(INDEX(LH_Data,0,LH_ColAcc),INDEX(LH_Data,0,LH_ColFirst),$A71,INDEX(LH_Data,0,LH_ColSur),$B71,INDEX(LH_Data,0,LH_ColCat),BonusCat)*UnitFactor))</f>
        <v/>
      </c>
      <c r="V71" s="13" t="str">
        <f aca="false">IF(AE71=0,"",IF(NOT(LH_Ready),"",SUMIFS(INDEX(LH_Data,0,LH_ColTaken),INDEX(LH_Data,0,LH_ColFirst),$A71,INDEX(LH_Data,0,LH_ColSur),$B71,INDEX(LH_Data,0,LH_ColCat),BonusCat)*UnitFactor))</f>
        <v/>
      </c>
      <c r="W71" s="13" t="str">
        <f aca="false">IF(AE71=0,"",IF(NOT(LH_Ready),"",IF(BB71=0,0,INDEX(INDEX(LH_Data,0,LH_ColClose),BB71-1)*UnitFactor)))</f>
        <v/>
      </c>
      <c r="X71" s="13" t="str">
        <f aca="false">IF(AE71=0,"",(AX71-AY71)*HoursPerDay)</f>
        <v/>
      </c>
      <c r="Y71" s="13" t="str">
        <f aca="false">IF(AE71=0,"",IF(NOT(LH_Ready),"",IF(BA71=0,N71,X71-N(U71))))</f>
        <v/>
      </c>
      <c r="Z71" s="12" t="str">
        <f aca="false">IF(OR(AE71=0,Y71=""),"",IF(Y71&gt;0,"Yes","No"))</f>
        <v/>
      </c>
      <c r="AA71" s="12" t="str">
        <f aca="false">IF(AE71=0,IF(LEN($A71&amp;$B71)=0,"","FIX INPUT - StartDate missing"),IF(AD71&lt;&gt;"","FIX INPUT - "&amp;AD71,IF(NOT(LH_Ready),"Paste Leave History export (Settings must show YES)",IF(Y71&gt;0,"ACCRUE "&amp;ROUND(Y71,2)&amp;" hrs ("&amp;ROUND(Y71/HoursPerDay,2)&amp;" days)"&amp;IF(BA71=0," - no Bonus Leave in EH yet, full catch-up since start",""),IF(Y71&lt;0,"CHECK - EH accrued "&amp;ROUND(-Y71,2)&amp;""&amp;" hrs more than policy",IF(O71&gt;0,"OK - nothing to add",IF(AQ71="None",R71,"Not yet - first day on "&amp;TEXT(S71,"dd/mm/yyyy"))))))))</f>
        <v/>
      </c>
      <c r="AB71" s="13" t="str">
        <f aca="false">IF(OR(AE71=0,T71=""),"",AY71*HoursPerDay-T71)</f>
        <v/>
      </c>
      <c r="AC71" s="12" t="str">
        <f aca="false">IF(AE71=0,"",BA71)</f>
        <v/>
      </c>
      <c r="AD71" s="12" t="str">
        <f aca="false">IF(AE71=0,"",TRIM(IF(IF($C71="","",IF(OR(ISNUMBER(SEARCH("full",$C71)),UPPER(TRIM($C71))="FT",UPPER(TRIM($C71))="FTE"),"Full-Time",IF(OR(ISNUMBER(SEARCH("part",$C71)),UPPER(TRIM($C71))="PT",UPPER(TRIM($C71))="PTE"),"Part-Time",IF(OR(ISNUMBER(SEARCH("cas",$C71)),UPPER(TRIM($C71))="CAS"),"Casual","Unknown"))))="Unknown","EmploymentType not recognised - use Full-Time, Part-Time or Casual. ","")&amp;IF(AND(AG71&gt;=1,IF(AG71&gt;=3,AM71,IF(AG71=2,AL71,AK71))&lt;&gt;IF($C71="","",IF(OR(ISNUMBER(SEARCH("full",$C71)),UPPER(TRIM($C71))="FT",UPPER(TRIM($C71))="FTE"),"Full-Time",IF(OR(ISNUMBER(SEARCH("part",$C71)),UPPER(TRIM($C71))="PT",UPPER(TRIM($C71))="PTE"),"Part-Time",IF(OR(ISNUMBER(SEARCH("cas",$C71)),UPPER(TRIM($C71))="CAS"),"Casual","Unknown"))))),"EmploymentType does not match latest start date ("&amp;IF(AG71&gt;=3,AM71,IF(AG71=2,AL71,AK71))&amp;"). ","")&amp;IF(AND(AG71&gt;=1,AH71&lt;&gt;$F71),"Earliest type date should equal StartDate. ","")&amp;IF(AND(AG71&gt;=2,AH71=AI71),"Two types start on the same date. ","")&amp;IF(AND(OR(ISNUMBER(SEARCH("part",$C71)),UPPER(TRIM($C71))="PT",UPPER(TRIM($C71))="PTE"),$P71=""),"Part-time: enter PT Hrs/Week (blank = 24+). ","")))</f>
        <v/>
      </c>
      <c r="AE71" s="12" t="n">
        <f aca="false">IF(OR(LEN($A71&amp;$B71)=0,$F71=""),0,1)</f>
        <v>0</v>
      </c>
      <c r="AF71" s="10" t="str">
        <f aca="false">IF(AE71=0,"",IF($J71&lt;&gt;"",$J71,$F71))</f>
        <v/>
      </c>
      <c r="AG71" s="12" t="str">
        <f aca="false">IF(AE71=0,"",COUNT($G71:$I71))</f>
        <v/>
      </c>
      <c r="AH71" s="10" t="str">
        <f aca="false">IF(AE71=0,"",IFERROR(SMALL($G71:$I71,1),""))</f>
        <v/>
      </c>
      <c r="AI71" s="10" t="str">
        <f aca="false">IF(AE71=0,"",IFERROR(SMALL($G71:$I71,2),""))</f>
        <v/>
      </c>
      <c r="AJ71" s="10" t="str">
        <f aca="false">IF(AE71=0,"",IFERROR(SMALL($G71:$I71,3),""))</f>
        <v/>
      </c>
      <c r="AK71" s="12" t="str">
        <f aca="false">IF(AE71=0,"",IF(AH71="","",IF(AH71=$G71,"Part-Time",IF(AH71=$H71,"Full-Time","Casual"))))</f>
        <v/>
      </c>
      <c r="AL71" s="12" t="str">
        <f aca="false">IF(AE71=0,"",IF(AI71="","",IF(AI71=$G71,"Part-Time",IF(AI71=$H71,"Full-Time","Casual"))))</f>
        <v/>
      </c>
      <c r="AM71" s="12" t="str">
        <f aca="false">IF(AE71=0,"",IF(AJ71="","",IF(AJ71=$G71,"Part-Time",IF(AJ71=$H71,"Full-Time","Casual"))))</f>
        <v/>
      </c>
      <c r="AN71" s="12" t="str">
        <f aca="false">IF(AE71=0,"",IF(AG71=0,IF(OR(ISNUMBER(SEARCH("full",$C71)),UPPER(TRIM($C71))="FT",UPPER(TRIM($C71))="FTE"),"FT",IF(AND(OR(ISNUMBER(SEARCH("part",$C71)),UPPER(TRIM($C71))="PT",UPPER(TRIM($C71))="PTE"),OR($P71="",N($P71)&gt;=PT_MinHours)),"PT","None")),IF(OR(ISNUMBER(SEARCH("full",AK71)),UPPER(TRIM(AK71))="FT",UPPER(TRIM(AK71))="FTE"),"FT",IF(AND(OR(ISNUMBER(SEARCH("part",AK71)),UPPER(TRIM(AK71))="PT",UPPER(TRIM(AK71))="PTE"),OR($P71="",N($P71)&gt;=PT_MinHours)),"PT","None"))))</f>
        <v/>
      </c>
      <c r="AO71" s="12" t="str">
        <f aca="false">IF(AE71=0,"",IF(AG71&lt;2,"",IF(OR(ISNUMBER(SEARCH("full",AL71)),UPPER(TRIM(AL71))="FT",UPPER(TRIM(AL71))="FTE"),"FT",IF(AND(OR(ISNUMBER(SEARCH("part",AL71)),UPPER(TRIM(AL71))="PT",UPPER(TRIM(AL71))="PTE"),OR($P71="",N($P71)&gt;=PT_MinHours)),"PT","None"))))</f>
        <v/>
      </c>
      <c r="AP71" s="12" t="str">
        <f aca="false">IF(AE71=0,"",IF(AG71&lt;3,"",IF(OR(ISNUMBER(SEARCH("full",AM71)),UPPER(TRIM(AM71))="FT",UPPER(TRIM(AM71))="FTE"),"FT",IF(AND(OR(ISNUMBER(SEARCH("part",AM71)),UPPER(TRIM(AM71))="PT",UPPER(TRIM(AM71))="PTE"),OR($P71="",N($P71)&gt;=PT_MinHours)),"PT","None"))))</f>
        <v/>
      </c>
      <c r="AQ71" s="12" t="str">
        <f aca="false">IF(AE71=0,"",IF(AND(AG71&gt;=3,AJ71&lt;=AsOfDate),AP71,IF(AND(AG71&gt;=2,AI71&lt;=AsOfDate),AO71,AN71)))</f>
        <v/>
      </c>
      <c r="AR71" s="12" t="str">
        <f aca="false">IF(AE71=0,"",IF(AsOfDate&lt;AF71,-1,12*(YEAR(AsOfDate)-YEAR(AF71))+MONTH(AsOfDate)-MONTH(AF71)-IF(DAY(AsOfDate)&lt;MIN(DAY(AF71),DAY(EOMONTH(AsOfDate,0))),1,0)))</f>
        <v/>
      </c>
      <c r="AS71" s="12" t="str">
        <f aca="false">IF(AE71=0,"",IF(OR(AG71&lt;2,AI71&gt;AsOfDate),AR71,IF((AI71-1)&lt;AF71,-1,12*(YEAR((AI71-1))-YEAR(AF71))+MONTH((AI71-1))-MONTH(AF71)-IF(DAY((AI71-1))&lt;MIN(DAY(AF71),DAY(EOMONTH((AI71-1),0))),1,0))))</f>
        <v/>
      </c>
      <c r="AT71" s="12" t="str">
        <f aca="false">IF(AE71=0,"",IF(OR(AG71&lt;3,AJ71&gt;AsOfDate),AR71,IF((AJ71-1)&lt;AF71,-1,12*(YEAR((AJ71-1))-YEAR(AF71))+MONTH((AJ71-1))-MONTH(AF71)-IF(DAY((AJ71-1))&lt;MIN(DAY(AF71),DAY(EOMONTH((AJ71-1),0))),1,0))))</f>
        <v/>
      </c>
      <c r="AU71" s="12" t="str">
        <f aca="false">IF(AE71=0,"",IF(PFYDate&lt;AF71,-1,12*(YEAR(PFYDate)-YEAR(AF71))+MONTH(PFYDate)-MONTH(AF71)-IF(DAY(PFYDate)&lt;MIN(DAY(AF71),DAY(EOMONTH(PFYDate,0))),1,0)))</f>
        <v/>
      </c>
      <c r="AV71" s="12" t="str">
        <f aca="false">IF(AE71=0,"",IF(OR(AG71&lt;2,AI71&gt;PFYDate),AU71,IF((AI71-1)&lt;AF71,-1,12*(YEAR((AI71-1))-YEAR(AF71))+MONTH((AI71-1))-MONTH(AF71)-IF(DAY((AI71-1))&lt;MIN(DAY(AF71),DAY(EOMONTH((AI71-1),0))),1,0))))</f>
        <v/>
      </c>
      <c r="AW71" s="12" t="str">
        <f aca="false">IF(AE71=0,"",IF(OR(AG71&lt;3,AJ71&gt;PFYDate),AU71,IF((AJ71-1)&lt;AF71,-1,12*(YEAR((AJ71-1))-YEAR(AF71))+MONTH((AJ71-1))-MONTH(AF71)-IF(DAY((AJ71-1))&lt;MIN(DAY(AF71),DAY(EOMONTH((AJ71-1),0))),1,0))))</f>
        <v/>
      </c>
      <c r="AX71" s="12" t="str">
        <f aca="false">IF(AE71=0,"",IF(AN71="FT",IF(AS71&lt;FT_First,0,IF(AS71&lt;FT_Y5,1+INT((AS71-FT_First)/FT_Int1),FT_PreY5+FT_PerYear*INT((AS71-FT_Y5)/12)+FT_AnnivDays+INT(MOD(AS71-FT_Y5,12)/FT_Int2))),IF(AN71="PT",IF(AS71&lt;PT_First,0,1+INT((AS71-PT_First)/PT_Int)),0))+IF(AND(AG71&gt;=2,AI71&lt;=AsOfDate),IF(AO71="FT",IF(AT71&lt;FT_First,0,IF(AT71&lt;FT_Y5,1+INT((AT71-FT_First)/FT_Int1),FT_PreY5+FT_PerYear*INT((AT71-FT_Y5)/12)+FT_AnnivDays+INT(MOD(AT71-FT_Y5,12)/FT_Int2))),IF(AO71="PT",IF(AT71&lt;PT_First,0,1+INT((AT71-PT_First)/PT_Int)),0))-IF(AO71="FT",IF(AS71&lt;FT_First,0,IF(AS71&lt;FT_Y5,1+INT((AS71-FT_First)/FT_Int1),FT_PreY5+FT_PerYear*INT((AS71-FT_Y5)/12)+FT_AnnivDays+INT(MOD(AS71-FT_Y5,12)/FT_Int2))),IF(AO71="PT",IF(AS71&lt;PT_First,0,1+INT((AS71-PT_First)/PT_Int)),0)),0)+IF(AND(AG71&gt;=3,AJ71&lt;=AsOfDate),IF(AP71="FT",IF(AR71&lt;FT_First,0,IF(AR71&lt;FT_Y5,1+INT((AR71-FT_First)/FT_Int1),FT_PreY5+FT_PerYear*INT((AR71-FT_Y5)/12)+FT_AnnivDays+INT(MOD(AR71-FT_Y5,12)/FT_Int2))),IF(AP71="PT",IF(AR71&lt;PT_First,0,1+INT((AR71-PT_First)/PT_Int)),0))-IF(AP71="FT",IF(AT71&lt;FT_First,0,IF(AT71&lt;FT_Y5,1+INT((AT71-FT_First)/FT_Int1),FT_PreY5+FT_PerYear*INT((AT71-FT_Y5)/12)+FT_AnnivDays+INT(MOD(AT71-FT_Y5,12)/FT_Int2))),IF(AP71="PT",IF(AT71&lt;PT_First,0,1+INT((AT71-PT_First)/PT_Int)),0)),0))</f>
        <v/>
      </c>
      <c r="AY71" s="12" t="str">
        <f aca="false">IF(AE71=0,"",IF(AN71="FT",IF(AV71&lt;FT_First,0,IF(AV71&lt;FT_Y5,1+INT((AV71-FT_First)/FT_Int1),FT_PreY5+FT_PerYear*INT((AV71-FT_Y5)/12)+FT_AnnivDays+INT(MOD(AV71-FT_Y5,12)/FT_Int2))),IF(AN71="PT",IF(AV71&lt;PT_First,0,1+INT((AV71-PT_First)/PT_Int)),0))+IF(AND(AG71&gt;=2,AI71&lt;=PFYDate),IF(AO71="FT",IF(AW71&lt;FT_First,0,IF(AW71&lt;FT_Y5,1+INT((AW71-FT_First)/FT_Int1),FT_PreY5+FT_PerYear*INT((AW71-FT_Y5)/12)+FT_AnnivDays+INT(MOD(AW71-FT_Y5,12)/FT_Int2))),IF(AO71="PT",IF(AW71&lt;PT_First,0,1+INT((AW71-PT_First)/PT_Int)),0))-IF(AO71="FT",IF(AV71&lt;FT_First,0,IF(AV71&lt;FT_Y5,1+INT((AV71-FT_First)/FT_Int1),FT_PreY5+FT_PerYear*INT((AV71-FT_Y5)/12)+FT_AnnivDays+INT(MOD(AV71-FT_Y5,12)/FT_Int2))),IF(AO71="PT",IF(AV71&lt;PT_First,0,1+INT((AV71-PT_First)/PT_Int)),0)),0)+IF(AND(AG71&gt;=3,AJ71&lt;=PFYDate),IF(AP71="FT",IF(AU71&lt;FT_First,0,IF(AU71&lt;FT_Y5,1+INT((AU71-FT_First)/FT_Int1),FT_PreY5+FT_PerYear*INT((AU71-FT_Y5)/12)+FT_AnnivDays+INT(MOD(AU71-FT_Y5,12)/FT_Int2))),IF(AP71="PT",IF(AU71&lt;PT_First,0,1+INT((AU71-PT_First)/PT_Int)),0))-IF(AP71="FT",IF(AW71&lt;FT_First,0,IF(AW71&lt;FT_Y5,1+INT((AW71-FT_First)/FT_Int1),FT_PreY5+FT_PerYear*INT((AW71-FT_Y5)/12)+FT_AnnivDays+INT(MOD(AW71-FT_Y5,12)/FT_Int2))),IF(AP71="PT",IF(AW71&lt;PT_First,0,1+INT((AW71-PT_First)/PT_Int)),0)),0))</f>
        <v/>
      </c>
      <c r="AZ71" s="12" t="str">
        <f aca="false">IF(AE71=0,"",IF(AQ71="FT",IF(AR71&lt;FT_First,FT_First,IF(AR71&lt;FT_Y5,MIN(FT_Y5,FT_First+FT_Int1*(INT((AR71-FT_First)/FT_Int1)+1)),FT_Y5+12*INT((AR71-FT_Y5)/12)+FT_Int2*(INT(MOD(AR71-FT_Y5,12)/FT_Int2)+1))),IF(AQ71="PT",IF(AR71&lt;PT_First,PT_First,PT_First+PT_Int*(INT((AR71-PT_First)/PT_Int)+1)),"")))</f>
        <v/>
      </c>
      <c r="BA71" s="12" t="str">
        <f aca="false">IF(AE71=0,"",IF(NOT(LH_Ready),0,COUNTIFS(INDEX(LH_Data,0,LH_ColFirst),$A71,INDEX(LH_Data,0,LH_ColSur),$B71,INDEX(LH_Data,0,LH_ColCat),BonusCat)))</f>
        <v/>
      </c>
      <c r="BB71" s="12" t="str">
        <f aca="false">IF(AE71=0,"",IF(OR(NOT(LH_Ready),BA71=0),0,SUMPRODUCT(MAX((INDEX(LH_Data,0,LH_ColFirst)=$A71)*(INDEX(LH_Data,0,LH_ColSur)=$B71)*(INDEX(LH_Data,0,LH_ColCat)=BonusCat)*ROW(LH_Data)))))</f>
        <v/>
      </c>
    </row>
    <row r="72" customFormat="false" ht="15" hidden="false" customHeight="false" outlineLevel="0" collapsed="false">
      <c r="A72" s="15"/>
      <c r="B72" s="15"/>
      <c r="C72" s="15"/>
      <c r="D72" s="16"/>
      <c r="E72" s="10" t="str">
        <f aca="false">IF(OR(AE72=0,$D72=""),"",DATE(YEAR(AsOfDate)+IF(DATE(YEAR(AsOfDate),MONTH($D72),DAY($D72))&lt;=AsOfDate,1,0),MONTH($D72),DAY($D72)))</f>
        <v/>
      </c>
      <c r="F72" s="16"/>
      <c r="G72" s="16"/>
      <c r="H72" s="16"/>
      <c r="I72" s="16"/>
      <c r="J72" s="16"/>
      <c r="K72" s="10" t="str">
        <f aca="false">IF(AE72=0,"",DATE(YEAR(AsOfDate)+IF(DATE(YEAR(AsOfDate),MONTH($F72),DAY($F72))&lt;=AsOfDate,1,0),MONTH($F72),DAY($F72)))</f>
        <v/>
      </c>
      <c r="L72" s="11" t="str">
        <f aca="false">IF(AE72=0,"",ROUND((AsOfDate-$F72)/365.25,1))</f>
        <v/>
      </c>
      <c r="M72" s="12" t="str">
        <f aca="false">IF(AE72=0,"",IF(AsOfDate&lt;AF72,"-",DATEDIF(AF72,AsOfDate,"y")&amp;"y "&amp;DATEDIF(AF72,AsOfDate,"ym")&amp;"m "&amp;DATEDIF(AF72,AsOfDate,"md")&amp;"d"))</f>
        <v/>
      </c>
      <c r="N72" s="13" t="str">
        <f aca="false">IF(AE72=0,"",O72*HoursPerDay)</f>
        <v/>
      </c>
      <c r="O72" s="13" t="str">
        <f aca="false">IF(AE72=0,"",AX72)</f>
        <v/>
      </c>
      <c r="P72" s="17"/>
      <c r="Q72" s="12" t="str">
        <f aca="false">IF(AE72=0,"",IF(AG72&lt;2,"",AK72&amp;" to "&amp;AL72&amp;" on "&amp;TEXT(AI72,"dd/mm/yyyy")&amp;IF(AI72&gt;AsOfDate," (future)",IF(AN72=AO72,"",IF(AO72="None"," - STOPPED accruing",IF(AN72="None"," - now qualifying"," - pathway changed"))))&amp;IF(AG72&lt;3,"","; "&amp;AL72&amp;" to "&amp;AM72&amp;" on "&amp;TEXT(AJ72,"dd/mm/yyyy")&amp;IF(AJ72&gt;AsOfDate," (future)",IF(AO72=AP72,"",IF(AP72="None"," - STOPPED accruing",IF(AO72="None"," - now qualifying"," - pathway changed")))))))</f>
        <v/>
      </c>
      <c r="R72" s="12" t="str">
        <f aca="false">IF(AE72=0,"",IF(AQ72="None",IF(O72&gt;0,"No longer accruing","Not eligible - "&amp;IF(AND(OR(ISNUMBER(SEARCH("part",$C72)),UPPER(TRIM($C72))="PT",UPPER(TRIM($C72))="PTE"),$P72&lt;&gt;"",N($P72)&lt;PT_MinHours),"under "&amp;PT_MinHours&amp;" hrs",IF(IF($C72="","",IF(OR(ISNUMBER(SEARCH("full",$C72)),UPPER(TRIM($C72))="FT",UPPER(TRIM($C72))="FTE"),"Full-Time",IF(OR(ISNUMBER(SEARCH("part",$C72)),UPPER(TRIM($C72))="PT",UPPER(TRIM($C72))="PTE"),"Part-Time",IF(OR(ISNUMBER(SEARCH("cas",$C72)),UPPER(TRIM($C72))="CAS"),"Casual","Unknown"))))="Unknown","type not recognised",$C72))),IF(O72&gt;0,"Yes - accruing","Not yet - from "&amp;TEXT(S72,"dd/mm/yyyy"))))</f>
        <v/>
      </c>
      <c r="S72" s="10" t="str">
        <f aca="false">IF(AE72=0,"",IF(AQ72="None","",EDATE(AF72,AZ72)))</f>
        <v/>
      </c>
      <c r="T72" s="13" t="str">
        <f aca="false">IF(OR(AE72=0,W72=""),"",W72-U72+V72)</f>
        <v/>
      </c>
      <c r="U72" s="13" t="str">
        <f aca="false">IF(AE72=0,"",IF(NOT(LH_Ready),"",SUMIFS(INDEX(LH_Data,0,LH_ColAcc),INDEX(LH_Data,0,LH_ColFirst),$A72,INDEX(LH_Data,0,LH_ColSur),$B72,INDEX(LH_Data,0,LH_ColCat),BonusCat)*UnitFactor))</f>
        <v/>
      </c>
      <c r="V72" s="13" t="str">
        <f aca="false">IF(AE72=0,"",IF(NOT(LH_Ready),"",SUMIFS(INDEX(LH_Data,0,LH_ColTaken),INDEX(LH_Data,0,LH_ColFirst),$A72,INDEX(LH_Data,0,LH_ColSur),$B72,INDEX(LH_Data,0,LH_ColCat),BonusCat)*UnitFactor))</f>
        <v/>
      </c>
      <c r="W72" s="13" t="str">
        <f aca="false">IF(AE72=0,"",IF(NOT(LH_Ready),"",IF(BB72=0,0,INDEX(INDEX(LH_Data,0,LH_ColClose),BB72-1)*UnitFactor)))</f>
        <v/>
      </c>
      <c r="X72" s="13" t="str">
        <f aca="false">IF(AE72=0,"",(AX72-AY72)*HoursPerDay)</f>
        <v/>
      </c>
      <c r="Y72" s="13" t="str">
        <f aca="false">IF(AE72=0,"",IF(NOT(LH_Ready),"",IF(BA72=0,N72,X72-N(U72))))</f>
        <v/>
      </c>
      <c r="Z72" s="12" t="str">
        <f aca="false">IF(OR(AE72=0,Y72=""),"",IF(Y72&gt;0,"Yes","No"))</f>
        <v/>
      </c>
      <c r="AA72" s="12" t="str">
        <f aca="false">IF(AE72=0,IF(LEN($A72&amp;$B72)=0,"","FIX INPUT - StartDate missing"),IF(AD72&lt;&gt;"","FIX INPUT - "&amp;AD72,IF(NOT(LH_Ready),"Paste Leave History export (Settings must show YES)",IF(Y72&gt;0,"ACCRUE "&amp;ROUND(Y72,2)&amp;" hrs ("&amp;ROUND(Y72/HoursPerDay,2)&amp;" days)"&amp;IF(BA72=0," - no Bonus Leave in EH yet, full catch-up since start",""),IF(Y72&lt;0,"CHECK - EH accrued "&amp;ROUND(-Y72,2)&amp;""&amp;" hrs more than policy",IF(O72&gt;0,"OK - nothing to add",IF(AQ72="None",R72,"Not yet - first day on "&amp;TEXT(S72,"dd/mm/yyyy"))))))))</f>
        <v/>
      </c>
      <c r="AB72" s="13" t="str">
        <f aca="false">IF(OR(AE72=0,T72=""),"",AY72*HoursPerDay-T72)</f>
        <v/>
      </c>
      <c r="AC72" s="12" t="str">
        <f aca="false">IF(AE72=0,"",BA72)</f>
        <v/>
      </c>
      <c r="AD72" s="12" t="str">
        <f aca="false">IF(AE72=0,"",TRIM(IF(IF($C72="","",IF(OR(ISNUMBER(SEARCH("full",$C72)),UPPER(TRIM($C72))="FT",UPPER(TRIM($C72))="FTE"),"Full-Time",IF(OR(ISNUMBER(SEARCH("part",$C72)),UPPER(TRIM($C72))="PT",UPPER(TRIM($C72))="PTE"),"Part-Time",IF(OR(ISNUMBER(SEARCH("cas",$C72)),UPPER(TRIM($C72))="CAS"),"Casual","Unknown"))))="Unknown","EmploymentType not recognised - use Full-Time, Part-Time or Casual. ","")&amp;IF(AND(AG72&gt;=1,IF(AG72&gt;=3,AM72,IF(AG72=2,AL72,AK72))&lt;&gt;IF($C72="","",IF(OR(ISNUMBER(SEARCH("full",$C72)),UPPER(TRIM($C72))="FT",UPPER(TRIM($C72))="FTE"),"Full-Time",IF(OR(ISNUMBER(SEARCH("part",$C72)),UPPER(TRIM($C72))="PT",UPPER(TRIM($C72))="PTE"),"Part-Time",IF(OR(ISNUMBER(SEARCH("cas",$C72)),UPPER(TRIM($C72))="CAS"),"Casual","Unknown"))))),"EmploymentType does not match latest start date ("&amp;IF(AG72&gt;=3,AM72,IF(AG72=2,AL72,AK72))&amp;"). ","")&amp;IF(AND(AG72&gt;=1,AH72&lt;&gt;$F72),"Earliest type date should equal StartDate. ","")&amp;IF(AND(AG72&gt;=2,AH72=AI72),"Two types start on the same date. ","")&amp;IF(AND(OR(ISNUMBER(SEARCH("part",$C72)),UPPER(TRIM($C72))="PT",UPPER(TRIM($C72))="PTE"),$P72=""),"Part-time: enter PT Hrs/Week (blank = 24+). ","")))</f>
        <v/>
      </c>
      <c r="AE72" s="12" t="n">
        <f aca="false">IF(OR(LEN($A72&amp;$B72)=0,$F72=""),0,1)</f>
        <v>0</v>
      </c>
      <c r="AF72" s="10" t="str">
        <f aca="false">IF(AE72=0,"",IF($J72&lt;&gt;"",$J72,$F72))</f>
        <v/>
      </c>
      <c r="AG72" s="12" t="str">
        <f aca="false">IF(AE72=0,"",COUNT($G72:$I72))</f>
        <v/>
      </c>
      <c r="AH72" s="10" t="str">
        <f aca="false">IF(AE72=0,"",IFERROR(SMALL($G72:$I72,1),""))</f>
        <v/>
      </c>
      <c r="AI72" s="10" t="str">
        <f aca="false">IF(AE72=0,"",IFERROR(SMALL($G72:$I72,2),""))</f>
        <v/>
      </c>
      <c r="AJ72" s="10" t="str">
        <f aca="false">IF(AE72=0,"",IFERROR(SMALL($G72:$I72,3),""))</f>
        <v/>
      </c>
      <c r="AK72" s="12" t="str">
        <f aca="false">IF(AE72=0,"",IF(AH72="","",IF(AH72=$G72,"Part-Time",IF(AH72=$H72,"Full-Time","Casual"))))</f>
        <v/>
      </c>
      <c r="AL72" s="12" t="str">
        <f aca="false">IF(AE72=0,"",IF(AI72="","",IF(AI72=$G72,"Part-Time",IF(AI72=$H72,"Full-Time","Casual"))))</f>
        <v/>
      </c>
      <c r="AM72" s="12" t="str">
        <f aca="false">IF(AE72=0,"",IF(AJ72="","",IF(AJ72=$G72,"Part-Time",IF(AJ72=$H72,"Full-Time","Casual"))))</f>
        <v/>
      </c>
      <c r="AN72" s="12" t="str">
        <f aca="false">IF(AE72=0,"",IF(AG72=0,IF(OR(ISNUMBER(SEARCH("full",$C72)),UPPER(TRIM($C72))="FT",UPPER(TRIM($C72))="FTE"),"FT",IF(AND(OR(ISNUMBER(SEARCH("part",$C72)),UPPER(TRIM($C72))="PT",UPPER(TRIM($C72))="PTE"),OR($P72="",N($P72)&gt;=PT_MinHours)),"PT","None")),IF(OR(ISNUMBER(SEARCH("full",AK72)),UPPER(TRIM(AK72))="FT",UPPER(TRIM(AK72))="FTE"),"FT",IF(AND(OR(ISNUMBER(SEARCH("part",AK72)),UPPER(TRIM(AK72))="PT",UPPER(TRIM(AK72))="PTE"),OR($P72="",N($P72)&gt;=PT_MinHours)),"PT","None"))))</f>
        <v/>
      </c>
      <c r="AO72" s="12" t="str">
        <f aca="false">IF(AE72=0,"",IF(AG72&lt;2,"",IF(OR(ISNUMBER(SEARCH("full",AL72)),UPPER(TRIM(AL72))="FT",UPPER(TRIM(AL72))="FTE"),"FT",IF(AND(OR(ISNUMBER(SEARCH("part",AL72)),UPPER(TRIM(AL72))="PT",UPPER(TRIM(AL72))="PTE"),OR($P72="",N($P72)&gt;=PT_MinHours)),"PT","None"))))</f>
        <v/>
      </c>
      <c r="AP72" s="12" t="str">
        <f aca="false">IF(AE72=0,"",IF(AG72&lt;3,"",IF(OR(ISNUMBER(SEARCH("full",AM72)),UPPER(TRIM(AM72))="FT",UPPER(TRIM(AM72))="FTE"),"FT",IF(AND(OR(ISNUMBER(SEARCH("part",AM72)),UPPER(TRIM(AM72))="PT",UPPER(TRIM(AM72))="PTE"),OR($P72="",N($P72)&gt;=PT_MinHours)),"PT","None"))))</f>
        <v/>
      </c>
      <c r="AQ72" s="12" t="str">
        <f aca="false">IF(AE72=0,"",IF(AND(AG72&gt;=3,AJ72&lt;=AsOfDate),AP72,IF(AND(AG72&gt;=2,AI72&lt;=AsOfDate),AO72,AN72)))</f>
        <v/>
      </c>
      <c r="AR72" s="12" t="str">
        <f aca="false">IF(AE72=0,"",IF(AsOfDate&lt;AF72,-1,12*(YEAR(AsOfDate)-YEAR(AF72))+MONTH(AsOfDate)-MONTH(AF72)-IF(DAY(AsOfDate)&lt;MIN(DAY(AF72),DAY(EOMONTH(AsOfDate,0))),1,0)))</f>
        <v/>
      </c>
      <c r="AS72" s="12" t="str">
        <f aca="false">IF(AE72=0,"",IF(OR(AG72&lt;2,AI72&gt;AsOfDate),AR72,IF((AI72-1)&lt;AF72,-1,12*(YEAR((AI72-1))-YEAR(AF72))+MONTH((AI72-1))-MONTH(AF72)-IF(DAY((AI72-1))&lt;MIN(DAY(AF72),DAY(EOMONTH((AI72-1),0))),1,0))))</f>
        <v/>
      </c>
      <c r="AT72" s="12" t="str">
        <f aca="false">IF(AE72=0,"",IF(OR(AG72&lt;3,AJ72&gt;AsOfDate),AR72,IF((AJ72-1)&lt;AF72,-1,12*(YEAR((AJ72-1))-YEAR(AF72))+MONTH((AJ72-1))-MONTH(AF72)-IF(DAY((AJ72-1))&lt;MIN(DAY(AF72),DAY(EOMONTH((AJ72-1),0))),1,0))))</f>
        <v/>
      </c>
      <c r="AU72" s="12" t="str">
        <f aca="false">IF(AE72=0,"",IF(PFYDate&lt;AF72,-1,12*(YEAR(PFYDate)-YEAR(AF72))+MONTH(PFYDate)-MONTH(AF72)-IF(DAY(PFYDate)&lt;MIN(DAY(AF72),DAY(EOMONTH(PFYDate,0))),1,0)))</f>
        <v/>
      </c>
      <c r="AV72" s="12" t="str">
        <f aca="false">IF(AE72=0,"",IF(OR(AG72&lt;2,AI72&gt;PFYDate),AU72,IF((AI72-1)&lt;AF72,-1,12*(YEAR((AI72-1))-YEAR(AF72))+MONTH((AI72-1))-MONTH(AF72)-IF(DAY((AI72-1))&lt;MIN(DAY(AF72),DAY(EOMONTH((AI72-1),0))),1,0))))</f>
        <v/>
      </c>
      <c r="AW72" s="12" t="str">
        <f aca="false">IF(AE72=0,"",IF(OR(AG72&lt;3,AJ72&gt;PFYDate),AU72,IF((AJ72-1)&lt;AF72,-1,12*(YEAR((AJ72-1))-YEAR(AF72))+MONTH((AJ72-1))-MONTH(AF72)-IF(DAY((AJ72-1))&lt;MIN(DAY(AF72),DAY(EOMONTH((AJ72-1),0))),1,0))))</f>
        <v/>
      </c>
      <c r="AX72" s="12" t="str">
        <f aca="false">IF(AE72=0,"",IF(AN72="FT",IF(AS72&lt;FT_First,0,IF(AS72&lt;FT_Y5,1+INT((AS72-FT_First)/FT_Int1),FT_PreY5+FT_PerYear*INT((AS72-FT_Y5)/12)+FT_AnnivDays+INT(MOD(AS72-FT_Y5,12)/FT_Int2))),IF(AN72="PT",IF(AS72&lt;PT_First,0,1+INT((AS72-PT_First)/PT_Int)),0))+IF(AND(AG72&gt;=2,AI72&lt;=AsOfDate),IF(AO72="FT",IF(AT72&lt;FT_First,0,IF(AT72&lt;FT_Y5,1+INT((AT72-FT_First)/FT_Int1),FT_PreY5+FT_PerYear*INT((AT72-FT_Y5)/12)+FT_AnnivDays+INT(MOD(AT72-FT_Y5,12)/FT_Int2))),IF(AO72="PT",IF(AT72&lt;PT_First,0,1+INT((AT72-PT_First)/PT_Int)),0))-IF(AO72="FT",IF(AS72&lt;FT_First,0,IF(AS72&lt;FT_Y5,1+INT((AS72-FT_First)/FT_Int1),FT_PreY5+FT_PerYear*INT((AS72-FT_Y5)/12)+FT_AnnivDays+INT(MOD(AS72-FT_Y5,12)/FT_Int2))),IF(AO72="PT",IF(AS72&lt;PT_First,0,1+INT((AS72-PT_First)/PT_Int)),0)),0)+IF(AND(AG72&gt;=3,AJ72&lt;=AsOfDate),IF(AP72="FT",IF(AR72&lt;FT_First,0,IF(AR72&lt;FT_Y5,1+INT((AR72-FT_First)/FT_Int1),FT_PreY5+FT_PerYear*INT((AR72-FT_Y5)/12)+FT_AnnivDays+INT(MOD(AR72-FT_Y5,12)/FT_Int2))),IF(AP72="PT",IF(AR72&lt;PT_First,0,1+INT((AR72-PT_First)/PT_Int)),0))-IF(AP72="FT",IF(AT72&lt;FT_First,0,IF(AT72&lt;FT_Y5,1+INT((AT72-FT_First)/FT_Int1),FT_PreY5+FT_PerYear*INT((AT72-FT_Y5)/12)+FT_AnnivDays+INT(MOD(AT72-FT_Y5,12)/FT_Int2))),IF(AP72="PT",IF(AT72&lt;PT_First,0,1+INT((AT72-PT_First)/PT_Int)),0)),0))</f>
        <v/>
      </c>
      <c r="AY72" s="12" t="str">
        <f aca="false">IF(AE72=0,"",IF(AN72="FT",IF(AV72&lt;FT_First,0,IF(AV72&lt;FT_Y5,1+INT((AV72-FT_First)/FT_Int1),FT_PreY5+FT_PerYear*INT((AV72-FT_Y5)/12)+FT_AnnivDays+INT(MOD(AV72-FT_Y5,12)/FT_Int2))),IF(AN72="PT",IF(AV72&lt;PT_First,0,1+INT((AV72-PT_First)/PT_Int)),0))+IF(AND(AG72&gt;=2,AI72&lt;=PFYDate),IF(AO72="FT",IF(AW72&lt;FT_First,0,IF(AW72&lt;FT_Y5,1+INT((AW72-FT_First)/FT_Int1),FT_PreY5+FT_PerYear*INT((AW72-FT_Y5)/12)+FT_AnnivDays+INT(MOD(AW72-FT_Y5,12)/FT_Int2))),IF(AO72="PT",IF(AW72&lt;PT_First,0,1+INT((AW72-PT_First)/PT_Int)),0))-IF(AO72="FT",IF(AV72&lt;FT_First,0,IF(AV72&lt;FT_Y5,1+INT((AV72-FT_First)/FT_Int1),FT_PreY5+FT_PerYear*INT((AV72-FT_Y5)/12)+FT_AnnivDays+INT(MOD(AV72-FT_Y5,12)/FT_Int2))),IF(AO72="PT",IF(AV72&lt;PT_First,0,1+INT((AV72-PT_First)/PT_Int)),0)),0)+IF(AND(AG72&gt;=3,AJ72&lt;=PFYDate),IF(AP72="FT",IF(AU72&lt;FT_First,0,IF(AU72&lt;FT_Y5,1+INT((AU72-FT_First)/FT_Int1),FT_PreY5+FT_PerYear*INT((AU72-FT_Y5)/12)+FT_AnnivDays+INT(MOD(AU72-FT_Y5,12)/FT_Int2))),IF(AP72="PT",IF(AU72&lt;PT_First,0,1+INT((AU72-PT_First)/PT_Int)),0))-IF(AP72="FT",IF(AW72&lt;FT_First,0,IF(AW72&lt;FT_Y5,1+INT((AW72-FT_First)/FT_Int1),FT_PreY5+FT_PerYear*INT((AW72-FT_Y5)/12)+FT_AnnivDays+INT(MOD(AW72-FT_Y5,12)/FT_Int2))),IF(AP72="PT",IF(AW72&lt;PT_First,0,1+INT((AW72-PT_First)/PT_Int)),0)),0))</f>
        <v/>
      </c>
      <c r="AZ72" s="12" t="str">
        <f aca="false">IF(AE72=0,"",IF(AQ72="FT",IF(AR72&lt;FT_First,FT_First,IF(AR72&lt;FT_Y5,MIN(FT_Y5,FT_First+FT_Int1*(INT((AR72-FT_First)/FT_Int1)+1)),FT_Y5+12*INT((AR72-FT_Y5)/12)+FT_Int2*(INT(MOD(AR72-FT_Y5,12)/FT_Int2)+1))),IF(AQ72="PT",IF(AR72&lt;PT_First,PT_First,PT_First+PT_Int*(INT((AR72-PT_First)/PT_Int)+1)),"")))</f>
        <v/>
      </c>
      <c r="BA72" s="12" t="str">
        <f aca="false">IF(AE72=0,"",IF(NOT(LH_Ready),0,COUNTIFS(INDEX(LH_Data,0,LH_ColFirst),$A72,INDEX(LH_Data,0,LH_ColSur),$B72,INDEX(LH_Data,0,LH_ColCat),BonusCat)))</f>
        <v/>
      </c>
      <c r="BB72" s="12" t="str">
        <f aca="false">IF(AE72=0,"",IF(OR(NOT(LH_Ready),BA72=0),0,SUMPRODUCT(MAX((INDEX(LH_Data,0,LH_ColFirst)=$A72)*(INDEX(LH_Data,0,LH_ColSur)=$B72)*(INDEX(LH_Data,0,LH_ColCat)=BonusCat)*ROW(LH_Data)))))</f>
        <v/>
      </c>
    </row>
    <row r="73" customFormat="false" ht="15" hidden="false" customHeight="false" outlineLevel="0" collapsed="false">
      <c r="A73" s="15"/>
      <c r="B73" s="15"/>
      <c r="C73" s="15"/>
      <c r="D73" s="16"/>
      <c r="E73" s="10" t="str">
        <f aca="false">IF(OR(AE73=0,$D73=""),"",DATE(YEAR(AsOfDate)+IF(DATE(YEAR(AsOfDate),MONTH($D73),DAY($D73))&lt;=AsOfDate,1,0),MONTH($D73),DAY($D73)))</f>
        <v/>
      </c>
      <c r="F73" s="16"/>
      <c r="G73" s="16"/>
      <c r="H73" s="16"/>
      <c r="I73" s="16"/>
      <c r="J73" s="16"/>
      <c r="K73" s="10" t="str">
        <f aca="false">IF(AE73=0,"",DATE(YEAR(AsOfDate)+IF(DATE(YEAR(AsOfDate),MONTH($F73),DAY($F73))&lt;=AsOfDate,1,0),MONTH($F73),DAY($F73)))</f>
        <v/>
      </c>
      <c r="L73" s="11" t="str">
        <f aca="false">IF(AE73=0,"",ROUND((AsOfDate-$F73)/365.25,1))</f>
        <v/>
      </c>
      <c r="M73" s="12" t="str">
        <f aca="false">IF(AE73=0,"",IF(AsOfDate&lt;AF73,"-",DATEDIF(AF73,AsOfDate,"y")&amp;"y "&amp;DATEDIF(AF73,AsOfDate,"ym")&amp;"m "&amp;DATEDIF(AF73,AsOfDate,"md")&amp;"d"))</f>
        <v/>
      </c>
      <c r="N73" s="13" t="str">
        <f aca="false">IF(AE73=0,"",O73*HoursPerDay)</f>
        <v/>
      </c>
      <c r="O73" s="13" t="str">
        <f aca="false">IF(AE73=0,"",AX73)</f>
        <v/>
      </c>
      <c r="P73" s="17"/>
      <c r="Q73" s="12" t="str">
        <f aca="false">IF(AE73=0,"",IF(AG73&lt;2,"",AK73&amp;" to "&amp;AL73&amp;" on "&amp;TEXT(AI73,"dd/mm/yyyy")&amp;IF(AI73&gt;AsOfDate," (future)",IF(AN73=AO73,"",IF(AO73="None"," - STOPPED accruing",IF(AN73="None"," - now qualifying"," - pathway changed"))))&amp;IF(AG73&lt;3,"","; "&amp;AL73&amp;" to "&amp;AM73&amp;" on "&amp;TEXT(AJ73,"dd/mm/yyyy")&amp;IF(AJ73&gt;AsOfDate," (future)",IF(AO73=AP73,"",IF(AP73="None"," - STOPPED accruing",IF(AO73="None"," - now qualifying"," - pathway changed")))))))</f>
        <v/>
      </c>
      <c r="R73" s="12" t="str">
        <f aca="false">IF(AE73=0,"",IF(AQ73="None",IF(O73&gt;0,"No longer accruing","Not eligible - "&amp;IF(AND(OR(ISNUMBER(SEARCH("part",$C73)),UPPER(TRIM($C73))="PT",UPPER(TRIM($C73))="PTE"),$P73&lt;&gt;"",N($P73)&lt;PT_MinHours),"under "&amp;PT_MinHours&amp;" hrs",IF(IF($C73="","",IF(OR(ISNUMBER(SEARCH("full",$C73)),UPPER(TRIM($C73))="FT",UPPER(TRIM($C73))="FTE"),"Full-Time",IF(OR(ISNUMBER(SEARCH("part",$C73)),UPPER(TRIM($C73))="PT",UPPER(TRIM($C73))="PTE"),"Part-Time",IF(OR(ISNUMBER(SEARCH("cas",$C73)),UPPER(TRIM($C73))="CAS"),"Casual","Unknown"))))="Unknown","type not recognised",$C73))),IF(O73&gt;0,"Yes - accruing","Not yet - from "&amp;TEXT(S73,"dd/mm/yyyy"))))</f>
        <v/>
      </c>
      <c r="S73" s="10" t="str">
        <f aca="false">IF(AE73=0,"",IF(AQ73="None","",EDATE(AF73,AZ73)))</f>
        <v/>
      </c>
      <c r="T73" s="13" t="str">
        <f aca="false">IF(OR(AE73=0,W73=""),"",W73-U73+V73)</f>
        <v/>
      </c>
      <c r="U73" s="13" t="str">
        <f aca="false">IF(AE73=0,"",IF(NOT(LH_Ready),"",SUMIFS(INDEX(LH_Data,0,LH_ColAcc),INDEX(LH_Data,0,LH_ColFirst),$A73,INDEX(LH_Data,0,LH_ColSur),$B73,INDEX(LH_Data,0,LH_ColCat),BonusCat)*UnitFactor))</f>
        <v/>
      </c>
      <c r="V73" s="13" t="str">
        <f aca="false">IF(AE73=0,"",IF(NOT(LH_Ready),"",SUMIFS(INDEX(LH_Data,0,LH_ColTaken),INDEX(LH_Data,0,LH_ColFirst),$A73,INDEX(LH_Data,0,LH_ColSur),$B73,INDEX(LH_Data,0,LH_ColCat),BonusCat)*UnitFactor))</f>
        <v/>
      </c>
      <c r="W73" s="13" t="str">
        <f aca="false">IF(AE73=0,"",IF(NOT(LH_Ready),"",IF(BB73=0,0,INDEX(INDEX(LH_Data,0,LH_ColClose),BB73-1)*UnitFactor)))</f>
        <v/>
      </c>
      <c r="X73" s="13" t="str">
        <f aca="false">IF(AE73=0,"",(AX73-AY73)*HoursPerDay)</f>
        <v/>
      </c>
      <c r="Y73" s="13" t="str">
        <f aca="false">IF(AE73=0,"",IF(NOT(LH_Ready),"",IF(BA73=0,N73,X73-N(U73))))</f>
        <v/>
      </c>
      <c r="Z73" s="12" t="str">
        <f aca="false">IF(OR(AE73=0,Y73=""),"",IF(Y73&gt;0,"Yes","No"))</f>
        <v/>
      </c>
      <c r="AA73" s="12" t="str">
        <f aca="false">IF(AE73=0,IF(LEN($A73&amp;$B73)=0,"","FIX INPUT - StartDate missing"),IF(AD73&lt;&gt;"","FIX INPUT - "&amp;AD73,IF(NOT(LH_Ready),"Paste Leave History export (Settings must show YES)",IF(Y73&gt;0,"ACCRUE "&amp;ROUND(Y73,2)&amp;" hrs ("&amp;ROUND(Y73/HoursPerDay,2)&amp;" days)"&amp;IF(BA73=0," - no Bonus Leave in EH yet, full catch-up since start",""),IF(Y73&lt;0,"CHECK - EH accrued "&amp;ROUND(-Y73,2)&amp;""&amp;" hrs more than policy",IF(O73&gt;0,"OK - nothing to add",IF(AQ73="None",R73,"Not yet - first day on "&amp;TEXT(S73,"dd/mm/yyyy"))))))))</f>
        <v/>
      </c>
      <c r="AB73" s="13" t="str">
        <f aca="false">IF(OR(AE73=0,T73=""),"",AY73*HoursPerDay-T73)</f>
        <v/>
      </c>
      <c r="AC73" s="12" t="str">
        <f aca="false">IF(AE73=0,"",BA73)</f>
        <v/>
      </c>
      <c r="AD73" s="12" t="str">
        <f aca="false">IF(AE73=0,"",TRIM(IF(IF($C73="","",IF(OR(ISNUMBER(SEARCH("full",$C73)),UPPER(TRIM($C73))="FT",UPPER(TRIM($C73))="FTE"),"Full-Time",IF(OR(ISNUMBER(SEARCH("part",$C73)),UPPER(TRIM($C73))="PT",UPPER(TRIM($C73))="PTE"),"Part-Time",IF(OR(ISNUMBER(SEARCH("cas",$C73)),UPPER(TRIM($C73))="CAS"),"Casual","Unknown"))))="Unknown","EmploymentType not recognised - use Full-Time, Part-Time or Casual. ","")&amp;IF(AND(AG73&gt;=1,IF(AG73&gt;=3,AM73,IF(AG73=2,AL73,AK73))&lt;&gt;IF($C73="","",IF(OR(ISNUMBER(SEARCH("full",$C73)),UPPER(TRIM($C73))="FT",UPPER(TRIM($C73))="FTE"),"Full-Time",IF(OR(ISNUMBER(SEARCH("part",$C73)),UPPER(TRIM($C73))="PT",UPPER(TRIM($C73))="PTE"),"Part-Time",IF(OR(ISNUMBER(SEARCH("cas",$C73)),UPPER(TRIM($C73))="CAS"),"Casual","Unknown"))))),"EmploymentType does not match latest start date ("&amp;IF(AG73&gt;=3,AM73,IF(AG73=2,AL73,AK73))&amp;"). ","")&amp;IF(AND(AG73&gt;=1,AH73&lt;&gt;$F73),"Earliest type date should equal StartDate. ","")&amp;IF(AND(AG73&gt;=2,AH73=AI73),"Two types start on the same date. ","")&amp;IF(AND(OR(ISNUMBER(SEARCH("part",$C73)),UPPER(TRIM($C73))="PT",UPPER(TRIM($C73))="PTE"),$P73=""),"Part-time: enter PT Hrs/Week (blank = 24+). ","")))</f>
        <v/>
      </c>
      <c r="AE73" s="12" t="n">
        <f aca="false">IF(OR(LEN($A73&amp;$B73)=0,$F73=""),0,1)</f>
        <v>0</v>
      </c>
      <c r="AF73" s="10" t="str">
        <f aca="false">IF(AE73=0,"",IF($J73&lt;&gt;"",$J73,$F73))</f>
        <v/>
      </c>
      <c r="AG73" s="12" t="str">
        <f aca="false">IF(AE73=0,"",COUNT($G73:$I73))</f>
        <v/>
      </c>
      <c r="AH73" s="10" t="str">
        <f aca="false">IF(AE73=0,"",IFERROR(SMALL($G73:$I73,1),""))</f>
        <v/>
      </c>
      <c r="AI73" s="10" t="str">
        <f aca="false">IF(AE73=0,"",IFERROR(SMALL($G73:$I73,2),""))</f>
        <v/>
      </c>
      <c r="AJ73" s="10" t="str">
        <f aca="false">IF(AE73=0,"",IFERROR(SMALL($G73:$I73,3),""))</f>
        <v/>
      </c>
      <c r="AK73" s="12" t="str">
        <f aca="false">IF(AE73=0,"",IF(AH73="","",IF(AH73=$G73,"Part-Time",IF(AH73=$H73,"Full-Time","Casual"))))</f>
        <v/>
      </c>
      <c r="AL73" s="12" t="str">
        <f aca="false">IF(AE73=0,"",IF(AI73="","",IF(AI73=$G73,"Part-Time",IF(AI73=$H73,"Full-Time","Casual"))))</f>
        <v/>
      </c>
      <c r="AM73" s="12" t="str">
        <f aca="false">IF(AE73=0,"",IF(AJ73="","",IF(AJ73=$G73,"Part-Time",IF(AJ73=$H73,"Full-Time","Casual"))))</f>
        <v/>
      </c>
      <c r="AN73" s="12" t="str">
        <f aca="false">IF(AE73=0,"",IF(AG73=0,IF(OR(ISNUMBER(SEARCH("full",$C73)),UPPER(TRIM($C73))="FT",UPPER(TRIM($C73))="FTE"),"FT",IF(AND(OR(ISNUMBER(SEARCH("part",$C73)),UPPER(TRIM($C73))="PT",UPPER(TRIM($C73))="PTE"),OR($P73="",N($P73)&gt;=PT_MinHours)),"PT","None")),IF(OR(ISNUMBER(SEARCH("full",AK73)),UPPER(TRIM(AK73))="FT",UPPER(TRIM(AK73))="FTE"),"FT",IF(AND(OR(ISNUMBER(SEARCH("part",AK73)),UPPER(TRIM(AK73))="PT",UPPER(TRIM(AK73))="PTE"),OR($P73="",N($P73)&gt;=PT_MinHours)),"PT","None"))))</f>
        <v/>
      </c>
      <c r="AO73" s="12" t="str">
        <f aca="false">IF(AE73=0,"",IF(AG73&lt;2,"",IF(OR(ISNUMBER(SEARCH("full",AL73)),UPPER(TRIM(AL73))="FT",UPPER(TRIM(AL73))="FTE"),"FT",IF(AND(OR(ISNUMBER(SEARCH("part",AL73)),UPPER(TRIM(AL73))="PT",UPPER(TRIM(AL73))="PTE"),OR($P73="",N($P73)&gt;=PT_MinHours)),"PT","None"))))</f>
        <v/>
      </c>
      <c r="AP73" s="12" t="str">
        <f aca="false">IF(AE73=0,"",IF(AG73&lt;3,"",IF(OR(ISNUMBER(SEARCH("full",AM73)),UPPER(TRIM(AM73))="FT",UPPER(TRIM(AM73))="FTE"),"FT",IF(AND(OR(ISNUMBER(SEARCH("part",AM73)),UPPER(TRIM(AM73))="PT",UPPER(TRIM(AM73))="PTE"),OR($P73="",N($P73)&gt;=PT_MinHours)),"PT","None"))))</f>
        <v/>
      </c>
      <c r="AQ73" s="12" t="str">
        <f aca="false">IF(AE73=0,"",IF(AND(AG73&gt;=3,AJ73&lt;=AsOfDate),AP73,IF(AND(AG73&gt;=2,AI73&lt;=AsOfDate),AO73,AN73)))</f>
        <v/>
      </c>
      <c r="AR73" s="12" t="str">
        <f aca="false">IF(AE73=0,"",IF(AsOfDate&lt;AF73,-1,12*(YEAR(AsOfDate)-YEAR(AF73))+MONTH(AsOfDate)-MONTH(AF73)-IF(DAY(AsOfDate)&lt;MIN(DAY(AF73),DAY(EOMONTH(AsOfDate,0))),1,0)))</f>
        <v/>
      </c>
      <c r="AS73" s="12" t="str">
        <f aca="false">IF(AE73=0,"",IF(OR(AG73&lt;2,AI73&gt;AsOfDate),AR73,IF((AI73-1)&lt;AF73,-1,12*(YEAR((AI73-1))-YEAR(AF73))+MONTH((AI73-1))-MONTH(AF73)-IF(DAY((AI73-1))&lt;MIN(DAY(AF73),DAY(EOMONTH((AI73-1),0))),1,0))))</f>
        <v/>
      </c>
      <c r="AT73" s="12" t="str">
        <f aca="false">IF(AE73=0,"",IF(OR(AG73&lt;3,AJ73&gt;AsOfDate),AR73,IF((AJ73-1)&lt;AF73,-1,12*(YEAR((AJ73-1))-YEAR(AF73))+MONTH((AJ73-1))-MONTH(AF73)-IF(DAY((AJ73-1))&lt;MIN(DAY(AF73),DAY(EOMONTH((AJ73-1),0))),1,0))))</f>
        <v/>
      </c>
      <c r="AU73" s="12" t="str">
        <f aca="false">IF(AE73=0,"",IF(PFYDate&lt;AF73,-1,12*(YEAR(PFYDate)-YEAR(AF73))+MONTH(PFYDate)-MONTH(AF73)-IF(DAY(PFYDate)&lt;MIN(DAY(AF73),DAY(EOMONTH(PFYDate,0))),1,0)))</f>
        <v/>
      </c>
      <c r="AV73" s="12" t="str">
        <f aca="false">IF(AE73=0,"",IF(OR(AG73&lt;2,AI73&gt;PFYDate),AU73,IF((AI73-1)&lt;AF73,-1,12*(YEAR((AI73-1))-YEAR(AF73))+MONTH((AI73-1))-MONTH(AF73)-IF(DAY((AI73-1))&lt;MIN(DAY(AF73),DAY(EOMONTH((AI73-1),0))),1,0))))</f>
        <v/>
      </c>
      <c r="AW73" s="12" t="str">
        <f aca="false">IF(AE73=0,"",IF(OR(AG73&lt;3,AJ73&gt;PFYDate),AU73,IF((AJ73-1)&lt;AF73,-1,12*(YEAR((AJ73-1))-YEAR(AF73))+MONTH((AJ73-1))-MONTH(AF73)-IF(DAY((AJ73-1))&lt;MIN(DAY(AF73),DAY(EOMONTH((AJ73-1),0))),1,0))))</f>
        <v/>
      </c>
      <c r="AX73" s="12" t="str">
        <f aca="false">IF(AE73=0,"",IF(AN73="FT",IF(AS73&lt;FT_First,0,IF(AS73&lt;FT_Y5,1+INT((AS73-FT_First)/FT_Int1),FT_PreY5+FT_PerYear*INT((AS73-FT_Y5)/12)+FT_AnnivDays+INT(MOD(AS73-FT_Y5,12)/FT_Int2))),IF(AN73="PT",IF(AS73&lt;PT_First,0,1+INT((AS73-PT_First)/PT_Int)),0))+IF(AND(AG73&gt;=2,AI73&lt;=AsOfDate),IF(AO73="FT",IF(AT73&lt;FT_First,0,IF(AT73&lt;FT_Y5,1+INT((AT73-FT_First)/FT_Int1),FT_PreY5+FT_PerYear*INT((AT73-FT_Y5)/12)+FT_AnnivDays+INT(MOD(AT73-FT_Y5,12)/FT_Int2))),IF(AO73="PT",IF(AT73&lt;PT_First,0,1+INT((AT73-PT_First)/PT_Int)),0))-IF(AO73="FT",IF(AS73&lt;FT_First,0,IF(AS73&lt;FT_Y5,1+INT((AS73-FT_First)/FT_Int1),FT_PreY5+FT_PerYear*INT((AS73-FT_Y5)/12)+FT_AnnivDays+INT(MOD(AS73-FT_Y5,12)/FT_Int2))),IF(AO73="PT",IF(AS73&lt;PT_First,0,1+INT((AS73-PT_First)/PT_Int)),0)),0)+IF(AND(AG73&gt;=3,AJ73&lt;=AsOfDate),IF(AP73="FT",IF(AR73&lt;FT_First,0,IF(AR73&lt;FT_Y5,1+INT((AR73-FT_First)/FT_Int1),FT_PreY5+FT_PerYear*INT((AR73-FT_Y5)/12)+FT_AnnivDays+INT(MOD(AR73-FT_Y5,12)/FT_Int2))),IF(AP73="PT",IF(AR73&lt;PT_First,0,1+INT((AR73-PT_First)/PT_Int)),0))-IF(AP73="FT",IF(AT73&lt;FT_First,0,IF(AT73&lt;FT_Y5,1+INT((AT73-FT_First)/FT_Int1),FT_PreY5+FT_PerYear*INT((AT73-FT_Y5)/12)+FT_AnnivDays+INT(MOD(AT73-FT_Y5,12)/FT_Int2))),IF(AP73="PT",IF(AT73&lt;PT_First,0,1+INT((AT73-PT_First)/PT_Int)),0)),0))</f>
        <v/>
      </c>
      <c r="AY73" s="12" t="str">
        <f aca="false">IF(AE73=0,"",IF(AN73="FT",IF(AV73&lt;FT_First,0,IF(AV73&lt;FT_Y5,1+INT((AV73-FT_First)/FT_Int1),FT_PreY5+FT_PerYear*INT((AV73-FT_Y5)/12)+FT_AnnivDays+INT(MOD(AV73-FT_Y5,12)/FT_Int2))),IF(AN73="PT",IF(AV73&lt;PT_First,0,1+INT((AV73-PT_First)/PT_Int)),0))+IF(AND(AG73&gt;=2,AI73&lt;=PFYDate),IF(AO73="FT",IF(AW73&lt;FT_First,0,IF(AW73&lt;FT_Y5,1+INT((AW73-FT_First)/FT_Int1),FT_PreY5+FT_PerYear*INT((AW73-FT_Y5)/12)+FT_AnnivDays+INT(MOD(AW73-FT_Y5,12)/FT_Int2))),IF(AO73="PT",IF(AW73&lt;PT_First,0,1+INT((AW73-PT_First)/PT_Int)),0))-IF(AO73="FT",IF(AV73&lt;FT_First,0,IF(AV73&lt;FT_Y5,1+INT((AV73-FT_First)/FT_Int1),FT_PreY5+FT_PerYear*INT((AV73-FT_Y5)/12)+FT_AnnivDays+INT(MOD(AV73-FT_Y5,12)/FT_Int2))),IF(AO73="PT",IF(AV73&lt;PT_First,0,1+INT((AV73-PT_First)/PT_Int)),0)),0)+IF(AND(AG73&gt;=3,AJ73&lt;=PFYDate),IF(AP73="FT",IF(AU73&lt;FT_First,0,IF(AU73&lt;FT_Y5,1+INT((AU73-FT_First)/FT_Int1),FT_PreY5+FT_PerYear*INT((AU73-FT_Y5)/12)+FT_AnnivDays+INT(MOD(AU73-FT_Y5,12)/FT_Int2))),IF(AP73="PT",IF(AU73&lt;PT_First,0,1+INT((AU73-PT_First)/PT_Int)),0))-IF(AP73="FT",IF(AW73&lt;FT_First,0,IF(AW73&lt;FT_Y5,1+INT((AW73-FT_First)/FT_Int1),FT_PreY5+FT_PerYear*INT((AW73-FT_Y5)/12)+FT_AnnivDays+INT(MOD(AW73-FT_Y5,12)/FT_Int2))),IF(AP73="PT",IF(AW73&lt;PT_First,0,1+INT((AW73-PT_First)/PT_Int)),0)),0))</f>
        <v/>
      </c>
      <c r="AZ73" s="12" t="str">
        <f aca="false">IF(AE73=0,"",IF(AQ73="FT",IF(AR73&lt;FT_First,FT_First,IF(AR73&lt;FT_Y5,MIN(FT_Y5,FT_First+FT_Int1*(INT((AR73-FT_First)/FT_Int1)+1)),FT_Y5+12*INT((AR73-FT_Y5)/12)+FT_Int2*(INT(MOD(AR73-FT_Y5,12)/FT_Int2)+1))),IF(AQ73="PT",IF(AR73&lt;PT_First,PT_First,PT_First+PT_Int*(INT((AR73-PT_First)/PT_Int)+1)),"")))</f>
        <v/>
      </c>
      <c r="BA73" s="12" t="str">
        <f aca="false">IF(AE73=0,"",IF(NOT(LH_Ready),0,COUNTIFS(INDEX(LH_Data,0,LH_ColFirst),$A73,INDEX(LH_Data,0,LH_ColSur),$B73,INDEX(LH_Data,0,LH_ColCat),BonusCat)))</f>
        <v/>
      </c>
      <c r="BB73" s="12" t="str">
        <f aca="false">IF(AE73=0,"",IF(OR(NOT(LH_Ready),BA73=0),0,SUMPRODUCT(MAX((INDEX(LH_Data,0,LH_ColFirst)=$A73)*(INDEX(LH_Data,0,LH_ColSur)=$B73)*(INDEX(LH_Data,0,LH_ColCat)=BonusCat)*ROW(LH_Data)))))</f>
        <v/>
      </c>
    </row>
    <row r="74" customFormat="false" ht="15" hidden="false" customHeight="false" outlineLevel="0" collapsed="false">
      <c r="A74" s="15"/>
      <c r="B74" s="15"/>
      <c r="C74" s="15"/>
      <c r="D74" s="16"/>
      <c r="E74" s="10" t="str">
        <f aca="false">IF(OR(AE74=0,$D74=""),"",DATE(YEAR(AsOfDate)+IF(DATE(YEAR(AsOfDate),MONTH($D74),DAY($D74))&lt;=AsOfDate,1,0),MONTH($D74),DAY($D74)))</f>
        <v/>
      </c>
      <c r="F74" s="16"/>
      <c r="G74" s="16"/>
      <c r="H74" s="16"/>
      <c r="I74" s="16"/>
      <c r="J74" s="16"/>
      <c r="K74" s="10" t="str">
        <f aca="false">IF(AE74=0,"",DATE(YEAR(AsOfDate)+IF(DATE(YEAR(AsOfDate),MONTH($F74),DAY($F74))&lt;=AsOfDate,1,0),MONTH($F74),DAY($F74)))</f>
        <v/>
      </c>
      <c r="L74" s="11" t="str">
        <f aca="false">IF(AE74=0,"",ROUND((AsOfDate-$F74)/365.25,1))</f>
        <v/>
      </c>
      <c r="M74" s="12" t="str">
        <f aca="false">IF(AE74=0,"",IF(AsOfDate&lt;AF74,"-",DATEDIF(AF74,AsOfDate,"y")&amp;"y "&amp;DATEDIF(AF74,AsOfDate,"ym")&amp;"m "&amp;DATEDIF(AF74,AsOfDate,"md")&amp;"d"))</f>
        <v/>
      </c>
      <c r="N74" s="13" t="str">
        <f aca="false">IF(AE74=0,"",O74*HoursPerDay)</f>
        <v/>
      </c>
      <c r="O74" s="13" t="str">
        <f aca="false">IF(AE74=0,"",AX74)</f>
        <v/>
      </c>
      <c r="P74" s="17"/>
      <c r="Q74" s="12" t="str">
        <f aca="false">IF(AE74=0,"",IF(AG74&lt;2,"",AK74&amp;" to "&amp;AL74&amp;" on "&amp;TEXT(AI74,"dd/mm/yyyy")&amp;IF(AI74&gt;AsOfDate," (future)",IF(AN74=AO74,"",IF(AO74="None"," - STOPPED accruing",IF(AN74="None"," - now qualifying"," - pathway changed"))))&amp;IF(AG74&lt;3,"","; "&amp;AL74&amp;" to "&amp;AM74&amp;" on "&amp;TEXT(AJ74,"dd/mm/yyyy")&amp;IF(AJ74&gt;AsOfDate," (future)",IF(AO74=AP74,"",IF(AP74="None"," - STOPPED accruing",IF(AO74="None"," - now qualifying"," - pathway changed")))))))</f>
        <v/>
      </c>
      <c r="R74" s="12" t="str">
        <f aca="false">IF(AE74=0,"",IF(AQ74="None",IF(O74&gt;0,"No longer accruing","Not eligible - "&amp;IF(AND(OR(ISNUMBER(SEARCH("part",$C74)),UPPER(TRIM($C74))="PT",UPPER(TRIM($C74))="PTE"),$P74&lt;&gt;"",N($P74)&lt;PT_MinHours),"under "&amp;PT_MinHours&amp;" hrs",IF(IF($C74="","",IF(OR(ISNUMBER(SEARCH("full",$C74)),UPPER(TRIM($C74))="FT",UPPER(TRIM($C74))="FTE"),"Full-Time",IF(OR(ISNUMBER(SEARCH("part",$C74)),UPPER(TRIM($C74))="PT",UPPER(TRIM($C74))="PTE"),"Part-Time",IF(OR(ISNUMBER(SEARCH("cas",$C74)),UPPER(TRIM($C74))="CAS"),"Casual","Unknown"))))="Unknown","type not recognised",$C74))),IF(O74&gt;0,"Yes - accruing","Not yet - from "&amp;TEXT(S74,"dd/mm/yyyy"))))</f>
        <v/>
      </c>
      <c r="S74" s="10" t="str">
        <f aca="false">IF(AE74=0,"",IF(AQ74="None","",EDATE(AF74,AZ74)))</f>
        <v/>
      </c>
      <c r="T74" s="13" t="str">
        <f aca="false">IF(OR(AE74=0,W74=""),"",W74-U74+V74)</f>
        <v/>
      </c>
      <c r="U74" s="13" t="str">
        <f aca="false">IF(AE74=0,"",IF(NOT(LH_Ready),"",SUMIFS(INDEX(LH_Data,0,LH_ColAcc),INDEX(LH_Data,0,LH_ColFirst),$A74,INDEX(LH_Data,0,LH_ColSur),$B74,INDEX(LH_Data,0,LH_ColCat),BonusCat)*UnitFactor))</f>
        <v/>
      </c>
      <c r="V74" s="13" t="str">
        <f aca="false">IF(AE74=0,"",IF(NOT(LH_Ready),"",SUMIFS(INDEX(LH_Data,0,LH_ColTaken),INDEX(LH_Data,0,LH_ColFirst),$A74,INDEX(LH_Data,0,LH_ColSur),$B74,INDEX(LH_Data,0,LH_ColCat),BonusCat)*UnitFactor))</f>
        <v/>
      </c>
      <c r="W74" s="13" t="str">
        <f aca="false">IF(AE74=0,"",IF(NOT(LH_Ready),"",IF(BB74=0,0,INDEX(INDEX(LH_Data,0,LH_ColClose),BB74-1)*UnitFactor)))</f>
        <v/>
      </c>
      <c r="X74" s="13" t="str">
        <f aca="false">IF(AE74=0,"",(AX74-AY74)*HoursPerDay)</f>
        <v/>
      </c>
      <c r="Y74" s="13" t="str">
        <f aca="false">IF(AE74=0,"",IF(NOT(LH_Ready),"",IF(BA74=0,N74,X74-N(U74))))</f>
        <v/>
      </c>
      <c r="Z74" s="12" t="str">
        <f aca="false">IF(OR(AE74=0,Y74=""),"",IF(Y74&gt;0,"Yes","No"))</f>
        <v/>
      </c>
      <c r="AA74" s="12" t="str">
        <f aca="false">IF(AE74=0,IF(LEN($A74&amp;$B74)=0,"","FIX INPUT - StartDate missing"),IF(AD74&lt;&gt;"","FIX INPUT - "&amp;AD74,IF(NOT(LH_Ready),"Paste Leave History export (Settings must show YES)",IF(Y74&gt;0,"ACCRUE "&amp;ROUND(Y74,2)&amp;" hrs ("&amp;ROUND(Y74/HoursPerDay,2)&amp;" days)"&amp;IF(BA74=0," - no Bonus Leave in EH yet, full catch-up since start",""),IF(Y74&lt;0,"CHECK - EH accrued "&amp;ROUND(-Y74,2)&amp;""&amp;" hrs more than policy",IF(O74&gt;0,"OK - nothing to add",IF(AQ74="None",R74,"Not yet - first day on "&amp;TEXT(S74,"dd/mm/yyyy"))))))))</f>
        <v/>
      </c>
      <c r="AB74" s="13" t="str">
        <f aca="false">IF(OR(AE74=0,T74=""),"",AY74*HoursPerDay-T74)</f>
        <v/>
      </c>
      <c r="AC74" s="12" t="str">
        <f aca="false">IF(AE74=0,"",BA74)</f>
        <v/>
      </c>
      <c r="AD74" s="12" t="str">
        <f aca="false">IF(AE74=0,"",TRIM(IF(IF($C74="","",IF(OR(ISNUMBER(SEARCH("full",$C74)),UPPER(TRIM($C74))="FT",UPPER(TRIM($C74))="FTE"),"Full-Time",IF(OR(ISNUMBER(SEARCH("part",$C74)),UPPER(TRIM($C74))="PT",UPPER(TRIM($C74))="PTE"),"Part-Time",IF(OR(ISNUMBER(SEARCH("cas",$C74)),UPPER(TRIM($C74))="CAS"),"Casual","Unknown"))))="Unknown","EmploymentType not recognised - use Full-Time, Part-Time or Casual. ","")&amp;IF(AND(AG74&gt;=1,IF(AG74&gt;=3,AM74,IF(AG74=2,AL74,AK74))&lt;&gt;IF($C74="","",IF(OR(ISNUMBER(SEARCH("full",$C74)),UPPER(TRIM($C74))="FT",UPPER(TRIM($C74))="FTE"),"Full-Time",IF(OR(ISNUMBER(SEARCH("part",$C74)),UPPER(TRIM($C74))="PT",UPPER(TRIM($C74))="PTE"),"Part-Time",IF(OR(ISNUMBER(SEARCH("cas",$C74)),UPPER(TRIM($C74))="CAS"),"Casual","Unknown"))))),"EmploymentType does not match latest start date ("&amp;IF(AG74&gt;=3,AM74,IF(AG74=2,AL74,AK74))&amp;"). ","")&amp;IF(AND(AG74&gt;=1,AH74&lt;&gt;$F74),"Earliest type date should equal StartDate. ","")&amp;IF(AND(AG74&gt;=2,AH74=AI74),"Two types start on the same date. ","")&amp;IF(AND(OR(ISNUMBER(SEARCH("part",$C74)),UPPER(TRIM($C74))="PT",UPPER(TRIM($C74))="PTE"),$P74=""),"Part-time: enter PT Hrs/Week (blank = 24+). ","")))</f>
        <v/>
      </c>
      <c r="AE74" s="12" t="n">
        <f aca="false">IF(OR(LEN($A74&amp;$B74)=0,$F74=""),0,1)</f>
        <v>0</v>
      </c>
      <c r="AF74" s="10" t="str">
        <f aca="false">IF(AE74=0,"",IF($J74&lt;&gt;"",$J74,$F74))</f>
        <v/>
      </c>
      <c r="AG74" s="12" t="str">
        <f aca="false">IF(AE74=0,"",COUNT($G74:$I74))</f>
        <v/>
      </c>
      <c r="AH74" s="10" t="str">
        <f aca="false">IF(AE74=0,"",IFERROR(SMALL($G74:$I74,1),""))</f>
        <v/>
      </c>
      <c r="AI74" s="10" t="str">
        <f aca="false">IF(AE74=0,"",IFERROR(SMALL($G74:$I74,2),""))</f>
        <v/>
      </c>
      <c r="AJ74" s="10" t="str">
        <f aca="false">IF(AE74=0,"",IFERROR(SMALL($G74:$I74,3),""))</f>
        <v/>
      </c>
      <c r="AK74" s="12" t="str">
        <f aca="false">IF(AE74=0,"",IF(AH74="","",IF(AH74=$G74,"Part-Time",IF(AH74=$H74,"Full-Time","Casual"))))</f>
        <v/>
      </c>
      <c r="AL74" s="12" t="str">
        <f aca="false">IF(AE74=0,"",IF(AI74="","",IF(AI74=$G74,"Part-Time",IF(AI74=$H74,"Full-Time","Casual"))))</f>
        <v/>
      </c>
      <c r="AM74" s="12" t="str">
        <f aca="false">IF(AE74=0,"",IF(AJ74="","",IF(AJ74=$G74,"Part-Time",IF(AJ74=$H74,"Full-Time","Casual"))))</f>
        <v/>
      </c>
      <c r="AN74" s="12" t="str">
        <f aca="false">IF(AE74=0,"",IF(AG74=0,IF(OR(ISNUMBER(SEARCH("full",$C74)),UPPER(TRIM($C74))="FT",UPPER(TRIM($C74))="FTE"),"FT",IF(AND(OR(ISNUMBER(SEARCH("part",$C74)),UPPER(TRIM($C74))="PT",UPPER(TRIM($C74))="PTE"),OR($P74="",N($P74)&gt;=PT_MinHours)),"PT","None")),IF(OR(ISNUMBER(SEARCH("full",AK74)),UPPER(TRIM(AK74))="FT",UPPER(TRIM(AK74))="FTE"),"FT",IF(AND(OR(ISNUMBER(SEARCH("part",AK74)),UPPER(TRIM(AK74))="PT",UPPER(TRIM(AK74))="PTE"),OR($P74="",N($P74)&gt;=PT_MinHours)),"PT","None"))))</f>
        <v/>
      </c>
      <c r="AO74" s="12" t="str">
        <f aca="false">IF(AE74=0,"",IF(AG74&lt;2,"",IF(OR(ISNUMBER(SEARCH("full",AL74)),UPPER(TRIM(AL74))="FT",UPPER(TRIM(AL74))="FTE"),"FT",IF(AND(OR(ISNUMBER(SEARCH("part",AL74)),UPPER(TRIM(AL74))="PT",UPPER(TRIM(AL74))="PTE"),OR($P74="",N($P74)&gt;=PT_MinHours)),"PT","None"))))</f>
        <v/>
      </c>
      <c r="AP74" s="12" t="str">
        <f aca="false">IF(AE74=0,"",IF(AG74&lt;3,"",IF(OR(ISNUMBER(SEARCH("full",AM74)),UPPER(TRIM(AM74))="FT",UPPER(TRIM(AM74))="FTE"),"FT",IF(AND(OR(ISNUMBER(SEARCH("part",AM74)),UPPER(TRIM(AM74))="PT",UPPER(TRIM(AM74))="PTE"),OR($P74="",N($P74)&gt;=PT_MinHours)),"PT","None"))))</f>
        <v/>
      </c>
      <c r="AQ74" s="12" t="str">
        <f aca="false">IF(AE74=0,"",IF(AND(AG74&gt;=3,AJ74&lt;=AsOfDate),AP74,IF(AND(AG74&gt;=2,AI74&lt;=AsOfDate),AO74,AN74)))</f>
        <v/>
      </c>
      <c r="AR74" s="12" t="str">
        <f aca="false">IF(AE74=0,"",IF(AsOfDate&lt;AF74,-1,12*(YEAR(AsOfDate)-YEAR(AF74))+MONTH(AsOfDate)-MONTH(AF74)-IF(DAY(AsOfDate)&lt;MIN(DAY(AF74),DAY(EOMONTH(AsOfDate,0))),1,0)))</f>
        <v/>
      </c>
      <c r="AS74" s="12" t="str">
        <f aca="false">IF(AE74=0,"",IF(OR(AG74&lt;2,AI74&gt;AsOfDate),AR74,IF((AI74-1)&lt;AF74,-1,12*(YEAR((AI74-1))-YEAR(AF74))+MONTH((AI74-1))-MONTH(AF74)-IF(DAY((AI74-1))&lt;MIN(DAY(AF74),DAY(EOMONTH((AI74-1),0))),1,0))))</f>
        <v/>
      </c>
      <c r="AT74" s="12" t="str">
        <f aca="false">IF(AE74=0,"",IF(OR(AG74&lt;3,AJ74&gt;AsOfDate),AR74,IF((AJ74-1)&lt;AF74,-1,12*(YEAR((AJ74-1))-YEAR(AF74))+MONTH((AJ74-1))-MONTH(AF74)-IF(DAY((AJ74-1))&lt;MIN(DAY(AF74),DAY(EOMONTH((AJ74-1),0))),1,0))))</f>
        <v/>
      </c>
      <c r="AU74" s="12" t="str">
        <f aca="false">IF(AE74=0,"",IF(PFYDate&lt;AF74,-1,12*(YEAR(PFYDate)-YEAR(AF74))+MONTH(PFYDate)-MONTH(AF74)-IF(DAY(PFYDate)&lt;MIN(DAY(AF74),DAY(EOMONTH(PFYDate,0))),1,0)))</f>
        <v/>
      </c>
      <c r="AV74" s="12" t="str">
        <f aca="false">IF(AE74=0,"",IF(OR(AG74&lt;2,AI74&gt;PFYDate),AU74,IF((AI74-1)&lt;AF74,-1,12*(YEAR((AI74-1))-YEAR(AF74))+MONTH((AI74-1))-MONTH(AF74)-IF(DAY((AI74-1))&lt;MIN(DAY(AF74),DAY(EOMONTH((AI74-1),0))),1,0))))</f>
        <v/>
      </c>
      <c r="AW74" s="12" t="str">
        <f aca="false">IF(AE74=0,"",IF(OR(AG74&lt;3,AJ74&gt;PFYDate),AU74,IF((AJ74-1)&lt;AF74,-1,12*(YEAR((AJ74-1))-YEAR(AF74))+MONTH((AJ74-1))-MONTH(AF74)-IF(DAY((AJ74-1))&lt;MIN(DAY(AF74),DAY(EOMONTH((AJ74-1),0))),1,0))))</f>
        <v/>
      </c>
      <c r="AX74" s="12" t="str">
        <f aca="false">IF(AE74=0,"",IF(AN74="FT",IF(AS74&lt;FT_First,0,IF(AS74&lt;FT_Y5,1+INT((AS74-FT_First)/FT_Int1),FT_PreY5+FT_PerYear*INT((AS74-FT_Y5)/12)+FT_AnnivDays+INT(MOD(AS74-FT_Y5,12)/FT_Int2))),IF(AN74="PT",IF(AS74&lt;PT_First,0,1+INT((AS74-PT_First)/PT_Int)),0))+IF(AND(AG74&gt;=2,AI74&lt;=AsOfDate),IF(AO74="FT",IF(AT74&lt;FT_First,0,IF(AT74&lt;FT_Y5,1+INT((AT74-FT_First)/FT_Int1),FT_PreY5+FT_PerYear*INT((AT74-FT_Y5)/12)+FT_AnnivDays+INT(MOD(AT74-FT_Y5,12)/FT_Int2))),IF(AO74="PT",IF(AT74&lt;PT_First,0,1+INT((AT74-PT_First)/PT_Int)),0))-IF(AO74="FT",IF(AS74&lt;FT_First,0,IF(AS74&lt;FT_Y5,1+INT((AS74-FT_First)/FT_Int1),FT_PreY5+FT_PerYear*INT((AS74-FT_Y5)/12)+FT_AnnivDays+INT(MOD(AS74-FT_Y5,12)/FT_Int2))),IF(AO74="PT",IF(AS74&lt;PT_First,0,1+INT((AS74-PT_First)/PT_Int)),0)),0)+IF(AND(AG74&gt;=3,AJ74&lt;=AsOfDate),IF(AP74="FT",IF(AR74&lt;FT_First,0,IF(AR74&lt;FT_Y5,1+INT((AR74-FT_First)/FT_Int1),FT_PreY5+FT_PerYear*INT((AR74-FT_Y5)/12)+FT_AnnivDays+INT(MOD(AR74-FT_Y5,12)/FT_Int2))),IF(AP74="PT",IF(AR74&lt;PT_First,0,1+INT((AR74-PT_First)/PT_Int)),0))-IF(AP74="FT",IF(AT74&lt;FT_First,0,IF(AT74&lt;FT_Y5,1+INT((AT74-FT_First)/FT_Int1),FT_PreY5+FT_PerYear*INT((AT74-FT_Y5)/12)+FT_AnnivDays+INT(MOD(AT74-FT_Y5,12)/FT_Int2))),IF(AP74="PT",IF(AT74&lt;PT_First,0,1+INT((AT74-PT_First)/PT_Int)),0)),0))</f>
        <v/>
      </c>
      <c r="AY74" s="12" t="str">
        <f aca="false">IF(AE74=0,"",IF(AN74="FT",IF(AV74&lt;FT_First,0,IF(AV74&lt;FT_Y5,1+INT((AV74-FT_First)/FT_Int1),FT_PreY5+FT_PerYear*INT((AV74-FT_Y5)/12)+FT_AnnivDays+INT(MOD(AV74-FT_Y5,12)/FT_Int2))),IF(AN74="PT",IF(AV74&lt;PT_First,0,1+INT((AV74-PT_First)/PT_Int)),0))+IF(AND(AG74&gt;=2,AI74&lt;=PFYDate),IF(AO74="FT",IF(AW74&lt;FT_First,0,IF(AW74&lt;FT_Y5,1+INT((AW74-FT_First)/FT_Int1),FT_PreY5+FT_PerYear*INT((AW74-FT_Y5)/12)+FT_AnnivDays+INT(MOD(AW74-FT_Y5,12)/FT_Int2))),IF(AO74="PT",IF(AW74&lt;PT_First,0,1+INT((AW74-PT_First)/PT_Int)),0))-IF(AO74="FT",IF(AV74&lt;FT_First,0,IF(AV74&lt;FT_Y5,1+INT((AV74-FT_First)/FT_Int1),FT_PreY5+FT_PerYear*INT((AV74-FT_Y5)/12)+FT_AnnivDays+INT(MOD(AV74-FT_Y5,12)/FT_Int2))),IF(AO74="PT",IF(AV74&lt;PT_First,0,1+INT((AV74-PT_First)/PT_Int)),0)),0)+IF(AND(AG74&gt;=3,AJ74&lt;=PFYDate),IF(AP74="FT",IF(AU74&lt;FT_First,0,IF(AU74&lt;FT_Y5,1+INT((AU74-FT_First)/FT_Int1),FT_PreY5+FT_PerYear*INT((AU74-FT_Y5)/12)+FT_AnnivDays+INT(MOD(AU74-FT_Y5,12)/FT_Int2))),IF(AP74="PT",IF(AU74&lt;PT_First,0,1+INT((AU74-PT_First)/PT_Int)),0))-IF(AP74="FT",IF(AW74&lt;FT_First,0,IF(AW74&lt;FT_Y5,1+INT((AW74-FT_First)/FT_Int1),FT_PreY5+FT_PerYear*INT((AW74-FT_Y5)/12)+FT_AnnivDays+INT(MOD(AW74-FT_Y5,12)/FT_Int2))),IF(AP74="PT",IF(AW74&lt;PT_First,0,1+INT((AW74-PT_First)/PT_Int)),0)),0))</f>
        <v/>
      </c>
      <c r="AZ74" s="12" t="str">
        <f aca="false">IF(AE74=0,"",IF(AQ74="FT",IF(AR74&lt;FT_First,FT_First,IF(AR74&lt;FT_Y5,MIN(FT_Y5,FT_First+FT_Int1*(INT((AR74-FT_First)/FT_Int1)+1)),FT_Y5+12*INT((AR74-FT_Y5)/12)+FT_Int2*(INT(MOD(AR74-FT_Y5,12)/FT_Int2)+1))),IF(AQ74="PT",IF(AR74&lt;PT_First,PT_First,PT_First+PT_Int*(INT((AR74-PT_First)/PT_Int)+1)),"")))</f>
        <v/>
      </c>
      <c r="BA74" s="12" t="str">
        <f aca="false">IF(AE74=0,"",IF(NOT(LH_Ready),0,COUNTIFS(INDEX(LH_Data,0,LH_ColFirst),$A74,INDEX(LH_Data,0,LH_ColSur),$B74,INDEX(LH_Data,0,LH_ColCat),BonusCat)))</f>
        <v/>
      </c>
      <c r="BB74" s="12" t="str">
        <f aca="false">IF(AE74=0,"",IF(OR(NOT(LH_Ready),BA74=0),0,SUMPRODUCT(MAX((INDEX(LH_Data,0,LH_ColFirst)=$A74)*(INDEX(LH_Data,0,LH_ColSur)=$B74)*(INDEX(LH_Data,0,LH_ColCat)=BonusCat)*ROW(LH_Data)))))</f>
        <v/>
      </c>
    </row>
    <row r="75" customFormat="false" ht="15" hidden="false" customHeight="false" outlineLevel="0" collapsed="false">
      <c r="A75" s="15"/>
      <c r="B75" s="15"/>
      <c r="C75" s="15"/>
      <c r="D75" s="16"/>
      <c r="E75" s="10" t="str">
        <f aca="false">IF(OR(AE75=0,$D75=""),"",DATE(YEAR(AsOfDate)+IF(DATE(YEAR(AsOfDate),MONTH($D75),DAY($D75))&lt;=AsOfDate,1,0),MONTH($D75),DAY($D75)))</f>
        <v/>
      </c>
      <c r="F75" s="16"/>
      <c r="G75" s="16"/>
      <c r="H75" s="16"/>
      <c r="I75" s="16"/>
      <c r="J75" s="16"/>
      <c r="K75" s="10" t="str">
        <f aca="false">IF(AE75=0,"",DATE(YEAR(AsOfDate)+IF(DATE(YEAR(AsOfDate),MONTH($F75),DAY($F75))&lt;=AsOfDate,1,0),MONTH($F75),DAY($F75)))</f>
        <v/>
      </c>
      <c r="L75" s="11" t="str">
        <f aca="false">IF(AE75=0,"",ROUND((AsOfDate-$F75)/365.25,1))</f>
        <v/>
      </c>
      <c r="M75" s="12" t="str">
        <f aca="false">IF(AE75=0,"",IF(AsOfDate&lt;AF75,"-",DATEDIF(AF75,AsOfDate,"y")&amp;"y "&amp;DATEDIF(AF75,AsOfDate,"ym")&amp;"m "&amp;DATEDIF(AF75,AsOfDate,"md")&amp;"d"))</f>
        <v/>
      </c>
      <c r="N75" s="13" t="str">
        <f aca="false">IF(AE75=0,"",O75*HoursPerDay)</f>
        <v/>
      </c>
      <c r="O75" s="13" t="str">
        <f aca="false">IF(AE75=0,"",AX75)</f>
        <v/>
      </c>
      <c r="P75" s="17"/>
      <c r="Q75" s="12" t="str">
        <f aca="false">IF(AE75=0,"",IF(AG75&lt;2,"",AK75&amp;" to "&amp;AL75&amp;" on "&amp;TEXT(AI75,"dd/mm/yyyy")&amp;IF(AI75&gt;AsOfDate," (future)",IF(AN75=AO75,"",IF(AO75="None"," - STOPPED accruing",IF(AN75="None"," - now qualifying"," - pathway changed"))))&amp;IF(AG75&lt;3,"","; "&amp;AL75&amp;" to "&amp;AM75&amp;" on "&amp;TEXT(AJ75,"dd/mm/yyyy")&amp;IF(AJ75&gt;AsOfDate," (future)",IF(AO75=AP75,"",IF(AP75="None"," - STOPPED accruing",IF(AO75="None"," - now qualifying"," - pathway changed")))))))</f>
        <v/>
      </c>
      <c r="R75" s="12" t="str">
        <f aca="false">IF(AE75=0,"",IF(AQ75="None",IF(O75&gt;0,"No longer accruing","Not eligible - "&amp;IF(AND(OR(ISNUMBER(SEARCH("part",$C75)),UPPER(TRIM($C75))="PT",UPPER(TRIM($C75))="PTE"),$P75&lt;&gt;"",N($P75)&lt;PT_MinHours),"under "&amp;PT_MinHours&amp;" hrs",IF(IF($C75="","",IF(OR(ISNUMBER(SEARCH("full",$C75)),UPPER(TRIM($C75))="FT",UPPER(TRIM($C75))="FTE"),"Full-Time",IF(OR(ISNUMBER(SEARCH("part",$C75)),UPPER(TRIM($C75))="PT",UPPER(TRIM($C75))="PTE"),"Part-Time",IF(OR(ISNUMBER(SEARCH("cas",$C75)),UPPER(TRIM($C75))="CAS"),"Casual","Unknown"))))="Unknown","type not recognised",$C75))),IF(O75&gt;0,"Yes - accruing","Not yet - from "&amp;TEXT(S75,"dd/mm/yyyy"))))</f>
        <v/>
      </c>
      <c r="S75" s="10" t="str">
        <f aca="false">IF(AE75=0,"",IF(AQ75="None","",EDATE(AF75,AZ75)))</f>
        <v/>
      </c>
      <c r="T75" s="13" t="str">
        <f aca="false">IF(OR(AE75=0,W75=""),"",W75-U75+V75)</f>
        <v/>
      </c>
      <c r="U75" s="13" t="str">
        <f aca="false">IF(AE75=0,"",IF(NOT(LH_Ready),"",SUMIFS(INDEX(LH_Data,0,LH_ColAcc),INDEX(LH_Data,0,LH_ColFirst),$A75,INDEX(LH_Data,0,LH_ColSur),$B75,INDEX(LH_Data,0,LH_ColCat),BonusCat)*UnitFactor))</f>
        <v/>
      </c>
      <c r="V75" s="13" t="str">
        <f aca="false">IF(AE75=0,"",IF(NOT(LH_Ready),"",SUMIFS(INDEX(LH_Data,0,LH_ColTaken),INDEX(LH_Data,0,LH_ColFirst),$A75,INDEX(LH_Data,0,LH_ColSur),$B75,INDEX(LH_Data,0,LH_ColCat),BonusCat)*UnitFactor))</f>
        <v/>
      </c>
      <c r="W75" s="13" t="str">
        <f aca="false">IF(AE75=0,"",IF(NOT(LH_Ready),"",IF(BB75=0,0,INDEX(INDEX(LH_Data,0,LH_ColClose),BB75-1)*UnitFactor)))</f>
        <v/>
      </c>
      <c r="X75" s="13" t="str">
        <f aca="false">IF(AE75=0,"",(AX75-AY75)*HoursPerDay)</f>
        <v/>
      </c>
      <c r="Y75" s="13" t="str">
        <f aca="false">IF(AE75=0,"",IF(NOT(LH_Ready),"",IF(BA75=0,N75,X75-N(U75))))</f>
        <v/>
      </c>
      <c r="Z75" s="12" t="str">
        <f aca="false">IF(OR(AE75=0,Y75=""),"",IF(Y75&gt;0,"Yes","No"))</f>
        <v/>
      </c>
      <c r="AA75" s="12" t="str">
        <f aca="false">IF(AE75=0,IF(LEN($A75&amp;$B75)=0,"","FIX INPUT - StartDate missing"),IF(AD75&lt;&gt;"","FIX INPUT - "&amp;AD75,IF(NOT(LH_Ready),"Paste Leave History export (Settings must show YES)",IF(Y75&gt;0,"ACCRUE "&amp;ROUND(Y75,2)&amp;" hrs ("&amp;ROUND(Y75/HoursPerDay,2)&amp;" days)"&amp;IF(BA75=0," - no Bonus Leave in EH yet, full catch-up since start",""),IF(Y75&lt;0,"CHECK - EH accrued "&amp;ROUND(-Y75,2)&amp;""&amp;" hrs more than policy",IF(O75&gt;0,"OK - nothing to add",IF(AQ75="None",R75,"Not yet - first day on "&amp;TEXT(S75,"dd/mm/yyyy"))))))))</f>
        <v/>
      </c>
      <c r="AB75" s="13" t="str">
        <f aca="false">IF(OR(AE75=0,T75=""),"",AY75*HoursPerDay-T75)</f>
        <v/>
      </c>
      <c r="AC75" s="12" t="str">
        <f aca="false">IF(AE75=0,"",BA75)</f>
        <v/>
      </c>
      <c r="AD75" s="12" t="str">
        <f aca="false">IF(AE75=0,"",TRIM(IF(IF($C75="","",IF(OR(ISNUMBER(SEARCH("full",$C75)),UPPER(TRIM($C75))="FT",UPPER(TRIM($C75))="FTE"),"Full-Time",IF(OR(ISNUMBER(SEARCH("part",$C75)),UPPER(TRIM($C75))="PT",UPPER(TRIM($C75))="PTE"),"Part-Time",IF(OR(ISNUMBER(SEARCH("cas",$C75)),UPPER(TRIM($C75))="CAS"),"Casual","Unknown"))))="Unknown","EmploymentType not recognised - use Full-Time, Part-Time or Casual. ","")&amp;IF(AND(AG75&gt;=1,IF(AG75&gt;=3,AM75,IF(AG75=2,AL75,AK75))&lt;&gt;IF($C75="","",IF(OR(ISNUMBER(SEARCH("full",$C75)),UPPER(TRIM($C75))="FT",UPPER(TRIM($C75))="FTE"),"Full-Time",IF(OR(ISNUMBER(SEARCH("part",$C75)),UPPER(TRIM($C75))="PT",UPPER(TRIM($C75))="PTE"),"Part-Time",IF(OR(ISNUMBER(SEARCH("cas",$C75)),UPPER(TRIM($C75))="CAS"),"Casual","Unknown"))))),"EmploymentType does not match latest start date ("&amp;IF(AG75&gt;=3,AM75,IF(AG75=2,AL75,AK75))&amp;"). ","")&amp;IF(AND(AG75&gt;=1,AH75&lt;&gt;$F75),"Earliest type date should equal StartDate. ","")&amp;IF(AND(AG75&gt;=2,AH75=AI75),"Two types start on the same date. ","")&amp;IF(AND(OR(ISNUMBER(SEARCH("part",$C75)),UPPER(TRIM($C75))="PT",UPPER(TRIM($C75))="PTE"),$P75=""),"Part-time: enter PT Hrs/Week (blank = 24+). ","")))</f>
        <v/>
      </c>
      <c r="AE75" s="12" t="n">
        <f aca="false">IF(OR(LEN($A75&amp;$B75)=0,$F75=""),0,1)</f>
        <v>0</v>
      </c>
      <c r="AF75" s="10" t="str">
        <f aca="false">IF(AE75=0,"",IF($J75&lt;&gt;"",$J75,$F75))</f>
        <v/>
      </c>
      <c r="AG75" s="12" t="str">
        <f aca="false">IF(AE75=0,"",COUNT($G75:$I75))</f>
        <v/>
      </c>
      <c r="AH75" s="10" t="str">
        <f aca="false">IF(AE75=0,"",IFERROR(SMALL($G75:$I75,1),""))</f>
        <v/>
      </c>
      <c r="AI75" s="10" t="str">
        <f aca="false">IF(AE75=0,"",IFERROR(SMALL($G75:$I75,2),""))</f>
        <v/>
      </c>
      <c r="AJ75" s="10" t="str">
        <f aca="false">IF(AE75=0,"",IFERROR(SMALL($G75:$I75,3),""))</f>
        <v/>
      </c>
      <c r="AK75" s="12" t="str">
        <f aca="false">IF(AE75=0,"",IF(AH75="","",IF(AH75=$G75,"Part-Time",IF(AH75=$H75,"Full-Time","Casual"))))</f>
        <v/>
      </c>
      <c r="AL75" s="12" t="str">
        <f aca="false">IF(AE75=0,"",IF(AI75="","",IF(AI75=$G75,"Part-Time",IF(AI75=$H75,"Full-Time","Casual"))))</f>
        <v/>
      </c>
      <c r="AM75" s="12" t="str">
        <f aca="false">IF(AE75=0,"",IF(AJ75="","",IF(AJ75=$G75,"Part-Time",IF(AJ75=$H75,"Full-Time","Casual"))))</f>
        <v/>
      </c>
      <c r="AN75" s="12" t="str">
        <f aca="false">IF(AE75=0,"",IF(AG75=0,IF(OR(ISNUMBER(SEARCH("full",$C75)),UPPER(TRIM($C75))="FT",UPPER(TRIM($C75))="FTE"),"FT",IF(AND(OR(ISNUMBER(SEARCH("part",$C75)),UPPER(TRIM($C75))="PT",UPPER(TRIM($C75))="PTE"),OR($P75="",N($P75)&gt;=PT_MinHours)),"PT","None")),IF(OR(ISNUMBER(SEARCH("full",AK75)),UPPER(TRIM(AK75))="FT",UPPER(TRIM(AK75))="FTE"),"FT",IF(AND(OR(ISNUMBER(SEARCH("part",AK75)),UPPER(TRIM(AK75))="PT",UPPER(TRIM(AK75))="PTE"),OR($P75="",N($P75)&gt;=PT_MinHours)),"PT","None"))))</f>
        <v/>
      </c>
      <c r="AO75" s="12" t="str">
        <f aca="false">IF(AE75=0,"",IF(AG75&lt;2,"",IF(OR(ISNUMBER(SEARCH("full",AL75)),UPPER(TRIM(AL75))="FT",UPPER(TRIM(AL75))="FTE"),"FT",IF(AND(OR(ISNUMBER(SEARCH("part",AL75)),UPPER(TRIM(AL75))="PT",UPPER(TRIM(AL75))="PTE"),OR($P75="",N($P75)&gt;=PT_MinHours)),"PT","None"))))</f>
        <v/>
      </c>
      <c r="AP75" s="12" t="str">
        <f aca="false">IF(AE75=0,"",IF(AG75&lt;3,"",IF(OR(ISNUMBER(SEARCH("full",AM75)),UPPER(TRIM(AM75))="FT",UPPER(TRIM(AM75))="FTE"),"FT",IF(AND(OR(ISNUMBER(SEARCH("part",AM75)),UPPER(TRIM(AM75))="PT",UPPER(TRIM(AM75))="PTE"),OR($P75="",N($P75)&gt;=PT_MinHours)),"PT","None"))))</f>
        <v/>
      </c>
      <c r="AQ75" s="12" t="str">
        <f aca="false">IF(AE75=0,"",IF(AND(AG75&gt;=3,AJ75&lt;=AsOfDate),AP75,IF(AND(AG75&gt;=2,AI75&lt;=AsOfDate),AO75,AN75)))</f>
        <v/>
      </c>
      <c r="AR75" s="12" t="str">
        <f aca="false">IF(AE75=0,"",IF(AsOfDate&lt;AF75,-1,12*(YEAR(AsOfDate)-YEAR(AF75))+MONTH(AsOfDate)-MONTH(AF75)-IF(DAY(AsOfDate)&lt;MIN(DAY(AF75),DAY(EOMONTH(AsOfDate,0))),1,0)))</f>
        <v/>
      </c>
      <c r="AS75" s="12" t="str">
        <f aca="false">IF(AE75=0,"",IF(OR(AG75&lt;2,AI75&gt;AsOfDate),AR75,IF((AI75-1)&lt;AF75,-1,12*(YEAR((AI75-1))-YEAR(AF75))+MONTH((AI75-1))-MONTH(AF75)-IF(DAY((AI75-1))&lt;MIN(DAY(AF75),DAY(EOMONTH((AI75-1),0))),1,0))))</f>
        <v/>
      </c>
      <c r="AT75" s="12" t="str">
        <f aca="false">IF(AE75=0,"",IF(OR(AG75&lt;3,AJ75&gt;AsOfDate),AR75,IF((AJ75-1)&lt;AF75,-1,12*(YEAR((AJ75-1))-YEAR(AF75))+MONTH((AJ75-1))-MONTH(AF75)-IF(DAY((AJ75-1))&lt;MIN(DAY(AF75),DAY(EOMONTH((AJ75-1),0))),1,0))))</f>
        <v/>
      </c>
      <c r="AU75" s="12" t="str">
        <f aca="false">IF(AE75=0,"",IF(PFYDate&lt;AF75,-1,12*(YEAR(PFYDate)-YEAR(AF75))+MONTH(PFYDate)-MONTH(AF75)-IF(DAY(PFYDate)&lt;MIN(DAY(AF75),DAY(EOMONTH(PFYDate,0))),1,0)))</f>
        <v/>
      </c>
      <c r="AV75" s="12" t="str">
        <f aca="false">IF(AE75=0,"",IF(OR(AG75&lt;2,AI75&gt;PFYDate),AU75,IF((AI75-1)&lt;AF75,-1,12*(YEAR((AI75-1))-YEAR(AF75))+MONTH((AI75-1))-MONTH(AF75)-IF(DAY((AI75-1))&lt;MIN(DAY(AF75),DAY(EOMONTH((AI75-1),0))),1,0))))</f>
        <v/>
      </c>
      <c r="AW75" s="12" t="str">
        <f aca="false">IF(AE75=0,"",IF(OR(AG75&lt;3,AJ75&gt;PFYDate),AU75,IF((AJ75-1)&lt;AF75,-1,12*(YEAR((AJ75-1))-YEAR(AF75))+MONTH((AJ75-1))-MONTH(AF75)-IF(DAY((AJ75-1))&lt;MIN(DAY(AF75),DAY(EOMONTH((AJ75-1),0))),1,0))))</f>
        <v/>
      </c>
      <c r="AX75" s="12" t="str">
        <f aca="false">IF(AE75=0,"",IF(AN75="FT",IF(AS75&lt;FT_First,0,IF(AS75&lt;FT_Y5,1+INT((AS75-FT_First)/FT_Int1),FT_PreY5+FT_PerYear*INT((AS75-FT_Y5)/12)+FT_AnnivDays+INT(MOD(AS75-FT_Y5,12)/FT_Int2))),IF(AN75="PT",IF(AS75&lt;PT_First,0,1+INT((AS75-PT_First)/PT_Int)),0))+IF(AND(AG75&gt;=2,AI75&lt;=AsOfDate),IF(AO75="FT",IF(AT75&lt;FT_First,0,IF(AT75&lt;FT_Y5,1+INT((AT75-FT_First)/FT_Int1),FT_PreY5+FT_PerYear*INT((AT75-FT_Y5)/12)+FT_AnnivDays+INT(MOD(AT75-FT_Y5,12)/FT_Int2))),IF(AO75="PT",IF(AT75&lt;PT_First,0,1+INT((AT75-PT_First)/PT_Int)),0))-IF(AO75="FT",IF(AS75&lt;FT_First,0,IF(AS75&lt;FT_Y5,1+INT((AS75-FT_First)/FT_Int1),FT_PreY5+FT_PerYear*INT((AS75-FT_Y5)/12)+FT_AnnivDays+INT(MOD(AS75-FT_Y5,12)/FT_Int2))),IF(AO75="PT",IF(AS75&lt;PT_First,0,1+INT((AS75-PT_First)/PT_Int)),0)),0)+IF(AND(AG75&gt;=3,AJ75&lt;=AsOfDate),IF(AP75="FT",IF(AR75&lt;FT_First,0,IF(AR75&lt;FT_Y5,1+INT((AR75-FT_First)/FT_Int1),FT_PreY5+FT_PerYear*INT((AR75-FT_Y5)/12)+FT_AnnivDays+INT(MOD(AR75-FT_Y5,12)/FT_Int2))),IF(AP75="PT",IF(AR75&lt;PT_First,0,1+INT((AR75-PT_First)/PT_Int)),0))-IF(AP75="FT",IF(AT75&lt;FT_First,0,IF(AT75&lt;FT_Y5,1+INT((AT75-FT_First)/FT_Int1),FT_PreY5+FT_PerYear*INT((AT75-FT_Y5)/12)+FT_AnnivDays+INT(MOD(AT75-FT_Y5,12)/FT_Int2))),IF(AP75="PT",IF(AT75&lt;PT_First,0,1+INT((AT75-PT_First)/PT_Int)),0)),0))</f>
        <v/>
      </c>
      <c r="AY75" s="12" t="str">
        <f aca="false">IF(AE75=0,"",IF(AN75="FT",IF(AV75&lt;FT_First,0,IF(AV75&lt;FT_Y5,1+INT((AV75-FT_First)/FT_Int1),FT_PreY5+FT_PerYear*INT((AV75-FT_Y5)/12)+FT_AnnivDays+INT(MOD(AV75-FT_Y5,12)/FT_Int2))),IF(AN75="PT",IF(AV75&lt;PT_First,0,1+INT((AV75-PT_First)/PT_Int)),0))+IF(AND(AG75&gt;=2,AI75&lt;=PFYDate),IF(AO75="FT",IF(AW75&lt;FT_First,0,IF(AW75&lt;FT_Y5,1+INT((AW75-FT_First)/FT_Int1),FT_PreY5+FT_PerYear*INT((AW75-FT_Y5)/12)+FT_AnnivDays+INT(MOD(AW75-FT_Y5,12)/FT_Int2))),IF(AO75="PT",IF(AW75&lt;PT_First,0,1+INT((AW75-PT_First)/PT_Int)),0))-IF(AO75="FT",IF(AV75&lt;FT_First,0,IF(AV75&lt;FT_Y5,1+INT((AV75-FT_First)/FT_Int1),FT_PreY5+FT_PerYear*INT((AV75-FT_Y5)/12)+FT_AnnivDays+INT(MOD(AV75-FT_Y5,12)/FT_Int2))),IF(AO75="PT",IF(AV75&lt;PT_First,0,1+INT((AV75-PT_First)/PT_Int)),0)),0)+IF(AND(AG75&gt;=3,AJ75&lt;=PFYDate),IF(AP75="FT",IF(AU75&lt;FT_First,0,IF(AU75&lt;FT_Y5,1+INT((AU75-FT_First)/FT_Int1),FT_PreY5+FT_PerYear*INT((AU75-FT_Y5)/12)+FT_AnnivDays+INT(MOD(AU75-FT_Y5,12)/FT_Int2))),IF(AP75="PT",IF(AU75&lt;PT_First,0,1+INT((AU75-PT_First)/PT_Int)),0))-IF(AP75="FT",IF(AW75&lt;FT_First,0,IF(AW75&lt;FT_Y5,1+INT((AW75-FT_First)/FT_Int1),FT_PreY5+FT_PerYear*INT((AW75-FT_Y5)/12)+FT_AnnivDays+INT(MOD(AW75-FT_Y5,12)/FT_Int2))),IF(AP75="PT",IF(AW75&lt;PT_First,0,1+INT((AW75-PT_First)/PT_Int)),0)),0))</f>
        <v/>
      </c>
      <c r="AZ75" s="12" t="str">
        <f aca="false">IF(AE75=0,"",IF(AQ75="FT",IF(AR75&lt;FT_First,FT_First,IF(AR75&lt;FT_Y5,MIN(FT_Y5,FT_First+FT_Int1*(INT((AR75-FT_First)/FT_Int1)+1)),FT_Y5+12*INT((AR75-FT_Y5)/12)+FT_Int2*(INT(MOD(AR75-FT_Y5,12)/FT_Int2)+1))),IF(AQ75="PT",IF(AR75&lt;PT_First,PT_First,PT_First+PT_Int*(INT((AR75-PT_First)/PT_Int)+1)),"")))</f>
        <v/>
      </c>
      <c r="BA75" s="12" t="str">
        <f aca="false">IF(AE75=0,"",IF(NOT(LH_Ready),0,COUNTIFS(INDEX(LH_Data,0,LH_ColFirst),$A75,INDEX(LH_Data,0,LH_ColSur),$B75,INDEX(LH_Data,0,LH_ColCat),BonusCat)))</f>
        <v/>
      </c>
      <c r="BB75" s="12" t="str">
        <f aca="false">IF(AE75=0,"",IF(OR(NOT(LH_Ready),BA75=0),0,SUMPRODUCT(MAX((INDEX(LH_Data,0,LH_ColFirst)=$A75)*(INDEX(LH_Data,0,LH_ColSur)=$B75)*(INDEX(LH_Data,0,LH_ColCat)=BonusCat)*ROW(LH_Data)))))</f>
        <v/>
      </c>
    </row>
    <row r="76" customFormat="false" ht="15" hidden="false" customHeight="false" outlineLevel="0" collapsed="false">
      <c r="A76" s="15"/>
      <c r="B76" s="15"/>
      <c r="C76" s="15"/>
      <c r="D76" s="16"/>
      <c r="E76" s="10" t="str">
        <f aca="false">IF(OR(AE76=0,$D76=""),"",DATE(YEAR(AsOfDate)+IF(DATE(YEAR(AsOfDate),MONTH($D76),DAY($D76))&lt;=AsOfDate,1,0),MONTH($D76),DAY($D76)))</f>
        <v/>
      </c>
      <c r="F76" s="16"/>
      <c r="G76" s="16"/>
      <c r="H76" s="16"/>
      <c r="I76" s="16"/>
      <c r="J76" s="16"/>
      <c r="K76" s="10" t="str">
        <f aca="false">IF(AE76=0,"",DATE(YEAR(AsOfDate)+IF(DATE(YEAR(AsOfDate),MONTH($F76),DAY($F76))&lt;=AsOfDate,1,0),MONTH($F76),DAY($F76)))</f>
        <v/>
      </c>
      <c r="L76" s="11" t="str">
        <f aca="false">IF(AE76=0,"",ROUND((AsOfDate-$F76)/365.25,1))</f>
        <v/>
      </c>
      <c r="M76" s="12" t="str">
        <f aca="false">IF(AE76=0,"",IF(AsOfDate&lt;AF76,"-",DATEDIF(AF76,AsOfDate,"y")&amp;"y "&amp;DATEDIF(AF76,AsOfDate,"ym")&amp;"m "&amp;DATEDIF(AF76,AsOfDate,"md")&amp;"d"))</f>
        <v/>
      </c>
      <c r="N76" s="13" t="str">
        <f aca="false">IF(AE76=0,"",O76*HoursPerDay)</f>
        <v/>
      </c>
      <c r="O76" s="13" t="str">
        <f aca="false">IF(AE76=0,"",AX76)</f>
        <v/>
      </c>
      <c r="P76" s="17"/>
      <c r="Q76" s="12" t="str">
        <f aca="false">IF(AE76=0,"",IF(AG76&lt;2,"",AK76&amp;" to "&amp;AL76&amp;" on "&amp;TEXT(AI76,"dd/mm/yyyy")&amp;IF(AI76&gt;AsOfDate," (future)",IF(AN76=AO76,"",IF(AO76="None"," - STOPPED accruing",IF(AN76="None"," - now qualifying"," - pathway changed"))))&amp;IF(AG76&lt;3,"","; "&amp;AL76&amp;" to "&amp;AM76&amp;" on "&amp;TEXT(AJ76,"dd/mm/yyyy")&amp;IF(AJ76&gt;AsOfDate," (future)",IF(AO76=AP76,"",IF(AP76="None"," - STOPPED accruing",IF(AO76="None"," - now qualifying"," - pathway changed")))))))</f>
        <v/>
      </c>
      <c r="R76" s="12" t="str">
        <f aca="false">IF(AE76=0,"",IF(AQ76="None",IF(O76&gt;0,"No longer accruing","Not eligible - "&amp;IF(AND(OR(ISNUMBER(SEARCH("part",$C76)),UPPER(TRIM($C76))="PT",UPPER(TRIM($C76))="PTE"),$P76&lt;&gt;"",N($P76)&lt;PT_MinHours),"under "&amp;PT_MinHours&amp;" hrs",IF(IF($C76="","",IF(OR(ISNUMBER(SEARCH("full",$C76)),UPPER(TRIM($C76))="FT",UPPER(TRIM($C76))="FTE"),"Full-Time",IF(OR(ISNUMBER(SEARCH("part",$C76)),UPPER(TRIM($C76))="PT",UPPER(TRIM($C76))="PTE"),"Part-Time",IF(OR(ISNUMBER(SEARCH("cas",$C76)),UPPER(TRIM($C76))="CAS"),"Casual","Unknown"))))="Unknown","type not recognised",$C76))),IF(O76&gt;0,"Yes - accruing","Not yet - from "&amp;TEXT(S76,"dd/mm/yyyy"))))</f>
        <v/>
      </c>
      <c r="S76" s="10" t="str">
        <f aca="false">IF(AE76=0,"",IF(AQ76="None","",EDATE(AF76,AZ76)))</f>
        <v/>
      </c>
      <c r="T76" s="13" t="str">
        <f aca="false">IF(OR(AE76=0,W76=""),"",W76-U76+V76)</f>
        <v/>
      </c>
      <c r="U76" s="13" t="str">
        <f aca="false">IF(AE76=0,"",IF(NOT(LH_Ready),"",SUMIFS(INDEX(LH_Data,0,LH_ColAcc),INDEX(LH_Data,0,LH_ColFirst),$A76,INDEX(LH_Data,0,LH_ColSur),$B76,INDEX(LH_Data,0,LH_ColCat),BonusCat)*UnitFactor))</f>
        <v/>
      </c>
      <c r="V76" s="13" t="str">
        <f aca="false">IF(AE76=0,"",IF(NOT(LH_Ready),"",SUMIFS(INDEX(LH_Data,0,LH_ColTaken),INDEX(LH_Data,0,LH_ColFirst),$A76,INDEX(LH_Data,0,LH_ColSur),$B76,INDEX(LH_Data,0,LH_ColCat),BonusCat)*UnitFactor))</f>
        <v/>
      </c>
      <c r="W76" s="13" t="str">
        <f aca="false">IF(AE76=0,"",IF(NOT(LH_Ready),"",IF(BB76=0,0,INDEX(INDEX(LH_Data,0,LH_ColClose),BB76-1)*UnitFactor)))</f>
        <v/>
      </c>
      <c r="X76" s="13" t="str">
        <f aca="false">IF(AE76=0,"",(AX76-AY76)*HoursPerDay)</f>
        <v/>
      </c>
      <c r="Y76" s="13" t="str">
        <f aca="false">IF(AE76=0,"",IF(NOT(LH_Ready),"",IF(BA76=0,N76,X76-N(U76))))</f>
        <v/>
      </c>
      <c r="Z76" s="12" t="str">
        <f aca="false">IF(OR(AE76=0,Y76=""),"",IF(Y76&gt;0,"Yes","No"))</f>
        <v/>
      </c>
      <c r="AA76" s="12" t="str">
        <f aca="false">IF(AE76=0,IF(LEN($A76&amp;$B76)=0,"","FIX INPUT - StartDate missing"),IF(AD76&lt;&gt;"","FIX INPUT - "&amp;AD76,IF(NOT(LH_Ready),"Paste Leave History export (Settings must show YES)",IF(Y76&gt;0,"ACCRUE "&amp;ROUND(Y76,2)&amp;" hrs ("&amp;ROUND(Y76/HoursPerDay,2)&amp;" days)"&amp;IF(BA76=0," - no Bonus Leave in EH yet, full catch-up since start",""),IF(Y76&lt;0,"CHECK - EH accrued "&amp;ROUND(-Y76,2)&amp;""&amp;" hrs more than policy",IF(O76&gt;0,"OK - nothing to add",IF(AQ76="None",R76,"Not yet - first day on "&amp;TEXT(S76,"dd/mm/yyyy"))))))))</f>
        <v/>
      </c>
      <c r="AB76" s="13" t="str">
        <f aca="false">IF(OR(AE76=0,T76=""),"",AY76*HoursPerDay-T76)</f>
        <v/>
      </c>
      <c r="AC76" s="12" t="str">
        <f aca="false">IF(AE76=0,"",BA76)</f>
        <v/>
      </c>
      <c r="AD76" s="12" t="str">
        <f aca="false">IF(AE76=0,"",TRIM(IF(IF($C76="","",IF(OR(ISNUMBER(SEARCH("full",$C76)),UPPER(TRIM($C76))="FT",UPPER(TRIM($C76))="FTE"),"Full-Time",IF(OR(ISNUMBER(SEARCH("part",$C76)),UPPER(TRIM($C76))="PT",UPPER(TRIM($C76))="PTE"),"Part-Time",IF(OR(ISNUMBER(SEARCH("cas",$C76)),UPPER(TRIM($C76))="CAS"),"Casual","Unknown"))))="Unknown","EmploymentType not recognised - use Full-Time, Part-Time or Casual. ","")&amp;IF(AND(AG76&gt;=1,IF(AG76&gt;=3,AM76,IF(AG76=2,AL76,AK76))&lt;&gt;IF($C76="","",IF(OR(ISNUMBER(SEARCH("full",$C76)),UPPER(TRIM($C76))="FT",UPPER(TRIM($C76))="FTE"),"Full-Time",IF(OR(ISNUMBER(SEARCH("part",$C76)),UPPER(TRIM($C76))="PT",UPPER(TRIM($C76))="PTE"),"Part-Time",IF(OR(ISNUMBER(SEARCH("cas",$C76)),UPPER(TRIM($C76))="CAS"),"Casual","Unknown"))))),"EmploymentType does not match latest start date ("&amp;IF(AG76&gt;=3,AM76,IF(AG76=2,AL76,AK76))&amp;"). ","")&amp;IF(AND(AG76&gt;=1,AH76&lt;&gt;$F76),"Earliest type date should equal StartDate. ","")&amp;IF(AND(AG76&gt;=2,AH76=AI76),"Two types start on the same date. ","")&amp;IF(AND(OR(ISNUMBER(SEARCH("part",$C76)),UPPER(TRIM($C76))="PT",UPPER(TRIM($C76))="PTE"),$P76=""),"Part-time: enter PT Hrs/Week (blank = 24+). ","")))</f>
        <v/>
      </c>
      <c r="AE76" s="12" t="n">
        <f aca="false">IF(OR(LEN($A76&amp;$B76)=0,$F76=""),0,1)</f>
        <v>0</v>
      </c>
      <c r="AF76" s="10" t="str">
        <f aca="false">IF(AE76=0,"",IF($J76&lt;&gt;"",$J76,$F76))</f>
        <v/>
      </c>
      <c r="AG76" s="12" t="str">
        <f aca="false">IF(AE76=0,"",COUNT($G76:$I76))</f>
        <v/>
      </c>
      <c r="AH76" s="10" t="str">
        <f aca="false">IF(AE76=0,"",IFERROR(SMALL($G76:$I76,1),""))</f>
        <v/>
      </c>
      <c r="AI76" s="10" t="str">
        <f aca="false">IF(AE76=0,"",IFERROR(SMALL($G76:$I76,2),""))</f>
        <v/>
      </c>
      <c r="AJ76" s="10" t="str">
        <f aca="false">IF(AE76=0,"",IFERROR(SMALL($G76:$I76,3),""))</f>
        <v/>
      </c>
      <c r="AK76" s="12" t="str">
        <f aca="false">IF(AE76=0,"",IF(AH76="","",IF(AH76=$G76,"Part-Time",IF(AH76=$H76,"Full-Time","Casual"))))</f>
        <v/>
      </c>
      <c r="AL76" s="12" t="str">
        <f aca="false">IF(AE76=0,"",IF(AI76="","",IF(AI76=$G76,"Part-Time",IF(AI76=$H76,"Full-Time","Casual"))))</f>
        <v/>
      </c>
      <c r="AM76" s="12" t="str">
        <f aca="false">IF(AE76=0,"",IF(AJ76="","",IF(AJ76=$G76,"Part-Time",IF(AJ76=$H76,"Full-Time","Casual"))))</f>
        <v/>
      </c>
      <c r="AN76" s="12" t="str">
        <f aca="false">IF(AE76=0,"",IF(AG76=0,IF(OR(ISNUMBER(SEARCH("full",$C76)),UPPER(TRIM($C76))="FT",UPPER(TRIM($C76))="FTE"),"FT",IF(AND(OR(ISNUMBER(SEARCH("part",$C76)),UPPER(TRIM($C76))="PT",UPPER(TRIM($C76))="PTE"),OR($P76="",N($P76)&gt;=PT_MinHours)),"PT","None")),IF(OR(ISNUMBER(SEARCH("full",AK76)),UPPER(TRIM(AK76))="FT",UPPER(TRIM(AK76))="FTE"),"FT",IF(AND(OR(ISNUMBER(SEARCH("part",AK76)),UPPER(TRIM(AK76))="PT",UPPER(TRIM(AK76))="PTE"),OR($P76="",N($P76)&gt;=PT_MinHours)),"PT","None"))))</f>
        <v/>
      </c>
      <c r="AO76" s="12" t="str">
        <f aca="false">IF(AE76=0,"",IF(AG76&lt;2,"",IF(OR(ISNUMBER(SEARCH("full",AL76)),UPPER(TRIM(AL76))="FT",UPPER(TRIM(AL76))="FTE"),"FT",IF(AND(OR(ISNUMBER(SEARCH("part",AL76)),UPPER(TRIM(AL76))="PT",UPPER(TRIM(AL76))="PTE"),OR($P76="",N($P76)&gt;=PT_MinHours)),"PT","None"))))</f>
        <v/>
      </c>
      <c r="AP76" s="12" t="str">
        <f aca="false">IF(AE76=0,"",IF(AG76&lt;3,"",IF(OR(ISNUMBER(SEARCH("full",AM76)),UPPER(TRIM(AM76))="FT",UPPER(TRIM(AM76))="FTE"),"FT",IF(AND(OR(ISNUMBER(SEARCH("part",AM76)),UPPER(TRIM(AM76))="PT",UPPER(TRIM(AM76))="PTE"),OR($P76="",N($P76)&gt;=PT_MinHours)),"PT","None"))))</f>
        <v/>
      </c>
      <c r="AQ76" s="12" t="str">
        <f aca="false">IF(AE76=0,"",IF(AND(AG76&gt;=3,AJ76&lt;=AsOfDate),AP76,IF(AND(AG76&gt;=2,AI76&lt;=AsOfDate),AO76,AN76)))</f>
        <v/>
      </c>
      <c r="AR76" s="12" t="str">
        <f aca="false">IF(AE76=0,"",IF(AsOfDate&lt;AF76,-1,12*(YEAR(AsOfDate)-YEAR(AF76))+MONTH(AsOfDate)-MONTH(AF76)-IF(DAY(AsOfDate)&lt;MIN(DAY(AF76),DAY(EOMONTH(AsOfDate,0))),1,0)))</f>
        <v/>
      </c>
      <c r="AS76" s="12" t="str">
        <f aca="false">IF(AE76=0,"",IF(OR(AG76&lt;2,AI76&gt;AsOfDate),AR76,IF((AI76-1)&lt;AF76,-1,12*(YEAR((AI76-1))-YEAR(AF76))+MONTH((AI76-1))-MONTH(AF76)-IF(DAY((AI76-1))&lt;MIN(DAY(AF76),DAY(EOMONTH((AI76-1),0))),1,0))))</f>
        <v/>
      </c>
      <c r="AT76" s="12" t="str">
        <f aca="false">IF(AE76=0,"",IF(OR(AG76&lt;3,AJ76&gt;AsOfDate),AR76,IF((AJ76-1)&lt;AF76,-1,12*(YEAR((AJ76-1))-YEAR(AF76))+MONTH((AJ76-1))-MONTH(AF76)-IF(DAY((AJ76-1))&lt;MIN(DAY(AF76),DAY(EOMONTH((AJ76-1),0))),1,0))))</f>
        <v/>
      </c>
      <c r="AU76" s="12" t="str">
        <f aca="false">IF(AE76=0,"",IF(PFYDate&lt;AF76,-1,12*(YEAR(PFYDate)-YEAR(AF76))+MONTH(PFYDate)-MONTH(AF76)-IF(DAY(PFYDate)&lt;MIN(DAY(AF76),DAY(EOMONTH(PFYDate,0))),1,0)))</f>
        <v/>
      </c>
      <c r="AV76" s="12" t="str">
        <f aca="false">IF(AE76=0,"",IF(OR(AG76&lt;2,AI76&gt;PFYDate),AU76,IF((AI76-1)&lt;AF76,-1,12*(YEAR((AI76-1))-YEAR(AF76))+MONTH((AI76-1))-MONTH(AF76)-IF(DAY((AI76-1))&lt;MIN(DAY(AF76),DAY(EOMONTH((AI76-1),0))),1,0))))</f>
        <v/>
      </c>
      <c r="AW76" s="12" t="str">
        <f aca="false">IF(AE76=0,"",IF(OR(AG76&lt;3,AJ76&gt;PFYDate),AU76,IF((AJ76-1)&lt;AF76,-1,12*(YEAR((AJ76-1))-YEAR(AF76))+MONTH((AJ76-1))-MONTH(AF76)-IF(DAY((AJ76-1))&lt;MIN(DAY(AF76),DAY(EOMONTH((AJ76-1),0))),1,0))))</f>
        <v/>
      </c>
      <c r="AX76" s="12" t="str">
        <f aca="false">IF(AE76=0,"",IF(AN76="FT",IF(AS76&lt;FT_First,0,IF(AS76&lt;FT_Y5,1+INT((AS76-FT_First)/FT_Int1),FT_PreY5+FT_PerYear*INT((AS76-FT_Y5)/12)+FT_AnnivDays+INT(MOD(AS76-FT_Y5,12)/FT_Int2))),IF(AN76="PT",IF(AS76&lt;PT_First,0,1+INT((AS76-PT_First)/PT_Int)),0))+IF(AND(AG76&gt;=2,AI76&lt;=AsOfDate),IF(AO76="FT",IF(AT76&lt;FT_First,0,IF(AT76&lt;FT_Y5,1+INT((AT76-FT_First)/FT_Int1),FT_PreY5+FT_PerYear*INT((AT76-FT_Y5)/12)+FT_AnnivDays+INT(MOD(AT76-FT_Y5,12)/FT_Int2))),IF(AO76="PT",IF(AT76&lt;PT_First,0,1+INT((AT76-PT_First)/PT_Int)),0))-IF(AO76="FT",IF(AS76&lt;FT_First,0,IF(AS76&lt;FT_Y5,1+INT((AS76-FT_First)/FT_Int1),FT_PreY5+FT_PerYear*INT((AS76-FT_Y5)/12)+FT_AnnivDays+INT(MOD(AS76-FT_Y5,12)/FT_Int2))),IF(AO76="PT",IF(AS76&lt;PT_First,0,1+INT((AS76-PT_First)/PT_Int)),0)),0)+IF(AND(AG76&gt;=3,AJ76&lt;=AsOfDate),IF(AP76="FT",IF(AR76&lt;FT_First,0,IF(AR76&lt;FT_Y5,1+INT((AR76-FT_First)/FT_Int1),FT_PreY5+FT_PerYear*INT((AR76-FT_Y5)/12)+FT_AnnivDays+INT(MOD(AR76-FT_Y5,12)/FT_Int2))),IF(AP76="PT",IF(AR76&lt;PT_First,0,1+INT((AR76-PT_First)/PT_Int)),0))-IF(AP76="FT",IF(AT76&lt;FT_First,0,IF(AT76&lt;FT_Y5,1+INT((AT76-FT_First)/FT_Int1),FT_PreY5+FT_PerYear*INT((AT76-FT_Y5)/12)+FT_AnnivDays+INT(MOD(AT76-FT_Y5,12)/FT_Int2))),IF(AP76="PT",IF(AT76&lt;PT_First,0,1+INT((AT76-PT_First)/PT_Int)),0)),0))</f>
        <v/>
      </c>
      <c r="AY76" s="12" t="str">
        <f aca="false">IF(AE76=0,"",IF(AN76="FT",IF(AV76&lt;FT_First,0,IF(AV76&lt;FT_Y5,1+INT((AV76-FT_First)/FT_Int1),FT_PreY5+FT_PerYear*INT((AV76-FT_Y5)/12)+FT_AnnivDays+INT(MOD(AV76-FT_Y5,12)/FT_Int2))),IF(AN76="PT",IF(AV76&lt;PT_First,0,1+INT((AV76-PT_First)/PT_Int)),0))+IF(AND(AG76&gt;=2,AI76&lt;=PFYDate),IF(AO76="FT",IF(AW76&lt;FT_First,0,IF(AW76&lt;FT_Y5,1+INT((AW76-FT_First)/FT_Int1),FT_PreY5+FT_PerYear*INT((AW76-FT_Y5)/12)+FT_AnnivDays+INT(MOD(AW76-FT_Y5,12)/FT_Int2))),IF(AO76="PT",IF(AW76&lt;PT_First,0,1+INT((AW76-PT_First)/PT_Int)),0))-IF(AO76="FT",IF(AV76&lt;FT_First,0,IF(AV76&lt;FT_Y5,1+INT((AV76-FT_First)/FT_Int1),FT_PreY5+FT_PerYear*INT((AV76-FT_Y5)/12)+FT_AnnivDays+INT(MOD(AV76-FT_Y5,12)/FT_Int2))),IF(AO76="PT",IF(AV76&lt;PT_First,0,1+INT((AV76-PT_First)/PT_Int)),0)),0)+IF(AND(AG76&gt;=3,AJ76&lt;=PFYDate),IF(AP76="FT",IF(AU76&lt;FT_First,0,IF(AU76&lt;FT_Y5,1+INT((AU76-FT_First)/FT_Int1),FT_PreY5+FT_PerYear*INT((AU76-FT_Y5)/12)+FT_AnnivDays+INT(MOD(AU76-FT_Y5,12)/FT_Int2))),IF(AP76="PT",IF(AU76&lt;PT_First,0,1+INT((AU76-PT_First)/PT_Int)),0))-IF(AP76="FT",IF(AW76&lt;FT_First,0,IF(AW76&lt;FT_Y5,1+INT((AW76-FT_First)/FT_Int1),FT_PreY5+FT_PerYear*INT((AW76-FT_Y5)/12)+FT_AnnivDays+INT(MOD(AW76-FT_Y5,12)/FT_Int2))),IF(AP76="PT",IF(AW76&lt;PT_First,0,1+INT((AW76-PT_First)/PT_Int)),0)),0))</f>
        <v/>
      </c>
      <c r="AZ76" s="12" t="str">
        <f aca="false">IF(AE76=0,"",IF(AQ76="FT",IF(AR76&lt;FT_First,FT_First,IF(AR76&lt;FT_Y5,MIN(FT_Y5,FT_First+FT_Int1*(INT((AR76-FT_First)/FT_Int1)+1)),FT_Y5+12*INT((AR76-FT_Y5)/12)+FT_Int2*(INT(MOD(AR76-FT_Y5,12)/FT_Int2)+1))),IF(AQ76="PT",IF(AR76&lt;PT_First,PT_First,PT_First+PT_Int*(INT((AR76-PT_First)/PT_Int)+1)),"")))</f>
        <v/>
      </c>
      <c r="BA76" s="12" t="str">
        <f aca="false">IF(AE76=0,"",IF(NOT(LH_Ready),0,COUNTIFS(INDEX(LH_Data,0,LH_ColFirst),$A76,INDEX(LH_Data,0,LH_ColSur),$B76,INDEX(LH_Data,0,LH_ColCat),BonusCat)))</f>
        <v/>
      </c>
      <c r="BB76" s="12" t="str">
        <f aca="false">IF(AE76=0,"",IF(OR(NOT(LH_Ready),BA76=0),0,SUMPRODUCT(MAX((INDEX(LH_Data,0,LH_ColFirst)=$A76)*(INDEX(LH_Data,0,LH_ColSur)=$B76)*(INDEX(LH_Data,0,LH_ColCat)=BonusCat)*ROW(LH_Data)))))</f>
        <v/>
      </c>
    </row>
    <row r="77" customFormat="false" ht="15" hidden="false" customHeight="false" outlineLevel="0" collapsed="false">
      <c r="A77" s="15"/>
      <c r="B77" s="15"/>
      <c r="C77" s="15"/>
      <c r="D77" s="16"/>
      <c r="E77" s="10" t="str">
        <f aca="false">IF(OR(AE77=0,$D77=""),"",DATE(YEAR(AsOfDate)+IF(DATE(YEAR(AsOfDate),MONTH($D77),DAY($D77))&lt;=AsOfDate,1,0),MONTH($D77),DAY($D77)))</f>
        <v/>
      </c>
      <c r="F77" s="16"/>
      <c r="G77" s="16"/>
      <c r="H77" s="16"/>
      <c r="I77" s="16"/>
      <c r="J77" s="16"/>
      <c r="K77" s="10" t="str">
        <f aca="false">IF(AE77=0,"",DATE(YEAR(AsOfDate)+IF(DATE(YEAR(AsOfDate),MONTH($F77),DAY($F77))&lt;=AsOfDate,1,0),MONTH($F77),DAY($F77)))</f>
        <v/>
      </c>
      <c r="L77" s="11" t="str">
        <f aca="false">IF(AE77=0,"",ROUND((AsOfDate-$F77)/365.25,1))</f>
        <v/>
      </c>
      <c r="M77" s="12" t="str">
        <f aca="false">IF(AE77=0,"",IF(AsOfDate&lt;AF77,"-",DATEDIF(AF77,AsOfDate,"y")&amp;"y "&amp;DATEDIF(AF77,AsOfDate,"ym")&amp;"m "&amp;DATEDIF(AF77,AsOfDate,"md")&amp;"d"))</f>
        <v/>
      </c>
      <c r="N77" s="13" t="str">
        <f aca="false">IF(AE77=0,"",O77*HoursPerDay)</f>
        <v/>
      </c>
      <c r="O77" s="13" t="str">
        <f aca="false">IF(AE77=0,"",AX77)</f>
        <v/>
      </c>
      <c r="P77" s="17"/>
      <c r="Q77" s="12" t="str">
        <f aca="false">IF(AE77=0,"",IF(AG77&lt;2,"",AK77&amp;" to "&amp;AL77&amp;" on "&amp;TEXT(AI77,"dd/mm/yyyy")&amp;IF(AI77&gt;AsOfDate," (future)",IF(AN77=AO77,"",IF(AO77="None"," - STOPPED accruing",IF(AN77="None"," - now qualifying"," - pathway changed"))))&amp;IF(AG77&lt;3,"","; "&amp;AL77&amp;" to "&amp;AM77&amp;" on "&amp;TEXT(AJ77,"dd/mm/yyyy")&amp;IF(AJ77&gt;AsOfDate," (future)",IF(AO77=AP77,"",IF(AP77="None"," - STOPPED accruing",IF(AO77="None"," - now qualifying"," - pathway changed")))))))</f>
        <v/>
      </c>
      <c r="R77" s="12" t="str">
        <f aca="false">IF(AE77=0,"",IF(AQ77="None",IF(O77&gt;0,"No longer accruing","Not eligible - "&amp;IF(AND(OR(ISNUMBER(SEARCH("part",$C77)),UPPER(TRIM($C77))="PT",UPPER(TRIM($C77))="PTE"),$P77&lt;&gt;"",N($P77)&lt;PT_MinHours),"under "&amp;PT_MinHours&amp;" hrs",IF(IF($C77="","",IF(OR(ISNUMBER(SEARCH("full",$C77)),UPPER(TRIM($C77))="FT",UPPER(TRIM($C77))="FTE"),"Full-Time",IF(OR(ISNUMBER(SEARCH("part",$C77)),UPPER(TRIM($C77))="PT",UPPER(TRIM($C77))="PTE"),"Part-Time",IF(OR(ISNUMBER(SEARCH("cas",$C77)),UPPER(TRIM($C77))="CAS"),"Casual","Unknown"))))="Unknown","type not recognised",$C77))),IF(O77&gt;0,"Yes - accruing","Not yet - from "&amp;TEXT(S77,"dd/mm/yyyy"))))</f>
        <v/>
      </c>
      <c r="S77" s="10" t="str">
        <f aca="false">IF(AE77=0,"",IF(AQ77="None","",EDATE(AF77,AZ77)))</f>
        <v/>
      </c>
      <c r="T77" s="13" t="str">
        <f aca="false">IF(OR(AE77=0,W77=""),"",W77-U77+V77)</f>
        <v/>
      </c>
      <c r="U77" s="13" t="str">
        <f aca="false">IF(AE77=0,"",IF(NOT(LH_Ready),"",SUMIFS(INDEX(LH_Data,0,LH_ColAcc),INDEX(LH_Data,0,LH_ColFirst),$A77,INDEX(LH_Data,0,LH_ColSur),$B77,INDEX(LH_Data,0,LH_ColCat),BonusCat)*UnitFactor))</f>
        <v/>
      </c>
      <c r="V77" s="13" t="str">
        <f aca="false">IF(AE77=0,"",IF(NOT(LH_Ready),"",SUMIFS(INDEX(LH_Data,0,LH_ColTaken),INDEX(LH_Data,0,LH_ColFirst),$A77,INDEX(LH_Data,0,LH_ColSur),$B77,INDEX(LH_Data,0,LH_ColCat),BonusCat)*UnitFactor))</f>
        <v/>
      </c>
      <c r="W77" s="13" t="str">
        <f aca="false">IF(AE77=0,"",IF(NOT(LH_Ready),"",IF(BB77=0,0,INDEX(INDEX(LH_Data,0,LH_ColClose),BB77-1)*UnitFactor)))</f>
        <v/>
      </c>
      <c r="X77" s="13" t="str">
        <f aca="false">IF(AE77=0,"",(AX77-AY77)*HoursPerDay)</f>
        <v/>
      </c>
      <c r="Y77" s="13" t="str">
        <f aca="false">IF(AE77=0,"",IF(NOT(LH_Ready),"",IF(BA77=0,N77,X77-N(U77))))</f>
        <v/>
      </c>
      <c r="Z77" s="12" t="str">
        <f aca="false">IF(OR(AE77=0,Y77=""),"",IF(Y77&gt;0,"Yes","No"))</f>
        <v/>
      </c>
      <c r="AA77" s="12" t="str">
        <f aca="false">IF(AE77=0,IF(LEN($A77&amp;$B77)=0,"","FIX INPUT - StartDate missing"),IF(AD77&lt;&gt;"","FIX INPUT - "&amp;AD77,IF(NOT(LH_Ready),"Paste Leave History export (Settings must show YES)",IF(Y77&gt;0,"ACCRUE "&amp;ROUND(Y77,2)&amp;" hrs ("&amp;ROUND(Y77/HoursPerDay,2)&amp;" days)"&amp;IF(BA77=0," - no Bonus Leave in EH yet, full catch-up since start",""),IF(Y77&lt;0,"CHECK - EH accrued "&amp;ROUND(-Y77,2)&amp;""&amp;" hrs more than policy",IF(O77&gt;0,"OK - nothing to add",IF(AQ77="None",R77,"Not yet - first day on "&amp;TEXT(S77,"dd/mm/yyyy"))))))))</f>
        <v/>
      </c>
      <c r="AB77" s="13" t="str">
        <f aca="false">IF(OR(AE77=0,T77=""),"",AY77*HoursPerDay-T77)</f>
        <v/>
      </c>
      <c r="AC77" s="12" t="str">
        <f aca="false">IF(AE77=0,"",BA77)</f>
        <v/>
      </c>
      <c r="AD77" s="12" t="str">
        <f aca="false">IF(AE77=0,"",TRIM(IF(IF($C77="","",IF(OR(ISNUMBER(SEARCH("full",$C77)),UPPER(TRIM($C77))="FT",UPPER(TRIM($C77))="FTE"),"Full-Time",IF(OR(ISNUMBER(SEARCH("part",$C77)),UPPER(TRIM($C77))="PT",UPPER(TRIM($C77))="PTE"),"Part-Time",IF(OR(ISNUMBER(SEARCH("cas",$C77)),UPPER(TRIM($C77))="CAS"),"Casual","Unknown"))))="Unknown","EmploymentType not recognised - use Full-Time, Part-Time or Casual. ","")&amp;IF(AND(AG77&gt;=1,IF(AG77&gt;=3,AM77,IF(AG77=2,AL77,AK77))&lt;&gt;IF($C77="","",IF(OR(ISNUMBER(SEARCH("full",$C77)),UPPER(TRIM($C77))="FT",UPPER(TRIM($C77))="FTE"),"Full-Time",IF(OR(ISNUMBER(SEARCH("part",$C77)),UPPER(TRIM($C77))="PT",UPPER(TRIM($C77))="PTE"),"Part-Time",IF(OR(ISNUMBER(SEARCH("cas",$C77)),UPPER(TRIM($C77))="CAS"),"Casual","Unknown"))))),"EmploymentType does not match latest start date ("&amp;IF(AG77&gt;=3,AM77,IF(AG77=2,AL77,AK77))&amp;"). ","")&amp;IF(AND(AG77&gt;=1,AH77&lt;&gt;$F77),"Earliest type date should equal StartDate. ","")&amp;IF(AND(AG77&gt;=2,AH77=AI77),"Two types start on the same date. ","")&amp;IF(AND(OR(ISNUMBER(SEARCH("part",$C77)),UPPER(TRIM($C77))="PT",UPPER(TRIM($C77))="PTE"),$P77=""),"Part-time: enter PT Hrs/Week (blank = 24+). ","")))</f>
        <v/>
      </c>
      <c r="AE77" s="12" t="n">
        <f aca="false">IF(OR(LEN($A77&amp;$B77)=0,$F77=""),0,1)</f>
        <v>0</v>
      </c>
      <c r="AF77" s="10" t="str">
        <f aca="false">IF(AE77=0,"",IF($J77&lt;&gt;"",$J77,$F77))</f>
        <v/>
      </c>
      <c r="AG77" s="12" t="str">
        <f aca="false">IF(AE77=0,"",COUNT($G77:$I77))</f>
        <v/>
      </c>
      <c r="AH77" s="10" t="str">
        <f aca="false">IF(AE77=0,"",IFERROR(SMALL($G77:$I77,1),""))</f>
        <v/>
      </c>
      <c r="AI77" s="10" t="str">
        <f aca="false">IF(AE77=0,"",IFERROR(SMALL($G77:$I77,2),""))</f>
        <v/>
      </c>
      <c r="AJ77" s="10" t="str">
        <f aca="false">IF(AE77=0,"",IFERROR(SMALL($G77:$I77,3),""))</f>
        <v/>
      </c>
      <c r="AK77" s="12" t="str">
        <f aca="false">IF(AE77=0,"",IF(AH77="","",IF(AH77=$G77,"Part-Time",IF(AH77=$H77,"Full-Time","Casual"))))</f>
        <v/>
      </c>
      <c r="AL77" s="12" t="str">
        <f aca="false">IF(AE77=0,"",IF(AI77="","",IF(AI77=$G77,"Part-Time",IF(AI77=$H77,"Full-Time","Casual"))))</f>
        <v/>
      </c>
      <c r="AM77" s="12" t="str">
        <f aca="false">IF(AE77=0,"",IF(AJ77="","",IF(AJ77=$G77,"Part-Time",IF(AJ77=$H77,"Full-Time","Casual"))))</f>
        <v/>
      </c>
      <c r="AN77" s="12" t="str">
        <f aca="false">IF(AE77=0,"",IF(AG77=0,IF(OR(ISNUMBER(SEARCH("full",$C77)),UPPER(TRIM($C77))="FT",UPPER(TRIM($C77))="FTE"),"FT",IF(AND(OR(ISNUMBER(SEARCH("part",$C77)),UPPER(TRIM($C77))="PT",UPPER(TRIM($C77))="PTE"),OR($P77="",N($P77)&gt;=PT_MinHours)),"PT","None")),IF(OR(ISNUMBER(SEARCH("full",AK77)),UPPER(TRIM(AK77))="FT",UPPER(TRIM(AK77))="FTE"),"FT",IF(AND(OR(ISNUMBER(SEARCH("part",AK77)),UPPER(TRIM(AK77))="PT",UPPER(TRIM(AK77))="PTE"),OR($P77="",N($P77)&gt;=PT_MinHours)),"PT","None"))))</f>
        <v/>
      </c>
      <c r="AO77" s="12" t="str">
        <f aca="false">IF(AE77=0,"",IF(AG77&lt;2,"",IF(OR(ISNUMBER(SEARCH("full",AL77)),UPPER(TRIM(AL77))="FT",UPPER(TRIM(AL77))="FTE"),"FT",IF(AND(OR(ISNUMBER(SEARCH("part",AL77)),UPPER(TRIM(AL77))="PT",UPPER(TRIM(AL77))="PTE"),OR($P77="",N($P77)&gt;=PT_MinHours)),"PT","None"))))</f>
        <v/>
      </c>
      <c r="AP77" s="12" t="str">
        <f aca="false">IF(AE77=0,"",IF(AG77&lt;3,"",IF(OR(ISNUMBER(SEARCH("full",AM77)),UPPER(TRIM(AM77))="FT",UPPER(TRIM(AM77))="FTE"),"FT",IF(AND(OR(ISNUMBER(SEARCH("part",AM77)),UPPER(TRIM(AM77))="PT",UPPER(TRIM(AM77))="PTE"),OR($P77="",N($P77)&gt;=PT_MinHours)),"PT","None"))))</f>
        <v/>
      </c>
      <c r="AQ77" s="12" t="str">
        <f aca="false">IF(AE77=0,"",IF(AND(AG77&gt;=3,AJ77&lt;=AsOfDate),AP77,IF(AND(AG77&gt;=2,AI77&lt;=AsOfDate),AO77,AN77)))</f>
        <v/>
      </c>
      <c r="AR77" s="12" t="str">
        <f aca="false">IF(AE77=0,"",IF(AsOfDate&lt;AF77,-1,12*(YEAR(AsOfDate)-YEAR(AF77))+MONTH(AsOfDate)-MONTH(AF77)-IF(DAY(AsOfDate)&lt;MIN(DAY(AF77),DAY(EOMONTH(AsOfDate,0))),1,0)))</f>
        <v/>
      </c>
      <c r="AS77" s="12" t="str">
        <f aca="false">IF(AE77=0,"",IF(OR(AG77&lt;2,AI77&gt;AsOfDate),AR77,IF((AI77-1)&lt;AF77,-1,12*(YEAR((AI77-1))-YEAR(AF77))+MONTH((AI77-1))-MONTH(AF77)-IF(DAY((AI77-1))&lt;MIN(DAY(AF77),DAY(EOMONTH((AI77-1),0))),1,0))))</f>
        <v/>
      </c>
      <c r="AT77" s="12" t="str">
        <f aca="false">IF(AE77=0,"",IF(OR(AG77&lt;3,AJ77&gt;AsOfDate),AR77,IF((AJ77-1)&lt;AF77,-1,12*(YEAR((AJ77-1))-YEAR(AF77))+MONTH((AJ77-1))-MONTH(AF77)-IF(DAY((AJ77-1))&lt;MIN(DAY(AF77),DAY(EOMONTH((AJ77-1),0))),1,0))))</f>
        <v/>
      </c>
      <c r="AU77" s="12" t="str">
        <f aca="false">IF(AE77=0,"",IF(PFYDate&lt;AF77,-1,12*(YEAR(PFYDate)-YEAR(AF77))+MONTH(PFYDate)-MONTH(AF77)-IF(DAY(PFYDate)&lt;MIN(DAY(AF77),DAY(EOMONTH(PFYDate,0))),1,0)))</f>
        <v/>
      </c>
      <c r="AV77" s="12" t="str">
        <f aca="false">IF(AE77=0,"",IF(OR(AG77&lt;2,AI77&gt;PFYDate),AU77,IF((AI77-1)&lt;AF77,-1,12*(YEAR((AI77-1))-YEAR(AF77))+MONTH((AI77-1))-MONTH(AF77)-IF(DAY((AI77-1))&lt;MIN(DAY(AF77),DAY(EOMONTH((AI77-1),0))),1,0))))</f>
        <v/>
      </c>
      <c r="AW77" s="12" t="str">
        <f aca="false">IF(AE77=0,"",IF(OR(AG77&lt;3,AJ77&gt;PFYDate),AU77,IF((AJ77-1)&lt;AF77,-1,12*(YEAR((AJ77-1))-YEAR(AF77))+MONTH((AJ77-1))-MONTH(AF77)-IF(DAY((AJ77-1))&lt;MIN(DAY(AF77),DAY(EOMONTH((AJ77-1),0))),1,0))))</f>
        <v/>
      </c>
      <c r="AX77" s="12" t="str">
        <f aca="false">IF(AE77=0,"",IF(AN77="FT",IF(AS77&lt;FT_First,0,IF(AS77&lt;FT_Y5,1+INT((AS77-FT_First)/FT_Int1),FT_PreY5+FT_PerYear*INT((AS77-FT_Y5)/12)+FT_AnnivDays+INT(MOD(AS77-FT_Y5,12)/FT_Int2))),IF(AN77="PT",IF(AS77&lt;PT_First,0,1+INT((AS77-PT_First)/PT_Int)),0))+IF(AND(AG77&gt;=2,AI77&lt;=AsOfDate),IF(AO77="FT",IF(AT77&lt;FT_First,0,IF(AT77&lt;FT_Y5,1+INT((AT77-FT_First)/FT_Int1),FT_PreY5+FT_PerYear*INT((AT77-FT_Y5)/12)+FT_AnnivDays+INT(MOD(AT77-FT_Y5,12)/FT_Int2))),IF(AO77="PT",IF(AT77&lt;PT_First,0,1+INT((AT77-PT_First)/PT_Int)),0))-IF(AO77="FT",IF(AS77&lt;FT_First,0,IF(AS77&lt;FT_Y5,1+INT((AS77-FT_First)/FT_Int1),FT_PreY5+FT_PerYear*INT((AS77-FT_Y5)/12)+FT_AnnivDays+INT(MOD(AS77-FT_Y5,12)/FT_Int2))),IF(AO77="PT",IF(AS77&lt;PT_First,0,1+INT((AS77-PT_First)/PT_Int)),0)),0)+IF(AND(AG77&gt;=3,AJ77&lt;=AsOfDate),IF(AP77="FT",IF(AR77&lt;FT_First,0,IF(AR77&lt;FT_Y5,1+INT((AR77-FT_First)/FT_Int1),FT_PreY5+FT_PerYear*INT((AR77-FT_Y5)/12)+FT_AnnivDays+INT(MOD(AR77-FT_Y5,12)/FT_Int2))),IF(AP77="PT",IF(AR77&lt;PT_First,0,1+INT((AR77-PT_First)/PT_Int)),0))-IF(AP77="FT",IF(AT77&lt;FT_First,0,IF(AT77&lt;FT_Y5,1+INT((AT77-FT_First)/FT_Int1),FT_PreY5+FT_PerYear*INT((AT77-FT_Y5)/12)+FT_AnnivDays+INT(MOD(AT77-FT_Y5,12)/FT_Int2))),IF(AP77="PT",IF(AT77&lt;PT_First,0,1+INT((AT77-PT_First)/PT_Int)),0)),0))</f>
        <v/>
      </c>
      <c r="AY77" s="12" t="str">
        <f aca="false">IF(AE77=0,"",IF(AN77="FT",IF(AV77&lt;FT_First,0,IF(AV77&lt;FT_Y5,1+INT((AV77-FT_First)/FT_Int1),FT_PreY5+FT_PerYear*INT((AV77-FT_Y5)/12)+FT_AnnivDays+INT(MOD(AV77-FT_Y5,12)/FT_Int2))),IF(AN77="PT",IF(AV77&lt;PT_First,0,1+INT((AV77-PT_First)/PT_Int)),0))+IF(AND(AG77&gt;=2,AI77&lt;=PFYDate),IF(AO77="FT",IF(AW77&lt;FT_First,0,IF(AW77&lt;FT_Y5,1+INT((AW77-FT_First)/FT_Int1),FT_PreY5+FT_PerYear*INT((AW77-FT_Y5)/12)+FT_AnnivDays+INT(MOD(AW77-FT_Y5,12)/FT_Int2))),IF(AO77="PT",IF(AW77&lt;PT_First,0,1+INT((AW77-PT_First)/PT_Int)),0))-IF(AO77="FT",IF(AV77&lt;FT_First,0,IF(AV77&lt;FT_Y5,1+INT((AV77-FT_First)/FT_Int1),FT_PreY5+FT_PerYear*INT((AV77-FT_Y5)/12)+FT_AnnivDays+INT(MOD(AV77-FT_Y5,12)/FT_Int2))),IF(AO77="PT",IF(AV77&lt;PT_First,0,1+INT((AV77-PT_First)/PT_Int)),0)),0)+IF(AND(AG77&gt;=3,AJ77&lt;=PFYDate),IF(AP77="FT",IF(AU77&lt;FT_First,0,IF(AU77&lt;FT_Y5,1+INT((AU77-FT_First)/FT_Int1),FT_PreY5+FT_PerYear*INT((AU77-FT_Y5)/12)+FT_AnnivDays+INT(MOD(AU77-FT_Y5,12)/FT_Int2))),IF(AP77="PT",IF(AU77&lt;PT_First,0,1+INT((AU77-PT_First)/PT_Int)),0))-IF(AP77="FT",IF(AW77&lt;FT_First,0,IF(AW77&lt;FT_Y5,1+INT((AW77-FT_First)/FT_Int1),FT_PreY5+FT_PerYear*INT((AW77-FT_Y5)/12)+FT_AnnivDays+INT(MOD(AW77-FT_Y5,12)/FT_Int2))),IF(AP77="PT",IF(AW77&lt;PT_First,0,1+INT((AW77-PT_First)/PT_Int)),0)),0))</f>
        <v/>
      </c>
      <c r="AZ77" s="12" t="str">
        <f aca="false">IF(AE77=0,"",IF(AQ77="FT",IF(AR77&lt;FT_First,FT_First,IF(AR77&lt;FT_Y5,MIN(FT_Y5,FT_First+FT_Int1*(INT((AR77-FT_First)/FT_Int1)+1)),FT_Y5+12*INT((AR77-FT_Y5)/12)+FT_Int2*(INT(MOD(AR77-FT_Y5,12)/FT_Int2)+1))),IF(AQ77="PT",IF(AR77&lt;PT_First,PT_First,PT_First+PT_Int*(INT((AR77-PT_First)/PT_Int)+1)),"")))</f>
        <v/>
      </c>
      <c r="BA77" s="12" t="str">
        <f aca="false">IF(AE77=0,"",IF(NOT(LH_Ready),0,COUNTIFS(INDEX(LH_Data,0,LH_ColFirst),$A77,INDEX(LH_Data,0,LH_ColSur),$B77,INDEX(LH_Data,0,LH_ColCat),BonusCat)))</f>
        <v/>
      </c>
      <c r="BB77" s="12" t="str">
        <f aca="false">IF(AE77=0,"",IF(OR(NOT(LH_Ready),BA77=0),0,SUMPRODUCT(MAX((INDEX(LH_Data,0,LH_ColFirst)=$A77)*(INDEX(LH_Data,0,LH_ColSur)=$B77)*(INDEX(LH_Data,0,LH_ColCat)=BonusCat)*ROW(LH_Data)))))</f>
        <v/>
      </c>
    </row>
    <row r="78" customFormat="false" ht="15" hidden="false" customHeight="false" outlineLevel="0" collapsed="false">
      <c r="A78" s="15"/>
      <c r="B78" s="15"/>
      <c r="C78" s="15"/>
      <c r="D78" s="16"/>
      <c r="E78" s="10" t="str">
        <f aca="false">IF(OR(AE78=0,$D78=""),"",DATE(YEAR(AsOfDate)+IF(DATE(YEAR(AsOfDate),MONTH($D78),DAY($D78))&lt;=AsOfDate,1,0),MONTH($D78),DAY($D78)))</f>
        <v/>
      </c>
      <c r="F78" s="16"/>
      <c r="G78" s="16"/>
      <c r="H78" s="16"/>
      <c r="I78" s="16"/>
      <c r="J78" s="16"/>
      <c r="K78" s="10" t="str">
        <f aca="false">IF(AE78=0,"",DATE(YEAR(AsOfDate)+IF(DATE(YEAR(AsOfDate),MONTH($F78),DAY($F78))&lt;=AsOfDate,1,0),MONTH($F78),DAY($F78)))</f>
        <v/>
      </c>
      <c r="L78" s="11" t="str">
        <f aca="false">IF(AE78=0,"",ROUND((AsOfDate-$F78)/365.25,1))</f>
        <v/>
      </c>
      <c r="M78" s="12" t="str">
        <f aca="false">IF(AE78=0,"",IF(AsOfDate&lt;AF78,"-",DATEDIF(AF78,AsOfDate,"y")&amp;"y "&amp;DATEDIF(AF78,AsOfDate,"ym")&amp;"m "&amp;DATEDIF(AF78,AsOfDate,"md")&amp;"d"))</f>
        <v/>
      </c>
      <c r="N78" s="13" t="str">
        <f aca="false">IF(AE78=0,"",O78*HoursPerDay)</f>
        <v/>
      </c>
      <c r="O78" s="13" t="str">
        <f aca="false">IF(AE78=0,"",AX78)</f>
        <v/>
      </c>
      <c r="P78" s="17"/>
      <c r="Q78" s="12" t="str">
        <f aca="false">IF(AE78=0,"",IF(AG78&lt;2,"",AK78&amp;" to "&amp;AL78&amp;" on "&amp;TEXT(AI78,"dd/mm/yyyy")&amp;IF(AI78&gt;AsOfDate," (future)",IF(AN78=AO78,"",IF(AO78="None"," - STOPPED accruing",IF(AN78="None"," - now qualifying"," - pathway changed"))))&amp;IF(AG78&lt;3,"","; "&amp;AL78&amp;" to "&amp;AM78&amp;" on "&amp;TEXT(AJ78,"dd/mm/yyyy")&amp;IF(AJ78&gt;AsOfDate," (future)",IF(AO78=AP78,"",IF(AP78="None"," - STOPPED accruing",IF(AO78="None"," - now qualifying"," - pathway changed")))))))</f>
        <v/>
      </c>
      <c r="R78" s="12" t="str">
        <f aca="false">IF(AE78=0,"",IF(AQ78="None",IF(O78&gt;0,"No longer accruing","Not eligible - "&amp;IF(AND(OR(ISNUMBER(SEARCH("part",$C78)),UPPER(TRIM($C78))="PT",UPPER(TRIM($C78))="PTE"),$P78&lt;&gt;"",N($P78)&lt;PT_MinHours),"under "&amp;PT_MinHours&amp;" hrs",IF(IF($C78="","",IF(OR(ISNUMBER(SEARCH("full",$C78)),UPPER(TRIM($C78))="FT",UPPER(TRIM($C78))="FTE"),"Full-Time",IF(OR(ISNUMBER(SEARCH("part",$C78)),UPPER(TRIM($C78))="PT",UPPER(TRIM($C78))="PTE"),"Part-Time",IF(OR(ISNUMBER(SEARCH("cas",$C78)),UPPER(TRIM($C78))="CAS"),"Casual","Unknown"))))="Unknown","type not recognised",$C78))),IF(O78&gt;0,"Yes - accruing","Not yet - from "&amp;TEXT(S78,"dd/mm/yyyy"))))</f>
        <v/>
      </c>
      <c r="S78" s="10" t="str">
        <f aca="false">IF(AE78=0,"",IF(AQ78="None","",EDATE(AF78,AZ78)))</f>
        <v/>
      </c>
      <c r="T78" s="13" t="str">
        <f aca="false">IF(OR(AE78=0,W78=""),"",W78-U78+V78)</f>
        <v/>
      </c>
      <c r="U78" s="13" t="str">
        <f aca="false">IF(AE78=0,"",IF(NOT(LH_Ready),"",SUMIFS(INDEX(LH_Data,0,LH_ColAcc),INDEX(LH_Data,0,LH_ColFirst),$A78,INDEX(LH_Data,0,LH_ColSur),$B78,INDEX(LH_Data,0,LH_ColCat),BonusCat)*UnitFactor))</f>
        <v/>
      </c>
      <c r="V78" s="13" t="str">
        <f aca="false">IF(AE78=0,"",IF(NOT(LH_Ready),"",SUMIFS(INDEX(LH_Data,0,LH_ColTaken),INDEX(LH_Data,0,LH_ColFirst),$A78,INDEX(LH_Data,0,LH_ColSur),$B78,INDEX(LH_Data,0,LH_ColCat),BonusCat)*UnitFactor))</f>
        <v/>
      </c>
      <c r="W78" s="13" t="str">
        <f aca="false">IF(AE78=0,"",IF(NOT(LH_Ready),"",IF(BB78=0,0,INDEX(INDEX(LH_Data,0,LH_ColClose),BB78-1)*UnitFactor)))</f>
        <v/>
      </c>
      <c r="X78" s="13" t="str">
        <f aca="false">IF(AE78=0,"",(AX78-AY78)*HoursPerDay)</f>
        <v/>
      </c>
      <c r="Y78" s="13" t="str">
        <f aca="false">IF(AE78=0,"",IF(NOT(LH_Ready),"",IF(BA78=0,N78,X78-N(U78))))</f>
        <v/>
      </c>
      <c r="Z78" s="12" t="str">
        <f aca="false">IF(OR(AE78=0,Y78=""),"",IF(Y78&gt;0,"Yes","No"))</f>
        <v/>
      </c>
      <c r="AA78" s="12" t="str">
        <f aca="false">IF(AE78=0,IF(LEN($A78&amp;$B78)=0,"","FIX INPUT - StartDate missing"),IF(AD78&lt;&gt;"","FIX INPUT - "&amp;AD78,IF(NOT(LH_Ready),"Paste Leave History export (Settings must show YES)",IF(Y78&gt;0,"ACCRUE "&amp;ROUND(Y78,2)&amp;" hrs ("&amp;ROUND(Y78/HoursPerDay,2)&amp;" days)"&amp;IF(BA78=0," - no Bonus Leave in EH yet, full catch-up since start",""),IF(Y78&lt;0,"CHECK - EH accrued "&amp;ROUND(-Y78,2)&amp;""&amp;" hrs more than policy",IF(O78&gt;0,"OK - nothing to add",IF(AQ78="None",R78,"Not yet - first day on "&amp;TEXT(S78,"dd/mm/yyyy"))))))))</f>
        <v/>
      </c>
      <c r="AB78" s="13" t="str">
        <f aca="false">IF(OR(AE78=0,T78=""),"",AY78*HoursPerDay-T78)</f>
        <v/>
      </c>
      <c r="AC78" s="12" t="str">
        <f aca="false">IF(AE78=0,"",BA78)</f>
        <v/>
      </c>
      <c r="AD78" s="12" t="str">
        <f aca="false">IF(AE78=0,"",TRIM(IF(IF($C78="","",IF(OR(ISNUMBER(SEARCH("full",$C78)),UPPER(TRIM($C78))="FT",UPPER(TRIM($C78))="FTE"),"Full-Time",IF(OR(ISNUMBER(SEARCH("part",$C78)),UPPER(TRIM($C78))="PT",UPPER(TRIM($C78))="PTE"),"Part-Time",IF(OR(ISNUMBER(SEARCH("cas",$C78)),UPPER(TRIM($C78))="CAS"),"Casual","Unknown"))))="Unknown","EmploymentType not recognised - use Full-Time, Part-Time or Casual. ","")&amp;IF(AND(AG78&gt;=1,IF(AG78&gt;=3,AM78,IF(AG78=2,AL78,AK78))&lt;&gt;IF($C78="","",IF(OR(ISNUMBER(SEARCH("full",$C78)),UPPER(TRIM($C78))="FT",UPPER(TRIM($C78))="FTE"),"Full-Time",IF(OR(ISNUMBER(SEARCH("part",$C78)),UPPER(TRIM($C78))="PT",UPPER(TRIM($C78))="PTE"),"Part-Time",IF(OR(ISNUMBER(SEARCH("cas",$C78)),UPPER(TRIM($C78))="CAS"),"Casual","Unknown"))))),"EmploymentType does not match latest start date ("&amp;IF(AG78&gt;=3,AM78,IF(AG78=2,AL78,AK78))&amp;"). ","")&amp;IF(AND(AG78&gt;=1,AH78&lt;&gt;$F78),"Earliest type date should equal StartDate. ","")&amp;IF(AND(AG78&gt;=2,AH78=AI78),"Two types start on the same date. ","")&amp;IF(AND(OR(ISNUMBER(SEARCH("part",$C78)),UPPER(TRIM($C78))="PT",UPPER(TRIM($C78))="PTE"),$P78=""),"Part-time: enter PT Hrs/Week (blank = 24+). ","")))</f>
        <v/>
      </c>
      <c r="AE78" s="12" t="n">
        <f aca="false">IF(OR(LEN($A78&amp;$B78)=0,$F78=""),0,1)</f>
        <v>0</v>
      </c>
      <c r="AF78" s="10" t="str">
        <f aca="false">IF(AE78=0,"",IF($J78&lt;&gt;"",$J78,$F78))</f>
        <v/>
      </c>
      <c r="AG78" s="12" t="str">
        <f aca="false">IF(AE78=0,"",COUNT($G78:$I78))</f>
        <v/>
      </c>
      <c r="AH78" s="10" t="str">
        <f aca="false">IF(AE78=0,"",IFERROR(SMALL($G78:$I78,1),""))</f>
        <v/>
      </c>
      <c r="AI78" s="10" t="str">
        <f aca="false">IF(AE78=0,"",IFERROR(SMALL($G78:$I78,2),""))</f>
        <v/>
      </c>
      <c r="AJ78" s="10" t="str">
        <f aca="false">IF(AE78=0,"",IFERROR(SMALL($G78:$I78,3),""))</f>
        <v/>
      </c>
      <c r="AK78" s="12" t="str">
        <f aca="false">IF(AE78=0,"",IF(AH78="","",IF(AH78=$G78,"Part-Time",IF(AH78=$H78,"Full-Time","Casual"))))</f>
        <v/>
      </c>
      <c r="AL78" s="12" t="str">
        <f aca="false">IF(AE78=0,"",IF(AI78="","",IF(AI78=$G78,"Part-Time",IF(AI78=$H78,"Full-Time","Casual"))))</f>
        <v/>
      </c>
      <c r="AM78" s="12" t="str">
        <f aca="false">IF(AE78=0,"",IF(AJ78="","",IF(AJ78=$G78,"Part-Time",IF(AJ78=$H78,"Full-Time","Casual"))))</f>
        <v/>
      </c>
      <c r="AN78" s="12" t="str">
        <f aca="false">IF(AE78=0,"",IF(AG78=0,IF(OR(ISNUMBER(SEARCH("full",$C78)),UPPER(TRIM($C78))="FT",UPPER(TRIM($C78))="FTE"),"FT",IF(AND(OR(ISNUMBER(SEARCH("part",$C78)),UPPER(TRIM($C78))="PT",UPPER(TRIM($C78))="PTE"),OR($P78="",N($P78)&gt;=PT_MinHours)),"PT","None")),IF(OR(ISNUMBER(SEARCH("full",AK78)),UPPER(TRIM(AK78))="FT",UPPER(TRIM(AK78))="FTE"),"FT",IF(AND(OR(ISNUMBER(SEARCH("part",AK78)),UPPER(TRIM(AK78))="PT",UPPER(TRIM(AK78))="PTE"),OR($P78="",N($P78)&gt;=PT_MinHours)),"PT","None"))))</f>
        <v/>
      </c>
      <c r="AO78" s="12" t="str">
        <f aca="false">IF(AE78=0,"",IF(AG78&lt;2,"",IF(OR(ISNUMBER(SEARCH("full",AL78)),UPPER(TRIM(AL78))="FT",UPPER(TRIM(AL78))="FTE"),"FT",IF(AND(OR(ISNUMBER(SEARCH("part",AL78)),UPPER(TRIM(AL78))="PT",UPPER(TRIM(AL78))="PTE"),OR($P78="",N($P78)&gt;=PT_MinHours)),"PT","None"))))</f>
        <v/>
      </c>
      <c r="AP78" s="12" t="str">
        <f aca="false">IF(AE78=0,"",IF(AG78&lt;3,"",IF(OR(ISNUMBER(SEARCH("full",AM78)),UPPER(TRIM(AM78))="FT",UPPER(TRIM(AM78))="FTE"),"FT",IF(AND(OR(ISNUMBER(SEARCH("part",AM78)),UPPER(TRIM(AM78))="PT",UPPER(TRIM(AM78))="PTE"),OR($P78="",N($P78)&gt;=PT_MinHours)),"PT","None"))))</f>
        <v/>
      </c>
      <c r="AQ78" s="12" t="str">
        <f aca="false">IF(AE78=0,"",IF(AND(AG78&gt;=3,AJ78&lt;=AsOfDate),AP78,IF(AND(AG78&gt;=2,AI78&lt;=AsOfDate),AO78,AN78)))</f>
        <v/>
      </c>
      <c r="AR78" s="12" t="str">
        <f aca="false">IF(AE78=0,"",IF(AsOfDate&lt;AF78,-1,12*(YEAR(AsOfDate)-YEAR(AF78))+MONTH(AsOfDate)-MONTH(AF78)-IF(DAY(AsOfDate)&lt;MIN(DAY(AF78),DAY(EOMONTH(AsOfDate,0))),1,0)))</f>
        <v/>
      </c>
      <c r="AS78" s="12" t="str">
        <f aca="false">IF(AE78=0,"",IF(OR(AG78&lt;2,AI78&gt;AsOfDate),AR78,IF((AI78-1)&lt;AF78,-1,12*(YEAR((AI78-1))-YEAR(AF78))+MONTH((AI78-1))-MONTH(AF78)-IF(DAY((AI78-1))&lt;MIN(DAY(AF78),DAY(EOMONTH((AI78-1),0))),1,0))))</f>
        <v/>
      </c>
      <c r="AT78" s="12" t="str">
        <f aca="false">IF(AE78=0,"",IF(OR(AG78&lt;3,AJ78&gt;AsOfDate),AR78,IF((AJ78-1)&lt;AF78,-1,12*(YEAR((AJ78-1))-YEAR(AF78))+MONTH((AJ78-1))-MONTH(AF78)-IF(DAY((AJ78-1))&lt;MIN(DAY(AF78),DAY(EOMONTH((AJ78-1),0))),1,0))))</f>
        <v/>
      </c>
      <c r="AU78" s="12" t="str">
        <f aca="false">IF(AE78=0,"",IF(PFYDate&lt;AF78,-1,12*(YEAR(PFYDate)-YEAR(AF78))+MONTH(PFYDate)-MONTH(AF78)-IF(DAY(PFYDate)&lt;MIN(DAY(AF78),DAY(EOMONTH(PFYDate,0))),1,0)))</f>
        <v/>
      </c>
      <c r="AV78" s="12" t="str">
        <f aca="false">IF(AE78=0,"",IF(OR(AG78&lt;2,AI78&gt;PFYDate),AU78,IF((AI78-1)&lt;AF78,-1,12*(YEAR((AI78-1))-YEAR(AF78))+MONTH((AI78-1))-MONTH(AF78)-IF(DAY((AI78-1))&lt;MIN(DAY(AF78),DAY(EOMONTH((AI78-1),0))),1,0))))</f>
        <v/>
      </c>
      <c r="AW78" s="12" t="str">
        <f aca="false">IF(AE78=0,"",IF(OR(AG78&lt;3,AJ78&gt;PFYDate),AU78,IF((AJ78-1)&lt;AF78,-1,12*(YEAR((AJ78-1))-YEAR(AF78))+MONTH((AJ78-1))-MONTH(AF78)-IF(DAY((AJ78-1))&lt;MIN(DAY(AF78),DAY(EOMONTH((AJ78-1),0))),1,0))))</f>
        <v/>
      </c>
      <c r="AX78" s="12" t="str">
        <f aca="false">IF(AE78=0,"",IF(AN78="FT",IF(AS78&lt;FT_First,0,IF(AS78&lt;FT_Y5,1+INT((AS78-FT_First)/FT_Int1),FT_PreY5+FT_PerYear*INT((AS78-FT_Y5)/12)+FT_AnnivDays+INT(MOD(AS78-FT_Y5,12)/FT_Int2))),IF(AN78="PT",IF(AS78&lt;PT_First,0,1+INT((AS78-PT_First)/PT_Int)),0))+IF(AND(AG78&gt;=2,AI78&lt;=AsOfDate),IF(AO78="FT",IF(AT78&lt;FT_First,0,IF(AT78&lt;FT_Y5,1+INT((AT78-FT_First)/FT_Int1),FT_PreY5+FT_PerYear*INT((AT78-FT_Y5)/12)+FT_AnnivDays+INT(MOD(AT78-FT_Y5,12)/FT_Int2))),IF(AO78="PT",IF(AT78&lt;PT_First,0,1+INT((AT78-PT_First)/PT_Int)),0))-IF(AO78="FT",IF(AS78&lt;FT_First,0,IF(AS78&lt;FT_Y5,1+INT((AS78-FT_First)/FT_Int1),FT_PreY5+FT_PerYear*INT((AS78-FT_Y5)/12)+FT_AnnivDays+INT(MOD(AS78-FT_Y5,12)/FT_Int2))),IF(AO78="PT",IF(AS78&lt;PT_First,0,1+INT((AS78-PT_First)/PT_Int)),0)),0)+IF(AND(AG78&gt;=3,AJ78&lt;=AsOfDate),IF(AP78="FT",IF(AR78&lt;FT_First,0,IF(AR78&lt;FT_Y5,1+INT((AR78-FT_First)/FT_Int1),FT_PreY5+FT_PerYear*INT((AR78-FT_Y5)/12)+FT_AnnivDays+INT(MOD(AR78-FT_Y5,12)/FT_Int2))),IF(AP78="PT",IF(AR78&lt;PT_First,0,1+INT((AR78-PT_First)/PT_Int)),0))-IF(AP78="FT",IF(AT78&lt;FT_First,0,IF(AT78&lt;FT_Y5,1+INT((AT78-FT_First)/FT_Int1),FT_PreY5+FT_PerYear*INT((AT78-FT_Y5)/12)+FT_AnnivDays+INT(MOD(AT78-FT_Y5,12)/FT_Int2))),IF(AP78="PT",IF(AT78&lt;PT_First,0,1+INT((AT78-PT_First)/PT_Int)),0)),0))</f>
        <v/>
      </c>
      <c r="AY78" s="12" t="str">
        <f aca="false">IF(AE78=0,"",IF(AN78="FT",IF(AV78&lt;FT_First,0,IF(AV78&lt;FT_Y5,1+INT((AV78-FT_First)/FT_Int1),FT_PreY5+FT_PerYear*INT((AV78-FT_Y5)/12)+FT_AnnivDays+INT(MOD(AV78-FT_Y5,12)/FT_Int2))),IF(AN78="PT",IF(AV78&lt;PT_First,0,1+INT((AV78-PT_First)/PT_Int)),0))+IF(AND(AG78&gt;=2,AI78&lt;=PFYDate),IF(AO78="FT",IF(AW78&lt;FT_First,0,IF(AW78&lt;FT_Y5,1+INT((AW78-FT_First)/FT_Int1),FT_PreY5+FT_PerYear*INT((AW78-FT_Y5)/12)+FT_AnnivDays+INT(MOD(AW78-FT_Y5,12)/FT_Int2))),IF(AO78="PT",IF(AW78&lt;PT_First,0,1+INT((AW78-PT_First)/PT_Int)),0))-IF(AO78="FT",IF(AV78&lt;FT_First,0,IF(AV78&lt;FT_Y5,1+INT((AV78-FT_First)/FT_Int1),FT_PreY5+FT_PerYear*INT((AV78-FT_Y5)/12)+FT_AnnivDays+INT(MOD(AV78-FT_Y5,12)/FT_Int2))),IF(AO78="PT",IF(AV78&lt;PT_First,0,1+INT((AV78-PT_First)/PT_Int)),0)),0)+IF(AND(AG78&gt;=3,AJ78&lt;=PFYDate),IF(AP78="FT",IF(AU78&lt;FT_First,0,IF(AU78&lt;FT_Y5,1+INT((AU78-FT_First)/FT_Int1),FT_PreY5+FT_PerYear*INT((AU78-FT_Y5)/12)+FT_AnnivDays+INT(MOD(AU78-FT_Y5,12)/FT_Int2))),IF(AP78="PT",IF(AU78&lt;PT_First,0,1+INT((AU78-PT_First)/PT_Int)),0))-IF(AP78="FT",IF(AW78&lt;FT_First,0,IF(AW78&lt;FT_Y5,1+INT((AW78-FT_First)/FT_Int1),FT_PreY5+FT_PerYear*INT((AW78-FT_Y5)/12)+FT_AnnivDays+INT(MOD(AW78-FT_Y5,12)/FT_Int2))),IF(AP78="PT",IF(AW78&lt;PT_First,0,1+INT((AW78-PT_First)/PT_Int)),0)),0))</f>
        <v/>
      </c>
      <c r="AZ78" s="12" t="str">
        <f aca="false">IF(AE78=0,"",IF(AQ78="FT",IF(AR78&lt;FT_First,FT_First,IF(AR78&lt;FT_Y5,MIN(FT_Y5,FT_First+FT_Int1*(INT((AR78-FT_First)/FT_Int1)+1)),FT_Y5+12*INT((AR78-FT_Y5)/12)+FT_Int2*(INT(MOD(AR78-FT_Y5,12)/FT_Int2)+1))),IF(AQ78="PT",IF(AR78&lt;PT_First,PT_First,PT_First+PT_Int*(INT((AR78-PT_First)/PT_Int)+1)),"")))</f>
        <v/>
      </c>
      <c r="BA78" s="12" t="str">
        <f aca="false">IF(AE78=0,"",IF(NOT(LH_Ready),0,COUNTIFS(INDEX(LH_Data,0,LH_ColFirst),$A78,INDEX(LH_Data,0,LH_ColSur),$B78,INDEX(LH_Data,0,LH_ColCat),BonusCat)))</f>
        <v/>
      </c>
      <c r="BB78" s="12" t="str">
        <f aca="false">IF(AE78=0,"",IF(OR(NOT(LH_Ready),BA78=0),0,SUMPRODUCT(MAX((INDEX(LH_Data,0,LH_ColFirst)=$A78)*(INDEX(LH_Data,0,LH_ColSur)=$B78)*(INDEX(LH_Data,0,LH_ColCat)=BonusCat)*ROW(LH_Data)))))</f>
        <v/>
      </c>
    </row>
    <row r="79" customFormat="false" ht="15" hidden="false" customHeight="false" outlineLevel="0" collapsed="false">
      <c r="A79" s="15"/>
      <c r="B79" s="15"/>
      <c r="C79" s="15"/>
      <c r="D79" s="16"/>
      <c r="E79" s="10" t="str">
        <f aca="false">IF(OR(AE79=0,$D79=""),"",DATE(YEAR(AsOfDate)+IF(DATE(YEAR(AsOfDate),MONTH($D79),DAY($D79))&lt;=AsOfDate,1,0),MONTH($D79),DAY($D79)))</f>
        <v/>
      </c>
      <c r="F79" s="16"/>
      <c r="G79" s="16"/>
      <c r="H79" s="16"/>
      <c r="I79" s="16"/>
      <c r="J79" s="16"/>
      <c r="K79" s="10" t="str">
        <f aca="false">IF(AE79=0,"",DATE(YEAR(AsOfDate)+IF(DATE(YEAR(AsOfDate),MONTH($F79),DAY($F79))&lt;=AsOfDate,1,0),MONTH($F79),DAY($F79)))</f>
        <v/>
      </c>
      <c r="L79" s="11" t="str">
        <f aca="false">IF(AE79=0,"",ROUND((AsOfDate-$F79)/365.25,1))</f>
        <v/>
      </c>
      <c r="M79" s="12" t="str">
        <f aca="false">IF(AE79=0,"",IF(AsOfDate&lt;AF79,"-",DATEDIF(AF79,AsOfDate,"y")&amp;"y "&amp;DATEDIF(AF79,AsOfDate,"ym")&amp;"m "&amp;DATEDIF(AF79,AsOfDate,"md")&amp;"d"))</f>
        <v/>
      </c>
      <c r="N79" s="13" t="str">
        <f aca="false">IF(AE79=0,"",O79*HoursPerDay)</f>
        <v/>
      </c>
      <c r="O79" s="13" t="str">
        <f aca="false">IF(AE79=0,"",AX79)</f>
        <v/>
      </c>
      <c r="P79" s="17"/>
      <c r="Q79" s="12" t="str">
        <f aca="false">IF(AE79=0,"",IF(AG79&lt;2,"",AK79&amp;" to "&amp;AL79&amp;" on "&amp;TEXT(AI79,"dd/mm/yyyy")&amp;IF(AI79&gt;AsOfDate," (future)",IF(AN79=AO79,"",IF(AO79="None"," - STOPPED accruing",IF(AN79="None"," - now qualifying"," - pathway changed"))))&amp;IF(AG79&lt;3,"","; "&amp;AL79&amp;" to "&amp;AM79&amp;" on "&amp;TEXT(AJ79,"dd/mm/yyyy")&amp;IF(AJ79&gt;AsOfDate," (future)",IF(AO79=AP79,"",IF(AP79="None"," - STOPPED accruing",IF(AO79="None"," - now qualifying"," - pathway changed")))))))</f>
        <v/>
      </c>
      <c r="R79" s="12" t="str">
        <f aca="false">IF(AE79=0,"",IF(AQ79="None",IF(O79&gt;0,"No longer accruing","Not eligible - "&amp;IF(AND(OR(ISNUMBER(SEARCH("part",$C79)),UPPER(TRIM($C79))="PT",UPPER(TRIM($C79))="PTE"),$P79&lt;&gt;"",N($P79)&lt;PT_MinHours),"under "&amp;PT_MinHours&amp;" hrs",IF(IF($C79="","",IF(OR(ISNUMBER(SEARCH("full",$C79)),UPPER(TRIM($C79))="FT",UPPER(TRIM($C79))="FTE"),"Full-Time",IF(OR(ISNUMBER(SEARCH("part",$C79)),UPPER(TRIM($C79))="PT",UPPER(TRIM($C79))="PTE"),"Part-Time",IF(OR(ISNUMBER(SEARCH("cas",$C79)),UPPER(TRIM($C79))="CAS"),"Casual","Unknown"))))="Unknown","type not recognised",$C79))),IF(O79&gt;0,"Yes - accruing","Not yet - from "&amp;TEXT(S79,"dd/mm/yyyy"))))</f>
        <v/>
      </c>
      <c r="S79" s="10" t="str">
        <f aca="false">IF(AE79=0,"",IF(AQ79="None","",EDATE(AF79,AZ79)))</f>
        <v/>
      </c>
      <c r="T79" s="13" t="str">
        <f aca="false">IF(OR(AE79=0,W79=""),"",W79-U79+V79)</f>
        <v/>
      </c>
      <c r="U79" s="13" t="str">
        <f aca="false">IF(AE79=0,"",IF(NOT(LH_Ready),"",SUMIFS(INDEX(LH_Data,0,LH_ColAcc),INDEX(LH_Data,0,LH_ColFirst),$A79,INDEX(LH_Data,0,LH_ColSur),$B79,INDEX(LH_Data,0,LH_ColCat),BonusCat)*UnitFactor))</f>
        <v/>
      </c>
      <c r="V79" s="13" t="str">
        <f aca="false">IF(AE79=0,"",IF(NOT(LH_Ready),"",SUMIFS(INDEX(LH_Data,0,LH_ColTaken),INDEX(LH_Data,0,LH_ColFirst),$A79,INDEX(LH_Data,0,LH_ColSur),$B79,INDEX(LH_Data,0,LH_ColCat),BonusCat)*UnitFactor))</f>
        <v/>
      </c>
      <c r="W79" s="13" t="str">
        <f aca="false">IF(AE79=0,"",IF(NOT(LH_Ready),"",IF(BB79=0,0,INDEX(INDEX(LH_Data,0,LH_ColClose),BB79-1)*UnitFactor)))</f>
        <v/>
      </c>
      <c r="X79" s="13" t="str">
        <f aca="false">IF(AE79=0,"",(AX79-AY79)*HoursPerDay)</f>
        <v/>
      </c>
      <c r="Y79" s="13" t="str">
        <f aca="false">IF(AE79=0,"",IF(NOT(LH_Ready),"",IF(BA79=0,N79,X79-N(U79))))</f>
        <v/>
      </c>
      <c r="Z79" s="12" t="str">
        <f aca="false">IF(OR(AE79=0,Y79=""),"",IF(Y79&gt;0,"Yes","No"))</f>
        <v/>
      </c>
      <c r="AA79" s="12" t="str">
        <f aca="false">IF(AE79=0,IF(LEN($A79&amp;$B79)=0,"","FIX INPUT - StartDate missing"),IF(AD79&lt;&gt;"","FIX INPUT - "&amp;AD79,IF(NOT(LH_Ready),"Paste Leave History export (Settings must show YES)",IF(Y79&gt;0,"ACCRUE "&amp;ROUND(Y79,2)&amp;" hrs ("&amp;ROUND(Y79/HoursPerDay,2)&amp;" days)"&amp;IF(BA79=0," - no Bonus Leave in EH yet, full catch-up since start",""),IF(Y79&lt;0,"CHECK - EH accrued "&amp;ROUND(-Y79,2)&amp;""&amp;" hrs more than policy",IF(O79&gt;0,"OK - nothing to add",IF(AQ79="None",R79,"Not yet - first day on "&amp;TEXT(S79,"dd/mm/yyyy"))))))))</f>
        <v/>
      </c>
      <c r="AB79" s="13" t="str">
        <f aca="false">IF(OR(AE79=0,T79=""),"",AY79*HoursPerDay-T79)</f>
        <v/>
      </c>
      <c r="AC79" s="12" t="str">
        <f aca="false">IF(AE79=0,"",BA79)</f>
        <v/>
      </c>
      <c r="AD79" s="12" t="str">
        <f aca="false">IF(AE79=0,"",TRIM(IF(IF($C79="","",IF(OR(ISNUMBER(SEARCH("full",$C79)),UPPER(TRIM($C79))="FT",UPPER(TRIM($C79))="FTE"),"Full-Time",IF(OR(ISNUMBER(SEARCH("part",$C79)),UPPER(TRIM($C79))="PT",UPPER(TRIM($C79))="PTE"),"Part-Time",IF(OR(ISNUMBER(SEARCH("cas",$C79)),UPPER(TRIM($C79))="CAS"),"Casual","Unknown"))))="Unknown","EmploymentType not recognised - use Full-Time, Part-Time or Casual. ","")&amp;IF(AND(AG79&gt;=1,IF(AG79&gt;=3,AM79,IF(AG79=2,AL79,AK79))&lt;&gt;IF($C79="","",IF(OR(ISNUMBER(SEARCH("full",$C79)),UPPER(TRIM($C79))="FT",UPPER(TRIM($C79))="FTE"),"Full-Time",IF(OR(ISNUMBER(SEARCH("part",$C79)),UPPER(TRIM($C79))="PT",UPPER(TRIM($C79))="PTE"),"Part-Time",IF(OR(ISNUMBER(SEARCH("cas",$C79)),UPPER(TRIM($C79))="CAS"),"Casual","Unknown"))))),"EmploymentType does not match latest start date ("&amp;IF(AG79&gt;=3,AM79,IF(AG79=2,AL79,AK79))&amp;"). ","")&amp;IF(AND(AG79&gt;=1,AH79&lt;&gt;$F79),"Earliest type date should equal StartDate. ","")&amp;IF(AND(AG79&gt;=2,AH79=AI79),"Two types start on the same date. ","")&amp;IF(AND(OR(ISNUMBER(SEARCH("part",$C79)),UPPER(TRIM($C79))="PT",UPPER(TRIM($C79))="PTE"),$P79=""),"Part-time: enter PT Hrs/Week (blank = 24+). ","")))</f>
        <v/>
      </c>
      <c r="AE79" s="12" t="n">
        <f aca="false">IF(OR(LEN($A79&amp;$B79)=0,$F79=""),0,1)</f>
        <v>0</v>
      </c>
      <c r="AF79" s="10" t="str">
        <f aca="false">IF(AE79=0,"",IF($J79&lt;&gt;"",$J79,$F79))</f>
        <v/>
      </c>
      <c r="AG79" s="12" t="str">
        <f aca="false">IF(AE79=0,"",COUNT($G79:$I79))</f>
        <v/>
      </c>
      <c r="AH79" s="10" t="str">
        <f aca="false">IF(AE79=0,"",IFERROR(SMALL($G79:$I79,1),""))</f>
        <v/>
      </c>
      <c r="AI79" s="10" t="str">
        <f aca="false">IF(AE79=0,"",IFERROR(SMALL($G79:$I79,2),""))</f>
        <v/>
      </c>
      <c r="AJ79" s="10" t="str">
        <f aca="false">IF(AE79=0,"",IFERROR(SMALL($G79:$I79,3),""))</f>
        <v/>
      </c>
      <c r="AK79" s="12" t="str">
        <f aca="false">IF(AE79=0,"",IF(AH79="","",IF(AH79=$G79,"Part-Time",IF(AH79=$H79,"Full-Time","Casual"))))</f>
        <v/>
      </c>
      <c r="AL79" s="12" t="str">
        <f aca="false">IF(AE79=0,"",IF(AI79="","",IF(AI79=$G79,"Part-Time",IF(AI79=$H79,"Full-Time","Casual"))))</f>
        <v/>
      </c>
      <c r="AM79" s="12" t="str">
        <f aca="false">IF(AE79=0,"",IF(AJ79="","",IF(AJ79=$G79,"Part-Time",IF(AJ79=$H79,"Full-Time","Casual"))))</f>
        <v/>
      </c>
      <c r="AN79" s="12" t="str">
        <f aca="false">IF(AE79=0,"",IF(AG79=0,IF(OR(ISNUMBER(SEARCH("full",$C79)),UPPER(TRIM($C79))="FT",UPPER(TRIM($C79))="FTE"),"FT",IF(AND(OR(ISNUMBER(SEARCH("part",$C79)),UPPER(TRIM($C79))="PT",UPPER(TRIM($C79))="PTE"),OR($P79="",N($P79)&gt;=PT_MinHours)),"PT","None")),IF(OR(ISNUMBER(SEARCH("full",AK79)),UPPER(TRIM(AK79))="FT",UPPER(TRIM(AK79))="FTE"),"FT",IF(AND(OR(ISNUMBER(SEARCH("part",AK79)),UPPER(TRIM(AK79))="PT",UPPER(TRIM(AK79))="PTE"),OR($P79="",N($P79)&gt;=PT_MinHours)),"PT","None"))))</f>
        <v/>
      </c>
      <c r="AO79" s="12" t="str">
        <f aca="false">IF(AE79=0,"",IF(AG79&lt;2,"",IF(OR(ISNUMBER(SEARCH("full",AL79)),UPPER(TRIM(AL79))="FT",UPPER(TRIM(AL79))="FTE"),"FT",IF(AND(OR(ISNUMBER(SEARCH("part",AL79)),UPPER(TRIM(AL79))="PT",UPPER(TRIM(AL79))="PTE"),OR($P79="",N($P79)&gt;=PT_MinHours)),"PT","None"))))</f>
        <v/>
      </c>
      <c r="AP79" s="12" t="str">
        <f aca="false">IF(AE79=0,"",IF(AG79&lt;3,"",IF(OR(ISNUMBER(SEARCH("full",AM79)),UPPER(TRIM(AM79))="FT",UPPER(TRIM(AM79))="FTE"),"FT",IF(AND(OR(ISNUMBER(SEARCH("part",AM79)),UPPER(TRIM(AM79))="PT",UPPER(TRIM(AM79))="PTE"),OR($P79="",N($P79)&gt;=PT_MinHours)),"PT","None"))))</f>
        <v/>
      </c>
      <c r="AQ79" s="12" t="str">
        <f aca="false">IF(AE79=0,"",IF(AND(AG79&gt;=3,AJ79&lt;=AsOfDate),AP79,IF(AND(AG79&gt;=2,AI79&lt;=AsOfDate),AO79,AN79)))</f>
        <v/>
      </c>
      <c r="AR79" s="12" t="str">
        <f aca="false">IF(AE79=0,"",IF(AsOfDate&lt;AF79,-1,12*(YEAR(AsOfDate)-YEAR(AF79))+MONTH(AsOfDate)-MONTH(AF79)-IF(DAY(AsOfDate)&lt;MIN(DAY(AF79),DAY(EOMONTH(AsOfDate,0))),1,0)))</f>
        <v/>
      </c>
      <c r="AS79" s="12" t="str">
        <f aca="false">IF(AE79=0,"",IF(OR(AG79&lt;2,AI79&gt;AsOfDate),AR79,IF((AI79-1)&lt;AF79,-1,12*(YEAR((AI79-1))-YEAR(AF79))+MONTH((AI79-1))-MONTH(AF79)-IF(DAY((AI79-1))&lt;MIN(DAY(AF79),DAY(EOMONTH((AI79-1),0))),1,0))))</f>
        <v/>
      </c>
      <c r="AT79" s="12" t="str">
        <f aca="false">IF(AE79=0,"",IF(OR(AG79&lt;3,AJ79&gt;AsOfDate),AR79,IF((AJ79-1)&lt;AF79,-1,12*(YEAR((AJ79-1))-YEAR(AF79))+MONTH((AJ79-1))-MONTH(AF79)-IF(DAY((AJ79-1))&lt;MIN(DAY(AF79),DAY(EOMONTH((AJ79-1),0))),1,0))))</f>
        <v/>
      </c>
      <c r="AU79" s="12" t="str">
        <f aca="false">IF(AE79=0,"",IF(PFYDate&lt;AF79,-1,12*(YEAR(PFYDate)-YEAR(AF79))+MONTH(PFYDate)-MONTH(AF79)-IF(DAY(PFYDate)&lt;MIN(DAY(AF79),DAY(EOMONTH(PFYDate,0))),1,0)))</f>
        <v/>
      </c>
      <c r="AV79" s="12" t="str">
        <f aca="false">IF(AE79=0,"",IF(OR(AG79&lt;2,AI79&gt;PFYDate),AU79,IF((AI79-1)&lt;AF79,-1,12*(YEAR((AI79-1))-YEAR(AF79))+MONTH((AI79-1))-MONTH(AF79)-IF(DAY((AI79-1))&lt;MIN(DAY(AF79),DAY(EOMONTH((AI79-1),0))),1,0))))</f>
        <v/>
      </c>
      <c r="AW79" s="12" t="str">
        <f aca="false">IF(AE79=0,"",IF(OR(AG79&lt;3,AJ79&gt;PFYDate),AU79,IF((AJ79-1)&lt;AF79,-1,12*(YEAR((AJ79-1))-YEAR(AF79))+MONTH((AJ79-1))-MONTH(AF79)-IF(DAY((AJ79-1))&lt;MIN(DAY(AF79),DAY(EOMONTH((AJ79-1),0))),1,0))))</f>
        <v/>
      </c>
      <c r="AX79" s="12" t="str">
        <f aca="false">IF(AE79=0,"",IF(AN79="FT",IF(AS79&lt;FT_First,0,IF(AS79&lt;FT_Y5,1+INT((AS79-FT_First)/FT_Int1),FT_PreY5+FT_PerYear*INT((AS79-FT_Y5)/12)+FT_AnnivDays+INT(MOD(AS79-FT_Y5,12)/FT_Int2))),IF(AN79="PT",IF(AS79&lt;PT_First,0,1+INT((AS79-PT_First)/PT_Int)),0))+IF(AND(AG79&gt;=2,AI79&lt;=AsOfDate),IF(AO79="FT",IF(AT79&lt;FT_First,0,IF(AT79&lt;FT_Y5,1+INT((AT79-FT_First)/FT_Int1),FT_PreY5+FT_PerYear*INT((AT79-FT_Y5)/12)+FT_AnnivDays+INT(MOD(AT79-FT_Y5,12)/FT_Int2))),IF(AO79="PT",IF(AT79&lt;PT_First,0,1+INT((AT79-PT_First)/PT_Int)),0))-IF(AO79="FT",IF(AS79&lt;FT_First,0,IF(AS79&lt;FT_Y5,1+INT((AS79-FT_First)/FT_Int1),FT_PreY5+FT_PerYear*INT((AS79-FT_Y5)/12)+FT_AnnivDays+INT(MOD(AS79-FT_Y5,12)/FT_Int2))),IF(AO79="PT",IF(AS79&lt;PT_First,0,1+INT((AS79-PT_First)/PT_Int)),0)),0)+IF(AND(AG79&gt;=3,AJ79&lt;=AsOfDate),IF(AP79="FT",IF(AR79&lt;FT_First,0,IF(AR79&lt;FT_Y5,1+INT((AR79-FT_First)/FT_Int1),FT_PreY5+FT_PerYear*INT((AR79-FT_Y5)/12)+FT_AnnivDays+INT(MOD(AR79-FT_Y5,12)/FT_Int2))),IF(AP79="PT",IF(AR79&lt;PT_First,0,1+INT((AR79-PT_First)/PT_Int)),0))-IF(AP79="FT",IF(AT79&lt;FT_First,0,IF(AT79&lt;FT_Y5,1+INT((AT79-FT_First)/FT_Int1),FT_PreY5+FT_PerYear*INT((AT79-FT_Y5)/12)+FT_AnnivDays+INT(MOD(AT79-FT_Y5,12)/FT_Int2))),IF(AP79="PT",IF(AT79&lt;PT_First,0,1+INT((AT79-PT_First)/PT_Int)),0)),0))</f>
        <v/>
      </c>
      <c r="AY79" s="12" t="str">
        <f aca="false">IF(AE79=0,"",IF(AN79="FT",IF(AV79&lt;FT_First,0,IF(AV79&lt;FT_Y5,1+INT((AV79-FT_First)/FT_Int1),FT_PreY5+FT_PerYear*INT((AV79-FT_Y5)/12)+FT_AnnivDays+INT(MOD(AV79-FT_Y5,12)/FT_Int2))),IF(AN79="PT",IF(AV79&lt;PT_First,0,1+INT((AV79-PT_First)/PT_Int)),0))+IF(AND(AG79&gt;=2,AI79&lt;=PFYDate),IF(AO79="FT",IF(AW79&lt;FT_First,0,IF(AW79&lt;FT_Y5,1+INT((AW79-FT_First)/FT_Int1),FT_PreY5+FT_PerYear*INT((AW79-FT_Y5)/12)+FT_AnnivDays+INT(MOD(AW79-FT_Y5,12)/FT_Int2))),IF(AO79="PT",IF(AW79&lt;PT_First,0,1+INT((AW79-PT_First)/PT_Int)),0))-IF(AO79="FT",IF(AV79&lt;FT_First,0,IF(AV79&lt;FT_Y5,1+INT((AV79-FT_First)/FT_Int1),FT_PreY5+FT_PerYear*INT((AV79-FT_Y5)/12)+FT_AnnivDays+INT(MOD(AV79-FT_Y5,12)/FT_Int2))),IF(AO79="PT",IF(AV79&lt;PT_First,0,1+INT((AV79-PT_First)/PT_Int)),0)),0)+IF(AND(AG79&gt;=3,AJ79&lt;=PFYDate),IF(AP79="FT",IF(AU79&lt;FT_First,0,IF(AU79&lt;FT_Y5,1+INT((AU79-FT_First)/FT_Int1),FT_PreY5+FT_PerYear*INT((AU79-FT_Y5)/12)+FT_AnnivDays+INT(MOD(AU79-FT_Y5,12)/FT_Int2))),IF(AP79="PT",IF(AU79&lt;PT_First,0,1+INT((AU79-PT_First)/PT_Int)),0))-IF(AP79="FT",IF(AW79&lt;FT_First,0,IF(AW79&lt;FT_Y5,1+INT((AW79-FT_First)/FT_Int1),FT_PreY5+FT_PerYear*INT((AW79-FT_Y5)/12)+FT_AnnivDays+INT(MOD(AW79-FT_Y5,12)/FT_Int2))),IF(AP79="PT",IF(AW79&lt;PT_First,0,1+INT((AW79-PT_First)/PT_Int)),0)),0))</f>
        <v/>
      </c>
      <c r="AZ79" s="12" t="str">
        <f aca="false">IF(AE79=0,"",IF(AQ79="FT",IF(AR79&lt;FT_First,FT_First,IF(AR79&lt;FT_Y5,MIN(FT_Y5,FT_First+FT_Int1*(INT((AR79-FT_First)/FT_Int1)+1)),FT_Y5+12*INT((AR79-FT_Y5)/12)+FT_Int2*(INT(MOD(AR79-FT_Y5,12)/FT_Int2)+1))),IF(AQ79="PT",IF(AR79&lt;PT_First,PT_First,PT_First+PT_Int*(INT((AR79-PT_First)/PT_Int)+1)),"")))</f>
        <v/>
      </c>
      <c r="BA79" s="12" t="str">
        <f aca="false">IF(AE79=0,"",IF(NOT(LH_Ready),0,COUNTIFS(INDEX(LH_Data,0,LH_ColFirst),$A79,INDEX(LH_Data,0,LH_ColSur),$B79,INDEX(LH_Data,0,LH_ColCat),BonusCat)))</f>
        <v/>
      </c>
      <c r="BB79" s="12" t="str">
        <f aca="false">IF(AE79=0,"",IF(OR(NOT(LH_Ready),BA79=0),0,SUMPRODUCT(MAX((INDEX(LH_Data,0,LH_ColFirst)=$A79)*(INDEX(LH_Data,0,LH_ColSur)=$B79)*(INDEX(LH_Data,0,LH_ColCat)=BonusCat)*ROW(LH_Data)))))</f>
        <v/>
      </c>
    </row>
    <row r="80" customFormat="false" ht="15" hidden="false" customHeight="false" outlineLevel="0" collapsed="false">
      <c r="A80" s="15"/>
      <c r="B80" s="15"/>
      <c r="C80" s="15"/>
      <c r="D80" s="16"/>
      <c r="E80" s="10" t="str">
        <f aca="false">IF(OR(AE80=0,$D80=""),"",DATE(YEAR(AsOfDate)+IF(DATE(YEAR(AsOfDate),MONTH($D80),DAY($D80))&lt;=AsOfDate,1,0),MONTH($D80),DAY($D80)))</f>
        <v/>
      </c>
      <c r="F80" s="16"/>
      <c r="G80" s="16"/>
      <c r="H80" s="16"/>
      <c r="I80" s="16"/>
      <c r="J80" s="16"/>
      <c r="K80" s="10" t="str">
        <f aca="false">IF(AE80=0,"",DATE(YEAR(AsOfDate)+IF(DATE(YEAR(AsOfDate),MONTH($F80),DAY($F80))&lt;=AsOfDate,1,0),MONTH($F80),DAY($F80)))</f>
        <v/>
      </c>
      <c r="L80" s="11" t="str">
        <f aca="false">IF(AE80=0,"",ROUND((AsOfDate-$F80)/365.25,1))</f>
        <v/>
      </c>
      <c r="M80" s="12" t="str">
        <f aca="false">IF(AE80=0,"",IF(AsOfDate&lt;AF80,"-",DATEDIF(AF80,AsOfDate,"y")&amp;"y "&amp;DATEDIF(AF80,AsOfDate,"ym")&amp;"m "&amp;DATEDIF(AF80,AsOfDate,"md")&amp;"d"))</f>
        <v/>
      </c>
      <c r="N80" s="13" t="str">
        <f aca="false">IF(AE80=0,"",O80*HoursPerDay)</f>
        <v/>
      </c>
      <c r="O80" s="13" t="str">
        <f aca="false">IF(AE80=0,"",AX80)</f>
        <v/>
      </c>
      <c r="P80" s="17"/>
      <c r="Q80" s="12" t="str">
        <f aca="false">IF(AE80=0,"",IF(AG80&lt;2,"",AK80&amp;" to "&amp;AL80&amp;" on "&amp;TEXT(AI80,"dd/mm/yyyy")&amp;IF(AI80&gt;AsOfDate," (future)",IF(AN80=AO80,"",IF(AO80="None"," - STOPPED accruing",IF(AN80="None"," - now qualifying"," - pathway changed"))))&amp;IF(AG80&lt;3,"","; "&amp;AL80&amp;" to "&amp;AM80&amp;" on "&amp;TEXT(AJ80,"dd/mm/yyyy")&amp;IF(AJ80&gt;AsOfDate," (future)",IF(AO80=AP80,"",IF(AP80="None"," - STOPPED accruing",IF(AO80="None"," - now qualifying"," - pathway changed")))))))</f>
        <v/>
      </c>
      <c r="R80" s="12" t="str">
        <f aca="false">IF(AE80=0,"",IF(AQ80="None",IF(O80&gt;0,"No longer accruing","Not eligible - "&amp;IF(AND(OR(ISNUMBER(SEARCH("part",$C80)),UPPER(TRIM($C80))="PT",UPPER(TRIM($C80))="PTE"),$P80&lt;&gt;"",N($P80)&lt;PT_MinHours),"under "&amp;PT_MinHours&amp;" hrs",IF(IF($C80="","",IF(OR(ISNUMBER(SEARCH("full",$C80)),UPPER(TRIM($C80))="FT",UPPER(TRIM($C80))="FTE"),"Full-Time",IF(OR(ISNUMBER(SEARCH("part",$C80)),UPPER(TRIM($C80))="PT",UPPER(TRIM($C80))="PTE"),"Part-Time",IF(OR(ISNUMBER(SEARCH("cas",$C80)),UPPER(TRIM($C80))="CAS"),"Casual","Unknown"))))="Unknown","type not recognised",$C80))),IF(O80&gt;0,"Yes - accruing","Not yet - from "&amp;TEXT(S80,"dd/mm/yyyy"))))</f>
        <v/>
      </c>
      <c r="S80" s="10" t="str">
        <f aca="false">IF(AE80=0,"",IF(AQ80="None","",EDATE(AF80,AZ80)))</f>
        <v/>
      </c>
      <c r="T80" s="13" t="str">
        <f aca="false">IF(OR(AE80=0,W80=""),"",W80-U80+V80)</f>
        <v/>
      </c>
      <c r="U80" s="13" t="str">
        <f aca="false">IF(AE80=0,"",IF(NOT(LH_Ready),"",SUMIFS(INDEX(LH_Data,0,LH_ColAcc),INDEX(LH_Data,0,LH_ColFirst),$A80,INDEX(LH_Data,0,LH_ColSur),$B80,INDEX(LH_Data,0,LH_ColCat),BonusCat)*UnitFactor))</f>
        <v/>
      </c>
      <c r="V80" s="13" t="str">
        <f aca="false">IF(AE80=0,"",IF(NOT(LH_Ready),"",SUMIFS(INDEX(LH_Data,0,LH_ColTaken),INDEX(LH_Data,0,LH_ColFirst),$A80,INDEX(LH_Data,0,LH_ColSur),$B80,INDEX(LH_Data,0,LH_ColCat),BonusCat)*UnitFactor))</f>
        <v/>
      </c>
      <c r="W80" s="13" t="str">
        <f aca="false">IF(AE80=0,"",IF(NOT(LH_Ready),"",IF(BB80=0,0,INDEX(INDEX(LH_Data,0,LH_ColClose),BB80-1)*UnitFactor)))</f>
        <v/>
      </c>
      <c r="X80" s="13" t="str">
        <f aca="false">IF(AE80=0,"",(AX80-AY80)*HoursPerDay)</f>
        <v/>
      </c>
      <c r="Y80" s="13" t="str">
        <f aca="false">IF(AE80=0,"",IF(NOT(LH_Ready),"",IF(BA80=0,N80,X80-N(U80))))</f>
        <v/>
      </c>
      <c r="Z80" s="12" t="str">
        <f aca="false">IF(OR(AE80=0,Y80=""),"",IF(Y80&gt;0,"Yes","No"))</f>
        <v/>
      </c>
      <c r="AA80" s="12" t="str">
        <f aca="false">IF(AE80=0,IF(LEN($A80&amp;$B80)=0,"","FIX INPUT - StartDate missing"),IF(AD80&lt;&gt;"","FIX INPUT - "&amp;AD80,IF(NOT(LH_Ready),"Paste Leave History export (Settings must show YES)",IF(Y80&gt;0,"ACCRUE "&amp;ROUND(Y80,2)&amp;" hrs ("&amp;ROUND(Y80/HoursPerDay,2)&amp;" days)"&amp;IF(BA80=0," - no Bonus Leave in EH yet, full catch-up since start",""),IF(Y80&lt;0,"CHECK - EH accrued "&amp;ROUND(-Y80,2)&amp;""&amp;" hrs more than policy",IF(O80&gt;0,"OK - nothing to add",IF(AQ80="None",R80,"Not yet - first day on "&amp;TEXT(S80,"dd/mm/yyyy"))))))))</f>
        <v/>
      </c>
      <c r="AB80" s="13" t="str">
        <f aca="false">IF(OR(AE80=0,T80=""),"",AY80*HoursPerDay-T80)</f>
        <v/>
      </c>
      <c r="AC80" s="12" t="str">
        <f aca="false">IF(AE80=0,"",BA80)</f>
        <v/>
      </c>
      <c r="AD80" s="12" t="str">
        <f aca="false">IF(AE80=0,"",TRIM(IF(IF($C80="","",IF(OR(ISNUMBER(SEARCH("full",$C80)),UPPER(TRIM($C80))="FT",UPPER(TRIM($C80))="FTE"),"Full-Time",IF(OR(ISNUMBER(SEARCH("part",$C80)),UPPER(TRIM($C80))="PT",UPPER(TRIM($C80))="PTE"),"Part-Time",IF(OR(ISNUMBER(SEARCH("cas",$C80)),UPPER(TRIM($C80))="CAS"),"Casual","Unknown"))))="Unknown","EmploymentType not recognised - use Full-Time, Part-Time or Casual. ","")&amp;IF(AND(AG80&gt;=1,IF(AG80&gt;=3,AM80,IF(AG80=2,AL80,AK80))&lt;&gt;IF($C80="","",IF(OR(ISNUMBER(SEARCH("full",$C80)),UPPER(TRIM($C80))="FT",UPPER(TRIM($C80))="FTE"),"Full-Time",IF(OR(ISNUMBER(SEARCH("part",$C80)),UPPER(TRIM($C80))="PT",UPPER(TRIM($C80))="PTE"),"Part-Time",IF(OR(ISNUMBER(SEARCH("cas",$C80)),UPPER(TRIM($C80))="CAS"),"Casual","Unknown"))))),"EmploymentType does not match latest start date ("&amp;IF(AG80&gt;=3,AM80,IF(AG80=2,AL80,AK80))&amp;"). ","")&amp;IF(AND(AG80&gt;=1,AH80&lt;&gt;$F80),"Earliest type date should equal StartDate. ","")&amp;IF(AND(AG80&gt;=2,AH80=AI80),"Two types start on the same date. ","")&amp;IF(AND(OR(ISNUMBER(SEARCH("part",$C80)),UPPER(TRIM($C80))="PT",UPPER(TRIM($C80))="PTE"),$P80=""),"Part-time: enter PT Hrs/Week (blank = 24+). ","")))</f>
        <v/>
      </c>
      <c r="AE80" s="12" t="n">
        <f aca="false">IF(OR(LEN($A80&amp;$B80)=0,$F80=""),0,1)</f>
        <v>0</v>
      </c>
      <c r="AF80" s="10" t="str">
        <f aca="false">IF(AE80=0,"",IF($J80&lt;&gt;"",$J80,$F80))</f>
        <v/>
      </c>
      <c r="AG80" s="12" t="str">
        <f aca="false">IF(AE80=0,"",COUNT($G80:$I80))</f>
        <v/>
      </c>
      <c r="AH80" s="10" t="str">
        <f aca="false">IF(AE80=0,"",IFERROR(SMALL($G80:$I80,1),""))</f>
        <v/>
      </c>
      <c r="AI80" s="10" t="str">
        <f aca="false">IF(AE80=0,"",IFERROR(SMALL($G80:$I80,2),""))</f>
        <v/>
      </c>
      <c r="AJ80" s="10" t="str">
        <f aca="false">IF(AE80=0,"",IFERROR(SMALL($G80:$I80,3),""))</f>
        <v/>
      </c>
      <c r="AK80" s="12" t="str">
        <f aca="false">IF(AE80=0,"",IF(AH80="","",IF(AH80=$G80,"Part-Time",IF(AH80=$H80,"Full-Time","Casual"))))</f>
        <v/>
      </c>
      <c r="AL80" s="12" t="str">
        <f aca="false">IF(AE80=0,"",IF(AI80="","",IF(AI80=$G80,"Part-Time",IF(AI80=$H80,"Full-Time","Casual"))))</f>
        <v/>
      </c>
      <c r="AM80" s="12" t="str">
        <f aca="false">IF(AE80=0,"",IF(AJ80="","",IF(AJ80=$G80,"Part-Time",IF(AJ80=$H80,"Full-Time","Casual"))))</f>
        <v/>
      </c>
      <c r="AN80" s="12" t="str">
        <f aca="false">IF(AE80=0,"",IF(AG80=0,IF(OR(ISNUMBER(SEARCH("full",$C80)),UPPER(TRIM($C80))="FT",UPPER(TRIM($C80))="FTE"),"FT",IF(AND(OR(ISNUMBER(SEARCH("part",$C80)),UPPER(TRIM($C80))="PT",UPPER(TRIM($C80))="PTE"),OR($P80="",N($P80)&gt;=PT_MinHours)),"PT","None")),IF(OR(ISNUMBER(SEARCH("full",AK80)),UPPER(TRIM(AK80))="FT",UPPER(TRIM(AK80))="FTE"),"FT",IF(AND(OR(ISNUMBER(SEARCH("part",AK80)),UPPER(TRIM(AK80))="PT",UPPER(TRIM(AK80))="PTE"),OR($P80="",N($P80)&gt;=PT_MinHours)),"PT","None"))))</f>
        <v/>
      </c>
      <c r="AO80" s="12" t="str">
        <f aca="false">IF(AE80=0,"",IF(AG80&lt;2,"",IF(OR(ISNUMBER(SEARCH("full",AL80)),UPPER(TRIM(AL80))="FT",UPPER(TRIM(AL80))="FTE"),"FT",IF(AND(OR(ISNUMBER(SEARCH("part",AL80)),UPPER(TRIM(AL80))="PT",UPPER(TRIM(AL80))="PTE"),OR($P80="",N($P80)&gt;=PT_MinHours)),"PT","None"))))</f>
        <v/>
      </c>
      <c r="AP80" s="12" t="str">
        <f aca="false">IF(AE80=0,"",IF(AG80&lt;3,"",IF(OR(ISNUMBER(SEARCH("full",AM80)),UPPER(TRIM(AM80))="FT",UPPER(TRIM(AM80))="FTE"),"FT",IF(AND(OR(ISNUMBER(SEARCH("part",AM80)),UPPER(TRIM(AM80))="PT",UPPER(TRIM(AM80))="PTE"),OR($P80="",N($P80)&gt;=PT_MinHours)),"PT","None"))))</f>
        <v/>
      </c>
      <c r="AQ80" s="12" t="str">
        <f aca="false">IF(AE80=0,"",IF(AND(AG80&gt;=3,AJ80&lt;=AsOfDate),AP80,IF(AND(AG80&gt;=2,AI80&lt;=AsOfDate),AO80,AN80)))</f>
        <v/>
      </c>
      <c r="AR80" s="12" t="str">
        <f aca="false">IF(AE80=0,"",IF(AsOfDate&lt;AF80,-1,12*(YEAR(AsOfDate)-YEAR(AF80))+MONTH(AsOfDate)-MONTH(AF80)-IF(DAY(AsOfDate)&lt;MIN(DAY(AF80),DAY(EOMONTH(AsOfDate,0))),1,0)))</f>
        <v/>
      </c>
      <c r="AS80" s="12" t="str">
        <f aca="false">IF(AE80=0,"",IF(OR(AG80&lt;2,AI80&gt;AsOfDate),AR80,IF((AI80-1)&lt;AF80,-1,12*(YEAR((AI80-1))-YEAR(AF80))+MONTH((AI80-1))-MONTH(AF80)-IF(DAY((AI80-1))&lt;MIN(DAY(AF80),DAY(EOMONTH((AI80-1),0))),1,0))))</f>
        <v/>
      </c>
      <c r="AT80" s="12" t="str">
        <f aca="false">IF(AE80=0,"",IF(OR(AG80&lt;3,AJ80&gt;AsOfDate),AR80,IF((AJ80-1)&lt;AF80,-1,12*(YEAR((AJ80-1))-YEAR(AF80))+MONTH((AJ80-1))-MONTH(AF80)-IF(DAY((AJ80-1))&lt;MIN(DAY(AF80),DAY(EOMONTH((AJ80-1),0))),1,0))))</f>
        <v/>
      </c>
      <c r="AU80" s="12" t="str">
        <f aca="false">IF(AE80=0,"",IF(PFYDate&lt;AF80,-1,12*(YEAR(PFYDate)-YEAR(AF80))+MONTH(PFYDate)-MONTH(AF80)-IF(DAY(PFYDate)&lt;MIN(DAY(AF80),DAY(EOMONTH(PFYDate,0))),1,0)))</f>
        <v/>
      </c>
      <c r="AV80" s="12" t="str">
        <f aca="false">IF(AE80=0,"",IF(OR(AG80&lt;2,AI80&gt;PFYDate),AU80,IF((AI80-1)&lt;AF80,-1,12*(YEAR((AI80-1))-YEAR(AF80))+MONTH((AI80-1))-MONTH(AF80)-IF(DAY((AI80-1))&lt;MIN(DAY(AF80),DAY(EOMONTH((AI80-1),0))),1,0))))</f>
        <v/>
      </c>
      <c r="AW80" s="12" t="str">
        <f aca="false">IF(AE80=0,"",IF(OR(AG80&lt;3,AJ80&gt;PFYDate),AU80,IF((AJ80-1)&lt;AF80,-1,12*(YEAR((AJ80-1))-YEAR(AF80))+MONTH((AJ80-1))-MONTH(AF80)-IF(DAY((AJ80-1))&lt;MIN(DAY(AF80),DAY(EOMONTH((AJ80-1),0))),1,0))))</f>
        <v/>
      </c>
      <c r="AX80" s="12" t="str">
        <f aca="false">IF(AE80=0,"",IF(AN80="FT",IF(AS80&lt;FT_First,0,IF(AS80&lt;FT_Y5,1+INT((AS80-FT_First)/FT_Int1),FT_PreY5+FT_PerYear*INT((AS80-FT_Y5)/12)+FT_AnnivDays+INT(MOD(AS80-FT_Y5,12)/FT_Int2))),IF(AN80="PT",IF(AS80&lt;PT_First,0,1+INT((AS80-PT_First)/PT_Int)),0))+IF(AND(AG80&gt;=2,AI80&lt;=AsOfDate),IF(AO80="FT",IF(AT80&lt;FT_First,0,IF(AT80&lt;FT_Y5,1+INT((AT80-FT_First)/FT_Int1),FT_PreY5+FT_PerYear*INT((AT80-FT_Y5)/12)+FT_AnnivDays+INT(MOD(AT80-FT_Y5,12)/FT_Int2))),IF(AO80="PT",IF(AT80&lt;PT_First,0,1+INT((AT80-PT_First)/PT_Int)),0))-IF(AO80="FT",IF(AS80&lt;FT_First,0,IF(AS80&lt;FT_Y5,1+INT((AS80-FT_First)/FT_Int1),FT_PreY5+FT_PerYear*INT((AS80-FT_Y5)/12)+FT_AnnivDays+INT(MOD(AS80-FT_Y5,12)/FT_Int2))),IF(AO80="PT",IF(AS80&lt;PT_First,0,1+INT((AS80-PT_First)/PT_Int)),0)),0)+IF(AND(AG80&gt;=3,AJ80&lt;=AsOfDate),IF(AP80="FT",IF(AR80&lt;FT_First,0,IF(AR80&lt;FT_Y5,1+INT((AR80-FT_First)/FT_Int1),FT_PreY5+FT_PerYear*INT((AR80-FT_Y5)/12)+FT_AnnivDays+INT(MOD(AR80-FT_Y5,12)/FT_Int2))),IF(AP80="PT",IF(AR80&lt;PT_First,0,1+INT((AR80-PT_First)/PT_Int)),0))-IF(AP80="FT",IF(AT80&lt;FT_First,0,IF(AT80&lt;FT_Y5,1+INT((AT80-FT_First)/FT_Int1),FT_PreY5+FT_PerYear*INT((AT80-FT_Y5)/12)+FT_AnnivDays+INT(MOD(AT80-FT_Y5,12)/FT_Int2))),IF(AP80="PT",IF(AT80&lt;PT_First,0,1+INT((AT80-PT_First)/PT_Int)),0)),0))</f>
        <v/>
      </c>
      <c r="AY80" s="12" t="str">
        <f aca="false">IF(AE80=0,"",IF(AN80="FT",IF(AV80&lt;FT_First,0,IF(AV80&lt;FT_Y5,1+INT((AV80-FT_First)/FT_Int1),FT_PreY5+FT_PerYear*INT((AV80-FT_Y5)/12)+FT_AnnivDays+INT(MOD(AV80-FT_Y5,12)/FT_Int2))),IF(AN80="PT",IF(AV80&lt;PT_First,0,1+INT((AV80-PT_First)/PT_Int)),0))+IF(AND(AG80&gt;=2,AI80&lt;=PFYDate),IF(AO80="FT",IF(AW80&lt;FT_First,0,IF(AW80&lt;FT_Y5,1+INT((AW80-FT_First)/FT_Int1),FT_PreY5+FT_PerYear*INT((AW80-FT_Y5)/12)+FT_AnnivDays+INT(MOD(AW80-FT_Y5,12)/FT_Int2))),IF(AO80="PT",IF(AW80&lt;PT_First,0,1+INT((AW80-PT_First)/PT_Int)),0))-IF(AO80="FT",IF(AV80&lt;FT_First,0,IF(AV80&lt;FT_Y5,1+INT((AV80-FT_First)/FT_Int1),FT_PreY5+FT_PerYear*INT((AV80-FT_Y5)/12)+FT_AnnivDays+INT(MOD(AV80-FT_Y5,12)/FT_Int2))),IF(AO80="PT",IF(AV80&lt;PT_First,0,1+INT((AV80-PT_First)/PT_Int)),0)),0)+IF(AND(AG80&gt;=3,AJ80&lt;=PFYDate),IF(AP80="FT",IF(AU80&lt;FT_First,0,IF(AU80&lt;FT_Y5,1+INT((AU80-FT_First)/FT_Int1),FT_PreY5+FT_PerYear*INT((AU80-FT_Y5)/12)+FT_AnnivDays+INT(MOD(AU80-FT_Y5,12)/FT_Int2))),IF(AP80="PT",IF(AU80&lt;PT_First,0,1+INT((AU80-PT_First)/PT_Int)),0))-IF(AP80="FT",IF(AW80&lt;FT_First,0,IF(AW80&lt;FT_Y5,1+INT((AW80-FT_First)/FT_Int1),FT_PreY5+FT_PerYear*INT((AW80-FT_Y5)/12)+FT_AnnivDays+INT(MOD(AW80-FT_Y5,12)/FT_Int2))),IF(AP80="PT",IF(AW80&lt;PT_First,0,1+INT((AW80-PT_First)/PT_Int)),0)),0))</f>
        <v/>
      </c>
      <c r="AZ80" s="12" t="str">
        <f aca="false">IF(AE80=0,"",IF(AQ80="FT",IF(AR80&lt;FT_First,FT_First,IF(AR80&lt;FT_Y5,MIN(FT_Y5,FT_First+FT_Int1*(INT((AR80-FT_First)/FT_Int1)+1)),FT_Y5+12*INT((AR80-FT_Y5)/12)+FT_Int2*(INT(MOD(AR80-FT_Y5,12)/FT_Int2)+1))),IF(AQ80="PT",IF(AR80&lt;PT_First,PT_First,PT_First+PT_Int*(INT((AR80-PT_First)/PT_Int)+1)),"")))</f>
        <v/>
      </c>
      <c r="BA80" s="12" t="str">
        <f aca="false">IF(AE80=0,"",IF(NOT(LH_Ready),0,COUNTIFS(INDEX(LH_Data,0,LH_ColFirst),$A80,INDEX(LH_Data,0,LH_ColSur),$B80,INDEX(LH_Data,0,LH_ColCat),BonusCat)))</f>
        <v/>
      </c>
      <c r="BB80" s="12" t="str">
        <f aca="false">IF(AE80=0,"",IF(OR(NOT(LH_Ready),BA80=0),0,SUMPRODUCT(MAX((INDEX(LH_Data,0,LH_ColFirst)=$A80)*(INDEX(LH_Data,0,LH_ColSur)=$B80)*(INDEX(LH_Data,0,LH_ColCat)=BonusCat)*ROW(LH_Data)))))</f>
        <v/>
      </c>
    </row>
    <row r="81" customFormat="false" ht="15" hidden="false" customHeight="false" outlineLevel="0" collapsed="false">
      <c r="A81" s="15"/>
      <c r="B81" s="15"/>
      <c r="C81" s="15"/>
      <c r="D81" s="16"/>
      <c r="E81" s="10" t="str">
        <f aca="false">IF(OR(AE81=0,$D81=""),"",DATE(YEAR(AsOfDate)+IF(DATE(YEAR(AsOfDate),MONTH($D81),DAY($D81))&lt;=AsOfDate,1,0),MONTH($D81),DAY($D81)))</f>
        <v/>
      </c>
      <c r="F81" s="16"/>
      <c r="G81" s="16"/>
      <c r="H81" s="16"/>
      <c r="I81" s="16"/>
      <c r="J81" s="16"/>
      <c r="K81" s="10" t="str">
        <f aca="false">IF(AE81=0,"",DATE(YEAR(AsOfDate)+IF(DATE(YEAR(AsOfDate),MONTH($F81),DAY($F81))&lt;=AsOfDate,1,0),MONTH($F81),DAY($F81)))</f>
        <v/>
      </c>
      <c r="L81" s="11" t="str">
        <f aca="false">IF(AE81=0,"",ROUND((AsOfDate-$F81)/365.25,1))</f>
        <v/>
      </c>
      <c r="M81" s="12" t="str">
        <f aca="false">IF(AE81=0,"",IF(AsOfDate&lt;AF81,"-",DATEDIF(AF81,AsOfDate,"y")&amp;"y "&amp;DATEDIF(AF81,AsOfDate,"ym")&amp;"m "&amp;DATEDIF(AF81,AsOfDate,"md")&amp;"d"))</f>
        <v/>
      </c>
      <c r="N81" s="13" t="str">
        <f aca="false">IF(AE81=0,"",O81*HoursPerDay)</f>
        <v/>
      </c>
      <c r="O81" s="13" t="str">
        <f aca="false">IF(AE81=0,"",AX81)</f>
        <v/>
      </c>
      <c r="P81" s="17"/>
      <c r="Q81" s="12" t="str">
        <f aca="false">IF(AE81=0,"",IF(AG81&lt;2,"",AK81&amp;" to "&amp;AL81&amp;" on "&amp;TEXT(AI81,"dd/mm/yyyy")&amp;IF(AI81&gt;AsOfDate," (future)",IF(AN81=AO81,"",IF(AO81="None"," - STOPPED accruing",IF(AN81="None"," - now qualifying"," - pathway changed"))))&amp;IF(AG81&lt;3,"","; "&amp;AL81&amp;" to "&amp;AM81&amp;" on "&amp;TEXT(AJ81,"dd/mm/yyyy")&amp;IF(AJ81&gt;AsOfDate," (future)",IF(AO81=AP81,"",IF(AP81="None"," - STOPPED accruing",IF(AO81="None"," - now qualifying"," - pathway changed")))))))</f>
        <v/>
      </c>
      <c r="R81" s="12" t="str">
        <f aca="false">IF(AE81=0,"",IF(AQ81="None",IF(O81&gt;0,"No longer accruing","Not eligible - "&amp;IF(AND(OR(ISNUMBER(SEARCH("part",$C81)),UPPER(TRIM($C81))="PT",UPPER(TRIM($C81))="PTE"),$P81&lt;&gt;"",N($P81)&lt;PT_MinHours),"under "&amp;PT_MinHours&amp;" hrs",IF(IF($C81="","",IF(OR(ISNUMBER(SEARCH("full",$C81)),UPPER(TRIM($C81))="FT",UPPER(TRIM($C81))="FTE"),"Full-Time",IF(OR(ISNUMBER(SEARCH("part",$C81)),UPPER(TRIM($C81))="PT",UPPER(TRIM($C81))="PTE"),"Part-Time",IF(OR(ISNUMBER(SEARCH("cas",$C81)),UPPER(TRIM($C81))="CAS"),"Casual","Unknown"))))="Unknown","type not recognised",$C81))),IF(O81&gt;0,"Yes - accruing","Not yet - from "&amp;TEXT(S81,"dd/mm/yyyy"))))</f>
        <v/>
      </c>
      <c r="S81" s="10" t="str">
        <f aca="false">IF(AE81=0,"",IF(AQ81="None","",EDATE(AF81,AZ81)))</f>
        <v/>
      </c>
      <c r="T81" s="13" t="str">
        <f aca="false">IF(OR(AE81=0,W81=""),"",W81-U81+V81)</f>
        <v/>
      </c>
      <c r="U81" s="13" t="str">
        <f aca="false">IF(AE81=0,"",IF(NOT(LH_Ready),"",SUMIFS(INDEX(LH_Data,0,LH_ColAcc),INDEX(LH_Data,0,LH_ColFirst),$A81,INDEX(LH_Data,0,LH_ColSur),$B81,INDEX(LH_Data,0,LH_ColCat),BonusCat)*UnitFactor))</f>
        <v/>
      </c>
      <c r="V81" s="13" t="str">
        <f aca="false">IF(AE81=0,"",IF(NOT(LH_Ready),"",SUMIFS(INDEX(LH_Data,0,LH_ColTaken),INDEX(LH_Data,0,LH_ColFirst),$A81,INDEX(LH_Data,0,LH_ColSur),$B81,INDEX(LH_Data,0,LH_ColCat),BonusCat)*UnitFactor))</f>
        <v/>
      </c>
      <c r="W81" s="13" t="str">
        <f aca="false">IF(AE81=0,"",IF(NOT(LH_Ready),"",IF(BB81=0,0,INDEX(INDEX(LH_Data,0,LH_ColClose),BB81-1)*UnitFactor)))</f>
        <v/>
      </c>
      <c r="X81" s="13" t="str">
        <f aca="false">IF(AE81=0,"",(AX81-AY81)*HoursPerDay)</f>
        <v/>
      </c>
      <c r="Y81" s="13" t="str">
        <f aca="false">IF(AE81=0,"",IF(NOT(LH_Ready),"",IF(BA81=0,N81,X81-N(U81))))</f>
        <v/>
      </c>
      <c r="Z81" s="12" t="str">
        <f aca="false">IF(OR(AE81=0,Y81=""),"",IF(Y81&gt;0,"Yes","No"))</f>
        <v/>
      </c>
      <c r="AA81" s="12" t="str">
        <f aca="false">IF(AE81=0,IF(LEN($A81&amp;$B81)=0,"","FIX INPUT - StartDate missing"),IF(AD81&lt;&gt;"","FIX INPUT - "&amp;AD81,IF(NOT(LH_Ready),"Paste Leave History export (Settings must show YES)",IF(Y81&gt;0,"ACCRUE "&amp;ROUND(Y81,2)&amp;" hrs ("&amp;ROUND(Y81/HoursPerDay,2)&amp;" days)"&amp;IF(BA81=0," - no Bonus Leave in EH yet, full catch-up since start",""),IF(Y81&lt;0,"CHECK - EH accrued "&amp;ROUND(-Y81,2)&amp;""&amp;" hrs more than policy",IF(O81&gt;0,"OK - nothing to add",IF(AQ81="None",R81,"Not yet - first day on "&amp;TEXT(S81,"dd/mm/yyyy"))))))))</f>
        <v/>
      </c>
      <c r="AB81" s="13" t="str">
        <f aca="false">IF(OR(AE81=0,T81=""),"",AY81*HoursPerDay-T81)</f>
        <v/>
      </c>
      <c r="AC81" s="12" t="str">
        <f aca="false">IF(AE81=0,"",BA81)</f>
        <v/>
      </c>
      <c r="AD81" s="12" t="str">
        <f aca="false">IF(AE81=0,"",TRIM(IF(IF($C81="","",IF(OR(ISNUMBER(SEARCH("full",$C81)),UPPER(TRIM($C81))="FT",UPPER(TRIM($C81))="FTE"),"Full-Time",IF(OR(ISNUMBER(SEARCH("part",$C81)),UPPER(TRIM($C81))="PT",UPPER(TRIM($C81))="PTE"),"Part-Time",IF(OR(ISNUMBER(SEARCH("cas",$C81)),UPPER(TRIM($C81))="CAS"),"Casual","Unknown"))))="Unknown","EmploymentType not recognised - use Full-Time, Part-Time or Casual. ","")&amp;IF(AND(AG81&gt;=1,IF(AG81&gt;=3,AM81,IF(AG81=2,AL81,AK81))&lt;&gt;IF($C81="","",IF(OR(ISNUMBER(SEARCH("full",$C81)),UPPER(TRIM($C81))="FT",UPPER(TRIM($C81))="FTE"),"Full-Time",IF(OR(ISNUMBER(SEARCH("part",$C81)),UPPER(TRIM($C81))="PT",UPPER(TRIM($C81))="PTE"),"Part-Time",IF(OR(ISNUMBER(SEARCH("cas",$C81)),UPPER(TRIM($C81))="CAS"),"Casual","Unknown"))))),"EmploymentType does not match latest start date ("&amp;IF(AG81&gt;=3,AM81,IF(AG81=2,AL81,AK81))&amp;"). ","")&amp;IF(AND(AG81&gt;=1,AH81&lt;&gt;$F81),"Earliest type date should equal StartDate. ","")&amp;IF(AND(AG81&gt;=2,AH81=AI81),"Two types start on the same date. ","")&amp;IF(AND(OR(ISNUMBER(SEARCH("part",$C81)),UPPER(TRIM($C81))="PT",UPPER(TRIM($C81))="PTE"),$P81=""),"Part-time: enter PT Hrs/Week (blank = 24+). ","")))</f>
        <v/>
      </c>
      <c r="AE81" s="12" t="n">
        <f aca="false">IF(OR(LEN($A81&amp;$B81)=0,$F81=""),0,1)</f>
        <v>0</v>
      </c>
      <c r="AF81" s="10" t="str">
        <f aca="false">IF(AE81=0,"",IF($J81&lt;&gt;"",$J81,$F81))</f>
        <v/>
      </c>
      <c r="AG81" s="12" t="str">
        <f aca="false">IF(AE81=0,"",COUNT($G81:$I81))</f>
        <v/>
      </c>
      <c r="AH81" s="10" t="str">
        <f aca="false">IF(AE81=0,"",IFERROR(SMALL($G81:$I81,1),""))</f>
        <v/>
      </c>
      <c r="AI81" s="10" t="str">
        <f aca="false">IF(AE81=0,"",IFERROR(SMALL($G81:$I81,2),""))</f>
        <v/>
      </c>
      <c r="AJ81" s="10" t="str">
        <f aca="false">IF(AE81=0,"",IFERROR(SMALL($G81:$I81,3),""))</f>
        <v/>
      </c>
      <c r="AK81" s="12" t="str">
        <f aca="false">IF(AE81=0,"",IF(AH81="","",IF(AH81=$G81,"Part-Time",IF(AH81=$H81,"Full-Time","Casual"))))</f>
        <v/>
      </c>
      <c r="AL81" s="12" t="str">
        <f aca="false">IF(AE81=0,"",IF(AI81="","",IF(AI81=$G81,"Part-Time",IF(AI81=$H81,"Full-Time","Casual"))))</f>
        <v/>
      </c>
      <c r="AM81" s="12" t="str">
        <f aca="false">IF(AE81=0,"",IF(AJ81="","",IF(AJ81=$G81,"Part-Time",IF(AJ81=$H81,"Full-Time","Casual"))))</f>
        <v/>
      </c>
      <c r="AN81" s="12" t="str">
        <f aca="false">IF(AE81=0,"",IF(AG81=0,IF(OR(ISNUMBER(SEARCH("full",$C81)),UPPER(TRIM($C81))="FT",UPPER(TRIM($C81))="FTE"),"FT",IF(AND(OR(ISNUMBER(SEARCH("part",$C81)),UPPER(TRIM($C81))="PT",UPPER(TRIM($C81))="PTE"),OR($P81="",N($P81)&gt;=PT_MinHours)),"PT","None")),IF(OR(ISNUMBER(SEARCH("full",AK81)),UPPER(TRIM(AK81))="FT",UPPER(TRIM(AK81))="FTE"),"FT",IF(AND(OR(ISNUMBER(SEARCH("part",AK81)),UPPER(TRIM(AK81))="PT",UPPER(TRIM(AK81))="PTE"),OR($P81="",N($P81)&gt;=PT_MinHours)),"PT","None"))))</f>
        <v/>
      </c>
      <c r="AO81" s="12" t="str">
        <f aca="false">IF(AE81=0,"",IF(AG81&lt;2,"",IF(OR(ISNUMBER(SEARCH("full",AL81)),UPPER(TRIM(AL81))="FT",UPPER(TRIM(AL81))="FTE"),"FT",IF(AND(OR(ISNUMBER(SEARCH("part",AL81)),UPPER(TRIM(AL81))="PT",UPPER(TRIM(AL81))="PTE"),OR($P81="",N($P81)&gt;=PT_MinHours)),"PT","None"))))</f>
        <v/>
      </c>
      <c r="AP81" s="12" t="str">
        <f aca="false">IF(AE81=0,"",IF(AG81&lt;3,"",IF(OR(ISNUMBER(SEARCH("full",AM81)),UPPER(TRIM(AM81))="FT",UPPER(TRIM(AM81))="FTE"),"FT",IF(AND(OR(ISNUMBER(SEARCH("part",AM81)),UPPER(TRIM(AM81))="PT",UPPER(TRIM(AM81))="PTE"),OR($P81="",N($P81)&gt;=PT_MinHours)),"PT","None"))))</f>
        <v/>
      </c>
      <c r="AQ81" s="12" t="str">
        <f aca="false">IF(AE81=0,"",IF(AND(AG81&gt;=3,AJ81&lt;=AsOfDate),AP81,IF(AND(AG81&gt;=2,AI81&lt;=AsOfDate),AO81,AN81)))</f>
        <v/>
      </c>
      <c r="AR81" s="12" t="str">
        <f aca="false">IF(AE81=0,"",IF(AsOfDate&lt;AF81,-1,12*(YEAR(AsOfDate)-YEAR(AF81))+MONTH(AsOfDate)-MONTH(AF81)-IF(DAY(AsOfDate)&lt;MIN(DAY(AF81),DAY(EOMONTH(AsOfDate,0))),1,0)))</f>
        <v/>
      </c>
      <c r="AS81" s="12" t="str">
        <f aca="false">IF(AE81=0,"",IF(OR(AG81&lt;2,AI81&gt;AsOfDate),AR81,IF((AI81-1)&lt;AF81,-1,12*(YEAR((AI81-1))-YEAR(AF81))+MONTH((AI81-1))-MONTH(AF81)-IF(DAY((AI81-1))&lt;MIN(DAY(AF81),DAY(EOMONTH((AI81-1),0))),1,0))))</f>
        <v/>
      </c>
      <c r="AT81" s="12" t="str">
        <f aca="false">IF(AE81=0,"",IF(OR(AG81&lt;3,AJ81&gt;AsOfDate),AR81,IF((AJ81-1)&lt;AF81,-1,12*(YEAR((AJ81-1))-YEAR(AF81))+MONTH((AJ81-1))-MONTH(AF81)-IF(DAY((AJ81-1))&lt;MIN(DAY(AF81),DAY(EOMONTH((AJ81-1),0))),1,0))))</f>
        <v/>
      </c>
      <c r="AU81" s="12" t="str">
        <f aca="false">IF(AE81=0,"",IF(PFYDate&lt;AF81,-1,12*(YEAR(PFYDate)-YEAR(AF81))+MONTH(PFYDate)-MONTH(AF81)-IF(DAY(PFYDate)&lt;MIN(DAY(AF81),DAY(EOMONTH(PFYDate,0))),1,0)))</f>
        <v/>
      </c>
      <c r="AV81" s="12" t="str">
        <f aca="false">IF(AE81=0,"",IF(OR(AG81&lt;2,AI81&gt;PFYDate),AU81,IF((AI81-1)&lt;AF81,-1,12*(YEAR((AI81-1))-YEAR(AF81))+MONTH((AI81-1))-MONTH(AF81)-IF(DAY((AI81-1))&lt;MIN(DAY(AF81),DAY(EOMONTH((AI81-1),0))),1,0))))</f>
        <v/>
      </c>
      <c r="AW81" s="12" t="str">
        <f aca="false">IF(AE81=0,"",IF(OR(AG81&lt;3,AJ81&gt;PFYDate),AU81,IF((AJ81-1)&lt;AF81,-1,12*(YEAR((AJ81-1))-YEAR(AF81))+MONTH((AJ81-1))-MONTH(AF81)-IF(DAY((AJ81-1))&lt;MIN(DAY(AF81),DAY(EOMONTH((AJ81-1),0))),1,0))))</f>
        <v/>
      </c>
      <c r="AX81" s="12" t="str">
        <f aca="false">IF(AE81=0,"",IF(AN81="FT",IF(AS81&lt;FT_First,0,IF(AS81&lt;FT_Y5,1+INT((AS81-FT_First)/FT_Int1),FT_PreY5+FT_PerYear*INT((AS81-FT_Y5)/12)+FT_AnnivDays+INT(MOD(AS81-FT_Y5,12)/FT_Int2))),IF(AN81="PT",IF(AS81&lt;PT_First,0,1+INT((AS81-PT_First)/PT_Int)),0))+IF(AND(AG81&gt;=2,AI81&lt;=AsOfDate),IF(AO81="FT",IF(AT81&lt;FT_First,0,IF(AT81&lt;FT_Y5,1+INT((AT81-FT_First)/FT_Int1),FT_PreY5+FT_PerYear*INT((AT81-FT_Y5)/12)+FT_AnnivDays+INT(MOD(AT81-FT_Y5,12)/FT_Int2))),IF(AO81="PT",IF(AT81&lt;PT_First,0,1+INT((AT81-PT_First)/PT_Int)),0))-IF(AO81="FT",IF(AS81&lt;FT_First,0,IF(AS81&lt;FT_Y5,1+INT((AS81-FT_First)/FT_Int1),FT_PreY5+FT_PerYear*INT((AS81-FT_Y5)/12)+FT_AnnivDays+INT(MOD(AS81-FT_Y5,12)/FT_Int2))),IF(AO81="PT",IF(AS81&lt;PT_First,0,1+INT((AS81-PT_First)/PT_Int)),0)),0)+IF(AND(AG81&gt;=3,AJ81&lt;=AsOfDate),IF(AP81="FT",IF(AR81&lt;FT_First,0,IF(AR81&lt;FT_Y5,1+INT((AR81-FT_First)/FT_Int1),FT_PreY5+FT_PerYear*INT((AR81-FT_Y5)/12)+FT_AnnivDays+INT(MOD(AR81-FT_Y5,12)/FT_Int2))),IF(AP81="PT",IF(AR81&lt;PT_First,0,1+INT((AR81-PT_First)/PT_Int)),0))-IF(AP81="FT",IF(AT81&lt;FT_First,0,IF(AT81&lt;FT_Y5,1+INT((AT81-FT_First)/FT_Int1),FT_PreY5+FT_PerYear*INT((AT81-FT_Y5)/12)+FT_AnnivDays+INT(MOD(AT81-FT_Y5,12)/FT_Int2))),IF(AP81="PT",IF(AT81&lt;PT_First,0,1+INT((AT81-PT_First)/PT_Int)),0)),0))</f>
        <v/>
      </c>
      <c r="AY81" s="12" t="str">
        <f aca="false">IF(AE81=0,"",IF(AN81="FT",IF(AV81&lt;FT_First,0,IF(AV81&lt;FT_Y5,1+INT((AV81-FT_First)/FT_Int1),FT_PreY5+FT_PerYear*INT((AV81-FT_Y5)/12)+FT_AnnivDays+INT(MOD(AV81-FT_Y5,12)/FT_Int2))),IF(AN81="PT",IF(AV81&lt;PT_First,0,1+INT((AV81-PT_First)/PT_Int)),0))+IF(AND(AG81&gt;=2,AI81&lt;=PFYDate),IF(AO81="FT",IF(AW81&lt;FT_First,0,IF(AW81&lt;FT_Y5,1+INT((AW81-FT_First)/FT_Int1),FT_PreY5+FT_PerYear*INT((AW81-FT_Y5)/12)+FT_AnnivDays+INT(MOD(AW81-FT_Y5,12)/FT_Int2))),IF(AO81="PT",IF(AW81&lt;PT_First,0,1+INT((AW81-PT_First)/PT_Int)),0))-IF(AO81="FT",IF(AV81&lt;FT_First,0,IF(AV81&lt;FT_Y5,1+INT((AV81-FT_First)/FT_Int1),FT_PreY5+FT_PerYear*INT((AV81-FT_Y5)/12)+FT_AnnivDays+INT(MOD(AV81-FT_Y5,12)/FT_Int2))),IF(AO81="PT",IF(AV81&lt;PT_First,0,1+INT((AV81-PT_First)/PT_Int)),0)),0)+IF(AND(AG81&gt;=3,AJ81&lt;=PFYDate),IF(AP81="FT",IF(AU81&lt;FT_First,0,IF(AU81&lt;FT_Y5,1+INT((AU81-FT_First)/FT_Int1),FT_PreY5+FT_PerYear*INT((AU81-FT_Y5)/12)+FT_AnnivDays+INT(MOD(AU81-FT_Y5,12)/FT_Int2))),IF(AP81="PT",IF(AU81&lt;PT_First,0,1+INT((AU81-PT_First)/PT_Int)),0))-IF(AP81="FT",IF(AW81&lt;FT_First,0,IF(AW81&lt;FT_Y5,1+INT((AW81-FT_First)/FT_Int1),FT_PreY5+FT_PerYear*INT((AW81-FT_Y5)/12)+FT_AnnivDays+INT(MOD(AW81-FT_Y5,12)/FT_Int2))),IF(AP81="PT",IF(AW81&lt;PT_First,0,1+INT((AW81-PT_First)/PT_Int)),0)),0))</f>
        <v/>
      </c>
      <c r="AZ81" s="12" t="str">
        <f aca="false">IF(AE81=0,"",IF(AQ81="FT",IF(AR81&lt;FT_First,FT_First,IF(AR81&lt;FT_Y5,MIN(FT_Y5,FT_First+FT_Int1*(INT((AR81-FT_First)/FT_Int1)+1)),FT_Y5+12*INT((AR81-FT_Y5)/12)+FT_Int2*(INT(MOD(AR81-FT_Y5,12)/FT_Int2)+1))),IF(AQ81="PT",IF(AR81&lt;PT_First,PT_First,PT_First+PT_Int*(INT((AR81-PT_First)/PT_Int)+1)),"")))</f>
        <v/>
      </c>
      <c r="BA81" s="12" t="str">
        <f aca="false">IF(AE81=0,"",IF(NOT(LH_Ready),0,COUNTIFS(INDEX(LH_Data,0,LH_ColFirst),$A81,INDEX(LH_Data,0,LH_ColSur),$B81,INDEX(LH_Data,0,LH_ColCat),BonusCat)))</f>
        <v/>
      </c>
      <c r="BB81" s="12" t="str">
        <f aca="false">IF(AE81=0,"",IF(OR(NOT(LH_Ready),BA81=0),0,SUMPRODUCT(MAX((INDEX(LH_Data,0,LH_ColFirst)=$A81)*(INDEX(LH_Data,0,LH_ColSur)=$B81)*(INDEX(LH_Data,0,LH_ColCat)=BonusCat)*ROW(LH_Data)))))</f>
        <v/>
      </c>
    </row>
    <row r="82" customFormat="false" ht="15" hidden="false" customHeight="false" outlineLevel="0" collapsed="false">
      <c r="A82" s="15"/>
      <c r="B82" s="15"/>
      <c r="C82" s="15"/>
      <c r="D82" s="16"/>
      <c r="E82" s="10" t="str">
        <f aca="false">IF(OR(AE82=0,$D82=""),"",DATE(YEAR(AsOfDate)+IF(DATE(YEAR(AsOfDate),MONTH($D82),DAY($D82))&lt;=AsOfDate,1,0),MONTH($D82),DAY($D82)))</f>
        <v/>
      </c>
      <c r="F82" s="16"/>
      <c r="G82" s="16"/>
      <c r="H82" s="16"/>
      <c r="I82" s="16"/>
      <c r="J82" s="16"/>
      <c r="K82" s="10" t="str">
        <f aca="false">IF(AE82=0,"",DATE(YEAR(AsOfDate)+IF(DATE(YEAR(AsOfDate),MONTH($F82),DAY($F82))&lt;=AsOfDate,1,0),MONTH($F82),DAY($F82)))</f>
        <v/>
      </c>
      <c r="L82" s="11" t="str">
        <f aca="false">IF(AE82=0,"",ROUND((AsOfDate-$F82)/365.25,1))</f>
        <v/>
      </c>
      <c r="M82" s="12" t="str">
        <f aca="false">IF(AE82=0,"",IF(AsOfDate&lt;AF82,"-",DATEDIF(AF82,AsOfDate,"y")&amp;"y "&amp;DATEDIF(AF82,AsOfDate,"ym")&amp;"m "&amp;DATEDIF(AF82,AsOfDate,"md")&amp;"d"))</f>
        <v/>
      </c>
      <c r="N82" s="13" t="str">
        <f aca="false">IF(AE82=0,"",O82*HoursPerDay)</f>
        <v/>
      </c>
      <c r="O82" s="13" t="str">
        <f aca="false">IF(AE82=0,"",AX82)</f>
        <v/>
      </c>
      <c r="P82" s="17"/>
      <c r="Q82" s="12" t="str">
        <f aca="false">IF(AE82=0,"",IF(AG82&lt;2,"",AK82&amp;" to "&amp;AL82&amp;" on "&amp;TEXT(AI82,"dd/mm/yyyy")&amp;IF(AI82&gt;AsOfDate," (future)",IF(AN82=AO82,"",IF(AO82="None"," - STOPPED accruing",IF(AN82="None"," - now qualifying"," - pathway changed"))))&amp;IF(AG82&lt;3,"","; "&amp;AL82&amp;" to "&amp;AM82&amp;" on "&amp;TEXT(AJ82,"dd/mm/yyyy")&amp;IF(AJ82&gt;AsOfDate," (future)",IF(AO82=AP82,"",IF(AP82="None"," - STOPPED accruing",IF(AO82="None"," - now qualifying"," - pathway changed")))))))</f>
        <v/>
      </c>
      <c r="R82" s="12" t="str">
        <f aca="false">IF(AE82=0,"",IF(AQ82="None",IF(O82&gt;0,"No longer accruing","Not eligible - "&amp;IF(AND(OR(ISNUMBER(SEARCH("part",$C82)),UPPER(TRIM($C82))="PT",UPPER(TRIM($C82))="PTE"),$P82&lt;&gt;"",N($P82)&lt;PT_MinHours),"under "&amp;PT_MinHours&amp;" hrs",IF(IF($C82="","",IF(OR(ISNUMBER(SEARCH("full",$C82)),UPPER(TRIM($C82))="FT",UPPER(TRIM($C82))="FTE"),"Full-Time",IF(OR(ISNUMBER(SEARCH("part",$C82)),UPPER(TRIM($C82))="PT",UPPER(TRIM($C82))="PTE"),"Part-Time",IF(OR(ISNUMBER(SEARCH("cas",$C82)),UPPER(TRIM($C82))="CAS"),"Casual","Unknown"))))="Unknown","type not recognised",$C82))),IF(O82&gt;0,"Yes - accruing","Not yet - from "&amp;TEXT(S82,"dd/mm/yyyy"))))</f>
        <v/>
      </c>
      <c r="S82" s="10" t="str">
        <f aca="false">IF(AE82=0,"",IF(AQ82="None","",EDATE(AF82,AZ82)))</f>
        <v/>
      </c>
      <c r="T82" s="13" t="str">
        <f aca="false">IF(OR(AE82=0,W82=""),"",W82-U82+V82)</f>
        <v/>
      </c>
      <c r="U82" s="13" t="str">
        <f aca="false">IF(AE82=0,"",IF(NOT(LH_Ready),"",SUMIFS(INDEX(LH_Data,0,LH_ColAcc),INDEX(LH_Data,0,LH_ColFirst),$A82,INDEX(LH_Data,0,LH_ColSur),$B82,INDEX(LH_Data,0,LH_ColCat),BonusCat)*UnitFactor))</f>
        <v/>
      </c>
      <c r="V82" s="13" t="str">
        <f aca="false">IF(AE82=0,"",IF(NOT(LH_Ready),"",SUMIFS(INDEX(LH_Data,0,LH_ColTaken),INDEX(LH_Data,0,LH_ColFirst),$A82,INDEX(LH_Data,0,LH_ColSur),$B82,INDEX(LH_Data,0,LH_ColCat),BonusCat)*UnitFactor))</f>
        <v/>
      </c>
      <c r="W82" s="13" t="str">
        <f aca="false">IF(AE82=0,"",IF(NOT(LH_Ready),"",IF(BB82=0,0,INDEX(INDEX(LH_Data,0,LH_ColClose),BB82-1)*UnitFactor)))</f>
        <v/>
      </c>
      <c r="X82" s="13" t="str">
        <f aca="false">IF(AE82=0,"",(AX82-AY82)*HoursPerDay)</f>
        <v/>
      </c>
      <c r="Y82" s="13" t="str">
        <f aca="false">IF(AE82=0,"",IF(NOT(LH_Ready),"",IF(BA82=0,N82,X82-N(U82))))</f>
        <v/>
      </c>
      <c r="Z82" s="12" t="str">
        <f aca="false">IF(OR(AE82=0,Y82=""),"",IF(Y82&gt;0,"Yes","No"))</f>
        <v/>
      </c>
      <c r="AA82" s="12" t="str">
        <f aca="false">IF(AE82=0,IF(LEN($A82&amp;$B82)=0,"","FIX INPUT - StartDate missing"),IF(AD82&lt;&gt;"","FIX INPUT - "&amp;AD82,IF(NOT(LH_Ready),"Paste Leave History export (Settings must show YES)",IF(Y82&gt;0,"ACCRUE "&amp;ROUND(Y82,2)&amp;" hrs ("&amp;ROUND(Y82/HoursPerDay,2)&amp;" days)"&amp;IF(BA82=0," - no Bonus Leave in EH yet, full catch-up since start",""),IF(Y82&lt;0,"CHECK - EH accrued "&amp;ROUND(-Y82,2)&amp;""&amp;" hrs more than policy",IF(O82&gt;0,"OK - nothing to add",IF(AQ82="None",R82,"Not yet - first day on "&amp;TEXT(S82,"dd/mm/yyyy"))))))))</f>
        <v/>
      </c>
      <c r="AB82" s="13" t="str">
        <f aca="false">IF(OR(AE82=0,T82=""),"",AY82*HoursPerDay-T82)</f>
        <v/>
      </c>
      <c r="AC82" s="12" t="str">
        <f aca="false">IF(AE82=0,"",BA82)</f>
        <v/>
      </c>
      <c r="AD82" s="12" t="str">
        <f aca="false">IF(AE82=0,"",TRIM(IF(IF($C82="","",IF(OR(ISNUMBER(SEARCH("full",$C82)),UPPER(TRIM($C82))="FT",UPPER(TRIM($C82))="FTE"),"Full-Time",IF(OR(ISNUMBER(SEARCH("part",$C82)),UPPER(TRIM($C82))="PT",UPPER(TRIM($C82))="PTE"),"Part-Time",IF(OR(ISNUMBER(SEARCH("cas",$C82)),UPPER(TRIM($C82))="CAS"),"Casual","Unknown"))))="Unknown","EmploymentType not recognised - use Full-Time, Part-Time or Casual. ","")&amp;IF(AND(AG82&gt;=1,IF(AG82&gt;=3,AM82,IF(AG82=2,AL82,AK82))&lt;&gt;IF($C82="","",IF(OR(ISNUMBER(SEARCH("full",$C82)),UPPER(TRIM($C82))="FT",UPPER(TRIM($C82))="FTE"),"Full-Time",IF(OR(ISNUMBER(SEARCH("part",$C82)),UPPER(TRIM($C82))="PT",UPPER(TRIM($C82))="PTE"),"Part-Time",IF(OR(ISNUMBER(SEARCH("cas",$C82)),UPPER(TRIM($C82))="CAS"),"Casual","Unknown"))))),"EmploymentType does not match latest start date ("&amp;IF(AG82&gt;=3,AM82,IF(AG82=2,AL82,AK82))&amp;"). ","")&amp;IF(AND(AG82&gt;=1,AH82&lt;&gt;$F82),"Earliest type date should equal StartDate. ","")&amp;IF(AND(AG82&gt;=2,AH82=AI82),"Two types start on the same date. ","")&amp;IF(AND(OR(ISNUMBER(SEARCH("part",$C82)),UPPER(TRIM($C82))="PT",UPPER(TRIM($C82))="PTE"),$P82=""),"Part-time: enter PT Hrs/Week (blank = 24+). ","")))</f>
        <v/>
      </c>
      <c r="AE82" s="12" t="n">
        <f aca="false">IF(OR(LEN($A82&amp;$B82)=0,$F82=""),0,1)</f>
        <v>0</v>
      </c>
      <c r="AF82" s="10" t="str">
        <f aca="false">IF(AE82=0,"",IF($J82&lt;&gt;"",$J82,$F82))</f>
        <v/>
      </c>
      <c r="AG82" s="12" t="str">
        <f aca="false">IF(AE82=0,"",COUNT($G82:$I82))</f>
        <v/>
      </c>
      <c r="AH82" s="10" t="str">
        <f aca="false">IF(AE82=0,"",IFERROR(SMALL($G82:$I82,1),""))</f>
        <v/>
      </c>
      <c r="AI82" s="10" t="str">
        <f aca="false">IF(AE82=0,"",IFERROR(SMALL($G82:$I82,2),""))</f>
        <v/>
      </c>
      <c r="AJ82" s="10" t="str">
        <f aca="false">IF(AE82=0,"",IFERROR(SMALL($G82:$I82,3),""))</f>
        <v/>
      </c>
      <c r="AK82" s="12" t="str">
        <f aca="false">IF(AE82=0,"",IF(AH82="","",IF(AH82=$G82,"Part-Time",IF(AH82=$H82,"Full-Time","Casual"))))</f>
        <v/>
      </c>
      <c r="AL82" s="12" t="str">
        <f aca="false">IF(AE82=0,"",IF(AI82="","",IF(AI82=$G82,"Part-Time",IF(AI82=$H82,"Full-Time","Casual"))))</f>
        <v/>
      </c>
      <c r="AM82" s="12" t="str">
        <f aca="false">IF(AE82=0,"",IF(AJ82="","",IF(AJ82=$G82,"Part-Time",IF(AJ82=$H82,"Full-Time","Casual"))))</f>
        <v/>
      </c>
      <c r="AN82" s="12" t="str">
        <f aca="false">IF(AE82=0,"",IF(AG82=0,IF(OR(ISNUMBER(SEARCH("full",$C82)),UPPER(TRIM($C82))="FT",UPPER(TRIM($C82))="FTE"),"FT",IF(AND(OR(ISNUMBER(SEARCH("part",$C82)),UPPER(TRIM($C82))="PT",UPPER(TRIM($C82))="PTE"),OR($P82="",N($P82)&gt;=PT_MinHours)),"PT","None")),IF(OR(ISNUMBER(SEARCH("full",AK82)),UPPER(TRIM(AK82))="FT",UPPER(TRIM(AK82))="FTE"),"FT",IF(AND(OR(ISNUMBER(SEARCH("part",AK82)),UPPER(TRIM(AK82))="PT",UPPER(TRIM(AK82))="PTE"),OR($P82="",N($P82)&gt;=PT_MinHours)),"PT","None"))))</f>
        <v/>
      </c>
      <c r="AO82" s="12" t="str">
        <f aca="false">IF(AE82=0,"",IF(AG82&lt;2,"",IF(OR(ISNUMBER(SEARCH("full",AL82)),UPPER(TRIM(AL82))="FT",UPPER(TRIM(AL82))="FTE"),"FT",IF(AND(OR(ISNUMBER(SEARCH("part",AL82)),UPPER(TRIM(AL82))="PT",UPPER(TRIM(AL82))="PTE"),OR($P82="",N($P82)&gt;=PT_MinHours)),"PT","None"))))</f>
        <v/>
      </c>
      <c r="AP82" s="12" t="str">
        <f aca="false">IF(AE82=0,"",IF(AG82&lt;3,"",IF(OR(ISNUMBER(SEARCH("full",AM82)),UPPER(TRIM(AM82))="FT",UPPER(TRIM(AM82))="FTE"),"FT",IF(AND(OR(ISNUMBER(SEARCH("part",AM82)),UPPER(TRIM(AM82))="PT",UPPER(TRIM(AM82))="PTE"),OR($P82="",N($P82)&gt;=PT_MinHours)),"PT","None"))))</f>
        <v/>
      </c>
      <c r="AQ82" s="12" t="str">
        <f aca="false">IF(AE82=0,"",IF(AND(AG82&gt;=3,AJ82&lt;=AsOfDate),AP82,IF(AND(AG82&gt;=2,AI82&lt;=AsOfDate),AO82,AN82)))</f>
        <v/>
      </c>
      <c r="AR82" s="12" t="str">
        <f aca="false">IF(AE82=0,"",IF(AsOfDate&lt;AF82,-1,12*(YEAR(AsOfDate)-YEAR(AF82))+MONTH(AsOfDate)-MONTH(AF82)-IF(DAY(AsOfDate)&lt;MIN(DAY(AF82),DAY(EOMONTH(AsOfDate,0))),1,0)))</f>
        <v/>
      </c>
      <c r="AS82" s="12" t="str">
        <f aca="false">IF(AE82=0,"",IF(OR(AG82&lt;2,AI82&gt;AsOfDate),AR82,IF((AI82-1)&lt;AF82,-1,12*(YEAR((AI82-1))-YEAR(AF82))+MONTH((AI82-1))-MONTH(AF82)-IF(DAY((AI82-1))&lt;MIN(DAY(AF82),DAY(EOMONTH((AI82-1),0))),1,0))))</f>
        <v/>
      </c>
      <c r="AT82" s="12" t="str">
        <f aca="false">IF(AE82=0,"",IF(OR(AG82&lt;3,AJ82&gt;AsOfDate),AR82,IF((AJ82-1)&lt;AF82,-1,12*(YEAR((AJ82-1))-YEAR(AF82))+MONTH((AJ82-1))-MONTH(AF82)-IF(DAY((AJ82-1))&lt;MIN(DAY(AF82),DAY(EOMONTH((AJ82-1),0))),1,0))))</f>
        <v/>
      </c>
      <c r="AU82" s="12" t="str">
        <f aca="false">IF(AE82=0,"",IF(PFYDate&lt;AF82,-1,12*(YEAR(PFYDate)-YEAR(AF82))+MONTH(PFYDate)-MONTH(AF82)-IF(DAY(PFYDate)&lt;MIN(DAY(AF82),DAY(EOMONTH(PFYDate,0))),1,0)))</f>
        <v/>
      </c>
      <c r="AV82" s="12" t="str">
        <f aca="false">IF(AE82=0,"",IF(OR(AG82&lt;2,AI82&gt;PFYDate),AU82,IF((AI82-1)&lt;AF82,-1,12*(YEAR((AI82-1))-YEAR(AF82))+MONTH((AI82-1))-MONTH(AF82)-IF(DAY((AI82-1))&lt;MIN(DAY(AF82),DAY(EOMONTH((AI82-1),0))),1,0))))</f>
        <v/>
      </c>
      <c r="AW82" s="12" t="str">
        <f aca="false">IF(AE82=0,"",IF(OR(AG82&lt;3,AJ82&gt;PFYDate),AU82,IF((AJ82-1)&lt;AF82,-1,12*(YEAR((AJ82-1))-YEAR(AF82))+MONTH((AJ82-1))-MONTH(AF82)-IF(DAY((AJ82-1))&lt;MIN(DAY(AF82),DAY(EOMONTH((AJ82-1),0))),1,0))))</f>
        <v/>
      </c>
      <c r="AX82" s="12" t="str">
        <f aca="false">IF(AE82=0,"",IF(AN82="FT",IF(AS82&lt;FT_First,0,IF(AS82&lt;FT_Y5,1+INT((AS82-FT_First)/FT_Int1),FT_PreY5+FT_PerYear*INT((AS82-FT_Y5)/12)+FT_AnnivDays+INT(MOD(AS82-FT_Y5,12)/FT_Int2))),IF(AN82="PT",IF(AS82&lt;PT_First,0,1+INT((AS82-PT_First)/PT_Int)),0))+IF(AND(AG82&gt;=2,AI82&lt;=AsOfDate),IF(AO82="FT",IF(AT82&lt;FT_First,0,IF(AT82&lt;FT_Y5,1+INT((AT82-FT_First)/FT_Int1),FT_PreY5+FT_PerYear*INT((AT82-FT_Y5)/12)+FT_AnnivDays+INT(MOD(AT82-FT_Y5,12)/FT_Int2))),IF(AO82="PT",IF(AT82&lt;PT_First,0,1+INT((AT82-PT_First)/PT_Int)),0))-IF(AO82="FT",IF(AS82&lt;FT_First,0,IF(AS82&lt;FT_Y5,1+INT((AS82-FT_First)/FT_Int1),FT_PreY5+FT_PerYear*INT((AS82-FT_Y5)/12)+FT_AnnivDays+INT(MOD(AS82-FT_Y5,12)/FT_Int2))),IF(AO82="PT",IF(AS82&lt;PT_First,0,1+INT((AS82-PT_First)/PT_Int)),0)),0)+IF(AND(AG82&gt;=3,AJ82&lt;=AsOfDate),IF(AP82="FT",IF(AR82&lt;FT_First,0,IF(AR82&lt;FT_Y5,1+INT((AR82-FT_First)/FT_Int1),FT_PreY5+FT_PerYear*INT((AR82-FT_Y5)/12)+FT_AnnivDays+INT(MOD(AR82-FT_Y5,12)/FT_Int2))),IF(AP82="PT",IF(AR82&lt;PT_First,0,1+INT((AR82-PT_First)/PT_Int)),0))-IF(AP82="FT",IF(AT82&lt;FT_First,0,IF(AT82&lt;FT_Y5,1+INT((AT82-FT_First)/FT_Int1),FT_PreY5+FT_PerYear*INT((AT82-FT_Y5)/12)+FT_AnnivDays+INT(MOD(AT82-FT_Y5,12)/FT_Int2))),IF(AP82="PT",IF(AT82&lt;PT_First,0,1+INT((AT82-PT_First)/PT_Int)),0)),0))</f>
        <v/>
      </c>
      <c r="AY82" s="12" t="str">
        <f aca="false">IF(AE82=0,"",IF(AN82="FT",IF(AV82&lt;FT_First,0,IF(AV82&lt;FT_Y5,1+INT((AV82-FT_First)/FT_Int1),FT_PreY5+FT_PerYear*INT((AV82-FT_Y5)/12)+FT_AnnivDays+INT(MOD(AV82-FT_Y5,12)/FT_Int2))),IF(AN82="PT",IF(AV82&lt;PT_First,0,1+INT((AV82-PT_First)/PT_Int)),0))+IF(AND(AG82&gt;=2,AI82&lt;=PFYDate),IF(AO82="FT",IF(AW82&lt;FT_First,0,IF(AW82&lt;FT_Y5,1+INT((AW82-FT_First)/FT_Int1),FT_PreY5+FT_PerYear*INT((AW82-FT_Y5)/12)+FT_AnnivDays+INT(MOD(AW82-FT_Y5,12)/FT_Int2))),IF(AO82="PT",IF(AW82&lt;PT_First,0,1+INT((AW82-PT_First)/PT_Int)),0))-IF(AO82="FT",IF(AV82&lt;FT_First,0,IF(AV82&lt;FT_Y5,1+INT((AV82-FT_First)/FT_Int1),FT_PreY5+FT_PerYear*INT((AV82-FT_Y5)/12)+FT_AnnivDays+INT(MOD(AV82-FT_Y5,12)/FT_Int2))),IF(AO82="PT",IF(AV82&lt;PT_First,0,1+INT((AV82-PT_First)/PT_Int)),0)),0)+IF(AND(AG82&gt;=3,AJ82&lt;=PFYDate),IF(AP82="FT",IF(AU82&lt;FT_First,0,IF(AU82&lt;FT_Y5,1+INT((AU82-FT_First)/FT_Int1),FT_PreY5+FT_PerYear*INT((AU82-FT_Y5)/12)+FT_AnnivDays+INT(MOD(AU82-FT_Y5,12)/FT_Int2))),IF(AP82="PT",IF(AU82&lt;PT_First,0,1+INT((AU82-PT_First)/PT_Int)),0))-IF(AP82="FT",IF(AW82&lt;FT_First,0,IF(AW82&lt;FT_Y5,1+INT((AW82-FT_First)/FT_Int1),FT_PreY5+FT_PerYear*INT((AW82-FT_Y5)/12)+FT_AnnivDays+INT(MOD(AW82-FT_Y5,12)/FT_Int2))),IF(AP82="PT",IF(AW82&lt;PT_First,0,1+INT((AW82-PT_First)/PT_Int)),0)),0))</f>
        <v/>
      </c>
      <c r="AZ82" s="12" t="str">
        <f aca="false">IF(AE82=0,"",IF(AQ82="FT",IF(AR82&lt;FT_First,FT_First,IF(AR82&lt;FT_Y5,MIN(FT_Y5,FT_First+FT_Int1*(INT((AR82-FT_First)/FT_Int1)+1)),FT_Y5+12*INT((AR82-FT_Y5)/12)+FT_Int2*(INT(MOD(AR82-FT_Y5,12)/FT_Int2)+1))),IF(AQ82="PT",IF(AR82&lt;PT_First,PT_First,PT_First+PT_Int*(INT((AR82-PT_First)/PT_Int)+1)),"")))</f>
        <v/>
      </c>
      <c r="BA82" s="12" t="str">
        <f aca="false">IF(AE82=0,"",IF(NOT(LH_Ready),0,COUNTIFS(INDEX(LH_Data,0,LH_ColFirst),$A82,INDEX(LH_Data,0,LH_ColSur),$B82,INDEX(LH_Data,0,LH_ColCat),BonusCat)))</f>
        <v/>
      </c>
      <c r="BB82" s="12" t="str">
        <f aca="false">IF(AE82=0,"",IF(OR(NOT(LH_Ready),BA82=0),0,SUMPRODUCT(MAX((INDEX(LH_Data,0,LH_ColFirst)=$A82)*(INDEX(LH_Data,0,LH_ColSur)=$B82)*(INDEX(LH_Data,0,LH_ColCat)=BonusCat)*ROW(LH_Data)))))</f>
        <v/>
      </c>
    </row>
    <row r="83" customFormat="false" ht="15" hidden="false" customHeight="false" outlineLevel="0" collapsed="false">
      <c r="A83" s="15"/>
      <c r="B83" s="15"/>
      <c r="C83" s="15"/>
      <c r="D83" s="16"/>
      <c r="E83" s="10" t="str">
        <f aca="false">IF(OR(AE83=0,$D83=""),"",DATE(YEAR(AsOfDate)+IF(DATE(YEAR(AsOfDate),MONTH($D83),DAY($D83))&lt;=AsOfDate,1,0),MONTH($D83),DAY($D83)))</f>
        <v/>
      </c>
      <c r="F83" s="16"/>
      <c r="G83" s="16"/>
      <c r="H83" s="16"/>
      <c r="I83" s="16"/>
      <c r="J83" s="16"/>
      <c r="K83" s="10" t="str">
        <f aca="false">IF(AE83=0,"",DATE(YEAR(AsOfDate)+IF(DATE(YEAR(AsOfDate),MONTH($F83),DAY($F83))&lt;=AsOfDate,1,0),MONTH($F83),DAY($F83)))</f>
        <v/>
      </c>
      <c r="L83" s="11" t="str">
        <f aca="false">IF(AE83=0,"",ROUND((AsOfDate-$F83)/365.25,1))</f>
        <v/>
      </c>
      <c r="M83" s="12" t="str">
        <f aca="false">IF(AE83=0,"",IF(AsOfDate&lt;AF83,"-",DATEDIF(AF83,AsOfDate,"y")&amp;"y "&amp;DATEDIF(AF83,AsOfDate,"ym")&amp;"m "&amp;DATEDIF(AF83,AsOfDate,"md")&amp;"d"))</f>
        <v/>
      </c>
      <c r="N83" s="13" t="str">
        <f aca="false">IF(AE83=0,"",O83*HoursPerDay)</f>
        <v/>
      </c>
      <c r="O83" s="13" t="str">
        <f aca="false">IF(AE83=0,"",AX83)</f>
        <v/>
      </c>
      <c r="P83" s="17"/>
      <c r="Q83" s="12" t="str">
        <f aca="false">IF(AE83=0,"",IF(AG83&lt;2,"",AK83&amp;" to "&amp;AL83&amp;" on "&amp;TEXT(AI83,"dd/mm/yyyy")&amp;IF(AI83&gt;AsOfDate," (future)",IF(AN83=AO83,"",IF(AO83="None"," - STOPPED accruing",IF(AN83="None"," - now qualifying"," - pathway changed"))))&amp;IF(AG83&lt;3,"","; "&amp;AL83&amp;" to "&amp;AM83&amp;" on "&amp;TEXT(AJ83,"dd/mm/yyyy")&amp;IF(AJ83&gt;AsOfDate," (future)",IF(AO83=AP83,"",IF(AP83="None"," - STOPPED accruing",IF(AO83="None"," - now qualifying"," - pathway changed")))))))</f>
        <v/>
      </c>
      <c r="R83" s="12" t="str">
        <f aca="false">IF(AE83=0,"",IF(AQ83="None",IF(O83&gt;0,"No longer accruing","Not eligible - "&amp;IF(AND(OR(ISNUMBER(SEARCH("part",$C83)),UPPER(TRIM($C83))="PT",UPPER(TRIM($C83))="PTE"),$P83&lt;&gt;"",N($P83)&lt;PT_MinHours),"under "&amp;PT_MinHours&amp;" hrs",IF(IF($C83="","",IF(OR(ISNUMBER(SEARCH("full",$C83)),UPPER(TRIM($C83))="FT",UPPER(TRIM($C83))="FTE"),"Full-Time",IF(OR(ISNUMBER(SEARCH("part",$C83)),UPPER(TRIM($C83))="PT",UPPER(TRIM($C83))="PTE"),"Part-Time",IF(OR(ISNUMBER(SEARCH("cas",$C83)),UPPER(TRIM($C83))="CAS"),"Casual","Unknown"))))="Unknown","type not recognised",$C83))),IF(O83&gt;0,"Yes - accruing","Not yet - from "&amp;TEXT(S83,"dd/mm/yyyy"))))</f>
        <v/>
      </c>
      <c r="S83" s="10" t="str">
        <f aca="false">IF(AE83=0,"",IF(AQ83="None","",EDATE(AF83,AZ83)))</f>
        <v/>
      </c>
      <c r="T83" s="13" t="str">
        <f aca="false">IF(OR(AE83=0,W83=""),"",W83-U83+V83)</f>
        <v/>
      </c>
      <c r="U83" s="13" t="str">
        <f aca="false">IF(AE83=0,"",IF(NOT(LH_Ready),"",SUMIFS(INDEX(LH_Data,0,LH_ColAcc),INDEX(LH_Data,0,LH_ColFirst),$A83,INDEX(LH_Data,0,LH_ColSur),$B83,INDEX(LH_Data,0,LH_ColCat),BonusCat)*UnitFactor))</f>
        <v/>
      </c>
      <c r="V83" s="13" t="str">
        <f aca="false">IF(AE83=0,"",IF(NOT(LH_Ready),"",SUMIFS(INDEX(LH_Data,0,LH_ColTaken),INDEX(LH_Data,0,LH_ColFirst),$A83,INDEX(LH_Data,0,LH_ColSur),$B83,INDEX(LH_Data,0,LH_ColCat),BonusCat)*UnitFactor))</f>
        <v/>
      </c>
      <c r="W83" s="13" t="str">
        <f aca="false">IF(AE83=0,"",IF(NOT(LH_Ready),"",IF(BB83=0,0,INDEX(INDEX(LH_Data,0,LH_ColClose),BB83-1)*UnitFactor)))</f>
        <v/>
      </c>
      <c r="X83" s="13" t="str">
        <f aca="false">IF(AE83=0,"",(AX83-AY83)*HoursPerDay)</f>
        <v/>
      </c>
      <c r="Y83" s="13" t="str">
        <f aca="false">IF(AE83=0,"",IF(NOT(LH_Ready),"",IF(BA83=0,N83,X83-N(U83))))</f>
        <v/>
      </c>
      <c r="Z83" s="12" t="str">
        <f aca="false">IF(OR(AE83=0,Y83=""),"",IF(Y83&gt;0,"Yes","No"))</f>
        <v/>
      </c>
      <c r="AA83" s="12" t="str">
        <f aca="false">IF(AE83=0,IF(LEN($A83&amp;$B83)=0,"","FIX INPUT - StartDate missing"),IF(AD83&lt;&gt;"","FIX INPUT - "&amp;AD83,IF(NOT(LH_Ready),"Paste Leave History export (Settings must show YES)",IF(Y83&gt;0,"ACCRUE "&amp;ROUND(Y83,2)&amp;" hrs ("&amp;ROUND(Y83/HoursPerDay,2)&amp;" days)"&amp;IF(BA83=0," - no Bonus Leave in EH yet, full catch-up since start",""),IF(Y83&lt;0,"CHECK - EH accrued "&amp;ROUND(-Y83,2)&amp;""&amp;" hrs more than policy",IF(O83&gt;0,"OK - nothing to add",IF(AQ83="None",R83,"Not yet - first day on "&amp;TEXT(S83,"dd/mm/yyyy"))))))))</f>
        <v/>
      </c>
      <c r="AB83" s="13" t="str">
        <f aca="false">IF(OR(AE83=0,T83=""),"",AY83*HoursPerDay-T83)</f>
        <v/>
      </c>
      <c r="AC83" s="12" t="str">
        <f aca="false">IF(AE83=0,"",BA83)</f>
        <v/>
      </c>
      <c r="AD83" s="12" t="str">
        <f aca="false">IF(AE83=0,"",TRIM(IF(IF($C83="","",IF(OR(ISNUMBER(SEARCH("full",$C83)),UPPER(TRIM($C83))="FT",UPPER(TRIM($C83))="FTE"),"Full-Time",IF(OR(ISNUMBER(SEARCH("part",$C83)),UPPER(TRIM($C83))="PT",UPPER(TRIM($C83))="PTE"),"Part-Time",IF(OR(ISNUMBER(SEARCH("cas",$C83)),UPPER(TRIM($C83))="CAS"),"Casual","Unknown"))))="Unknown","EmploymentType not recognised - use Full-Time, Part-Time or Casual. ","")&amp;IF(AND(AG83&gt;=1,IF(AG83&gt;=3,AM83,IF(AG83=2,AL83,AK83))&lt;&gt;IF($C83="","",IF(OR(ISNUMBER(SEARCH("full",$C83)),UPPER(TRIM($C83))="FT",UPPER(TRIM($C83))="FTE"),"Full-Time",IF(OR(ISNUMBER(SEARCH("part",$C83)),UPPER(TRIM($C83))="PT",UPPER(TRIM($C83))="PTE"),"Part-Time",IF(OR(ISNUMBER(SEARCH("cas",$C83)),UPPER(TRIM($C83))="CAS"),"Casual","Unknown"))))),"EmploymentType does not match latest start date ("&amp;IF(AG83&gt;=3,AM83,IF(AG83=2,AL83,AK83))&amp;"). ","")&amp;IF(AND(AG83&gt;=1,AH83&lt;&gt;$F83),"Earliest type date should equal StartDate. ","")&amp;IF(AND(AG83&gt;=2,AH83=AI83),"Two types start on the same date. ","")&amp;IF(AND(OR(ISNUMBER(SEARCH("part",$C83)),UPPER(TRIM($C83))="PT",UPPER(TRIM($C83))="PTE"),$P83=""),"Part-time: enter PT Hrs/Week (blank = 24+). ","")))</f>
        <v/>
      </c>
      <c r="AE83" s="12" t="n">
        <f aca="false">IF(OR(LEN($A83&amp;$B83)=0,$F83=""),0,1)</f>
        <v>0</v>
      </c>
      <c r="AF83" s="10" t="str">
        <f aca="false">IF(AE83=0,"",IF($J83&lt;&gt;"",$J83,$F83))</f>
        <v/>
      </c>
      <c r="AG83" s="12" t="str">
        <f aca="false">IF(AE83=0,"",COUNT($G83:$I83))</f>
        <v/>
      </c>
      <c r="AH83" s="10" t="str">
        <f aca="false">IF(AE83=0,"",IFERROR(SMALL($G83:$I83,1),""))</f>
        <v/>
      </c>
      <c r="AI83" s="10" t="str">
        <f aca="false">IF(AE83=0,"",IFERROR(SMALL($G83:$I83,2),""))</f>
        <v/>
      </c>
      <c r="AJ83" s="10" t="str">
        <f aca="false">IF(AE83=0,"",IFERROR(SMALL($G83:$I83,3),""))</f>
        <v/>
      </c>
      <c r="AK83" s="12" t="str">
        <f aca="false">IF(AE83=0,"",IF(AH83="","",IF(AH83=$G83,"Part-Time",IF(AH83=$H83,"Full-Time","Casual"))))</f>
        <v/>
      </c>
      <c r="AL83" s="12" t="str">
        <f aca="false">IF(AE83=0,"",IF(AI83="","",IF(AI83=$G83,"Part-Time",IF(AI83=$H83,"Full-Time","Casual"))))</f>
        <v/>
      </c>
      <c r="AM83" s="12" t="str">
        <f aca="false">IF(AE83=0,"",IF(AJ83="","",IF(AJ83=$G83,"Part-Time",IF(AJ83=$H83,"Full-Time","Casual"))))</f>
        <v/>
      </c>
      <c r="AN83" s="12" t="str">
        <f aca="false">IF(AE83=0,"",IF(AG83=0,IF(OR(ISNUMBER(SEARCH("full",$C83)),UPPER(TRIM($C83))="FT",UPPER(TRIM($C83))="FTE"),"FT",IF(AND(OR(ISNUMBER(SEARCH("part",$C83)),UPPER(TRIM($C83))="PT",UPPER(TRIM($C83))="PTE"),OR($P83="",N($P83)&gt;=PT_MinHours)),"PT","None")),IF(OR(ISNUMBER(SEARCH("full",AK83)),UPPER(TRIM(AK83))="FT",UPPER(TRIM(AK83))="FTE"),"FT",IF(AND(OR(ISNUMBER(SEARCH("part",AK83)),UPPER(TRIM(AK83))="PT",UPPER(TRIM(AK83))="PTE"),OR($P83="",N($P83)&gt;=PT_MinHours)),"PT","None"))))</f>
        <v/>
      </c>
      <c r="AO83" s="12" t="str">
        <f aca="false">IF(AE83=0,"",IF(AG83&lt;2,"",IF(OR(ISNUMBER(SEARCH("full",AL83)),UPPER(TRIM(AL83))="FT",UPPER(TRIM(AL83))="FTE"),"FT",IF(AND(OR(ISNUMBER(SEARCH("part",AL83)),UPPER(TRIM(AL83))="PT",UPPER(TRIM(AL83))="PTE"),OR($P83="",N($P83)&gt;=PT_MinHours)),"PT","None"))))</f>
        <v/>
      </c>
      <c r="AP83" s="12" t="str">
        <f aca="false">IF(AE83=0,"",IF(AG83&lt;3,"",IF(OR(ISNUMBER(SEARCH("full",AM83)),UPPER(TRIM(AM83))="FT",UPPER(TRIM(AM83))="FTE"),"FT",IF(AND(OR(ISNUMBER(SEARCH("part",AM83)),UPPER(TRIM(AM83))="PT",UPPER(TRIM(AM83))="PTE"),OR($P83="",N($P83)&gt;=PT_MinHours)),"PT","None"))))</f>
        <v/>
      </c>
      <c r="AQ83" s="12" t="str">
        <f aca="false">IF(AE83=0,"",IF(AND(AG83&gt;=3,AJ83&lt;=AsOfDate),AP83,IF(AND(AG83&gt;=2,AI83&lt;=AsOfDate),AO83,AN83)))</f>
        <v/>
      </c>
      <c r="AR83" s="12" t="str">
        <f aca="false">IF(AE83=0,"",IF(AsOfDate&lt;AF83,-1,12*(YEAR(AsOfDate)-YEAR(AF83))+MONTH(AsOfDate)-MONTH(AF83)-IF(DAY(AsOfDate)&lt;MIN(DAY(AF83),DAY(EOMONTH(AsOfDate,0))),1,0)))</f>
        <v/>
      </c>
      <c r="AS83" s="12" t="str">
        <f aca="false">IF(AE83=0,"",IF(OR(AG83&lt;2,AI83&gt;AsOfDate),AR83,IF((AI83-1)&lt;AF83,-1,12*(YEAR((AI83-1))-YEAR(AF83))+MONTH((AI83-1))-MONTH(AF83)-IF(DAY((AI83-1))&lt;MIN(DAY(AF83),DAY(EOMONTH((AI83-1),0))),1,0))))</f>
        <v/>
      </c>
      <c r="AT83" s="12" t="str">
        <f aca="false">IF(AE83=0,"",IF(OR(AG83&lt;3,AJ83&gt;AsOfDate),AR83,IF((AJ83-1)&lt;AF83,-1,12*(YEAR((AJ83-1))-YEAR(AF83))+MONTH((AJ83-1))-MONTH(AF83)-IF(DAY((AJ83-1))&lt;MIN(DAY(AF83),DAY(EOMONTH((AJ83-1),0))),1,0))))</f>
        <v/>
      </c>
      <c r="AU83" s="12" t="str">
        <f aca="false">IF(AE83=0,"",IF(PFYDate&lt;AF83,-1,12*(YEAR(PFYDate)-YEAR(AF83))+MONTH(PFYDate)-MONTH(AF83)-IF(DAY(PFYDate)&lt;MIN(DAY(AF83),DAY(EOMONTH(PFYDate,0))),1,0)))</f>
        <v/>
      </c>
      <c r="AV83" s="12" t="str">
        <f aca="false">IF(AE83=0,"",IF(OR(AG83&lt;2,AI83&gt;PFYDate),AU83,IF((AI83-1)&lt;AF83,-1,12*(YEAR((AI83-1))-YEAR(AF83))+MONTH((AI83-1))-MONTH(AF83)-IF(DAY((AI83-1))&lt;MIN(DAY(AF83),DAY(EOMONTH((AI83-1),0))),1,0))))</f>
        <v/>
      </c>
      <c r="AW83" s="12" t="str">
        <f aca="false">IF(AE83=0,"",IF(OR(AG83&lt;3,AJ83&gt;PFYDate),AU83,IF((AJ83-1)&lt;AF83,-1,12*(YEAR((AJ83-1))-YEAR(AF83))+MONTH((AJ83-1))-MONTH(AF83)-IF(DAY((AJ83-1))&lt;MIN(DAY(AF83),DAY(EOMONTH((AJ83-1),0))),1,0))))</f>
        <v/>
      </c>
      <c r="AX83" s="12" t="str">
        <f aca="false">IF(AE83=0,"",IF(AN83="FT",IF(AS83&lt;FT_First,0,IF(AS83&lt;FT_Y5,1+INT((AS83-FT_First)/FT_Int1),FT_PreY5+FT_PerYear*INT((AS83-FT_Y5)/12)+FT_AnnivDays+INT(MOD(AS83-FT_Y5,12)/FT_Int2))),IF(AN83="PT",IF(AS83&lt;PT_First,0,1+INT((AS83-PT_First)/PT_Int)),0))+IF(AND(AG83&gt;=2,AI83&lt;=AsOfDate),IF(AO83="FT",IF(AT83&lt;FT_First,0,IF(AT83&lt;FT_Y5,1+INT((AT83-FT_First)/FT_Int1),FT_PreY5+FT_PerYear*INT((AT83-FT_Y5)/12)+FT_AnnivDays+INT(MOD(AT83-FT_Y5,12)/FT_Int2))),IF(AO83="PT",IF(AT83&lt;PT_First,0,1+INT((AT83-PT_First)/PT_Int)),0))-IF(AO83="FT",IF(AS83&lt;FT_First,0,IF(AS83&lt;FT_Y5,1+INT((AS83-FT_First)/FT_Int1),FT_PreY5+FT_PerYear*INT((AS83-FT_Y5)/12)+FT_AnnivDays+INT(MOD(AS83-FT_Y5,12)/FT_Int2))),IF(AO83="PT",IF(AS83&lt;PT_First,0,1+INT((AS83-PT_First)/PT_Int)),0)),0)+IF(AND(AG83&gt;=3,AJ83&lt;=AsOfDate),IF(AP83="FT",IF(AR83&lt;FT_First,0,IF(AR83&lt;FT_Y5,1+INT((AR83-FT_First)/FT_Int1),FT_PreY5+FT_PerYear*INT((AR83-FT_Y5)/12)+FT_AnnivDays+INT(MOD(AR83-FT_Y5,12)/FT_Int2))),IF(AP83="PT",IF(AR83&lt;PT_First,0,1+INT((AR83-PT_First)/PT_Int)),0))-IF(AP83="FT",IF(AT83&lt;FT_First,0,IF(AT83&lt;FT_Y5,1+INT((AT83-FT_First)/FT_Int1),FT_PreY5+FT_PerYear*INT((AT83-FT_Y5)/12)+FT_AnnivDays+INT(MOD(AT83-FT_Y5,12)/FT_Int2))),IF(AP83="PT",IF(AT83&lt;PT_First,0,1+INT((AT83-PT_First)/PT_Int)),0)),0))</f>
        <v/>
      </c>
      <c r="AY83" s="12" t="str">
        <f aca="false">IF(AE83=0,"",IF(AN83="FT",IF(AV83&lt;FT_First,0,IF(AV83&lt;FT_Y5,1+INT((AV83-FT_First)/FT_Int1),FT_PreY5+FT_PerYear*INT((AV83-FT_Y5)/12)+FT_AnnivDays+INT(MOD(AV83-FT_Y5,12)/FT_Int2))),IF(AN83="PT",IF(AV83&lt;PT_First,0,1+INT((AV83-PT_First)/PT_Int)),0))+IF(AND(AG83&gt;=2,AI83&lt;=PFYDate),IF(AO83="FT",IF(AW83&lt;FT_First,0,IF(AW83&lt;FT_Y5,1+INT((AW83-FT_First)/FT_Int1),FT_PreY5+FT_PerYear*INT((AW83-FT_Y5)/12)+FT_AnnivDays+INT(MOD(AW83-FT_Y5,12)/FT_Int2))),IF(AO83="PT",IF(AW83&lt;PT_First,0,1+INT((AW83-PT_First)/PT_Int)),0))-IF(AO83="FT",IF(AV83&lt;FT_First,0,IF(AV83&lt;FT_Y5,1+INT((AV83-FT_First)/FT_Int1),FT_PreY5+FT_PerYear*INT((AV83-FT_Y5)/12)+FT_AnnivDays+INT(MOD(AV83-FT_Y5,12)/FT_Int2))),IF(AO83="PT",IF(AV83&lt;PT_First,0,1+INT((AV83-PT_First)/PT_Int)),0)),0)+IF(AND(AG83&gt;=3,AJ83&lt;=PFYDate),IF(AP83="FT",IF(AU83&lt;FT_First,0,IF(AU83&lt;FT_Y5,1+INT((AU83-FT_First)/FT_Int1),FT_PreY5+FT_PerYear*INT((AU83-FT_Y5)/12)+FT_AnnivDays+INT(MOD(AU83-FT_Y5,12)/FT_Int2))),IF(AP83="PT",IF(AU83&lt;PT_First,0,1+INT((AU83-PT_First)/PT_Int)),0))-IF(AP83="FT",IF(AW83&lt;FT_First,0,IF(AW83&lt;FT_Y5,1+INT((AW83-FT_First)/FT_Int1),FT_PreY5+FT_PerYear*INT((AW83-FT_Y5)/12)+FT_AnnivDays+INT(MOD(AW83-FT_Y5,12)/FT_Int2))),IF(AP83="PT",IF(AW83&lt;PT_First,0,1+INT((AW83-PT_First)/PT_Int)),0)),0))</f>
        <v/>
      </c>
      <c r="AZ83" s="12" t="str">
        <f aca="false">IF(AE83=0,"",IF(AQ83="FT",IF(AR83&lt;FT_First,FT_First,IF(AR83&lt;FT_Y5,MIN(FT_Y5,FT_First+FT_Int1*(INT((AR83-FT_First)/FT_Int1)+1)),FT_Y5+12*INT((AR83-FT_Y5)/12)+FT_Int2*(INT(MOD(AR83-FT_Y5,12)/FT_Int2)+1))),IF(AQ83="PT",IF(AR83&lt;PT_First,PT_First,PT_First+PT_Int*(INT((AR83-PT_First)/PT_Int)+1)),"")))</f>
        <v/>
      </c>
      <c r="BA83" s="12" t="str">
        <f aca="false">IF(AE83=0,"",IF(NOT(LH_Ready),0,COUNTIFS(INDEX(LH_Data,0,LH_ColFirst),$A83,INDEX(LH_Data,0,LH_ColSur),$B83,INDEX(LH_Data,0,LH_ColCat),BonusCat)))</f>
        <v/>
      </c>
      <c r="BB83" s="12" t="str">
        <f aca="false">IF(AE83=0,"",IF(OR(NOT(LH_Ready),BA83=0),0,SUMPRODUCT(MAX((INDEX(LH_Data,0,LH_ColFirst)=$A83)*(INDEX(LH_Data,0,LH_ColSur)=$B83)*(INDEX(LH_Data,0,LH_ColCat)=BonusCat)*ROW(LH_Data)))))</f>
        <v/>
      </c>
    </row>
    <row r="84" customFormat="false" ht="15" hidden="false" customHeight="false" outlineLevel="0" collapsed="false">
      <c r="A84" s="15"/>
      <c r="B84" s="15"/>
      <c r="C84" s="15"/>
      <c r="D84" s="16"/>
      <c r="E84" s="10" t="str">
        <f aca="false">IF(OR(AE84=0,$D84=""),"",DATE(YEAR(AsOfDate)+IF(DATE(YEAR(AsOfDate),MONTH($D84),DAY($D84))&lt;=AsOfDate,1,0),MONTH($D84),DAY($D84)))</f>
        <v/>
      </c>
      <c r="F84" s="16"/>
      <c r="G84" s="16"/>
      <c r="H84" s="16"/>
      <c r="I84" s="16"/>
      <c r="J84" s="16"/>
      <c r="K84" s="10" t="str">
        <f aca="false">IF(AE84=0,"",DATE(YEAR(AsOfDate)+IF(DATE(YEAR(AsOfDate),MONTH($F84),DAY($F84))&lt;=AsOfDate,1,0),MONTH($F84),DAY($F84)))</f>
        <v/>
      </c>
      <c r="L84" s="11" t="str">
        <f aca="false">IF(AE84=0,"",ROUND((AsOfDate-$F84)/365.25,1))</f>
        <v/>
      </c>
      <c r="M84" s="12" t="str">
        <f aca="false">IF(AE84=0,"",IF(AsOfDate&lt;AF84,"-",DATEDIF(AF84,AsOfDate,"y")&amp;"y "&amp;DATEDIF(AF84,AsOfDate,"ym")&amp;"m "&amp;DATEDIF(AF84,AsOfDate,"md")&amp;"d"))</f>
        <v/>
      </c>
      <c r="N84" s="13" t="str">
        <f aca="false">IF(AE84=0,"",O84*HoursPerDay)</f>
        <v/>
      </c>
      <c r="O84" s="13" t="str">
        <f aca="false">IF(AE84=0,"",AX84)</f>
        <v/>
      </c>
      <c r="P84" s="17"/>
      <c r="Q84" s="12" t="str">
        <f aca="false">IF(AE84=0,"",IF(AG84&lt;2,"",AK84&amp;" to "&amp;AL84&amp;" on "&amp;TEXT(AI84,"dd/mm/yyyy")&amp;IF(AI84&gt;AsOfDate," (future)",IF(AN84=AO84,"",IF(AO84="None"," - STOPPED accruing",IF(AN84="None"," - now qualifying"," - pathway changed"))))&amp;IF(AG84&lt;3,"","; "&amp;AL84&amp;" to "&amp;AM84&amp;" on "&amp;TEXT(AJ84,"dd/mm/yyyy")&amp;IF(AJ84&gt;AsOfDate," (future)",IF(AO84=AP84,"",IF(AP84="None"," - STOPPED accruing",IF(AO84="None"," - now qualifying"," - pathway changed")))))))</f>
        <v/>
      </c>
      <c r="R84" s="12" t="str">
        <f aca="false">IF(AE84=0,"",IF(AQ84="None",IF(O84&gt;0,"No longer accruing","Not eligible - "&amp;IF(AND(OR(ISNUMBER(SEARCH("part",$C84)),UPPER(TRIM($C84))="PT",UPPER(TRIM($C84))="PTE"),$P84&lt;&gt;"",N($P84)&lt;PT_MinHours),"under "&amp;PT_MinHours&amp;" hrs",IF(IF($C84="","",IF(OR(ISNUMBER(SEARCH("full",$C84)),UPPER(TRIM($C84))="FT",UPPER(TRIM($C84))="FTE"),"Full-Time",IF(OR(ISNUMBER(SEARCH("part",$C84)),UPPER(TRIM($C84))="PT",UPPER(TRIM($C84))="PTE"),"Part-Time",IF(OR(ISNUMBER(SEARCH("cas",$C84)),UPPER(TRIM($C84))="CAS"),"Casual","Unknown"))))="Unknown","type not recognised",$C84))),IF(O84&gt;0,"Yes - accruing","Not yet - from "&amp;TEXT(S84,"dd/mm/yyyy"))))</f>
        <v/>
      </c>
      <c r="S84" s="10" t="str">
        <f aca="false">IF(AE84=0,"",IF(AQ84="None","",EDATE(AF84,AZ84)))</f>
        <v/>
      </c>
      <c r="T84" s="13" t="str">
        <f aca="false">IF(OR(AE84=0,W84=""),"",W84-U84+V84)</f>
        <v/>
      </c>
      <c r="U84" s="13" t="str">
        <f aca="false">IF(AE84=0,"",IF(NOT(LH_Ready),"",SUMIFS(INDEX(LH_Data,0,LH_ColAcc),INDEX(LH_Data,0,LH_ColFirst),$A84,INDEX(LH_Data,0,LH_ColSur),$B84,INDEX(LH_Data,0,LH_ColCat),BonusCat)*UnitFactor))</f>
        <v/>
      </c>
      <c r="V84" s="13" t="str">
        <f aca="false">IF(AE84=0,"",IF(NOT(LH_Ready),"",SUMIFS(INDEX(LH_Data,0,LH_ColTaken),INDEX(LH_Data,0,LH_ColFirst),$A84,INDEX(LH_Data,0,LH_ColSur),$B84,INDEX(LH_Data,0,LH_ColCat),BonusCat)*UnitFactor))</f>
        <v/>
      </c>
      <c r="W84" s="13" t="str">
        <f aca="false">IF(AE84=0,"",IF(NOT(LH_Ready),"",IF(BB84=0,0,INDEX(INDEX(LH_Data,0,LH_ColClose),BB84-1)*UnitFactor)))</f>
        <v/>
      </c>
      <c r="X84" s="13" t="str">
        <f aca="false">IF(AE84=0,"",(AX84-AY84)*HoursPerDay)</f>
        <v/>
      </c>
      <c r="Y84" s="13" t="str">
        <f aca="false">IF(AE84=0,"",IF(NOT(LH_Ready),"",IF(BA84=0,N84,X84-N(U84))))</f>
        <v/>
      </c>
      <c r="Z84" s="12" t="str">
        <f aca="false">IF(OR(AE84=0,Y84=""),"",IF(Y84&gt;0,"Yes","No"))</f>
        <v/>
      </c>
      <c r="AA84" s="12" t="str">
        <f aca="false">IF(AE84=0,IF(LEN($A84&amp;$B84)=0,"","FIX INPUT - StartDate missing"),IF(AD84&lt;&gt;"","FIX INPUT - "&amp;AD84,IF(NOT(LH_Ready),"Paste Leave History export (Settings must show YES)",IF(Y84&gt;0,"ACCRUE "&amp;ROUND(Y84,2)&amp;" hrs ("&amp;ROUND(Y84/HoursPerDay,2)&amp;" days)"&amp;IF(BA84=0," - no Bonus Leave in EH yet, full catch-up since start",""),IF(Y84&lt;0,"CHECK - EH accrued "&amp;ROUND(-Y84,2)&amp;""&amp;" hrs more than policy",IF(O84&gt;0,"OK - nothing to add",IF(AQ84="None",R84,"Not yet - first day on "&amp;TEXT(S84,"dd/mm/yyyy"))))))))</f>
        <v/>
      </c>
      <c r="AB84" s="13" t="str">
        <f aca="false">IF(OR(AE84=0,T84=""),"",AY84*HoursPerDay-T84)</f>
        <v/>
      </c>
      <c r="AC84" s="12" t="str">
        <f aca="false">IF(AE84=0,"",BA84)</f>
        <v/>
      </c>
      <c r="AD84" s="12" t="str">
        <f aca="false">IF(AE84=0,"",TRIM(IF(IF($C84="","",IF(OR(ISNUMBER(SEARCH("full",$C84)),UPPER(TRIM($C84))="FT",UPPER(TRIM($C84))="FTE"),"Full-Time",IF(OR(ISNUMBER(SEARCH("part",$C84)),UPPER(TRIM($C84))="PT",UPPER(TRIM($C84))="PTE"),"Part-Time",IF(OR(ISNUMBER(SEARCH("cas",$C84)),UPPER(TRIM($C84))="CAS"),"Casual","Unknown"))))="Unknown","EmploymentType not recognised - use Full-Time, Part-Time or Casual. ","")&amp;IF(AND(AG84&gt;=1,IF(AG84&gt;=3,AM84,IF(AG84=2,AL84,AK84))&lt;&gt;IF($C84="","",IF(OR(ISNUMBER(SEARCH("full",$C84)),UPPER(TRIM($C84))="FT",UPPER(TRIM($C84))="FTE"),"Full-Time",IF(OR(ISNUMBER(SEARCH("part",$C84)),UPPER(TRIM($C84))="PT",UPPER(TRIM($C84))="PTE"),"Part-Time",IF(OR(ISNUMBER(SEARCH("cas",$C84)),UPPER(TRIM($C84))="CAS"),"Casual","Unknown"))))),"EmploymentType does not match latest start date ("&amp;IF(AG84&gt;=3,AM84,IF(AG84=2,AL84,AK84))&amp;"). ","")&amp;IF(AND(AG84&gt;=1,AH84&lt;&gt;$F84),"Earliest type date should equal StartDate. ","")&amp;IF(AND(AG84&gt;=2,AH84=AI84),"Two types start on the same date. ","")&amp;IF(AND(OR(ISNUMBER(SEARCH("part",$C84)),UPPER(TRIM($C84))="PT",UPPER(TRIM($C84))="PTE"),$P84=""),"Part-time: enter PT Hrs/Week (blank = 24+). ","")))</f>
        <v/>
      </c>
      <c r="AE84" s="12" t="n">
        <f aca="false">IF(OR(LEN($A84&amp;$B84)=0,$F84=""),0,1)</f>
        <v>0</v>
      </c>
      <c r="AF84" s="10" t="str">
        <f aca="false">IF(AE84=0,"",IF($J84&lt;&gt;"",$J84,$F84))</f>
        <v/>
      </c>
      <c r="AG84" s="12" t="str">
        <f aca="false">IF(AE84=0,"",COUNT($G84:$I84))</f>
        <v/>
      </c>
      <c r="AH84" s="10" t="str">
        <f aca="false">IF(AE84=0,"",IFERROR(SMALL($G84:$I84,1),""))</f>
        <v/>
      </c>
      <c r="AI84" s="10" t="str">
        <f aca="false">IF(AE84=0,"",IFERROR(SMALL($G84:$I84,2),""))</f>
        <v/>
      </c>
      <c r="AJ84" s="10" t="str">
        <f aca="false">IF(AE84=0,"",IFERROR(SMALL($G84:$I84,3),""))</f>
        <v/>
      </c>
      <c r="AK84" s="12" t="str">
        <f aca="false">IF(AE84=0,"",IF(AH84="","",IF(AH84=$G84,"Part-Time",IF(AH84=$H84,"Full-Time","Casual"))))</f>
        <v/>
      </c>
      <c r="AL84" s="12" t="str">
        <f aca="false">IF(AE84=0,"",IF(AI84="","",IF(AI84=$G84,"Part-Time",IF(AI84=$H84,"Full-Time","Casual"))))</f>
        <v/>
      </c>
      <c r="AM84" s="12" t="str">
        <f aca="false">IF(AE84=0,"",IF(AJ84="","",IF(AJ84=$G84,"Part-Time",IF(AJ84=$H84,"Full-Time","Casual"))))</f>
        <v/>
      </c>
      <c r="AN84" s="12" t="str">
        <f aca="false">IF(AE84=0,"",IF(AG84=0,IF(OR(ISNUMBER(SEARCH("full",$C84)),UPPER(TRIM($C84))="FT",UPPER(TRIM($C84))="FTE"),"FT",IF(AND(OR(ISNUMBER(SEARCH("part",$C84)),UPPER(TRIM($C84))="PT",UPPER(TRIM($C84))="PTE"),OR($P84="",N($P84)&gt;=PT_MinHours)),"PT","None")),IF(OR(ISNUMBER(SEARCH("full",AK84)),UPPER(TRIM(AK84))="FT",UPPER(TRIM(AK84))="FTE"),"FT",IF(AND(OR(ISNUMBER(SEARCH("part",AK84)),UPPER(TRIM(AK84))="PT",UPPER(TRIM(AK84))="PTE"),OR($P84="",N($P84)&gt;=PT_MinHours)),"PT","None"))))</f>
        <v/>
      </c>
      <c r="AO84" s="12" t="str">
        <f aca="false">IF(AE84=0,"",IF(AG84&lt;2,"",IF(OR(ISNUMBER(SEARCH("full",AL84)),UPPER(TRIM(AL84))="FT",UPPER(TRIM(AL84))="FTE"),"FT",IF(AND(OR(ISNUMBER(SEARCH("part",AL84)),UPPER(TRIM(AL84))="PT",UPPER(TRIM(AL84))="PTE"),OR($P84="",N($P84)&gt;=PT_MinHours)),"PT","None"))))</f>
        <v/>
      </c>
      <c r="AP84" s="12" t="str">
        <f aca="false">IF(AE84=0,"",IF(AG84&lt;3,"",IF(OR(ISNUMBER(SEARCH("full",AM84)),UPPER(TRIM(AM84))="FT",UPPER(TRIM(AM84))="FTE"),"FT",IF(AND(OR(ISNUMBER(SEARCH("part",AM84)),UPPER(TRIM(AM84))="PT",UPPER(TRIM(AM84))="PTE"),OR($P84="",N($P84)&gt;=PT_MinHours)),"PT","None"))))</f>
        <v/>
      </c>
      <c r="AQ84" s="12" t="str">
        <f aca="false">IF(AE84=0,"",IF(AND(AG84&gt;=3,AJ84&lt;=AsOfDate),AP84,IF(AND(AG84&gt;=2,AI84&lt;=AsOfDate),AO84,AN84)))</f>
        <v/>
      </c>
      <c r="AR84" s="12" t="str">
        <f aca="false">IF(AE84=0,"",IF(AsOfDate&lt;AF84,-1,12*(YEAR(AsOfDate)-YEAR(AF84))+MONTH(AsOfDate)-MONTH(AF84)-IF(DAY(AsOfDate)&lt;MIN(DAY(AF84),DAY(EOMONTH(AsOfDate,0))),1,0)))</f>
        <v/>
      </c>
      <c r="AS84" s="12" t="str">
        <f aca="false">IF(AE84=0,"",IF(OR(AG84&lt;2,AI84&gt;AsOfDate),AR84,IF((AI84-1)&lt;AF84,-1,12*(YEAR((AI84-1))-YEAR(AF84))+MONTH((AI84-1))-MONTH(AF84)-IF(DAY((AI84-1))&lt;MIN(DAY(AF84),DAY(EOMONTH((AI84-1),0))),1,0))))</f>
        <v/>
      </c>
      <c r="AT84" s="12" t="str">
        <f aca="false">IF(AE84=0,"",IF(OR(AG84&lt;3,AJ84&gt;AsOfDate),AR84,IF((AJ84-1)&lt;AF84,-1,12*(YEAR((AJ84-1))-YEAR(AF84))+MONTH((AJ84-1))-MONTH(AF84)-IF(DAY((AJ84-1))&lt;MIN(DAY(AF84),DAY(EOMONTH((AJ84-1),0))),1,0))))</f>
        <v/>
      </c>
      <c r="AU84" s="12" t="str">
        <f aca="false">IF(AE84=0,"",IF(PFYDate&lt;AF84,-1,12*(YEAR(PFYDate)-YEAR(AF84))+MONTH(PFYDate)-MONTH(AF84)-IF(DAY(PFYDate)&lt;MIN(DAY(AF84),DAY(EOMONTH(PFYDate,0))),1,0)))</f>
        <v/>
      </c>
      <c r="AV84" s="12" t="str">
        <f aca="false">IF(AE84=0,"",IF(OR(AG84&lt;2,AI84&gt;PFYDate),AU84,IF((AI84-1)&lt;AF84,-1,12*(YEAR((AI84-1))-YEAR(AF84))+MONTH((AI84-1))-MONTH(AF84)-IF(DAY((AI84-1))&lt;MIN(DAY(AF84),DAY(EOMONTH((AI84-1),0))),1,0))))</f>
        <v/>
      </c>
      <c r="AW84" s="12" t="str">
        <f aca="false">IF(AE84=0,"",IF(OR(AG84&lt;3,AJ84&gt;PFYDate),AU84,IF((AJ84-1)&lt;AF84,-1,12*(YEAR((AJ84-1))-YEAR(AF84))+MONTH((AJ84-1))-MONTH(AF84)-IF(DAY((AJ84-1))&lt;MIN(DAY(AF84),DAY(EOMONTH((AJ84-1),0))),1,0))))</f>
        <v/>
      </c>
      <c r="AX84" s="12" t="str">
        <f aca="false">IF(AE84=0,"",IF(AN84="FT",IF(AS84&lt;FT_First,0,IF(AS84&lt;FT_Y5,1+INT((AS84-FT_First)/FT_Int1),FT_PreY5+FT_PerYear*INT((AS84-FT_Y5)/12)+FT_AnnivDays+INT(MOD(AS84-FT_Y5,12)/FT_Int2))),IF(AN84="PT",IF(AS84&lt;PT_First,0,1+INT((AS84-PT_First)/PT_Int)),0))+IF(AND(AG84&gt;=2,AI84&lt;=AsOfDate),IF(AO84="FT",IF(AT84&lt;FT_First,0,IF(AT84&lt;FT_Y5,1+INT((AT84-FT_First)/FT_Int1),FT_PreY5+FT_PerYear*INT((AT84-FT_Y5)/12)+FT_AnnivDays+INT(MOD(AT84-FT_Y5,12)/FT_Int2))),IF(AO84="PT",IF(AT84&lt;PT_First,0,1+INT((AT84-PT_First)/PT_Int)),0))-IF(AO84="FT",IF(AS84&lt;FT_First,0,IF(AS84&lt;FT_Y5,1+INT((AS84-FT_First)/FT_Int1),FT_PreY5+FT_PerYear*INT((AS84-FT_Y5)/12)+FT_AnnivDays+INT(MOD(AS84-FT_Y5,12)/FT_Int2))),IF(AO84="PT",IF(AS84&lt;PT_First,0,1+INT((AS84-PT_First)/PT_Int)),0)),0)+IF(AND(AG84&gt;=3,AJ84&lt;=AsOfDate),IF(AP84="FT",IF(AR84&lt;FT_First,0,IF(AR84&lt;FT_Y5,1+INT((AR84-FT_First)/FT_Int1),FT_PreY5+FT_PerYear*INT((AR84-FT_Y5)/12)+FT_AnnivDays+INT(MOD(AR84-FT_Y5,12)/FT_Int2))),IF(AP84="PT",IF(AR84&lt;PT_First,0,1+INT((AR84-PT_First)/PT_Int)),0))-IF(AP84="FT",IF(AT84&lt;FT_First,0,IF(AT84&lt;FT_Y5,1+INT((AT84-FT_First)/FT_Int1),FT_PreY5+FT_PerYear*INT((AT84-FT_Y5)/12)+FT_AnnivDays+INT(MOD(AT84-FT_Y5,12)/FT_Int2))),IF(AP84="PT",IF(AT84&lt;PT_First,0,1+INT((AT84-PT_First)/PT_Int)),0)),0))</f>
        <v/>
      </c>
      <c r="AY84" s="12" t="str">
        <f aca="false">IF(AE84=0,"",IF(AN84="FT",IF(AV84&lt;FT_First,0,IF(AV84&lt;FT_Y5,1+INT((AV84-FT_First)/FT_Int1),FT_PreY5+FT_PerYear*INT((AV84-FT_Y5)/12)+FT_AnnivDays+INT(MOD(AV84-FT_Y5,12)/FT_Int2))),IF(AN84="PT",IF(AV84&lt;PT_First,0,1+INT((AV84-PT_First)/PT_Int)),0))+IF(AND(AG84&gt;=2,AI84&lt;=PFYDate),IF(AO84="FT",IF(AW84&lt;FT_First,0,IF(AW84&lt;FT_Y5,1+INT((AW84-FT_First)/FT_Int1),FT_PreY5+FT_PerYear*INT((AW84-FT_Y5)/12)+FT_AnnivDays+INT(MOD(AW84-FT_Y5,12)/FT_Int2))),IF(AO84="PT",IF(AW84&lt;PT_First,0,1+INT((AW84-PT_First)/PT_Int)),0))-IF(AO84="FT",IF(AV84&lt;FT_First,0,IF(AV84&lt;FT_Y5,1+INT((AV84-FT_First)/FT_Int1),FT_PreY5+FT_PerYear*INT((AV84-FT_Y5)/12)+FT_AnnivDays+INT(MOD(AV84-FT_Y5,12)/FT_Int2))),IF(AO84="PT",IF(AV84&lt;PT_First,0,1+INT((AV84-PT_First)/PT_Int)),0)),0)+IF(AND(AG84&gt;=3,AJ84&lt;=PFYDate),IF(AP84="FT",IF(AU84&lt;FT_First,0,IF(AU84&lt;FT_Y5,1+INT((AU84-FT_First)/FT_Int1),FT_PreY5+FT_PerYear*INT((AU84-FT_Y5)/12)+FT_AnnivDays+INT(MOD(AU84-FT_Y5,12)/FT_Int2))),IF(AP84="PT",IF(AU84&lt;PT_First,0,1+INT((AU84-PT_First)/PT_Int)),0))-IF(AP84="FT",IF(AW84&lt;FT_First,0,IF(AW84&lt;FT_Y5,1+INT((AW84-FT_First)/FT_Int1),FT_PreY5+FT_PerYear*INT((AW84-FT_Y5)/12)+FT_AnnivDays+INT(MOD(AW84-FT_Y5,12)/FT_Int2))),IF(AP84="PT",IF(AW84&lt;PT_First,0,1+INT((AW84-PT_First)/PT_Int)),0)),0))</f>
        <v/>
      </c>
      <c r="AZ84" s="12" t="str">
        <f aca="false">IF(AE84=0,"",IF(AQ84="FT",IF(AR84&lt;FT_First,FT_First,IF(AR84&lt;FT_Y5,MIN(FT_Y5,FT_First+FT_Int1*(INT((AR84-FT_First)/FT_Int1)+1)),FT_Y5+12*INT((AR84-FT_Y5)/12)+FT_Int2*(INT(MOD(AR84-FT_Y5,12)/FT_Int2)+1))),IF(AQ84="PT",IF(AR84&lt;PT_First,PT_First,PT_First+PT_Int*(INT((AR84-PT_First)/PT_Int)+1)),"")))</f>
        <v/>
      </c>
      <c r="BA84" s="12" t="str">
        <f aca="false">IF(AE84=0,"",IF(NOT(LH_Ready),0,COUNTIFS(INDEX(LH_Data,0,LH_ColFirst),$A84,INDEX(LH_Data,0,LH_ColSur),$B84,INDEX(LH_Data,0,LH_ColCat),BonusCat)))</f>
        <v/>
      </c>
      <c r="BB84" s="12" t="str">
        <f aca="false">IF(AE84=0,"",IF(OR(NOT(LH_Ready),BA84=0),0,SUMPRODUCT(MAX((INDEX(LH_Data,0,LH_ColFirst)=$A84)*(INDEX(LH_Data,0,LH_ColSur)=$B84)*(INDEX(LH_Data,0,LH_ColCat)=BonusCat)*ROW(LH_Data)))))</f>
        <v/>
      </c>
    </row>
    <row r="85" customFormat="false" ht="15" hidden="false" customHeight="false" outlineLevel="0" collapsed="false">
      <c r="A85" s="15"/>
      <c r="B85" s="15"/>
      <c r="C85" s="15"/>
      <c r="D85" s="16"/>
      <c r="E85" s="10" t="str">
        <f aca="false">IF(OR(AE85=0,$D85=""),"",DATE(YEAR(AsOfDate)+IF(DATE(YEAR(AsOfDate),MONTH($D85),DAY($D85))&lt;=AsOfDate,1,0),MONTH($D85),DAY($D85)))</f>
        <v/>
      </c>
      <c r="F85" s="16"/>
      <c r="G85" s="16"/>
      <c r="H85" s="16"/>
      <c r="I85" s="16"/>
      <c r="J85" s="16"/>
      <c r="K85" s="10" t="str">
        <f aca="false">IF(AE85=0,"",DATE(YEAR(AsOfDate)+IF(DATE(YEAR(AsOfDate),MONTH($F85),DAY($F85))&lt;=AsOfDate,1,0),MONTH($F85),DAY($F85)))</f>
        <v/>
      </c>
      <c r="L85" s="11" t="str">
        <f aca="false">IF(AE85=0,"",ROUND((AsOfDate-$F85)/365.25,1))</f>
        <v/>
      </c>
      <c r="M85" s="12" t="str">
        <f aca="false">IF(AE85=0,"",IF(AsOfDate&lt;AF85,"-",DATEDIF(AF85,AsOfDate,"y")&amp;"y "&amp;DATEDIF(AF85,AsOfDate,"ym")&amp;"m "&amp;DATEDIF(AF85,AsOfDate,"md")&amp;"d"))</f>
        <v/>
      </c>
      <c r="N85" s="13" t="str">
        <f aca="false">IF(AE85=0,"",O85*HoursPerDay)</f>
        <v/>
      </c>
      <c r="O85" s="13" t="str">
        <f aca="false">IF(AE85=0,"",AX85)</f>
        <v/>
      </c>
      <c r="P85" s="17"/>
      <c r="Q85" s="12" t="str">
        <f aca="false">IF(AE85=0,"",IF(AG85&lt;2,"",AK85&amp;" to "&amp;AL85&amp;" on "&amp;TEXT(AI85,"dd/mm/yyyy")&amp;IF(AI85&gt;AsOfDate," (future)",IF(AN85=AO85,"",IF(AO85="None"," - STOPPED accruing",IF(AN85="None"," - now qualifying"," - pathway changed"))))&amp;IF(AG85&lt;3,"","; "&amp;AL85&amp;" to "&amp;AM85&amp;" on "&amp;TEXT(AJ85,"dd/mm/yyyy")&amp;IF(AJ85&gt;AsOfDate," (future)",IF(AO85=AP85,"",IF(AP85="None"," - STOPPED accruing",IF(AO85="None"," - now qualifying"," - pathway changed")))))))</f>
        <v/>
      </c>
      <c r="R85" s="12" t="str">
        <f aca="false">IF(AE85=0,"",IF(AQ85="None",IF(O85&gt;0,"No longer accruing","Not eligible - "&amp;IF(AND(OR(ISNUMBER(SEARCH("part",$C85)),UPPER(TRIM($C85))="PT",UPPER(TRIM($C85))="PTE"),$P85&lt;&gt;"",N($P85)&lt;PT_MinHours),"under "&amp;PT_MinHours&amp;" hrs",IF(IF($C85="","",IF(OR(ISNUMBER(SEARCH("full",$C85)),UPPER(TRIM($C85))="FT",UPPER(TRIM($C85))="FTE"),"Full-Time",IF(OR(ISNUMBER(SEARCH("part",$C85)),UPPER(TRIM($C85))="PT",UPPER(TRIM($C85))="PTE"),"Part-Time",IF(OR(ISNUMBER(SEARCH("cas",$C85)),UPPER(TRIM($C85))="CAS"),"Casual","Unknown"))))="Unknown","type not recognised",$C85))),IF(O85&gt;0,"Yes - accruing","Not yet - from "&amp;TEXT(S85,"dd/mm/yyyy"))))</f>
        <v/>
      </c>
      <c r="S85" s="10" t="str">
        <f aca="false">IF(AE85=0,"",IF(AQ85="None","",EDATE(AF85,AZ85)))</f>
        <v/>
      </c>
      <c r="T85" s="13" t="str">
        <f aca="false">IF(OR(AE85=0,W85=""),"",W85-U85+V85)</f>
        <v/>
      </c>
      <c r="U85" s="13" t="str">
        <f aca="false">IF(AE85=0,"",IF(NOT(LH_Ready),"",SUMIFS(INDEX(LH_Data,0,LH_ColAcc),INDEX(LH_Data,0,LH_ColFirst),$A85,INDEX(LH_Data,0,LH_ColSur),$B85,INDEX(LH_Data,0,LH_ColCat),BonusCat)*UnitFactor))</f>
        <v/>
      </c>
      <c r="V85" s="13" t="str">
        <f aca="false">IF(AE85=0,"",IF(NOT(LH_Ready),"",SUMIFS(INDEX(LH_Data,0,LH_ColTaken),INDEX(LH_Data,0,LH_ColFirst),$A85,INDEX(LH_Data,0,LH_ColSur),$B85,INDEX(LH_Data,0,LH_ColCat),BonusCat)*UnitFactor))</f>
        <v/>
      </c>
      <c r="W85" s="13" t="str">
        <f aca="false">IF(AE85=0,"",IF(NOT(LH_Ready),"",IF(BB85=0,0,INDEX(INDEX(LH_Data,0,LH_ColClose),BB85-1)*UnitFactor)))</f>
        <v/>
      </c>
      <c r="X85" s="13" t="str">
        <f aca="false">IF(AE85=0,"",(AX85-AY85)*HoursPerDay)</f>
        <v/>
      </c>
      <c r="Y85" s="13" t="str">
        <f aca="false">IF(AE85=0,"",IF(NOT(LH_Ready),"",IF(BA85=0,N85,X85-N(U85))))</f>
        <v/>
      </c>
      <c r="Z85" s="12" t="str">
        <f aca="false">IF(OR(AE85=0,Y85=""),"",IF(Y85&gt;0,"Yes","No"))</f>
        <v/>
      </c>
      <c r="AA85" s="12" t="str">
        <f aca="false">IF(AE85=0,IF(LEN($A85&amp;$B85)=0,"","FIX INPUT - StartDate missing"),IF(AD85&lt;&gt;"","FIX INPUT - "&amp;AD85,IF(NOT(LH_Ready),"Paste Leave History export (Settings must show YES)",IF(Y85&gt;0,"ACCRUE "&amp;ROUND(Y85,2)&amp;" hrs ("&amp;ROUND(Y85/HoursPerDay,2)&amp;" days)"&amp;IF(BA85=0," - no Bonus Leave in EH yet, full catch-up since start",""),IF(Y85&lt;0,"CHECK - EH accrued "&amp;ROUND(-Y85,2)&amp;""&amp;" hrs more than policy",IF(O85&gt;0,"OK - nothing to add",IF(AQ85="None",R85,"Not yet - first day on "&amp;TEXT(S85,"dd/mm/yyyy"))))))))</f>
        <v/>
      </c>
      <c r="AB85" s="13" t="str">
        <f aca="false">IF(OR(AE85=0,T85=""),"",AY85*HoursPerDay-T85)</f>
        <v/>
      </c>
      <c r="AC85" s="12" t="str">
        <f aca="false">IF(AE85=0,"",BA85)</f>
        <v/>
      </c>
      <c r="AD85" s="12" t="str">
        <f aca="false">IF(AE85=0,"",TRIM(IF(IF($C85="","",IF(OR(ISNUMBER(SEARCH("full",$C85)),UPPER(TRIM($C85))="FT",UPPER(TRIM($C85))="FTE"),"Full-Time",IF(OR(ISNUMBER(SEARCH("part",$C85)),UPPER(TRIM($C85))="PT",UPPER(TRIM($C85))="PTE"),"Part-Time",IF(OR(ISNUMBER(SEARCH("cas",$C85)),UPPER(TRIM($C85))="CAS"),"Casual","Unknown"))))="Unknown","EmploymentType not recognised - use Full-Time, Part-Time or Casual. ","")&amp;IF(AND(AG85&gt;=1,IF(AG85&gt;=3,AM85,IF(AG85=2,AL85,AK85))&lt;&gt;IF($C85="","",IF(OR(ISNUMBER(SEARCH("full",$C85)),UPPER(TRIM($C85))="FT",UPPER(TRIM($C85))="FTE"),"Full-Time",IF(OR(ISNUMBER(SEARCH("part",$C85)),UPPER(TRIM($C85))="PT",UPPER(TRIM($C85))="PTE"),"Part-Time",IF(OR(ISNUMBER(SEARCH("cas",$C85)),UPPER(TRIM($C85))="CAS"),"Casual","Unknown"))))),"EmploymentType does not match latest start date ("&amp;IF(AG85&gt;=3,AM85,IF(AG85=2,AL85,AK85))&amp;"). ","")&amp;IF(AND(AG85&gt;=1,AH85&lt;&gt;$F85),"Earliest type date should equal StartDate. ","")&amp;IF(AND(AG85&gt;=2,AH85=AI85),"Two types start on the same date. ","")&amp;IF(AND(OR(ISNUMBER(SEARCH("part",$C85)),UPPER(TRIM($C85))="PT",UPPER(TRIM($C85))="PTE"),$P85=""),"Part-time: enter PT Hrs/Week (blank = 24+). ","")))</f>
        <v/>
      </c>
      <c r="AE85" s="12" t="n">
        <f aca="false">IF(OR(LEN($A85&amp;$B85)=0,$F85=""),0,1)</f>
        <v>0</v>
      </c>
      <c r="AF85" s="10" t="str">
        <f aca="false">IF(AE85=0,"",IF($J85&lt;&gt;"",$J85,$F85))</f>
        <v/>
      </c>
      <c r="AG85" s="12" t="str">
        <f aca="false">IF(AE85=0,"",COUNT($G85:$I85))</f>
        <v/>
      </c>
      <c r="AH85" s="10" t="str">
        <f aca="false">IF(AE85=0,"",IFERROR(SMALL($G85:$I85,1),""))</f>
        <v/>
      </c>
      <c r="AI85" s="10" t="str">
        <f aca="false">IF(AE85=0,"",IFERROR(SMALL($G85:$I85,2),""))</f>
        <v/>
      </c>
      <c r="AJ85" s="10" t="str">
        <f aca="false">IF(AE85=0,"",IFERROR(SMALL($G85:$I85,3),""))</f>
        <v/>
      </c>
      <c r="AK85" s="12" t="str">
        <f aca="false">IF(AE85=0,"",IF(AH85="","",IF(AH85=$G85,"Part-Time",IF(AH85=$H85,"Full-Time","Casual"))))</f>
        <v/>
      </c>
      <c r="AL85" s="12" t="str">
        <f aca="false">IF(AE85=0,"",IF(AI85="","",IF(AI85=$G85,"Part-Time",IF(AI85=$H85,"Full-Time","Casual"))))</f>
        <v/>
      </c>
      <c r="AM85" s="12" t="str">
        <f aca="false">IF(AE85=0,"",IF(AJ85="","",IF(AJ85=$G85,"Part-Time",IF(AJ85=$H85,"Full-Time","Casual"))))</f>
        <v/>
      </c>
      <c r="AN85" s="12" t="str">
        <f aca="false">IF(AE85=0,"",IF(AG85=0,IF(OR(ISNUMBER(SEARCH("full",$C85)),UPPER(TRIM($C85))="FT",UPPER(TRIM($C85))="FTE"),"FT",IF(AND(OR(ISNUMBER(SEARCH("part",$C85)),UPPER(TRIM($C85))="PT",UPPER(TRIM($C85))="PTE"),OR($P85="",N($P85)&gt;=PT_MinHours)),"PT","None")),IF(OR(ISNUMBER(SEARCH("full",AK85)),UPPER(TRIM(AK85))="FT",UPPER(TRIM(AK85))="FTE"),"FT",IF(AND(OR(ISNUMBER(SEARCH("part",AK85)),UPPER(TRIM(AK85))="PT",UPPER(TRIM(AK85))="PTE"),OR($P85="",N($P85)&gt;=PT_MinHours)),"PT","None"))))</f>
        <v/>
      </c>
      <c r="AO85" s="12" t="str">
        <f aca="false">IF(AE85=0,"",IF(AG85&lt;2,"",IF(OR(ISNUMBER(SEARCH("full",AL85)),UPPER(TRIM(AL85))="FT",UPPER(TRIM(AL85))="FTE"),"FT",IF(AND(OR(ISNUMBER(SEARCH("part",AL85)),UPPER(TRIM(AL85))="PT",UPPER(TRIM(AL85))="PTE"),OR($P85="",N($P85)&gt;=PT_MinHours)),"PT","None"))))</f>
        <v/>
      </c>
      <c r="AP85" s="12" t="str">
        <f aca="false">IF(AE85=0,"",IF(AG85&lt;3,"",IF(OR(ISNUMBER(SEARCH("full",AM85)),UPPER(TRIM(AM85))="FT",UPPER(TRIM(AM85))="FTE"),"FT",IF(AND(OR(ISNUMBER(SEARCH("part",AM85)),UPPER(TRIM(AM85))="PT",UPPER(TRIM(AM85))="PTE"),OR($P85="",N($P85)&gt;=PT_MinHours)),"PT","None"))))</f>
        <v/>
      </c>
      <c r="AQ85" s="12" t="str">
        <f aca="false">IF(AE85=0,"",IF(AND(AG85&gt;=3,AJ85&lt;=AsOfDate),AP85,IF(AND(AG85&gt;=2,AI85&lt;=AsOfDate),AO85,AN85)))</f>
        <v/>
      </c>
      <c r="AR85" s="12" t="str">
        <f aca="false">IF(AE85=0,"",IF(AsOfDate&lt;AF85,-1,12*(YEAR(AsOfDate)-YEAR(AF85))+MONTH(AsOfDate)-MONTH(AF85)-IF(DAY(AsOfDate)&lt;MIN(DAY(AF85),DAY(EOMONTH(AsOfDate,0))),1,0)))</f>
        <v/>
      </c>
      <c r="AS85" s="12" t="str">
        <f aca="false">IF(AE85=0,"",IF(OR(AG85&lt;2,AI85&gt;AsOfDate),AR85,IF((AI85-1)&lt;AF85,-1,12*(YEAR((AI85-1))-YEAR(AF85))+MONTH((AI85-1))-MONTH(AF85)-IF(DAY((AI85-1))&lt;MIN(DAY(AF85),DAY(EOMONTH((AI85-1),0))),1,0))))</f>
        <v/>
      </c>
      <c r="AT85" s="12" t="str">
        <f aca="false">IF(AE85=0,"",IF(OR(AG85&lt;3,AJ85&gt;AsOfDate),AR85,IF((AJ85-1)&lt;AF85,-1,12*(YEAR((AJ85-1))-YEAR(AF85))+MONTH((AJ85-1))-MONTH(AF85)-IF(DAY((AJ85-1))&lt;MIN(DAY(AF85),DAY(EOMONTH((AJ85-1),0))),1,0))))</f>
        <v/>
      </c>
      <c r="AU85" s="12" t="str">
        <f aca="false">IF(AE85=0,"",IF(PFYDate&lt;AF85,-1,12*(YEAR(PFYDate)-YEAR(AF85))+MONTH(PFYDate)-MONTH(AF85)-IF(DAY(PFYDate)&lt;MIN(DAY(AF85),DAY(EOMONTH(PFYDate,0))),1,0)))</f>
        <v/>
      </c>
      <c r="AV85" s="12" t="str">
        <f aca="false">IF(AE85=0,"",IF(OR(AG85&lt;2,AI85&gt;PFYDate),AU85,IF((AI85-1)&lt;AF85,-1,12*(YEAR((AI85-1))-YEAR(AF85))+MONTH((AI85-1))-MONTH(AF85)-IF(DAY((AI85-1))&lt;MIN(DAY(AF85),DAY(EOMONTH((AI85-1),0))),1,0))))</f>
        <v/>
      </c>
      <c r="AW85" s="12" t="str">
        <f aca="false">IF(AE85=0,"",IF(OR(AG85&lt;3,AJ85&gt;PFYDate),AU85,IF((AJ85-1)&lt;AF85,-1,12*(YEAR((AJ85-1))-YEAR(AF85))+MONTH((AJ85-1))-MONTH(AF85)-IF(DAY((AJ85-1))&lt;MIN(DAY(AF85),DAY(EOMONTH((AJ85-1),0))),1,0))))</f>
        <v/>
      </c>
      <c r="AX85" s="12" t="str">
        <f aca="false">IF(AE85=0,"",IF(AN85="FT",IF(AS85&lt;FT_First,0,IF(AS85&lt;FT_Y5,1+INT((AS85-FT_First)/FT_Int1),FT_PreY5+FT_PerYear*INT((AS85-FT_Y5)/12)+FT_AnnivDays+INT(MOD(AS85-FT_Y5,12)/FT_Int2))),IF(AN85="PT",IF(AS85&lt;PT_First,0,1+INT((AS85-PT_First)/PT_Int)),0))+IF(AND(AG85&gt;=2,AI85&lt;=AsOfDate),IF(AO85="FT",IF(AT85&lt;FT_First,0,IF(AT85&lt;FT_Y5,1+INT((AT85-FT_First)/FT_Int1),FT_PreY5+FT_PerYear*INT((AT85-FT_Y5)/12)+FT_AnnivDays+INT(MOD(AT85-FT_Y5,12)/FT_Int2))),IF(AO85="PT",IF(AT85&lt;PT_First,0,1+INT((AT85-PT_First)/PT_Int)),0))-IF(AO85="FT",IF(AS85&lt;FT_First,0,IF(AS85&lt;FT_Y5,1+INT((AS85-FT_First)/FT_Int1),FT_PreY5+FT_PerYear*INT((AS85-FT_Y5)/12)+FT_AnnivDays+INT(MOD(AS85-FT_Y5,12)/FT_Int2))),IF(AO85="PT",IF(AS85&lt;PT_First,0,1+INT((AS85-PT_First)/PT_Int)),0)),0)+IF(AND(AG85&gt;=3,AJ85&lt;=AsOfDate),IF(AP85="FT",IF(AR85&lt;FT_First,0,IF(AR85&lt;FT_Y5,1+INT((AR85-FT_First)/FT_Int1),FT_PreY5+FT_PerYear*INT((AR85-FT_Y5)/12)+FT_AnnivDays+INT(MOD(AR85-FT_Y5,12)/FT_Int2))),IF(AP85="PT",IF(AR85&lt;PT_First,0,1+INT((AR85-PT_First)/PT_Int)),0))-IF(AP85="FT",IF(AT85&lt;FT_First,0,IF(AT85&lt;FT_Y5,1+INT((AT85-FT_First)/FT_Int1),FT_PreY5+FT_PerYear*INT((AT85-FT_Y5)/12)+FT_AnnivDays+INT(MOD(AT85-FT_Y5,12)/FT_Int2))),IF(AP85="PT",IF(AT85&lt;PT_First,0,1+INT((AT85-PT_First)/PT_Int)),0)),0))</f>
        <v/>
      </c>
      <c r="AY85" s="12" t="str">
        <f aca="false">IF(AE85=0,"",IF(AN85="FT",IF(AV85&lt;FT_First,0,IF(AV85&lt;FT_Y5,1+INT((AV85-FT_First)/FT_Int1),FT_PreY5+FT_PerYear*INT((AV85-FT_Y5)/12)+FT_AnnivDays+INT(MOD(AV85-FT_Y5,12)/FT_Int2))),IF(AN85="PT",IF(AV85&lt;PT_First,0,1+INT((AV85-PT_First)/PT_Int)),0))+IF(AND(AG85&gt;=2,AI85&lt;=PFYDate),IF(AO85="FT",IF(AW85&lt;FT_First,0,IF(AW85&lt;FT_Y5,1+INT((AW85-FT_First)/FT_Int1),FT_PreY5+FT_PerYear*INT((AW85-FT_Y5)/12)+FT_AnnivDays+INT(MOD(AW85-FT_Y5,12)/FT_Int2))),IF(AO85="PT",IF(AW85&lt;PT_First,0,1+INT((AW85-PT_First)/PT_Int)),0))-IF(AO85="FT",IF(AV85&lt;FT_First,0,IF(AV85&lt;FT_Y5,1+INT((AV85-FT_First)/FT_Int1),FT_PreY5+FT_PerYear*INT((AV85-FT_Y5)/12)+FT_AnnivDays+INT(MOD(AV85-FT_Y5,12)/FT_Int2))),IF(AO85="PT",IF(AV85&lt;PT_First,0,1+INT((AV85-PT_First)/PT_Int)),0)),0)+IF(AND(AG85&gt;=3,AJ85&lt;=PFYDate),IF(AP85="FT",IF(AU85&lt;FT_First,0,IF(AU85&lt;FT_Y5,1+INT((AU85-FT_First)/FT_Int1),FT_PreY5+FT_PerYear*INT((AU85-FT_Y5)/12)+FT_AnnivDays+INT(MOD(AU85-FT_Y5,12)/FT_Int2))),IF(AP85="PT",IF(AU85&lt;PT_First,0,1+INT((AU85-PT_First)/PT_Int)),0))-IF(AP85="FT",IF(AW85&lt;FT_First,0,IF(AW85&lt;FT_Y5,1+INT((AW85-FT_First)/FT_Int1),FT_PreY5+FT_PerYear*INT((AW85-FT_Y5)/12)+FT_AnnivDays+INT(MOD(AW85-FT_Y5,12)/FT_Int2))),IF(AP85="PT",IF(AW85&lt;PT_First,0,1+INT((AW85-PT_First)/PT_Int)),0)),0))</f>
        <v/>
      </c>
      <c r="AZ85" s="12" t="str">
        <f aca="false">IF(AE85=0,"",IF(AQ85="FT",IF(AR85&lt;FT_First,FT_First,IF(AR85&lt;FT_Y5,MIN(FT_Y5,FT_First+FT_Int1*(INT((AR85-FT_First)/FT_Int1)+1)),FT_Y5+12*INT((AR85-FT_Y5)/12)+FT_Int2*(INT(MOD(AR85-FT_Y5,12)/FT_Int2)+1))),IF(AQ85="PT",IF(AR85&lt;PT_First,PT_First,PT_First+PT_Int*(INT((AR85-PT_First)/PT_Int)+1)),"")))</f>
        <v/>
      </c>
      <c r="BA85" s="12" t="str">
        <f aca="false">IF(AE85=0,"",IF(NOT(LH_Ready),0,COUNTIFS(INDEX(LH_Data,0,LH_ColFirst),$A85,INDEX(LH_Data,0,LH_ColSur),$B85,INDEX(LH_Data,0,LH_ColCat),BonusCat)))</f>
        <v/>
      </c>
      <c r="BB85" s="12" t="str">
        <f aca="false">IF(AE85=0,"",IF(OR(NOT(LH_Ready),BA85=0),0,SUMPRODUCT(MAX((INDEX(LH_Data,0,LH_ColFirst)=$A85)*(INDEX(LH_Data,0,LH_ColSur)=$B85)*(INDEX(LH_Data,0,LH_ColCat)=BonusCat)*ROW(LH_Data)))))</f>
        <v/>
      </c>
    </row>
    <row r="86" customFormat="false" ht="15" hidden="false" customHeight="false" outlineLevel="0" collapsed="false">
      <c r="A86" s="15"/>
      <c r="B86" s="15"/>
      <c r="C86" s="15"/>
      <c r="D86" s="16"/>
      <c r="E86" s="10" t="str">
        <f aca="false">IF(OR(AE86=0,$D86=""),"",DATE(YEAR(AsOfDate)+IF(DATE(YEAR(AsOfDate),MONTH($D86),DAY($D86))&lt;=AsOfDate,1,0),MONTH($D86),DAY($D86)))</f>
        <v/>
      </c>
      <c r="F86" s="16"/>
      <c r="G86" s="16"/>
      <c r="H86" s="16"/>
      <c r="I86" s="16"/>
      <c r="J86" s="16"/>
      <c r="K86" s="10" t="str">
        <f aca="false">IF(AE86=0,"",DATE(YEAR(AsOfDate)+IF(DATE(YEAR(AsOfDate),MONTH($F86),DAY($F86))&lt;=AsOfDate,1,0),MONTH($F86),DAY($F86)))</f>
        <v/>
      </c>
      <c r="L86" s="11" t="str">
        <f aca="false">IF(AE86=0,"",ROUND((AsOfDate-$F86)/365.25,1))</f>
        <v/>
      </c>
      <c r="M86" s="12" t="str">
        <f aca="false">IF(AE86=0,"",IF(AsOfDate&lt;AF86,"-",DATEDIF(AF86,AsOfDate,"y")&amp;"y "&amp;DATEDIF(AF86,AsOfDate,"ym")&amp;"m "&amp;DATEDIF(AF86,AsOfDate,"md")&amp;"d"))</f>
        <v/>
      </c>
      <c r="N86" s="13" t="str">
        <f aca="false">IF(AE86=0,"",O86*HoursPerDay)</f>
        <v/>
      </c>
      <c r="O86" s="13" t="str">
        <f aca="false">IF(AE86=0,"",AX86)</f>
        <v/>
      </c>
      <c r="P86" s="17"/>
      <c r="Q86" s="12" t="str">
        <f aca="false">IF(AE86=0,"",IF(AG86&lt;2,"",AK86&amp;" to "&amp;AL86&amp;" on "&amp;TEXT(AI86,"dd/mm/yyyy")&amp;IF(AI86&gt;AsOfDate," (future)",IF(AN86=AO86,"",IF(AO86="None"," - STOPPED accruing",IF(AN86="None"," - now qualifying"," - pathway changed"))))&amp;IF(AG86&lt;3,"","; "&amp;AL86&amp;" to "&amp;AM86&amp;" on "&amp;TEXT(AJ86,"dd/mm/yyyy")&amp;IF(AJ86&gt;AsOfDate," (future)",IF(AO86=AP86,"",IF(AP86="None"," - STOPPED accruing",IF(AO86="None"," - now qualifying"," - pathway changed")))))))</f>
        <v/>
      </c>
      <c r="R86" s="12" t="str">
        <f aca="false">IF(AE86=0,"",IF(AQ86="None",IF(O86&gt;0,"No longer accruing","Not eligible - "&amp;IF(AND(OR(ISNUMBER(SEARCH("part",$C86)),UPPER(TRIM($C86))="PT",UPPER(TRIM($C86))="PTE"),$P86&lt;&gt;"",N($P86)&lt;PT_MinHours),"under "&amp;PT_MinHours&amp;" hrs",IF(IF($C86="","",IF(OR(ISNUMBER(SEARCH("full",$C86)),UPPER(TRIM($C86))="FT",UPPER(TRIM($C86))="FTE"),"Full-Time",IF(OR(ISNUMBER(SEARCH("part",$C86)),UPPER(TRIM($C86))="PT",UPPER(TRIM($C86))="PTE"),"Part-Time",IF(OR(ISNUMBER(SEARCH("cas",$C86)),UPPER(TRIM($C86))="CAS"),"Casual","Unknown"))))="Unknown","type not recognised",$C86))),IF(O86&gt;0,"Yes - accruing","Not yet - from "&amp;TEXT(S86,"dd/mm/yyyy"))))</f>
        <v/>
      </c>
      <c r="S86" s="10" t="str">
        <f aca="false">IF(AE86=0,"",IF(AQ86="None","",EDATE(AF86,AZ86)))</f>
        <v/>
      </c>
      <c r="T86" s="13" t="str">
        <f aca="false">IF(OR(AE86=0,W86=""),"",W86-U86+V86)</f>
        <v/>
      </c>
      <c r="U86" s="13" t="str">
        <f aca="false">IF(AE86=0,"",IF(NOT(LH_Ready),"",SUMIFS(INDEX(LH_Data,0,LH_ColAcc),INDEX(LH_Data,0,LH_ColFirst),$A86,INDEX(LH_Data,0,LH_ColSur),$B86,INDEX(LH_Data,0,LH_ColCat),BonusCat)*UnitFactor))</f>
        <v/>
      </c>
      <c r="V86" s="13" t="str">
        <f aca="false">IF(AE86=0,"",IF(NOT(LH_Ready),"",SUMIFS(INDEX(LH_Data,0,LH_ColTaken),INDEX(LH_Data,0,LH_ColFirst),$A86,INDEX(LH_Data,0,LH_ColSur),$B86,INDEX(LH_Data,0,LH_ColCat),BonusCat)*UnitFactor))</f>
        <v/>
      </c>
      <c r="W86" s="13" t="str">
        <f aca="false">IF(AE86=0,"",IF(NOT(LH_Ready),"",IF(BB86=0,0,INDEX(INDEX(LH_Data,0,LH_ColClose),BB86-1)*UnitFactor)))</f>
        <v/>
      </c>
      <c r="X86" s="13" t="str">
        <f aca="false">IF(AE86=0,"",(AX86-AY86)*HoursPerDay)</f>
        <v/>
      </c>
      <c r="Y86" s="13" t="str">
        <f aca="false">IF(AE86=0,"",IF(NOT(LH_Ready),"",IF(BA86=0,N86,X86-N(U86))))</f>
        <v/>
      </c>
      <c r="Z86" s="12" t="str">
        <f aca="false">IF(OR(AE86=0,Y86=""),"",IF(Y86&gt;0,"Yes","No"))</f>
        <v/>
      </c>
      <c r="AA86" s="12" t="str">
        <f aca="false">IF(AE86=0,IF(LEN($A86&amp;$B86)=0,"","FIX INPUT - StartDate missing"),IF(AD86&lt;&gt;"","FIX INPUT - "&amp;AD86,IF(NOT(LH_Ready),"Paste Leave History export (Settings must show YES)",IF(Y86&gt;0,"ACCRUE "&amp;ROUND(Y86,2)&amp;" hrs ("&amp;ROUND(Y86/HoursPerDay,2)&amp;" days)"&amp;IF(BA86=0," - no Bonus Leave in EH yet, full catch-up since start",""),IF(Y86&lt;0,"CHECK - EH accrued "&amp;ROUND(-Y86,2)&amp;""&amp;" hrs more than policy",IF(O86&gt;0,"OK - nothing to add",IF(AQ86="None",R86,"Not yet - first day on "&amp;TEXT(S86,"dd/mm/yyyy"))))))))</f>
        <v/>
      </c>
      <c r="AB86" s="13" t="str">
        <f aca="false">IF(OR(AE86=0,T86=""),"",AY86*HoursPerDay-T86)</f>
        <v/>
      </c>
      <c r="AC86" s="12" t="str">
        <f aca="false">IF(AE86=0,"",BA86)</f>
        <v/>
      </c>
      <c r="AD86" s="12" t="str">
        <f aca="false">IF(AE86=0,"",TRIM(IF(IF($C86="","",IF(OR(ISNUMBER(SEARCH("full",$C86)),UPPER(TRIM($C86))="FT",UPPER(TRIM($C86))="FTE"),"Full-Time",IF(OR(ISNUMBER(SEARCH("part",$C86)),UPPER(TRIM($C86))="PT",UPPER(TRIM($C86))="PTE"),"Part-Time",IF(OR(ISNUMBER(SEARCH("cas",$C86)),UPPER(TRIM($C86))="CAS"),"Casual","Unknown"))))="Unknown","EmploymentType not recognised - use Full-Time, Part-Time or Casual. ","")&amp;IF(AND(AG86&gt;=1,IF(AG86&gt;=3,AM86,IF(AG86=2,AL86,AK86))&lt;&gt;IF($C86="","",IF(OR(ISNUMBER(SEARCH("full",$C86)),UPPER(TRIM($C86))="FT",UPPER(TRIM($C86))="FTE"),"Full-Time",IF(OR(ISNUMBER(SEARCH("part",$C86)),UPPER(TRIM($C86))="PT",UPPER(TRIM($C86))="PTE"),"Part-Time",IF(OR(ISNUMBER(SEARCH("cas",$C86)),UPPER(TRIM($C86))="CAS"),"Casual","Unknown"))))),"EmploymentType does not match latest start date ("&amp;IF(AG86&gt;=3,AM86,IF(AG86=2,AL86,AK86))&amp;"). ","")&amp;IF(AND(AG86&gt;=1,AH86&lt;&gt;$F86),"Earliest type date should equal StartDate. ","")&amp;IF(AND(AG86&gt;=2,AH86=AI86),"Two types start on the same date. ","")&amp;IF(AND(OR(ISNUMBER(SEARCH("part",$C86)),UPPER(TRIM($C86))="PT",UPPER(TRIM($C86))="PTE"),$P86=""),"Part-time: enter PT Hrs/Week (blank = 24+). ","")))</f>
        <v/>
      </c>
      <c r="AE86" s="12" t="n">
        <f aca="false">IF(OR(LEN($A86&amp;$B86)=0,$F86=""),0,1)</f>
        <v>0</v>
      </c>
      <c r="AF86" s="10" t="str">
        <f aca="false">IF(AE86=0,"",IF($J86&lt;&gt;"",$J86,$F86))</f>
        <v/>
      </c>
      <c r="AG86" s="12" t="str">
        <f aca="false">IF(AE86=0,"",COUNT($G86:$I86))</f>
        <v/>
      </c>
      <c r="AH86" s="10" t="str">
        <f aca="false">IF(AE86=0,"",IFERROR(SMALL($G86:$I86,1),""))</f>
        <v/>
      </c>
      <c r="AI86" s="10" t="str">
        <f aca="false">IF(AE86=0,"",IFERROR(SMALL($G86:$I86,2),""))</f>
        <v/>
      </c>
      <c r="AJ86" s="10" t="str">
        <f aca="false">IF(AE86=0,"",IFERROR(SMALL($G86:$I86,3),""))</f>
        <v/>
      </c>
      <c r="AK86" s="12" t="str">
        <f aca="false">IF(AE86=0,"",IF(AH86="","",IF(AH86=$G86,"Part-Time",IF(AH86=$H86,"Full-Time","Casual"))))</f>
        <v/>
      </c>
      <c r="AL86" s="12" t="str">
        <f aca="false">IF(AE86=0,"",IF(AI86="","",IF(AI86=$G86,"Part-Time",IF(AI86=$H86,"Full-Time","Casual"))))</f>
        <v/>
      </c>
      <c r="AM86" s="12" t="str">
        <f aca="false">IF(AE86=0,"",IF(AJ86="","",IF(AJ86=$G86,"Part-Time",IF(AJ86=$H86,"Full-Time","Casual"))))</f>
        <v/>
      </c>
      <c r="AN86" s="12" t="str">
        <f aca="false">IF(AE86=0,"",IF(AG86=0,IF(OR(ISNUMBER(SEARCH("full",$C86)),UPPER(TRIM($C86))="FT",UPPER(TRIM($C86))="FTE"),"FT",IF(AND(OR(ISNUMBER(SEARCH("part",$C86)),UPPER(TRIM($C86))="PT",UPPER(TRIM($C86))="PTE"),OR($P86="",N($P86)&gt;=PT_MinHours)),"PT","None")),IF(OR(ISNUMBER(SEARCH("full",AK86)),UPPER(TRIM(AK86))="FT",UPPER(TRIM(AK86))="FTE"),"FT",IF(AND(OR(ISNUMBER(SEARCH("part",AK86)),UPPER(TRIM(AK86))="PT",UPPER(TRIM(AK86))="PTE"),OR($P86="",N($P86)&gt;=PT_MinHours)),"PT","None"))))</f>
        <v/>
      </c>
      <c r="AO86" s="12" t="str">
        <f aca="false">IF(AE86=0,"",IF(AG86&lt;2,"",IF(OR(ISNUMBER(SEARCH("full",AL86)),UPPER(TRIM(AL86))="FT",UPPER(TRIM(AL86))="FTE"),"FT",IF(AND(OR(ISNUMBER(SEARCH("part",AL86)),UPPER(TRIM(AL86))="PT",UPPER(TRIM(AL86))="PTE"),OR($P86="",N($P86)&gt;=PT_MinHours)),"PT","None"))))</f>
        <v/>
      </c>
      <c r="AP86" s="12" t="str">
        <f aca="false">IF(AE86=0,"",IF(AG86&lt;3,"",IF(OR(ISNUMBER(SEARCH("full",AM86)),UPPER(TRIM(AM86))="FT",UPPER(TRIM(AM86))="FTE"),"FT",IF(AND(OR(ISNUMBER(SEARCH("part",AM86)),UPPER(TRIM(AM86))="PT",UPPER(TRIM(AM86))="PTE"),OR($P86="",N($P86)&gt;=PT_MinHours)),"PT","None"))))</f>
        <v/>
      </c>
      <c r="AQ86" s="12" t="str">
        <f aca="false">IF(AE86=0,"",IF(AND(AG86&gt;=3,AJ86&lt;=AsOfDate),AP86,IF(AND(AG86&gt;=2,AI86&lt;=AsOfDate),AO86,AN86)))</f>
        <v/>
      </c>
      <c r="AR86" s="12" t="str">
        <f aca="false">IF(AE86=0,"",IF(AsOfDate&lt;AF86,-1,12*(YEAR(AsOfDate)-YEAR(AF86))+MONTH(AsOfDate)-MONTH(AF86)-IF(DAY(AsOfDate)&lt;MIN(DAY(AF86),DAY(EOMONTH(AsOfDate,0))),1,0)))</f>
        <v/>
      </c>
      <c r="AS86" s="12" t="str">
        <f aca="false">IF(AE86=0,"",IF(OR(AG86&lt;2,AI86&gt;AsOfDate),AR86,IF((AI86-1)&lt;AF86,-1,12*(YEAR((AI86-1))-YEAR(AF86))+MONTH((AI86-1))-MONTH(AF86)-IF(DAY((AI86-1))&lt;MIN(DAY(AF86),DAY(EOMONTH((AI86-1),0))),1,0))))</f>
        <v/>
      </c>
      <c r="AT86" s="12" t="str">
        <f aca="false">IF(AE86=0,"",IF(OR(AG86&lt;3,AJ86&gt;AsOfDate),AR86,IF((AJ86-1)&lt;AF86,-1,12*(YEAR((AJ86-1))-YEAR(AF86))+MONTH((AJ86-1))-MONTH(AF86)-IF(DAY((AJ86-1))&lt;MIN(DAY(AF86),DAY(EOMONTH((AJ86-1),0))),1,0))))</f>
        <v/>
      </c>
      <c r="AU86" s="12" t="str">
        <f aca="false">IF(AE86=0,"",IF(PFYDate&lt;AF86,-1,12*(YEAR(PFYDate)-YEAR(AF86))+MONTH(PFYDate)-MONTH(AF86)-IF(DAY(PFYDate)&lt;MIN(DAY(AF86),DAY(EOMONTH(PFYDate,0))),1,0)))</f>
        <v/>
      </c>
      <c r="AV86" s="12" t="str">
        <f aca="false">IF(AE86=0,"",IF(OR(AG86&lt;2,AI86&gt;PFYDate),AU86,IF((AI86-1)&lt;AF86,-1,12*(YEAR((AI86-1))-YEAR(AF86))+MONTH((AI86-1))-MONTH(AF86)-IF(DAY((AI86-1))&lt;MIN(DAY(AF86),DAY(EOMONTH((AI86-1),0))),1,0))))</f>
        <v/>
      </c>
      <c r="AW86" s="12" t="str">
        <f aca="false">IF(AE86=0,"",IF(OR(AG86&lt;3,AJ86&gt;PFYDate),AU86,IF((AJ86-1)&lt;AF86,-1,12*(YEAR((AJ86-1))-YEAR(AF86))+MONTH((AJ86-1))-MONTH(AF86)-IF(DAY((AJ86-1))&lt;MIN(DAY(AF86),DAY(EOMONTH((AJ86-1),0))),1,0))))</f>
        <v/>
      </c>
      <c r="AX86" s="12" t="str">
        <f aca="false">IF(AE86=0,"",IF(AN86="FT",IF(AS86&lt;FT_First,0,IF(AS86&lt;FT_Y5,1+INT((AS86-FT_First)/FT_Int1),FT_PreY5+FT_PerYear*INT((AS86-FT_Y5)/12)+FT_AnnivDays+INT(MOD(AS86-FT_Y5,12)/FT_Int2))),IF(AN86="PT",IF(AS86&lt;PT_First,0,1+INT((AS86-PT_First)/PT_Int)),0))+IF(AND(AG86&gt;=2,AI86&lt;=AsOfDate),IF(AO86="FT",IF(AT86&lt;FT_First,0,IF(AT86&lt;FT_Y5,1+INT((AT86-FT_First)/FT_Int1),FT_PreY5+FT_PerYear*INT((AT86-FT_Y5)/12)+FT_AnnivDays+INT(MOD(AT86-FT_Y5,12)/FT_Int2))),IF(AO86="PT",IF(AT86&lt;PT_First,0,1+INT((AT86-PT_First)/PT_Int)),0))-IF(AO86="FT",IF(AS86&lt;FT_First,0,IF(AS86&lt;FT_Y5,1+INT((AS86-FT_First)/FT_Int1),FT_PreY5+FT_PerYear*INT((AS86-FT_Y5)/12)+FT_AnnivDays+INT(MOD(AS86-FT_Y5,12)/FT_Int2))),IF(AO86="PT",IF(AS86&lt;PT_First,0,1+INT((AS86-PT_First)/PT_Int)),0)),0)+IF(AND(AG86&gt;=3,AJ86&lt;=AsOfDate),IF(AP86="FT",IF(AR86&lt;FT_First,0,IF(AR86&lt;FT_Y5,1+INT((AR86-FT_First)/FT_Int1),FT_PreY5+FT_PerYear*INT((AR86-FT_Y5)/12)+FT_AnnivDays+INT(MOD(AR86-FT_Y5,12)/FT_Int2))),IF(AP86="PT",IF(AR86&lt;PT_First,0,1+INT((AR86-PT_First)/PT_Int)),0))-IF(AP86="FT",IF(AT86&lt;FT_First,0,IF(AT86&lt;FT_Y5,1+INT((AT86-FT_First)/FT_Int1),FT_PreY5+FT_PerYear*INT((AT86-FT_Y5)/12)+FT_AnnivDays+INT(MOD(AT86-FT_Y5,12)/FT_Int2))),IF(AP86="PT",IF(AT86&lt;PT_First,0,1+INT((AT86-PT_First)/PT_Int)),0)),0))</f>
        <v/>
      </c>
      <c r="AY86" s="12" t="str">
        <f aca="false">IF(AE86=0,"",IF(AN86="FT",IF(AV86&lt;FT_First,0,IF(AV86&lt;FT_Y5,1+INT((AV86-FT_First)/FT_Int1),FT_PreY5+FT_PerYear*INT((AV86-FT_Y5)/12)+FT_AnnivDays+INT(MOD(AV86-FT_Y5,12)/FT_Int2))),IF(AN86="PT",IF(AV86&lt;PT_First,0,1+INT((AV86-PT_First)/PT_Int)),0))+IF(AND(AG86&gt;=2,AI86&lt;=PFYDate),IF(AO86="FT",IF(AW86&lt;FT_First,0,IF(AW86&lt;FT_Y5,1+INT((AW86-FT_First)/FT_Int1),FT_PreY5+FT_PerYear*INT((AW86-FT_Y5)/12)+FT_AnnivDays+INT(MOD(AW86-FT_Y5,12)/FT_Int2))),IF(AO86="PT",IF(AW86&lt;PT_First,0,1+INT((AW86-PT_First)/PT_Int)),0))-IF(AO86="FT",IF(AV86&lt;FT_First,0,IF(AV86&lt;FT_Y5,1+INT((AV86-FT_First)/FT_Int1),FT_PreY5+FT_PerYear*INT((AV86-FT_Y5)/12)+FT_AnnivDays+INT(MOD(AV86-FT_Y5,12)/FT_Int2))),IF(AO86="PT",IF(AV86&lt;PT_First,0,1+INT((AV86-PT_First)/PT_Int)),0)),0)+IF(AND(AG86&gt;=3,AJ86&lt;=PFYDate),IF(AP86="FT",IF(AU86&lt;FT_First,0,IF(AU86&lt;FT_Y5,1+INT((AU86-FT_First)/FT_Int1),FT_PreY5+FT_PerYear*INT((AU86-FT_Y5)/12)+FT_AnnivDays+INT(MOD(AU86-FT_Y5,12)/FT_Int2))),IF(AP86="PT",IF(AU86&lt;PT_First,0,1+INT((AU86-PT_First)/PT_Int)),0))-IF(AP86="FT",IF(AW86&lt;FT_First,0,IF(AW86&lt;FT_Y5,1+INT((AW86-FT_First)/FT_Int1),FT_PreY5+FT_PerYear*INT((AW86-FT_Y5)/12)+FT_AnnivDays+INT(MOD(AW86-FT_Y5,12)/FT_Int2))),IF(AP86="PT",IF(AW86&lt;PT_First,0,1+INT((AW86-PT_First)/PT_Int)),0)),0))</f>
        <v/>
      </c>
      <c r="AZ86" s="12" t="str">
        <f aca="false">IF(AE86=0,"",IF(AQ86="FT",IF(AR86&lt;FT_First,FT_First,IF(AR86&lt;FT_Y5,MIN(FT_Y5,FT_First+FT_Int1*(INT((AR86-FT_First)/FT_Int1)+1)),FT_Y5+12*INT((AR86-FT_Y5)/12)+FT_Int2*(INT(MOD(AR86-FT_Y5,12)/FT_Int2)+1))),IF(AQ86="PT",IF(AR86&lt;PT_First,PT_First,PT_First+PT_Int*(INT((AR86-PT_First)/PT_Int)+1)),"")))</f>
        <v/>
      </c>
      <c r="BA86" s="12" t="str">
        <f aca="false">IF(AE86=0,"",IF(NOT(LH_Ready),0,COUNTIFS(INDEX(LH_Data,0,LH_ColFirst),$A86,INDEX(LH_Data,0,LH_ColSur),$B86,INDEX(LH_Data,0,LH_ColCat),BonusCat)))</f>
        <v/>
      </c>
      <c r="BB86" s="12" t="str">
        <f aca="false">IF(AE86=0,"",IF(OR(NOT(LH_Ready),BA86=0),0,SUMPRODUCT(MAX((INDEX(LH_Data,0,LH_ColFirst)=$A86)*(INDEX(LH_Data,0,LH_ColSur)=$B86)*(INDEX(LH_Data,0,LH_ColCat)=BonusCat)*ROW(LH_Data)))))</f>
        <v/>
      </c>
    </row>
    <row r="87" customFormat="false" ht="15" hidden="false" customHeight="false" outlineLevel="0" collapsed="false">
      <c r="A87" s="15"/>
      <c r="B87" s="15"/>
      <c r="C87" s="15"/>
      <c r="D87" s="16"/>
      <c r="E87" s="10" t="str">
        <f aca="false">IF(OR(AE87=0,$D87=""),"",DATE(YEAR(AsOfDate)+IF(DATE(YEAR(AsOfDate),MONTH($D87),DAY($D87))&lt;=AsOfDate,1,0),MONTH($D87),DAY($D87)))</f>
        <v/>
      </c>
      <c r="F87" s="16"/>
      <c r="G87" s="16"/>
      <c r="H87" s="16"/>
      <c r="I87" s="16"/>
      <c r="J87" s="16"/>
      <c r="K87" s="10" t="str">
        <f aca="false">IF(AE87=0,"",DATE(YEAR(AsOfDate)+IF(DATE(YEAR(AsOfDate),MONTH($F87),DAY($F87))&lt;=AsOfDate,1,0),MONTH($F87),DAY($F87)))</f>
        <v/>
      </c>
      <c r="L87" s="11" t="str">
        <f aca="false">IF(AE87=0,"",ROUND((AsOfDate-$F87)/365.25,1))</f>
        <v/>
      </c>
      <c r="M87" s="12" t="str">
        <f aca="false">IF(AE87=0,"",IF(AsOfDate&lt;AF87,"-",DATEDIF(AF87,AsOfDate,"y")&amp;"y "&amp;DATEDIF(AF87,AsOfDate,"ym")&amp;"m "&amp;DATEDIF(AF87,AsOfDate,"md")&amp;"d"))</f>
        <v/>
      </c>
      <c r="N87" s="13" t="str">
        <f aca="false">IF(AE87=0,"",O87*HoursPerDay)</f>
        <v/>
      </c>
      <c r="O87" s="13" t="str">
        <f aca="false">IF(AE87=0,"",AX87)</f>
        <v/>
      </c>
      <c r="P87" s="17"/>
      <c r="Q87" s="12" t="str">
        <f aca="false">IF(AE87=0,"",IF(AG87&lt;2,"",AK87&amp;" to "&amp;AL87&amp;" on "&amp;TEXT(AI87,"dd/mm/yyyy")&amp;IF(AI87&gt;AsOfDate," (future)",IF(AN87=AO87,"",IF(AO87="None"," - STOPPED accruing",IF(AN87="None"," - now qualifying"," - pathway changed"))))&amp;IF(AG87&lt;3,"","; "&amp;AL87&amp;" to "&amp;AM87&amp;" on "&amp;TEXT(AJ87,"dd/mm/yyyy")&amp;IF(AJ87&gt;AsOfDate," (future)",IF(AO87=AP87,"",IF(AP87="None"," - STOPPED accruing",IF(AO87="None"," - now qualifying"," - pathway changed")))))))</f>
        <v/>
      </c>
      <c r="R87" s="12" t="str">
        <f aca="false">IF(AE87=0,"",IF(AQ87="None",IF(O87&gt;0,"No longer accruing","Not eligible - "&amp;IF(AND(OR(ISNUMBER(SEARCH("part",$C87)),UPPER(TRIM($C87))="PT",UPPER(TRIM($C87))="PTE"),$P87&lt;&gt;"",N($P87)&lt;PT_MinHours),"under "&amp;PT_MinHours&amp;" hrs",IF(IF($C87="","",IF(OR(ISNUMBER(SEARCH("full",$C87)),UPPER(TRIM($C87))="FT",UPPER(TRIM($C87))="FTE"),"Full-Time",IF(OR(ISNUMBER(SEARCH("part",$C87)),UPPER(TRIM($C87))="PT",UPPER(TRIM($C87))="PTE"),"Part-Time",IF(OR(ISNUMBER(SEARCH("cas",$C87)),UPPER(TRIM($C87))="CAS"),"Casual","Unknown"))))="Unknown","type not recognised",$C87))),IF(O87&gt;0,"Yes - accruing","Not yet - from "&amp;TEXT(S87,"dd/mm/yyyy"))))</f>
        <v/>
      </c>
      <c r="S87" s="10" t="str">
        <f aca="false">IF(AE87=0,"",IF(AQ87="None","",EDATE(AF87,AZ87)))</f>
        <v/>
      </c>
      <c r="T87" s="13" t="str">
        <f aca="false">IF(OR(AE87=0,W87=""),"",W87-U87+V87)</f>
        <v/>
      </c>
      <c r="U87" s="13" t="str">
        <f aca="false">IF(AE87=0,"",IF(NOT(LH_Ready),"",SUMIFS(INDEX(LH_Data,0,LH_ColAcc),INDEX(LH_Data,0,LH_ColFirst),$A87,INDEX(LH_Data,0,LH_ColSur),$B87,INDEX(LH_Data,0,LH_ColCat),BonusCat)*UnitFactor))</f>
        <v/>
      </c>
      <c r="V87" s="13" t="str">
        <f aca="false">IF(AE87=0,"",IF(NOT(LH_Ready),"",SUMIFS(INDEX(LH_Data,0,LH_ColTaken),INDEX(LH_Data,0,LH_ColFirst),$A87,INDEX(LH_Data,0,LH_ColSur),$B87,INDEX(LH_Data,0,LH_ColCat),BonusCat)*UnitFactor))</f>
        <v/>
      </c>
      <c r="W87" s="13" t="str">
        <f aca="false">IF(AE87=0,"",IF(NOT(LH_Ready),"",IF(BB87=0,0,INDEX(INDEX(LH_Data,0,LH_ColClose),BB87-1)*UnitFactor)))</f>
        <v/>
      </c>
      <c r="X87" s="13" t="str">
        <f aca="false">IF(AE87=0,"",(AX87-AY87)*HoursPerDay)</f>
        <v/>
      </c>
      <c r="Y87" s="13" t="str">
        <f aca="false">IF(AE87=0,"",IF(NOT(LH_Ready),"",IF(BA87=0,N87,X87-N(U87))))</f>
        <v/>
      </c>
      <c r="Z87" s="12" t="str">
        <f aca="false">IF(OR(AE87=0,Y87=""),"",IF(Y87&gt;0,"Yes","No"))</f>
        <v/>
      </c>
      <c r="AA87" s="12" t="str">
        <f aca="false">IF(AE87=0,IF(LEN($A87&amp;$B87)=0,"","FIX INPUT - StartDate missing"),IF(AD87&lt;&gt;"","FIX INPUT - "&amp;AD87,IF(NOT(LH_Ready),"Paste Leave History export (Settings must show YES)",IF(Y87&gt;0,"ACCRUE "&amp;ROUND(Y87,2)&amp;" hrs ("&amp;ROUND(Y87/HoursPerDay,2)&amp;" days)"&amp;IF(BA87=0," - no Bonus Leave in EH yet, full catch-up since start",""),IF(Y87&lt;0,"CHECK - EH accrued "&amp;ROUND(-Y87,2)&amp;""&amp;" hrs more than policy",IF(O87&gt;0,"OK - nothing to add",IF(AQ87="None",R87,"Not yet - first day on "&amp;TEXT(S87,"dd/mm/yyyy"))))))))</f>
        <v/>
      </c>
      <c r="AB87" s="13" t="str">
        <f aca="false">IF(OR(AE87=0,T87=""),"",AY87*HoursPerDay-T87)</f>
        <v/>
      </c>
      <c r="AC87" s="12" t="str">
        <f aca="false">IF(AE87=0,"",BA87)</f>
        <v/>
      </c>
      <c r="AD87" s="12" t="str">
        <f aca="false">IF(AE87=0,"",TRIM(IF(IF($C87="","",IF(OR(ISNUMBER(SEARCH("full",$C87)),UPPER(TRIM($C87))="FT",UPPER(TRIM($C87))="FTE"),"Full-Time",IF(OR(ISNUMBER(SEARCH("part",$C87)),UPPER(TRIM($C87))="PT",UPPER(TRIM($C87))="PTE"),"Part-Time",IF(OR(ISNUMBER(SEARCH("cas",$C87)),UPPER(TRIM($C87))="CAS"),"Casual","Unknown"))))="Unknown","EmploymentType not recognised - use Full-Time, Part-Time or Casual. ","")&amp;IF(AND(AG87&gt;=1,IF(AG87&gt;=3,AM87,IF(AG87=2,AL87,AK87))&lt;&gt;IF($C87="","",IF(OR(ISNUMBER(SEARCH("full",$C87)),UPPER(TRIM($C87))="FT",UPPER(TRIM($C87))="FTE"),"Full-Time",IF(OR(ISNUMBER(SEARCH("part",$C87)),UPPER(TRIM($C87))="PT",UPPER(TRIM($C87))="PTE"),"Part-Time",IF(OR(ISNUMBER(SEARCH("cas",$C87)),UPPER(TRIM($C87))="CAS"),"Casual","Unknown"))))),"EmploymentType does not match latest start date ("&amp;IF(AG87&gt;=3,AM87,IF(AG87=2,AL87,AK87))&amp;"). ","")&amp;IF(AND(AG87&gt;=1,AH87&lt;&gt;$F87),"Earliest type date should equal StartDate. ","")&amp;IF(AND(AG87&gt;=2,AH87=AI87),"Two types start on the same date. ","")&amp;IF(AND(OR(ISNUMBER(SEARCH("part",$C87)),UPPER(TRIM($C87))="PT",UPPER(TRIM($C87))="PTE"),$P87=""),"Part-time: enter PT Hrs/Week (blank = 24+). ","")))</f>
        <v/>
      </c>
      <c r="AE87" s="12" t="n">
        <f aca="false">IF(OR(LEN($A87&amp;$B87)=0,$F87=""),0,1)</f>
        <v>0</v>
      </c>
      <c r="AF87" s="10" t="str">
        <f aca="false">IF(AE87=0,"",IF($J87&lt;&gt;"",$J87,$F87))</f>
        <v/>
      </c>
      <c r="AG87" s="12" t="str">
        <f aca="false">IF(AE87=0,"",COUNT($G87:$I87))</f>
        <v/>
      </c>
      <c r="AH87" s="10" t="str">
        <f aca="false">IF(AE87=0,"",IFERROR(SMALL($G87:$I87,1),""))</f>
        <v/>
      </c>
      <c r="AI87" s="10" t="str">
        <f aca="false">IF(AE87=0,"",IFERROR(SMALL($G87:$I87,2),""))</f>
        <v/>
      </c>
      <c r="AJ87" s="10" t="str">
        <f aca="false">IF(AE87=0,"",IFERROR(SMALL($G87:$I87,3),""))</f>
        <v/>
      </c>
      <c r="AK87" s="12" t="str">
        <f aca="false">IF(AE87=0,"",IF(AH87="","",IF(AH87=$G87,"Part-Time",IF(AH87=$H87,"Full-Time","Casual"))))</f>
        <v/>
      </c>
      <c r="AL87" s="12" t="str">
        <f aca="false">IF(AE87=0,"",IF(AI87="","",IF(AI87=$G87,"Part-Time",IF(AI87=$H87,"Full-Time","Casual"))))</f>
        <v/>
      </c>
      <c r="AM87" s="12" t="str">
        <f aca="false">IF(AE87=0,"",IF(AJ87="","",IF(AJ87=$G87,"Part-Time",IF(AJ87=$H87,"Full-Time","Casual"))))</f>
        <v/>
      </c>
      <c r="AN87" s="12" t="str">
        <f aca="false">IF(AE87=0,"",IF(AG87=0,IF(OR(ISNUMBER(SEARCH("full",$C87)),UPPER(TRIM($C87))="FT",UPPER(TRIM($C87))="FTE"),"FT",IF(AND(OR(ISNUMBER(SEARCH("part",$C87)),UPPER(TRIM($C87))="PT",UPPER(TRIM($C87))="PTE"),OR($P87="",N($P87)&gt;=PT_MinHours)),"PT","None")),IF(OR(ISNUMBER(SEARCH("full",AK87)),UPPER(TRIM(AK87))="FT",UPPER(TRIM(AK87))="FTE"),"FT",IF(AND(OR(ISNUMBER(SEARCH("part",AK87)),UPPER(TRIM(AK87))="PT",UPPER(TRIM(AK87))="PTE"),OR($P87="",N($P87)&gt;=PT_MinHours)),"PT","None"))))</f>
        <v/>
      </c>
      <c r="AO87" s="12" t="str">
        <f aca="false">IF(AE87=0,"",IF(AG87&lt;2,"",IF(OR(ISNUMBER(SEARCH("full",AL87)),UPPER(TRIM(AL87))="FT",UPPER(TRIM(AL87))="FTE"),"FT",IF(AND(OR(ISNUMBER(SEARCH("part",AL87)),UPPER(TRIM(AL87))="PT",UPPER(TRIM(AL87))="PTE"),OR($P87="",N($P87)&gt;=PT_MinHours)),"PT","None"))))</f>
        <v/>
      </c>
      <c r="AP87" s="12" t="str">
        <f aca="false">IF(AE87=0,"",IF(AG87&lt;3,"",IF(OR(ISNUMBER(SEARCH("full",AM87)),UPPER(TRIM(AM87))="FT",UPPER(TRIM(AM87))="FTE"),"FT",IF(AND(OR(ISNUMBER(SEARCH("part",AM87)),UPPER(TRIM(AM87))="PT",UPPER(TRIM(AM87))="PTE"),OR($P87="",N($P87)&gt;=PT_MinHours)),"PT","None"))))</f>
        <v/>
      </c>
      <c r="AQ87" s="12" t="str">
        <f aca="false">IF(AE87=0,"",IF(AND(AG87&gt;=3,AJ87&lt;=AsOfDate),AP87,IF(AND(AG87&gt;=2,AI87&lt;=AsOfDate),AO87,AN87)))</f>
        <v/>
      </c>
      <c r="AR87" s="12" t="str">
        <f aca="false">IF(AE87=0,"",IF(AsOfDate&lt;AF87,-1,12*(YEAR(AsOfDate)-YEAR(AF87))+MONTH(AsOfDate)-MONTH(AF87)-IF(DAY(AsOfDate)&lt;MIN(DAY(AF87),DAY(EOMONTH(AsOfDate,0))),1,0)))</f>
        <v/>
      </c>
      <c r="AS87" s="12" t="str">
        <f aca="false">IF(AE87=0,"",IF(OR(AG87&lt;2,AI87&gt;AsOfDate),AR87,IF((AI87-1)&lt;AF87,-1,12*(YEAR((AI87-1))-YEAR(AF87))+MONTH((AI87-1))-MONTH(AF87)-IF(DAY((AI87-1))&lt;MIN(DAY(AF87),DAY(EOMONTH((AI87-1),0))),1,0))))</f>
        <v/>
      </c>
      <c r="AT87" s="12" t="str">
        <f aca="false">IF(AE87=0,"",IF(OR(AG87&lt;3,AJ87&gt;AsOfDate),AR87,IF((AJ87-1)&lt;AF87,-1,12*(YEAR((AJ87-1))-YEAR(AF87))+MONTH((AJ87-1))-MONTH(AF87)-IF(DAY((AJ87-1))&lt;MIN(DAY(AF87),DAY(EOMONTH((AJ87-1),0))),1,0))))</f>
        <v/>
      </c>
      <c r="AU87" s="12" t="str">
        <f aca="false">IF(AE87=0,"",IF(PFYDate&lt;AF87,-1,12*(YEAR(PFYDate)-YEAR(AF87))+MONTH(PFYDate)-MONTH(AF87)-IF(DAY(PFYDate)&lt;MIN(DAY(AF87),DAY(EOMONTH(PFYDate,0))),1,0)))</f>
        <v/>
      </c>
      <c r="AV87" s="12" t="str">
        <f aca="false">IF(AE87=0,"",IF(OR(AG87&lt;2,AI87&gt;PFYDate),AU87,IF((AI87-1)&lt;AF87,-1,12*(YEAR((AI87-1))-YEAR(AF87))+MONTH((AI87-1))-MONTH(AF87)-IF(DAY((AI87-1))&lt;MIN(DAY(AF87),DAY(EOMONTH((AI87-1),0))),1,0))))</f>
        <v/>
      </c>
      <c r="AW87" s="12" t="str">
        <f aca="false">IF(AE87=0,"",IF(OR(AG87&lt;3,AJ87&gt;PFYDate),AU87,IF((AJ87-1)&lt;AF87,-1,12*(YEAR((AJ87-1))-YEAR(AF87))+MONTH((AJ87-1))-MONTH(AF87)-IF(DAY((AJ87-1))&lt;MIN(DAY(AF87),DAY(EOMONTH((AJ87-1),0))),1,0))))</f>
        <v/>
      </c>
      <c r="AX87" s="12" t="str">
        <f aca="false">IF(AE87=0,"",IF(AN87="FT",IF(AS87&lt;FT_First,0,IF(AS87&lt;FT_Y5,1+INT((AS87-FT_First)/FT_Int1),FT_PreY5+FT_PerYear*INT((AS87-FT_Y5)/12)+FT_AnnivDays+INT(MOD(AS87-FT_Y5,12)/FT_Int2))),IF(AN87="PT",IF(AS87&lt;PT_First,0,1+INT((AS87-PT_First)/PT_Int)),0))+IF(AND(AG87&gt;=2,AI87&lt;=AsOfDate),IF(AO87="FT",IF(AT87&lt;FT_First,0,IF(AT87&lt;FT_Y5,1+INT((AT87-FT_First)/FT_Int1),FT_PreY5+FT_PerYear*INT((AT87-FT_Y5)/12)+FT_AnnivDays+INT(MOD(AT87-FT_Y5,12)/FT_Int2))),IF(AO87="PT",IF(AT87&lt;PT_First,0,1+INT((AT87-PT_First)/PT_Int)),0))-IF(AO87="FT",IF(AS87&lt;FT_First,0,IF(AS87&lt;FT_Y5,1+INT((AS87-FT_First)/FT_Int1),FT_PreY5+FT_PerYear*INT((AS87-FT_Y5)/12)+FT_AnnivDays+INT(MOD(AS87-FT_Y5,12)/FT_Int2))),IF(AO87="PT",IF(AS87&lt;PT_First,0,1+INT((AS87-PT_First)/PT_Int)),0)),0)+IF(AND(AG87&gt;=3,AJ87&lt;=AsOfDate),IF(AP87="FT",IF(AR87&lt;FT_First,0,IF(AR87&lt;FT_Y5,1+INT((AR87-FT_First)/FT_Int1),FT_PreY5+FT_PerYear*INT((AR87-FT_Y5)/12)+FT_AnnivDays+INT(MOD(AR87-FT_Y5,12)/FT_Int2))),IF(AP87="PT",IF(AR87&lt;PT_First,0,1+INT((AR87-PT_First)/PT_Int)),0))-IF(AP87="FT",IF(AT87&lt;FT_First,0,IF(AT87&lt;FT_Y5,1+INT((AT87-FT_First)/FT_Int1),FT_PreY5+FT_PerYear*INT((AT87-FT_Y5)/12)+FT_AnnivDays+INT(MOD(AT87-FT_Y5,12)/FT_Int2))),IF(AP87="PT",IF(AT87&lt;PT_First,0,1+INT((AT87-PT_First)/PT_Int)),0)),0))</f>
        <v/>
      </c>
      <c r="AY87" s="12" t="str">
        <f aca="false">IF(AE87=0,"",IF(AN87="FT",IF(AV87&lt;FT_First,0,IF(AV87&lt;FT_Y5,1+INT((AV87-FT_First)/FT_Int1),FT_PreY5+FT_PerYear*INT((AV87-FT_Y5)/12)+FT_AnnivDays+INT(MOD(AV87-FT_Y5,12)/FT_Int2))),IF(AN87="PT",IF(AV87&lt;PT_First,0,1+INT((AV87-PT_First)/PT_Int)),0))+IF(AND(AG87&gt;=2,AI87&lt;=PFYDate),IF(AO87="FT",IF(AW87&lt;FT_First,0,IF(AW87&lt;FT_Y5,1+INT((AW87-FT_First)/FT_Int1),FT_PreY5+FT_PerYear*INT((AW87-FT_Y5)/12)+FT_AnnivDays+INT(MOD(AW87-FT_Y5,12)/FT_Int2))),IF(AO87="PT",IF(AW87&lt;PT_First,0,1+INT((AW87-PT_First)/PT_Int)),0))-IF(AO87="FT",IF(AV87&lt;FT_First,0,IF(AV87&lt;FT_Y5,1+INT((AV87-FT_First)/FT_Int1),FT_PreY5+FT_PerYear*INT((AV87-FT_Y5)/12)+FT_AnnivDays+INT(MOD(AV87-FT_Y5,12)/FT_Int2))),IF(AO87="PT",IF(AV87&lt;PT_First,0,1+INT((AV87-PT_First)/PT_Int)),0)),0)+IF(AND(AG87&gt;=3,AJ87&lt;=PFYDate),IF(AP87="FT",IF(AU87&lt;FT_First,0,IF(AU87&lt;FT_Y5,1+INT((AU87-FT_First)/FT_Int1),FT_PreY5+FT_PerYear*INT((AU87-FT_Y5)/12)+FT_AnnivDays+INT(MOD(AU87-FT_Y5,12)/FT_Int2))),IF(AP87="PT",IF(AU87&lt;PT_First,0,1+INT((AU87-PT_First)/PT_Int)),0))-IF(AP87="FT",IF(AW87&lt;FT_First,0,IF(AW87&lt;FT_Y5,1+INT((AW87-FT_First)/FT_Int1),FT_PreY5+FT_PerYear*INT((AW87-FT_Y5)/12)+FT_AnnivDays+INT(MOD(AW87-FT_Y5,12)/FT_Int2))),IF(AP87="PT",IF(AW87&lt;PT_First,0,1+INT((AW87-PT_First)/PT_Int)),0)),0))</f>
        <v/>
      </c>
      <c r="AZ87" s="12" t="str">
        <f aca="false">IF(AE87=0,"",IF(AQ87="FT",IF(AR87&lt;FT_First,FT_First,IF(AR87&lt;FT_Y5,MIN(FT_Y5,FT_First+FT_Int1*(INT((AR87-FT_First)/FT_Int1)+1)),FT_Y5+12*INT((AR87-FT_Y5)/12)+FT_Int2*(INT(MOD(AR87-FT_Y5,12)/FT_Int2)+1))),IF(AQ87="PT",IF(AR87&lt;PT_First,PT_First,PT_First+PT_Int*(INT((AR87-PT_First)/PT_Int)+1)),"")))</f>
        <v/>
      </c>
      <c r="BA87" s="12" t="str">
        <f aca="false">IF(AE87=0,"",IF(NOT(LH_Ready),0,COUNTIFS(INDEX(LH_Data,0,LH_ColFirst),$A87,INDEX(LH_Data,0,LH_ColSur),$B87,INDEX(LH_Data,0,LH_ColCat),BonusCat)))</f>
        <v/>
      </c>
      <c r="BB87" s="12" t="str">
        <f aca="false">IF(AE87=0,"",IF(OR(NOT(LH_Ready),BA87=0),0,SUMPRODUCT(MAX((INDEX(LH_Data,0,LH_ColFirst)=$A87)*(INDEX(LH_Data,0,LH_ColSur)=$B87)*(INDEX(LH_Data,0,LH_ColCat)=BonusCat)*ROW(LH_Data)))))</f>
        <v/>
      </c>
    </row>
    <row r="88" customFormat="false" ht="15" hidden="false" customHeight="false" outlineLevel="0" collapsed="false">
      <c r="A88" s="15"/>
      <c r="B88" s="15"/>
      <c r="C88" s="15"/>
      <c r="D88" s="16"/>
      <c r="E88" s="10" t="str">
        <f aca="false">IF(OR(AE88=0,$D88=""),"",DATE(YEAR(AsOfDate)+IF(DATE(YEAR(AsOfDate),MONTH($D88),DAY($D88))&lt;=AsOfDate,1,0),MONTH($D88),DAY($D88)))</f>
        <v/>
      </c>
      <c r="F88" s="16"/>
      <c r="G88" s="16"/>
      <c r="H88" s="16"/>
      <c r="I88" s="16"/>
      <c r="J88" s="16"/>
      <c r="K88" s="10" t="str">
        <f aca="false">IF(AE88=0,"",DATE(YEAR(AsOfDate)+IF(DATE(YEAR(AsOfDate),MONTH($F88),DAY($F88))&lt;=AsOfDate,1,0),MONTH($F88),DAY($F88)))</f>
        <v/>
      </c>
      <c r="L88" s="11" t="str">
        <f aca="false">IF(AE88=0,"",ROUND((AsOfDate-$F88)/365.25,1))</f>
        <v/>
      </c>
      <c r="M88" s="12" t="str">
        <f aca="false">IF(AE88=0,"",IF(AsOfDate&lt;AF88,"-",DATEDIF(AF88,AsOfDate,"y")&amp;"y "&amp;DATEDIF(AF88,AsOfDate,"ym")&amp;"m "&amp;DATEDIF(AF88,AsOfDate,"md")&amp;"d"))</f>
        <v/>
      </c>
      <c r="N88" s="13" t="str">
        <f aca="false">IF(AE88=0,"",O88*HoursPerDay)</f>
        <v/>
      </c>
      <c r="O88" s="13" t="str">
        <f aca="false">IF(AE88=0,"",AX88)</f>
        <v/>
      </c>
      <c r="P88" s="17"/>
      <c r="Q88" s="12" t="str">
        <f aca="false">IF(AE88=0,"",IF(AG88&lt;2,"",AK88&amp;" to "&amp;AL88&amp;" on "&amp;TEXT(AI88,"dd/mm/yyyy")&amp;IF(AI88&gt;AsOfDate," (future)",IF(AN88=AO88,"",IF(AO88="None"," - STOPPED accruing",IF(AN88="None"," - now qualifying"," - pathway changed"))))&amp;IF(AG88&lt;3,"","; "&amp;AL88&amp;" to "&amp;AM88&amp;" on "&amp;TEXT(AJ88,"dd/mm/yyyy")&amp;IF(AJ88&gt;AsOfDate," (future)",IF(AO88=AP88,"",IF(AP88="None"," - STOPPED accruing",IF(AO88="None"," - now qualifying"," - pathway changed")))))))</f>
        <v/>
      </c>
      <c r="R88" s="12" t="str">
        <f aca="false">IF(AE88=0,"",IF(AQ88="None",IF(O88&gt;0,"No longer accruing","Not eligible - "&amp;IF(AND(OR(ISNUMBER(SEARCH("part",$C88)),UPPER(TRIM($C88))="PT",UPPER(TRIM($C88))="PTE"),$P88&lt;&gt;"",N($P88)&lt;PT_MinHours),"under "&amp;PT_MinHours&amp;" hrs",IF(IF($C88="","",IF(OR(ISNUMBER(SEARCH("full",$C88)),UPPER(TRIM($C88))="FT",UPPER(TRIM($C88))="FTE"),"Full-Time",IF(OR(ISNUMBER(SEARCH("part",$C88)),UPPER(TRIM($C88))="PT",UPPER(TRIM($C88))="PTE"),"Part-Time",IF(OR(ISNUMBER(SEARCH("cas",$C88)),UPPER(TRIM($C88))="CAS"),"Casual","Unknown"))))="Unknown","type not recognised",$C88))),IF(O88&gt;0,"Yes - accruing","Not yet - from "&amp;TEXT(S88,"dd/mm/yyyy"))))</f>
        <v/>
      </c>
      <c r="S88" s="10" t="str">
        <f aca="false">IF(AE88=0,"",IF(AQ88="None","",EDATE(AF88,AZ88)))</f>
        <v/>
      </c>
      <c r="T88" s="13" t="str">
        <f aca="false">IF(OR(AE88=0,W88=""),"",W88-U88+V88)</f>
        <v/>
      </c>
      <c r="U88" s="13" t="str">
        <f aca="false">IF(AE88=0,"",IF(NOT(LH_Ready),"",SUMIFS(INDEX(LH_Data,0,LH_ColAcc),INDEX(LH_Data,0,LH_ColFirst),$A88,INDEX(LH_Data,0,LH_ColSur),$B88,INDEX(LH_Data,0,LH_ColCat),BonusCat)*UnitFactor))</f>
        <v/>
      </c>
      <c r="V88" s="13" t="str">
        <f aca="false">IF(AE88=0,"",IF(NOT(LH_Ready),"",SUMIFS(INDEX(LH_Data,0,LH_ColTaken),INDEX(LH_Data,0,LH_ColFirst),$A88,INDEX(LH_Data,0,LH_ColSur),$B88,INDEX(LH_Data,0,LH_ColCat),BonusCat)*UnitFactor))</f>
        <v/>
      </c>
      <c r="W88" s="13" t="str">
        <f aca="false">IF(AE88=0,"",IF(NOT(LH_Ready),"",IF(BB88=0,0,INDEX(INDEX(LH_Data,0,LH_ColClose),BB88-1)*UnitFactor)))</f>
        <v/>
      </c>
      <c r="X88" s="13" t="str">
        <f aca="false">IF(AE88=0,"",(AX88-AY88)*HoursPerDay)</f>
        <v/>
      </c>
      <c r="Y88" s="13" t="str">
        <f aca="false">IF(AE88=0,"",IF(NOT(LH_Ready),"",IF(BA88=0,N88,X88-N(U88))))</f>
        <v/>
      </c>
      <c r="Z88" s="12" t="str">
        <f aca="false">IF(OR(AE88=0,Y88=""),"",IF(Y88&gt;0,"Yes","No"))</f>
        <v/>
      </c>
      <c r="AA88" s="12" t="str">
        <f aca="false">IF(AE88=0,IF(LEN($A88&amp;$B88)=0,"","FIX INPUT - StartDate missing"),IF(AD88&lt;&gt;"","FIX INPUT - "&amp;AD88,IF(NOT(LH_Ready),"Paste Leave History export (Settings must show YES)",IF(Y88&gt;0,"ACCRUE "&amp;ROUND(Y88,2)&amp;" hrs ("&amp;ROUND(Y88/HoursPerDay,2)&amp;" days)"&amp;IF(BA88=0," - no Bonus Leave in EH yet, full catch-up since start",""),IF(Y88&lt;0,"CHECK - EH accrued "&amp;ROUND(-Y88,2)&amp;""&amp;" hrs more than policy",IF(O88&gt;0,"OK - nothing to add",IF(AQ88="None",R88,"Not yet - first day on "&amp;TEXT(S88,"dd/mm/yyyy"))))))))</f>
        <v/>
      </c>
      <c r="AB88" s="13" t="str">
        <f aca="false">IF(OR(AE88=0,T88=""),"",AY88*HoursPerDay-T88)</f>
        <v/>
      </c>
      <c r="AC88" s="12" t="str">
        <f aca="false">IF(AE88=0,"",BA88)</f>
        <v/>
      </c>
      <c r="AD88" s="12" t="str">
        <f aca="false">IF(AE88=0,"",TRIM(IF(IF($C88="","",IF(OR(ISNUMBER(SEARCH("full",$C88)),UPPER(TRIM($C88))="FT",UPPER(TRIM($C88))="FTE"),"Full-Time",IF(OR(ISNUMBER(SEARCH("part",$C88)),UPPER(TRIM($C88))="PT",UPPER(TRIM($C88))="PTE"),"Part-Time",IF(OR(ISNUMBER(SEARCH("cas",$C88)),UPPER(TRIM($C88))="CAS"),"Casual","Unknown"))))="Unknown","EmploymentType not recognised - use Full-Time, Part-Time or Casual. ","")&amp;IF(AND(AG88&gt;=1,IF(AG88&gt;=3,AM88,IF(AG88=2,AL88,AK88))&lt;&gt;IF($C88="","",IF(OR(ISNUMBER(SEARCH("full",$C88)),UPPER(TRIM($C88))="FT",UPPER(TRIM($C88))="FTE"),"Full-Time",IF(OR(ISNUMBER(SEARCH("part",$C88)),UPPER(TRIM($C88))="PT",UPPER(TRIM($C88))="PTE"),"Part-Time",IF(OR(ISNUMBER(SEARCH("cas",$C88)),UPPER(TRIM($C88))="CAS"),"Casual","Unknown"))))),"EmploymentType does not match latest start date ("&amp;IF(AG88&gt;=3,AM88,IF(AG88=2,AL88,AK88))&amp;"). ","")&amp;IF(AND(AG88&gt;=1,AH88&lt;&gt;$F88),"Earliest type date should equal StartDate. ","")&amp;IF(AND(AG88&gt;=2,AH88=AI88),"Two types start on the same date. ","")&amp;IF(AND(OR(ISNUMBER(SEARCH("part",$C88)),UPPER(TRIM($C88))="PT",UPPER(TRIM($C88))="PTE"),$P88=""),"Part-time: enter PT Hrs/Week (blank = 24+). ","")))</f>
        <v/>
      </c>
      <c r="AE88" s="12" t="n">
        <f aca="false">IF(OR(LEN($A88&amp;$B88)=0,$F88=""),0,1)</f>
        <v>0</v>
      </c>
      <c r="AF88" s="10" t="str">
        <f aca="false">IF(AE88=0,"",IF($J88&lt;&gt;"",$J88,$F88))</f>
        <v/>
      </c>
      <c r="AG88" s="12" t="str">
        <f aca="false">IF(AE88=0,"",COUNT($G88:$I88))</f>
        <v/>
      </c>
      <c r="AH88" s="10" t="str">
        <f aca="false">IF(AE88=0,"",IFERROR(SMALL($G88:$I88,1),""))</f>
        <v/>
      </c>
      <c r="AI88" s="10" t="str">
        <f aca="false">IF(AE88=0,"",IFERROR(SMALL($G88:$I88,2),""))</f>
        <v/>
      </c>
      <c r="AJ88" s="10" t="str">
        <f aca="false">IF(AE88=0,"",IFERROR(SMALL($G88:$I88,3),""))</f>
        <v/>
      </c>
      <c r="AK88" s="12" t="str">
        <f aca="false">IF(AE88=0,"",IF(AH88="","",IF(AH88=$G88,"Part-Time",IF(AH88=$H88,"Full-Time","Casual"))))</f>
        <v/>
      </c>
      <c r="AL88" s="12" t="str">
        <f aca="false">IF(AE88=0,"",IF(AI88="","",IF(AI88=$G88,"Part-Time",IF(AI88=$H88,"Full-Time","Casual"))))</f>
        <v/>
      </c>
      <c r="AM88" s="12" t="str">
        <f aca="false">IF(AE88=0,"",IF(AJ88="","",IF(AJ88=$G88,"Part-Time",IF(AJ88=$H88,"Full-Time","Casual"))))</f>
        <v/>
      </c>
      <c r="AN88" s="12" t="str">
        <f aca="false">IF(AE88=0,"",IF(AG88=0,IF(OR(ISNUMBER(SEARCH("full",$C88)),UPPER(TRIM($C88))="FT",UPPER(TRIM($C88))="FTE"),"FT",IF(AND(OR(ISNUMBER(SEARCH("part",$C88)),UPPER(TRIM($C88))="PT",UPPER(TRIM($C88))="PTE"),OR($P88="",N($P88)&gt;=PT_MinHours)),"PT","None")),IF(OR(ISNUMBER(SEARCH("full",AK88)),UPPER(TRIM(AK88))="FT",UPPER(TRIM(AK88))="FTE"),"FT",IF(AND(OR(ISNUMBER(SEARCH("part",AK88)),UPPER(TRIM(AK88))="PT",UPPER(TRIM(AK88))="PTE"),OR($P88="",N($P88)&gt;=PT_MinHours)),"PT","None"))))</f>
        <v/>
      </c>
      <c r="AO88" s="12" t="str">
        <f aca="false">IF(AE88=0,"",IF(AG88&lt;2,"",IF(OR(ISNUMBER(SEARCH("full",AL88)),UPPER(TRIM(AL88))="FT",UPPER(TRIM(AL88))="FTE"),"FT",IF(AND(OR(ISNUMBER(SEARCH("part",AL88)),UPPER(TRIM(AL88))="PT",UPPER(TRIM(AL88))="PTE"),OR($P88="",N($P88)&gt;=PT_MinHours)),"PT","None"))))</f>
        <v/>
      </c>
      <c r="AP88" s="12" t="str">
        <f aca="false">IF(AE88=0,"",IF(AG88&lt;3,"",IF(OR(ISNUMBER(SEARCH("full",AM88)),UPPER(TRIM(AM88))="FT",UPPER(TRIM(AM88))="FTE"),"FT",IF(AND(OR(ISNUMBER(SEARCH("part",AM88)),UPPER(TRIM(AM88))="PT",UPPER(TRIM(AM88))="PTE"),OR($P88="",N($P88)&gt;=PT_MinHours)),"PT","None"))))</f>
        <v/>
      </c>
      <c r="AQ88" s="12" t="str">
        <f aca="false">IF(AE88=0,"",IF(AND(AG88&gt;=3,AJ88&lt;=AsOfDate),AP88,IF(AND(AG88&gt;=2,AI88&lt;=AsOfDate),AO88,AN88)))</f>
        <v/>
      </c>
      <c r="AR88" s="12" t="str">
        <f aca="false">IF(AE88=0,"",IF(AsOfDate&lt;AF88,-1,12*(YEAR(AsOfDate)-YEAR(AF88))+MONTH(AsOfDate)-MONTH(AF88)-IF(DAY(AsOfDate)&lt;MIN(DAY(AF88),DAY(EOMONTH(AsOfDate,0))),1,0)))</f>
        <v/>
      </c>
      <c r="AS88" s="12" t="str">
        <f aca="false">IF(AE88=0,"",IF(OR(AG88&lt;2,AI88&gt;AsOfDate),AR88,IF((AI88-1)&lt;AF88,-1,12*(YEAR((AI88-1))-YEAR(AF88))+MONTH((AI88-1))-MONTH(AF88)-IF(DAY((AI88-1))&lt;MIN(DAY(AF88),DAY(EOMONTH((AI88-1),0))),1,0))))</f>
        <v/>
      </c>
      <c r="AT88" s="12" t="str">
        <f aca="false">IF(AE88=0,"",IF(OR(AG88&lt;3,AJ88&gt;AsOfDate),AR88,IF((AJ88-1)&lt;AF88,-1,12*(YEAR((AJ88-1))-YEAR(AF88))+MONTH((AJ88-1))-MONTH(AF88)-IF(DAY((AJ88-1))&lt;MIN(DAY(AF88),DAY(EOMONTH((AJ88-1),0))),1,0))))</f>
        <v/>
      </c>
      <c r="AU88" s="12" t="str">
        <f aca="false">IF(AE88=0,"",IF(PFYDate&lt;AF88,-1,12*(YEAR(PFYDate)-YEAR(AF88))+MONTH(PFYDate)-MONTH(AF88)-IF(DAY(PFYDate)&lt;MIN(DAY(AF88),DAY(EOMONTH(PFYDate,0))),1,0)))</f>
        <v/>
      </c>
      <c r="AV88" s="12" t="str">
        <f aca="false">IF(AE88=0,"",IF(OR(AG88&lt;2,AI88&gt;PFYDate),AU88,IF((AI88-1)&lt;AF88,-1,12*(YEAR((AI88-1))-YEAR(AF88))+MONTH((AI88-1))-MONTH(AF88)-IF(DAY((AI88-1))&lt;MIN(DAY(AF88),DAY(EOMONTH((AI88-1),0))),1,0))))</f>
        <v/>
      </c>
      <c r="AW88" s="12" t="str">
        <f aca="false">IF(AE88=0,"",IF(OR(AG88&lt;3,AJ88&gt;PFYDate),AU88,IF((AJ88-1)&lt;AF88,-1,12*(YEAR((AJ88-1))-YEAR(AF88))+MONTH((AJ88-1))-MONTH(AF88)-IF(DAY((AJ88-1))&lt;MIN(DAY(AF88),DAY(EOMONTH((AJ88-1),0))),1,0))))</f>
        <v/>
      </c>
      <c r="AX88" s="12" t="str">
        <f aca="false">IF(AE88=0,"",IF(AN88="FT",IF(AS88&lt;FT_First,0,IF(AS88&lt;FT_Y5,1+INT((AS88-FT_First)/FT_Int1),FT_PreY5+FT_PerYear*INT((AS88-FT_Y5)/12)+FT_AnnivDays+INT(MOD(AS88-FT_Y5,12)/FT_Int2))),IF(AN88="PT",IF(AS88&lt;PT_First,0,1+INT((AS88-PT_First)/PT_Int)),0))+IF(AND(AG88&gt;=2,AI88&lt;=AsOfDate),IF(AO88="FT",IF(AT88&lt;FT_First,0,IF(AT88&lt;FT_Y5,1+INT((AT88-FT_First)/FT_Int1),FT_PreY5+FT_PerYear*INT((AT88-FT_Y5)/12)+FT_AnnivDays+INT(MOD(AT88-FT_Y5,12)/FT_Int2))),IF(AO88="PT",IF(AT88&lt;PT_First,0,1+INT((AT88-PT_First)/PT_Int)),0))-IF(AO88="FT",IF(AS88&lt;FT_First,0,IF(AS88&lt;FT_Y5,1+INT((AS88-FT_First)/FT_Int1),FT_PreY5+FT_PerYear*INT((AS88-FT_Y5)/12)+FT_AnnivDays+INT(MOD(AS88-FT_Y5,12)/FT_Int2))),IF(AO88="PT",IF(AS88&lt;PT_First,0,1+INT((AS88-PT_First)/PT_Int)),0)),0)+IF(AND(AG88&gt;=3,AJ88&lt;=AsOfDate),IF(AP88="FT",IF(AR88&lt;FT_First,0,IF(AR88&lt;FT_Y5,1+INT((AR88-FT_First)/FT_Int1),FT_PreY5+FT_PerYear*INT((AR88-FT_Y5)/12)+FT_AnnivDays+INT(MOD(AR88-FT_Y5,12)/FT_Int2))),IF(AP88="PT",IF(AR88&lt;PT_First,0,1+INT((AR88-PT_First)/PT_Int)),0))-IF(AP88="FT",IF(AT88&lt;FT_First,0,IF(AT88&lt;FT_Y5,1+INT((AT88-FT_First)/FT_Int1),FT_PreY5+FT_PerYear*INT((AT88-FT_Y5)/12)+FT_AnnivDays+INT(MOD(AT88-FT_Y5,12)/FT_Int2))),IF(AP88="PT",IF(AT88&lt;PT_First,0,1+INT((AT88-PT_First)/PT_Int)),0)),0))</f>
        <v/>
      </c>
      <c r="AY88" s="12" t="str">
        <f aca="false">IF(AE88=0,"",IF(AN88="FT",IF(AV88&lt;FT_First,0,IF(AV88&lt;FT_Y5,1+INT((AV88-FT_First)/FT_Int1),FT_PreY5+FT_PerYear*INT((AV88-FT_Y5)/12)+FT_AnnivDays+INT(MOD(AV88-FT_Y5,12)/FT_Int2))),IF(AN88="PT",IF(AV88&lt;PT_First,0,1+INT((AV88-PT_First)/PT_Int)),0))+IF(AND(AG88&gt;=2,AI88&lt;=PFYDate),IF(AO88="FT",IF(AW88&lt;FT_First,0,IF(AW88&lt;FT_Y5,1+INT((AW88-FT_First)/FT_Int1),FT_PreY5+FT_PerYear*INT((AW88-FT_Y5)/12)+FT_AnnivDays+INT(MOD(AW88-FT_Y5,12)/FT_Int2))),IF(AO88="PT",IF(AW88&lt;PT_First,0,1+INT((AW88-PT_First)/PT_Int)),0))-IF(AO88="FT",IF(AV88&lt;FT_First,0,IF(AV88&lt;FT_Y5,1+INT((AV88-FT_First)/FT_Int1),FT_PreY5+FT_PerYear*INT((AV88-FT_Y5)/12)+FT_AnnivDays+INT(MOD(AV88-FT_Y5,12)/FT_Int2))),IF(AO88="PT",IF(AV88&lt;PT_First,0,1+INT((AV88-PT_First)/PT_Int)),0)),0)+IF(AND(AG88&gt;=3,AJ88&lt;=PFYDate),IF(AP88="FT",IF(AU88&lt;FT_First,0,IF(AU88&lt;FT_Y5,1+INT((AU88-FT_First)/FT_Int1),FT_PreY5+FT_PerYear*INT((AU88-FT_Y5)/12)+FT_AnnivDays+INT(MOD(AU88-FT_Y5,12)/FT_Int2))),IF(AP88="PT",IF(AU88&lt;PT_First,0,1+INT((AU88-PT_First)/PT_Int)),0))-IF(AP88="FT",IF(AW88&lt;FT_First,0,IF(AW88&lt;FT_Y5,1+INT((AW88-FT_First)/FT_Int1),FT_PreY5+FT_PerYear*INT((AW88-FT_Y5)/12)+FT_AnnivDays+INT(MOD(AW88-FT_Y5,12)/FT_Int2))),IF(AP88="PT",IF(AW88&lt;PT_First,0,1+INT((AW88-PT_First)/PT_Int)),0)),0))</f>
        <v/>
      </c>
      <c r="AZ88" s="12" t="str">
        <f aca="false">IF(AE88=0,"",IF(AQ88="FT",IF(AR88&lt;FT_First,FT_First,IF(AR88&lt;FT_Y5,MIN(FT_Y5,FT_First+FT_Int1*(INT((AR88-FT_First)/FT_Int1)+1)),FT_Y5+12*INT((AR88-FT_Y5)/12)+FT_Int2*(INT(MOD(AR88-FT_Y5,12)/FT_Int2)+1))),IF(AQ88="PT",IF(AR88&lt;PT_First,PT_First,PT_First+PT_Int*(INT((AR88-PT_First)/PT_Int)+1)),"")))</f>
        <v/>
      </c>
      <c r="BA88" s="12" t="str">
        <f aca="false">IF(AE88=0,"",IF(NOT(LH_Ready),0,COUNTIFS(INDEX(LH_Data,0,LH_ColFirst),$A88,INDEX(LH_Data,0,LH_ColSur),$B88,INDEX(LH_Data,0,LH_ColCat),BonusCat)))</f>
        <v/>
      </c>
      <c r="BB88" s="12" t="str">
        <f aca="false">IF(AE88=0,"",IF(OR(NOT(LH_Ready),BA88=0),0,SUMPRODUCT(MAX((INDEX(LH_Data,0,LH_ColFirst)=$A88)*(INDEX(LH_Data,0,LH_ColSur)=$B88)*(INDEX(LH_Data,0,LH_ColCat)=BonusCat)*ROW(LH_Data)))))</f>
        <v/>
      </c>
    </row>
    <row r="89" customFormat="false" ht="15" hidden="false" customHeight="false" outlineLevel="0" collapsed="false">
      <c r="A89" s="15"/>
      <c r="B89" s="15"/>
      <c r="C89" s="15"/>
      <c r="D89" s="16"/>
      <c r="E89" s="10" t="str">
        <f aca="false">IF(OR(AE89=0,$D89=""),"",DATE(YEAR(AsOfDate)+IF(DATE(YEAR(AsOfDate),MONTH($D89),DAY($D89))&lt;=AsOfDate,1,0),MONTH($D89),DAY($D89)))</f>
        <v/>
      </c>
      <c r="F89" s="16"/>
      <c r="G89" s="16"/>
      <c r="H89" s="16"/>
      <c r="I89" s="16"/>
      <c r="J89" s="16"/>
      <c r="K89" s="10" t="str">
        <f aca="false">IF(AE89=0,"",DATE(YEAR(AsOfDate)+IF(DATE(YEAR(AsOfDate),MONTH($F89),DAY($F89))&lt;=AsOfDate,1,0),MONTH($F89),DAY($F89)))</f>
        <v/>
      </c>
      <c r="L89" s="11" t="str">
        <f aca="false">IF(AE89=0,"",ROUND((AsOfDate-$F89)/365.25,1))</f>
        <v/>
      </c>
      <c r="M89" s="12" t="str">
        <f aca="false">IF(AE89=0,"",IF(AsOfDate&lt;AF89,"-",DATEDIF(AF89,AsOfDate,"y")&amp;"y "&amp;DATEDIF(AF89,AsOfDate,"ym")&amp;"m "&amp;DATEDIF(AF89,AsOfDate,"md")&amp;"d"))</f>
        <v/>
      </c>
      <c r="N89" s="13" t="str">
        <f aca="false">IF(AE89=0,"",O89*HoursPerDay)</f>
        <v/>
      </c>
      <c r="O89" s="13" t="str">
        <f aca="false">IF(AE89=0,"",AX89)</f>
        <v/>
      </c>
      <c r="P89" s="17"/>
      <c r="Q89" s="12" t="str">
        <f aca="false">IF(AE89=0,"",IF(AG89&lt;2,"",AK89&amp;" to "&amp;AL89&amp;" on "&amp;TEXT(AI89,"dd/mm/yyyy")&amp;IF(AI89&gt;AsOfDate," (future)",IF(AN89=AO89,"",IF(AO89="None"," - STOPPED accruing",IF(AN89="None"," - now qualifying"," - pathway changed"))))&amp;IF(AG89&lt;3,"","; "&amp;AL89&amp;" to "&amp;AM89&amp;" on "&amp;TEXT(AJ89,"dd/mm/yyyy")&amp;IF(AJ89&gt;AsOfDate," (future)",IF(AO89=AP89,"",IF(AP89="None"," - STOPPED accruing",IF(AO89="None"," - now qualifying"," - pathway changed")))))))</f>
        <v/>
      </c>
      <c r="R89" s="12" t="str">
        <f aca="false">IF(AE89=0,"",IF(AQ89="None",IF(O89&gt;0,"No longer accruing","Not eligible - "&amp;IF(AND(OR(ISNUMBER(SEARCH("part",$C89)),UPPER(TRIM($C89))="PT",UPPER(TRIM($C89))="PTE"),$P89&lt;&gt;"",N($P89)&lt;PT_MinHours),"under "&amp;PT_MinHours&amp;" hrs",IF(IF($C89="","",IF(OR(ISNUMBER(SEARCH("full",$C89)),UPPER(TRIM($C89))="FT",UPPER(TRIM($C89))="FTE"),"Full-Time",IF(OR(ISNUMBER(SEARCH("part",$C89)),UPPER(TRIM($C89))="PT",UPPER(TRIM($C89))="PTE"),"Part-Time",IF(OR(ISNUMBER(SEARCH("cas",$C89)),UPPER(TRIM($C89))="CAS"),"Casual","Unknown"))))="Unknown","type not recognised",$C89))),IF(O89&gt;0,"Yes - accruing","Not yet - from "&amp;TEXT(S89,"dd/mm/yyyy"))))</f>
        <v/>
      </c>
      <c r="S89" s="10" t="str">
        <f aca="false">IF(AE89=0,"",IF(AQ89="None","",EDATE(AF89,AZ89)))</f>
        <v/>
      </c>
      <c r="T89" s="13" t="str">
        <f aca="false">IF(OR(AE89=0,W89=""),"",W89-U89+V89)</f>
        <v/>
      </c>
      <c r="U89" s="13" t="str">
        <f aca="false">IF(AE89=0,"",IF(NOT(LH_Ready),"",SUMIFS(INDEX(LH_Data,0,LH_ColAcc),INDEX(LH_Data,0,LH_ColFirst),$A89,INDEX(LH_Data,0,LH_ColSur),$B89,INDEX(LH_Data,0,LH_ColCat),BonusCat)*UnitFactor))</f>
        <v/>
      </c>
      <c r="V89" s="13" t="str">
        <f aca="false">IF(AE89=0,"",IF(NOT(LH_Ready),"",SUMIFS(INDEX(LH_Data,0,LH_ColTaken),INDEX(LH_Data,0,LH_ColFirst),$A89,INDEX(LH_Data,0,LH_ColSur),$B89,INDEX(LH_Data,0,LH_ColCat),BonusCat)*UnitFactor))</f>
        <v/>
      </c>
      <c r="W89" s="13" t="str">
        <f aca="false">IF(AE89=0,"",IF(NOT(LH_Ready),"",IF(BB89=0,0,INDEX(INDEX(LH_Data,0,LH_ColClose),BB89-1)*UnitFactor)))</f>
        <v/>
      </c>
      <c r="X89" s="13" t="str">
        <f aca="false">IF(AE89=0,"",(AX89-AY89)*HoursPerDay)</f>
        <v/>
      </c>
      <c r="Y89" s="13" t="str">
        <f aca="false">IF(AE89=0,"",IF(NOT(LH_Ready),"",IF(BA89=0,N89,X89-N(U89))))</f>
        <v/>
      </c>
      <c r="Z89" s="12" t="str">
        <f aca="false">IF(OR(AE89=0,Y89=""),"",IF(Y89&gt;0,"Yes","No"))</f>
        <v/>
      </c>
      <c r="AA89" s="12" t="str">
        <f aca="false">IF(AE89=0,IF(LEN($A89&amp;$B89)=0,"","FIX INPUT - StartDate missing"),IF(AD89&lt;&gt;"","FIX INPUT - "&amp;AD89,IF(NOT(LH_Ready),"Paste Leave History export (Settings must show YES)",IF(Y89&gt;0,"ACCRUE "&amp;ROUND(Y89,2)&amp;" hrs ("&amp;ROUND(Y89/HoursPerDay,2)&amp;" days)"&amp;IF(BA89=0," - no Bonus Leave in EH yet, full catch-up since start",""),IF(Y89&lt;0,"CHECK - EH accrued "&amp;ROUND(-Y89,2)&amp;""&amp;" hrs more than policy",IF(O89&gt;0,"OK - nothing to add",IF(AQ89="None",R89,"Not yet - first day on "&amp;TEXT(S89,"dd/mm/yyyy"))))))))</f>
        <v/>
      </c>
      <c r="AB89" s="13" t="str">
        <f aca="false">IF(OR(AE89=0,T89=""),"",AY89*HoursPerDay-T89)</f>
        <v/>
      </c>
      <c r="AC89" s="12" t="str">
        <f aca="false">IF(AE89=0,"",BA89)</f>
        <v/>
      </c>
      <c r="AD89" s="12" t="str">
        <f aca="false">IF(AE89=0,"",TRIM(IF(IF($C89="","",IF(OR(ISNUMBER(SEARCH("full",$C89)),UPPER(TRIM($C89))="FT",UPPER(TRIM($C89))="FTE"),"Full-Time",IF(OR(ISNUMBER(SEARCH("part",$C89)),UPPER(TRIM($C89))="PT",UPPER(TRIM($C89))="PTE"),"Part-Time",IF(OR(ISNUMBER(SEARCH("cas",$C89)),UPPER(TRIM($C89))="CAS"),"Casual","Unknown"))))="Unknown","EmploymentType not recognised - use Full-Time, Part-Time or Casual. ","")&amp;IF(AND(AG89&gt;=1,IF(AG89&gt;=3,AM89,IF(AG89=2,AL89,AK89))&lt;&gt;IF($C89="","",IF(OR(ISNUMBER(SEARCH("full",$C89)),UPPER(TRIM($C89))="FT",UPPER(TRIM($C89))="FTE"),"Full-Time",IF(OR(ISNUMBER(SEARCH("part",$C89)),UPPER(TRIM($C89))="PT",UPPER(TRIM($C89))="PTE"),"Part-Time",IF(OR(ISNUMBER(SEARCH("cas",$C89)),UPPER(TRIM($C89))="CAS"),"Casual","Unknown"))))),"EmploymentType does not match latest start date ("&amp;IF(AG89&gt;=3,AM89,IF(AG89=2,AL89,AK89))&amp;"). ","")&amp;IF(AND(AG89&gt;=1,AH89&lt;&gt;$F89),"Earliest type date should equal StartDate. ","")&amp;IF(AND(AG89&gt;=2,AH89=AI89),"Two types start on the same date. ","")&amp;IF(AND(OR(ISNUMBER(SEARCH("part",$C89)),UPPER(TRIM($C89))="PT",UPPER(TRIM($C89))="PTE"),$P89=""),"Part-time: enter PT Hrs/Week (blank = 24+). ","")))</f>
        <v/>
      </c>
      <c r="AE89" s="12" t="n">
        <f aca="false">IF(OR(LEN($A89&amp;$B89)=0,$F89=""),0,1)</f>
        <v>0</v>
      </c>
      <c r="AF89" s="10" t="str">
        <f aca="false">IF(AE89=0,"",IF($J89&lt;&gt;"",$J89,$F89))</f>
        <v/>
      </c>
      <c r="AG89" s="12" t="str">
        <f aca="false">IF(AE89=0,"",COUNT($G89:$I89))</f>
        <v/>
      </c>
      <c r="AH89" s="10" t="str">
        <f aca="false">IF(AE89=0,"",IFERROR(SMALL($G89:$I89,1),""))</f>
        <v/>
      </c>
      <c r="AI89" s="10" t="str">
        <f aca="false">IF(AE89=0,"",IFERROR(SMALL($G89:$I89,2),""))</f>
        <v/>
      </c>
      <c r="AJ89" s="10" t="str">
        <f aca="false">IF(AE89=0,"",IFERROR(SMALL($G89:$I89,3),""))</f>
        <v/>
      </c>
      <c r="AK89" s="12" t="str">
        <f aca="false">IF(AE89=0,"",IF(AH89="","",IF(AH89=$G89,"Part-Time",IF(AH89=$H89,"Full-Time","Casual"))))</f>
        <v/>
      </c>
      <c r="AL89" s="12" t="str">
        <f aca="false">IF(AE89=0,"",IF(AI89="","",IF(AI89=$G89,"Part-Time",IF(AI89=$H89,"Full-Time","Casual"))))</f>
        <v/>
      </c>
      <c r="AM89" s="12" t="str">
        <f aca="false">IF(AE89=0,"",IF(AJ89="","",IF(AJ89=$G89,"Part-Time",IF(AJ89=$H89,"Full-Time","Casual"))))</f>
        <v/>
      </c>
      <c r="AN89" s="12" t="str">
        <f aca="false">IF(AE89=0,"",IF(AG89=0,IF(OR(ISNUMBER(SEARCH("full",$C89)),UPPER(TRIM($C89))="FT",UPPER(TRIM($C89))="FTE"),"FT",IF(AND(OR(ISNUMBER(SEARCH("part",$C89)),UPPER(TRIM($C89))="PT",UPPER(TRIM($C89))="PTE"),OR($P89="",N($P89)&gt;=PT_MinHours)),"PT","None")),IF(OR(ISNUMBER(SEARCH("full",AK89)),UPPER(TRIM(AK89))="FT",UPPER(TRIM(AK89))="FTE"),"FT",IF(AND(OR(ISNUMBER(SEARCH("part",AK89)),UPPER(TRIM(AK89))="PT",UPPER(TRIM(AK89))="PTE"),OR($P89="",N($P89)&gt;=PT_MinHours)),"PT","None"))))</f>
        <v/>
      </c>
      <c r="AO89" s="12" t="str">
        <f aca="false">IF(AE89=0,"",IF(AG89&lt;2,"",IF(OR(ISNUMBER(SEARCH("full",AL89)),UPPER(TRIM(AL89))="FT",UPPER(TRIM(AL89))="FTE"),"FT",IF(AND(OR(ISNUMBER(SEARCH("part",AL89)),UPPER(TRIM(AL89))="PT",UPPER(TRIM(AL89))="PTE"),OR($P89="",N($P89)&gt;=PT_MinHours)),"PT","None"))))</f>
        <v/>
      </c>
      <c r="AP89" s="12" t="str">
        <f aca="false">IF(AE89=0,"",IF(AG89&lt;3,"",IF(OR(ISNUMBER(SEARCH("full",AM89)),UPPER(TRIM(AM89))="FT",UPPER(TRIM(AM89))="FTE"),"FT",IF(AND(OR(ISNUMBER(SEARCH("part",AM89)),UPPER(TRIM(AM89))="PT",UPPER(TRIM(AM89))="PTE"),OR($P89="",N($P89)&gt;=PT_MinHours)),"PT","None"))))</f>
        <v/>
      </c>
      <c r="AQ89" s="12" t="str">
        <f aca="false">IF(AE89=0,"",IF(AND(AG89&gt;=3,AJ89&lt;=AsOfDate),AP89,IF(AND(AG89&gt;=2,AI89&lt;=AsOfDate),AO89,AN89)))</f>
        <v/>
      </c>
      <c r="AR89" s="12" t="str">
        <f aca="false">IF(AE89=0,"",IF(AsOfDate&lt;AF89,-1,12*(YEAR(AsOfDate)-YEAR(AF89))+MONTH(AsOfDate)-MONTH(AF89)-IF(DAY(AsOfDate)&lt;MIN(DAY(AF89),DAY(EOMONTH(AsOfDate,0))),1,0)))</f>
        <v/>
      </c>
      <c r="AS89" s="12" t="str">
        <f aca="false">IF(AE89=0,"",IF(OR(AG89&lt;2,AI89&gt;AsOfDate),AR89,IF((AI89-1)&lt;AF89,-1,12*(YEAR((AI89-1))-YEAR(AF89))+MONTH((AI89-1))-MONTH(AF89)-IF(DAY((AI89-1))&lt;MIN(DAY(AF89),DAY(EOMONTH((AI89-1),0))),1,0))))</f>
        <v/>
      </c>
      <c r="AT89" s="12" t="str">
        <f aca="false">IF(AE89=0,"",IF(OR(AG89&lt;3,AJ89&gt;AsOfDate),AR89,IF((AJ89-1)&lt;AF89,-1,12*(YEAR((AJ89-1))-YEAR(AF89))+MONTH((AJ89-1))-MONTH(AF89)-IF(DAY((AJ89-1))&lt;MIN(DAY(AF89),DAY(EOMONTH((AJ89-1),0))),1,0))))</f>
        <v/>
      </c>
      <c r="AU89" s="12" t="str">
        <f aca="false">IF(AE89=0,"",IF(PFYDate&lt;AF89,-1,12*(YEAR(PFYDate)-YEAR(AF89))+MONTH(PFYDate)-MONTH(AF89)-IF(DAY(PFYDate)&lt;MIN(DAY(AF89),DAY(EOMONTH(PFYDate,0))),1,0)))</f>
        <v/>
      </c>
      <c r="AV89" s="12" t="str">
        <f aca="false">IF(AE89=0,"",IF(OR(AG89&lt;2,AI89&gt;PFYDate),AU89,IF((AI89-1)&lt;AF89,-1,12*(YEAR((AI89-1))-YEAR(AF89))+MONTH((AI89-1))-MONTH(AF89)-IF(DAY((AI89-1))&lt;MIN(DAY(AF89),DAY(EOMONTH((AI89-1),0))),1,0))))</f>
        <v/>
      </c>
      <c r="AW89" s="12" t="str">
        <f aca="false">IF(AE89=0,"",IF(OR(AG89&lt;3,AJ89&gt;PFYDate),AU89,IF((AJ89-1)&lt;AF89,-1,12*(YEAR((AJ89-1))-YEAR(AF89))+MONTH((AJ89-1))-MONTH(AF89)-IF(DAY((AJ89-1))&lt;MIN(DAY(AF89),DAY(EOMONTH((AJ89-1),0))),1,0))))</f>
        <v/>
      </c>
      <c r="AX89" s="12" t="str">
        <f aca="false">IF(AE89=0,"",IF(AN89="FT",IF(AS89&lt;FT_First,0,IF(AS89&lt;FT_Y5,1+INT((AS89-FT_First)/FT_Int1),FT_PreY5+FT_PerYear*INT((AS89-FT_Y5)/12)+FT_AnnivDays+INT(MOD(AS89-FT_Y5,12)/FT_Int2))),IF(AN89="PT",IF(AS89&lt;PT_First,0,1+INT((AS89-PT_First)/PT_Int)),0))+IF(AND(AG89&gt;=2,AI89&lt;=AsOfDate),IF(AO89="FT",IF(AT89&lt;FT_First,0,IF(AT89&lt;FT_Y5,1+INT((AT89-FT_First)/FT_Int1),FT_PreY5+FT_PerYear*INT((AT89-FT_Y5)/12)+FT_AnnivDays+INT(MOD(AT89-FT_Y5,12)/FT_Int2))),IF(AO89="PT",IF(AT89&lt;PT_First,0,1+INT((AT89-PT_First)/PT_Int)),0))-IF(AO89="FT",IF(AS89&lt;FT_First,0,IF(AS89&lt;FT_Y5,1+INT((AS89-FT_First)/FT_Int1),FT_PreY5+FT_PerYear*INT((AS89-FT_Y5)/12)+FT_AnnivDays+INT(MOD(AS89-FT_Y5,12)/FT_Int2))),IF(AO89="PT",IF(AS89&lt;PT_First,0,1+INT((AS89-PT_First)/PT_Int)),0)),0)+IF(AND(AG89&gt;=3,AJ89&lt;=AsOfDate),IF(AP89="FT",IF(AR89&lt;FT_First,0,IF(AR89&lt;FT_Y5,1+INT((AR89-FT_First)/FT_Int1),FT_PreY5+FT_PerYear*INT((AR89-FT_Y5)/12)+FT_AnnivDays+INT(MOD(AR89-FT_Y5,12)/FT_Int2))),IF(AP89="PT",IF(AR89&lt;PT_First,0,1+INT((AR89-PT_First)/PT_Int)),0))-IF(AP89="FT",IF(AT89&lt;FT_First,0,IF(AT89&lt;FT_Y5,1+INT((AT89-FT_First)/FT_Int1),FT_PreY5+FT_PerYear*INT((AT89-FT_Y5)/12)+FT_AnnivDays+INT(MOD(AT89-FT_Y5,12)/FT_Int2))),IF(AP89="PT",IF(AT89&lt;PT_First,0,1+INT((AT89-PT_First)/PT_Int)),0)),0))</f>
        <v/>
      </c>
      <c r="AY89" s="12" t="str">
        <f aca="false">IF(AE89=0,"",IF(AN89="FT",IF(AV89&lt;FT_First,0,IF(AV89&lt;FT_Y5,1+INT((AV89-FT_First)/FT_Int1),FT_PreY5+FT_PerYear*INT((AV89-FT_Y5)/12)+FT_AnnivDays+INT(MOD(AV89-FT_Y5,12)/FT_Int2))),IF(AN89="PT",IF(AV89&lt;PT_First,0,1+INT((AV89-PT_First)/PT_Int)),0))+IF(AND(AG89&gt;=2,AI89&lt;=PFYDate),IF(AO89="FT",IF(AW89&lt;FT_First,0,IF(AW89&lt;FT_Y5,1+INT((AW89-FT_First)/FT_Int1),FT_PreY5+FT_PerYear*INT((AW89-FT_Y5)/12)+FT_AnnivDays+INT(MOD(AW89-FT_Y5,12)/FT_Int2))),IF(AO89="PT",IF(AW89&lt;PT_First,0,1+INT((AW89-PT_First)/PT_Int)),0))-IF(AO89="FT",IF(AV89&lt;FT_First,0,IF(AV89&lt;FT_Y5,1+INT((AV89-FT_First)/FT_Int1),FT_PreY5+FT_PerYear*INT((AV89-FT_Y5)/12)+FT_AnnivDays+INT(MOD(AV89-FT_Y5,12)/FT_Int2))),IF(AO89="PT",IF(AV89&lt;PT_First,0,1+INT((AV89-PT_First)/PT_Int)),0)),0)+IF(AND(AG89&gt;=3,AJ89&lt;=PFYDate),IF(AP89="FT",IF(AU89&lt;FT_First,0,IF(AU89&lt;FT_Y5,1+INT((AU89-FT_First)/FT_Int1),FT_PreY5+FT_PerYear*INT((AU89-FT_Y5)/12)+FT_AnnivDays+INT(MOD(AU89-FT_Y5,12)/FT_Int2))),IF(AP89="PT",IF(AU89&lt;PT_First,0,1+INT((AU89-PT_First)/PT_Int)),0))-IF(AP89="FT",IF(AW89&lt;FT_First,0,IF(AW89&lt;FT_Y5,1+INT((AW89-FT_First)/FT_Int1),FT_PreY5+FT_PerYear*INT((AW89-FT_Y5)/12)+FT_AnnivDays+INT(MOD(AW89-FT_Y5,12)/FT_Int2))),IF(AP89="PT",IF(AW89&lt;PT_First,0,1+INT((AW89-PT_First)/PT_Int)),0)),0))</f>
        <v/>
      </c>
      <c r="AZ89" s="12" t="str">
        <f aca="false">IF(AE89=0,"",IF(AQ89="FT",IF(AR89&lt;FT_First,FT_First,IF(AR89&lt;FT_Y5,MIN(FT_Y5,FT_First+FT_Int1*(INT((AR89-FT_First)/FT_Int1)+1)),FT_Y5+12*INT((AR89-FT_Y5)/12)+FT_Int2*(INT(MOD(AR89-FT_Y5,12)/FT_Int2)+1))),IF(AQ89="PT",IF(AR89&lt;PT_First,PT_First,PT_First+PT_Int*(INT((AR89-PT_First)/PT_Int)+1)),"")))</f>
        <v/>
      </c>
      <c r="BA89" s="12" t="str">
        <f aca="false">IF(AE89=0,"",IF(NOT(LH_Ready),0,COUNTIFS(INDEX(LH_Data,0,LH_ColFirst),$A89,INDEX(LH_Data,0,LH_ColSur),$B89,INDEX(LH_Data,0,LH_ColCat),BonusCat)))</f>
        <v/>
      </c>
      <c r="BB89" s="12" t="str">
        <f aca="false">IF(AE89=0,"",IF(OR(NOT(LH_Ready),BA89=0),0,SUMPRODUCT(MAX((INDEX(LH_Data,0,LH_ColFirst)=$A89)*(INDEX(LH_Data,0,LH_ColSur)=$B89)*(INDEX(LH_Data,0,LH_ColCat)=BonusCat)*ROW(LH_Data)))))</f>
        <v/>
      </c>
    </row>
    <row r="90" customFormat="false" ht="15" hidden="false" customHeight="false" outlineLevel="0" collapsed="false">
      <c r="A90" s="15"/>
      <c r="B90" s="15"/>
      <c r="C90" s="15"/>
      <c r="D90" s="16"/>
      <c r="E90" s="10" t="str">
        <f aca="false">IF(OR(AE90=0,$D90=""),"",DATE(YEAR(AsOfDate)+IF(DATE(YEAR(AsOfDate),MONTH($D90),DAY($D90))&lt;=AsOfDate,1,0),MONTH($D90),DAY($D90)))</f>
        <v/>
      </c>
      <c r="F90" s="16"/>
      <c r="G90" s="16"/>
      <c r="H90" s="16"/>
      <c r="I90" s="16"/>
      <c r="J90" s="16"/>
      <c r="K90" s="10" t="str">
        <f aca="false">IF(AE90=0,"",DATE(YEAR(AsOfDate)+IF(DATE(YEAR(AsOfDate),MONTH($F90),DAY($F90))&lt;=AsOfDate,1,0),MONTH($F90),DAY($F90)))</f>
        <v/>
      </c>
      <c r="L90" s="11" t="str">
        <f aca="false">IF(AE90=0,"",ROUND((AsOfDate-$F90)/365.25,1))</f>
        <v/>
      </c>
      <c r="M90" s="12" t="str">
        <f aca="false">IF(AE90=0,"",IF(AsOfDate&lt;AF90,"-",DATEDIF(AF90,AsOfDate,"y")&amp;"y "&amp;DATEDIF(AF90,AsOfDate,"ym")&amp;"m "&amp;DATEDIF(AF90,AsOfDate,"md")&amp;"d"))</f>
        <v/>
      </c>
      <c r="N90" s="13" t="str">
        <f aca="false">IF(AE90=0,"",O90*HoursPerDay)</f>
        <v/>
      </c>
      <c r="O90" s="13" t="str">
        <f aca="false">IF(AE90=0,"",AX90)</f>
        <v/>
      </c>
      <c r="P90" s="17"/>
      <c r="Q90" s="12" t="str">
        <f aca="false">IF(AE90=0,"",IF(AG90&lt;2,"",AK90&amp;" to "&amp;AL90&amp;" on "&amp;TEXT(AI90,"dd/mm/yyyy")&amp;IF(AI90&gt;AsOfDate," (future)",IF(AN90=AO90,"",IF(AO90="None"," - STOPPED accruing",IF(AN90="None"," - now qualifying"," - pathway changed"))))&amp;IF(AG90&lt;3,"","; "&amp;AL90&amp;" to "&amp;AM90&amp;" on "&amp;TEXT(AJ90,"dd/mm/yyyy")&amp;IF(AJ90&gt;AsOfDate," (future)",IF(AO90=AP90,"",IF(AP90="None"," - STOPPED accruing",IF(AO90="None"," - now qualifying"," - pathway changed")))))))</f>
        <v/>
      </c>
      <c r="R90" s="12" t="str">
        <f aca="false">IF(AE90=0,"",IF(AQ90="None",IF(O90&gt;0,"No longer accruing","Not eligible - "&amp;IF(AND(OR(ISNUMBER(SEARCH("part",$C90)),UPPER(TRIM($C90))="PT",UPPER(TRIM($C90))="PTE"),$P90&lt;&gt;"",N($P90)&lt;PT_MinHours),"under "&amp;PT_MinHours&amp;" hrs",IF(IF($C90="","",IF(OR(ISNUMBER(SEARCH("full",$C90)),UPPER(TRIM($C90))="FT",UPPER(TRIM($C90))="FTE"),"Full-Time",IF(OR(ISNUMBER(SEARCH("part",$C90)),UPPER(TRIM($C90))="PT",UPPER(TRIM($C90))="PTE"),"Part-Time",IF(OR(ISNUMBER(SEARCH("cas",$C90)),UPPER(TRIM($C90))="CAS"),"Casual","Unknown"))))="Unknown","type not recognised",$C90))),IF(O90&gt;0,"Yes - accruing","Not yet - from "&amp;TEXT(S90,"dd/mm/yyyy"))))</f>
        <v/>
      </c>
      <c r="S90" s="10" t="str">
        <f aca="false">IF(AE90=0,"",IF(AQ90="None","",EDATE(AF90,AZ90)))</f>
        <v/>
      </c>
      <c r="T90" s="13" t="str">
        <f aca="false">IF(OR(AE90=0,W90=""),"",W90-U90+V90)</f>
        <v/>
      </c>
      <c r="U90" s="13" t="str">
        <f aca="false">IF(AE90=0,"",IF(NOT(LH_Ready),"",SUMIFS(INDEX(LH_Data,0,LH_ColAcc),INDEX(LH_Data,0,LH_ColFirst),$A90,INDEX(LH_Data,0,LH_ColSur),$B90,INDEX(LH_Data,0,LH_ColCat),BonusCat)*UnitFactor))</f>
        <v/>
      </c>
      <c r="V90" s="13" t="str">
        <f aca="false">IF(AE90=0,"",IF(NOT(LH_Ready),"",SUMIFS(INDEX(LH_Data,0,LH_ColTaken),INDEX(LH_Data,0,LH_ColFirst),$A90,INDEX(LH_Data,0,LH_ColSur),$B90,INDEX(LH_Data,0,LH_ColCat),BonusCat)*UnitFactor))</f>
        <v/>
      </c>
      <c r="W90" s="13" t="str">
        <f aca="false">IF(AE90=0,"",IF(NOT(LH_Ready),"",IF(BB90=0,0,INDEX(INDEX(LH_Data,0,LH_ColClose),BB90-1)*UnitFactor)))</f>
        <v/>
      </c>
      <c r="X90" s="13" t="str">
        <f aca="false">IF(AE90=0,"",(AX90-AY90)*HoursPerDay)</f>
        <v/>
      </c>
      <c r="Y90" s="13" t="str">
        <f aca="false">IF(AE90=0,"",IF(NOT(LH_Ready),"",IF(BA90=0,N90,X90-N(U90))))</f>
        <v/>
      </c>
      <c r="Z90" s="12" t="str">
        <f aca="false">IF(OR(AE90=0,Y90=""),"",IF(Y90&gt;0,"Yes","No"))</f>
        <v/>
      </c>
      <c r="AA90" s="12" t="str">
        <f aca="false">IF(AE90=0,IF(LEN($A90&amp;$B90)=0,"","FIX INPUT - StartDate missing"),IF(AD90&lt;&gt;"","FIX INPUT - "&amp;AD90,IF(NOT(LH_Ready),"Paste Leave History export (Settings must show YES)",IF(Y90&gt;0,"ACCRUE "&amp;ROUND(Y90,2)&amp;" hrs ("&amp;ROUND(Y90/HoursPerDay,2)&amp;" days)"&amp;IF(BA90=0," - no Bonus Leave in EH yet, full catch-up since start",""),IF(Y90&lt;0,"CHECK - EH accrued "&amp;ROUND(-Y90,2)&amp;""&amp;" hrs more than policy",IF(O90&gt;0,"OK - nothing to add",IF(AQ90="None",R90,"Not yet - first day on "&amp;TEXT(S90,"dd/mm/yyyy"))))))))</f>
        <v/>
      </c>
      <c r="AB90" s="13" t="str">
        <f aca="false">IF(OR(AE90=0,T90=""),"",AY90*HoursPerDay-T90)</f>
        <v/>
      </c>
      <c r="AC90" s="12" t="str">
        <f aca="false">IF(AE90=0,"",BA90)</f>
        <v/>
      </c>
      <c r="AD90" s="12" t="str">
        <f aca="false">IF(AE90=0,"",TRIM(IF(IF($C90="","",IF(OR(ISNUMBER(SEARCH("full",$C90)),UPPER(TRIM($C90))="FT",UPPER(TRIM($C90))="FTE"),"Full-Time",IF(OR(ISNUMBER(SEARCH("part",$C90)),UPPER(TRIM($C90))="PT",UPPER(TRIM($C90))="PTE"),"Part-Time",IF(OR(ISNUMBER(SEARCH("cas",$C90)),UPPER(TRIM($C90))="CAS"),"Casual","Unknown"))))="Unknown","EmploymentType not recognised - use Full-Time, Part-Time or Casual. ","")&amp;IF(AND(AG90&gt;=1,IF(AG90&gt;=3,AM90,IF(AG90=2,AL90,AK90))&lt;&gt;IF($C90="","",IF(OR(ISNUMBER(SEARCH("full",$C90)),UPPER(TRIM($C90))="FT",UPPER(TRIM($C90))="FTE"),"Full-Time",IF(OR(ISNUMBER(SEARCH("part",$C90)),UPPER(TRIM($C90))="PT",UPPER(TRIM($C90))="PTE"),"Part-Time",IF(OR(ISNUMBER(SEARCH("cas",$C90)),UPPER(TRIM($C90))="CAS"),"Casual","Unknown"))))),"EmploymentType does not match latest start date ("&amp;IF(AG90&gt;=3,AM90,IF(AG90=2,AL90,AK90))&amp;"). ","")&amp;IF(AND(AG90&gt;=1,AH90&lt;&gt;$F90),"Earliest type date should equal StartDate. ","")&amp;IF(AND(AG90&gt;=2,AH90=AI90),"Two types start on the same date. ","")&amp;IF(AND(OR(ISNUMBER(SEARCH("part",$C90)),UPPER(TRIM($C90))="PT",UPPER(TRIM($C90))="PTE"),$P90=""),"Part-time: enter PT Hrs/Week (blank = 24+). ","")))</f>
        <v/>
      </c>
      <c r="AE90" s="12" t="n">
        <f aca="false">IF(OR(LEN($A90&amp;$B90)=0,$F90=""),0,1)</f>
        <v>0</v>
      </c>
      <c r="AF90" s="10" t="str">
        <f aca="false">IF(AE90=0,"",IF($J90&lt;&gt;"",$J90,$F90))</f>
        <v/>
      </c>
      <c r="AG90" s="12" t="str">
        <f aca="false">IF(AE90=0,"",COUNT($G90:$I90))</f>
        <v/>
      </c>
      <c r="AH90" s="10" t="str">
        <f aca="false">IF(AE90=0,"",IFERROR(SMALL($G90:$I90,1),""))</f>
        <v/>
      </c>
      <c r="AI90" s="10" t="str">
        <f aca="false">IF(AE90=0,"",IFERROR(SMALL($G90:$I90,2),""))</f>
        <v/>
      </c>
      <c r="AJ90" s="10" t="str">
        <f aca="false">IF(AE90=0,"",IFERROR(SMALL($G90:$I90,3),""))</f>
        <v/>
      </c>
      <c r="AK90" s="12" t="str">
        <f aca="false">IF(AE90=0,"",IF(AH90="","",IF(AH90=$G90,"Part-Time",IF(AH90=$H90,"Full-Time","Casual"))))</f>
        <v/>
      </c>
      <c r="AL90" s="12" t="str">
        <f aca="false">IF(AE90=0,"",IF(AI90="","",IF(AI90=$G90,"Part-Time",IF(AI90=$H90,"Full-Time","Casual"))))</f>
        <v/>
      </c>
      <c r="AM90" s="12" t="str">
        <f aca="false">IF(AE90=0,"",IF(AJ90="","",IF(AJ90=$G90,"Part-Time",IF(AJ90=$H90,"Full-Time","Casual"))))</f>
        <v/>
      </c>
      <c r="AN90" s="12" t="str">
        <f aca="false">IF(AE90=0,"",IF(AG90=0,IF(OR(ISNUMBER(SEARCH("full",$C90)),UPPER(TRIM($C90))="FT",UPPER(TRIM($C90))="FTE"),"FT",IF(AND(OR(ISNUMBER(SEARCH("part",$C90)),UPPER(TRIM($C90))="PT",UPPER(TRIM($C90))="PTE"),OR($P90="",N($P90)&gt;=PT_MinHours)),"PT","None")),IF(OR(ISNUMBER(SEARCH("full",AK90)),UPPER(TRIM(AK90))="FT",UPPER(TRIM(AK90))="FTE"),"FT",IF(AND(OR(ISNUMBER(SEARCH("part",AK90)),UPPER(TRIM(AK90))="PT",UPPER(TRIM(AK90))="PTE"),OR($P90="",N($P90)&gt;=PT_MinHours)),"PT","None"))))</f>
        <v/>
      </c>
      <c r="AO90" s="12" t="str">
        <f aca="false">IF(AE90=0,"",IF(AG90&lt;2,"",IF(OR(ISNUMBER(SEARCH("full",AL90)),UPPER(TRIM(AL90))="FT",UPPER(TRIM(AL90))="FTE"),"FT",IF(AND(OR(ISNUMBER(SEARCH("part",AL90)),UPPER(TRIM(AL90))="PT",UPPER(TRIM(AL90))="PTE"),OR($P90="",N($P90)&gt;=PT_MinHours)),"PT","None"))))</f>
        <v/>
      </c>
      <c r="AP90" s="12" t="str">
        <f aca="false">IF(AE90=0,"",IF(AG90&lt;3,"",IF(OR(ISNUMBER(SEARCH("full",AM90)),UPPER(TRIM(AM90))="FT",UPPER(TRIM(AM90))="FTE"),"FT",IF(AND(OR(ISNUMBER(SEARCH("part",AM90)),UPPER(TRIM(AM90))="PT",UPPER(TRIM(AM90))="PTE"),OR($P90="",N($P90)&gt;=PT_MinHours)),"PT","None"))))</f>
        <v/>
      </c>
      <c r="AQ90" s="12" t="str">
        <f aca="false">IF(AE90=0,"",IF(AND(AG90&gt;=3,AJ90&lt;=AsOfDate),AP90,IF(AND(AG90&gt;=2,AI90&lt;=AsOfDate),AO90,AN90)))</f>
        <v/>
      </c>
      <c r="AR90" s="12" t="str">
        <f aca="false">IF(AE90=0,"",IF(AsOfDate&lt;AF90,-1,12*(YEAR(AsOfDate)-YEAR(AF90))+MONTH(AsOfDate)-MONTH(AF90)-IF(DAY(AsOfDate)&lt;MIN(DAY(AF90),DAY(EOMONTH(AsOfDate,0))),1,0)))</f>
        <v/>
      </c>
      <c r="AS90" s="12" t="str">
        <f aca="false">IF(AE90=0,"",IF(OR(AG90&lt;2,AI90&gt;AsOfDate),AR90,IF((AI90-1)&lt;AF90,-1,12*(YEAR((AI90-1))-YEAR(AF90))+MONTH((AI90-1))-MONTH(AF90)-IF(DAY((AI90-1))&lt;MIN(DAY(AF90),DAY(EOMONTH((AI90-1),0))),1,0))))</f>
        <v/>
      </c>
      <c r="AT90" s="12" t="str">
        <f aca="false">IF(AE90=0,"",IF(OR(AG90&lt;3,AJ90&gt;AsOfDate),AR90,IF((AJ90-1)&lt;AF90,-1,12*(YEAR((AJ90-1))-YEAR(AF90))+MONTH((AJ90-1))-MONTH(AF90)-IF(DAY((AJ90-1))&lt;MIN(DAY(AF90),DAY(EOMONTH((AJ90-1),0))),1,0))))</f>
        <v/>
      </c>
      <c r="AU90" s="12" t="str">
        <f aca="false">IF(AE90=0,"",IF(PFYDate&lt;AF90,-1,12*(YEAR(PFYDate)-YEAR(AF90))+MONTH(PFYDate)-MONTH(AF90)-IF(DAY(PFYDate)&lt;MIN(DAY(AF90),DAY(EOMONTH(PFYDate,0))),1,0)))</f>
        <v/>
      </c>
      <c r="AV90" s="12" t="str">
        <f aca="false">IF(AE90=0,"",IF(OR(AG90&lt;2,AI90&gt;PFYDate),AU90,IF((AI90-1)&lt;AF90,-1,12*(YEAR((AI90-1))-YEAR(AF90))+MONTH((AI90-1))-MONTH(AF90)-IF(DAY((AI90-1))&lt;MIN(DAY(AF90),DAY(EOMONTH((AI90-1),0))),1,0))))</f>
        <v/>
      </c>
      <c r="AW90" s="12" t="str">
        <f aca="false">IF(AE90=0,"",IF(OR(AG90&lt;3,AJ90&gt;PFYDate),AU90,IF((AJ90-1)&lt;AF90,-1,12*(YEAR((AJ90-1))-YEAR(AF90))+MONTH((AJ90-1))-MONTH(AF90)-IF(DAY((AJ90-1))&lt;MIN(DAY(AF90),DAY(EOMONTH((AJ90-1),0))),1,0))))</f>
        <v/>
      </c>
      <c r="AX90" s="12" t="str">
        <f aca="false">IF(AE90=0,"",IF(AN90="FT",IF(AS90&lt;FT_First,0,IF(AS90&lt;FT_Y5,1+INT((AS90-FT_First)/FT_Int1),FT_PreY5+FT_PerYear*INT((AS90-FT_Y5)/12)+FT_AnnivDays+INT(MOD(AS90-FT_Y5,12)/FT_Int2))),IF(AN90="PT",IF(AS90&lt;PT_First,0,1+INT((AS90-PT_First)/PT_Int)),0))+IF(AND(AG90&gt;=2,AI90&lt;=AsOfDate),IF(AO90="FT",IF(AT90&lt;FT_First,0,IF(AT90&lt;FT_Y5,1+INT((AT90-FT_First)/FT_Int1),FT_PreY5+FT_PerYear*INT((AT90-FT_Y5)/12)+FT_AnnivDays+INT(MOD(AT90-FT_Y5,12)/FT_Int2))),IF(AO90="PT",IF(AT90&lt;PT_First,0,1+INT((AT90-PT_First)/PT_Int)),0))-IF(AO90="FT",IF(AS90&lt;FT_First,0,IF(AS90&lt;FT_Y5,1+INT((AS90-FT_First)/FT_Int1),FT_PreY5+FT_PerYear*INT((AS90-FT_Y5)/12)+FT_AnnivDays+INT(MOD(AS90-FT_Y5,12)/FT_Int2))),IF(AO90="PT",IF(AS90&lt;PT_First,0,1+INT((AS90-PT_First)/PT_Int)),0)),0)+IF(AND(AG90&gt;=3,AJ90&lt;=AsOfDate),IF(AP90="FT",IF(AR90&lt;FT_First,0,IF(AR90&lt;FT_Y5,1+INT((AR90-FT_First)/FT_Int1),FT_PreY5+FT_PerYear*INT((AR90-FT_Y5)/12)+FT_AnnivDays+INT(MOD(AR90-FT_Y5,12)/FT_Int2))),IF(AP90="PT",IF(AR90&lt;PT_First,0,1+INT((AR90-PT_First)/PT_Int)),0))-IF(AP90="FT",IF(AT90&lt;FT_First,0,IF(AT90&lt;FT_Y5,1+INT((AT90-FT_First)/FT_Int1),FT_PreY5+FT_PerYear*INT((AT90-FT_Y5)/12)+FT_AnnivDays+INT(MOD(AT90-FT_Y5,12)/FT_Int2))),IF(AP90="PT",IF(AT90&lt;PT_First,0,1+INT((AT90-PT_First)/PT_Int)),0)),0))</f>
        <v/>
      </c>
      <c r="AY90" s="12" t="str">
        <f aca="false">IF(AE90=0,"",IF(AN90="FT",IF(AV90&lt;FT_First,0,IF(AV90&lt;FT_Y5,1+INT((AV90-FT_First)/FT_Int1),FT_PreY5+FT_PerYear*INT((AV90-FT_Y5)/12)+FT_AnnivDays+INT(MOD(AV90-FT_Y5,12)/FT_Int2))),IF(AN90="PT",IF(AV90&lt;PT_First,0,1+INT((AV90-PT_First)/PT_Int)),0))+IF(AND(AG90&gt;=2,AI90&lt;=PFYDate),IF(AO90="FT",IF(AW90&lt;FT_First,0,IF(AW90&lt;FT_Y5,1+INT((AW90-FT_First)/FT_Int1),FT_PreY5+FT_PerYear*INT((AW90-FT_Y5)/12)+FT_AnnivDays+INT(MOD(AW90-FT_Y5,12)/FT_Int2))),IF(AO90="PT",IF(AW90&lt;PT_First,0,1+INT((AW90-PT_First)/PT_Int)),0))-IF(AO90="FT",IF(AV90&lt;FT_First,0,IF(AV90&lt;FT_Y5,1+INT((AV90-FT_First)/FT_Int1),FT_PreY5+FT_PerYear*INT((AV90-FT_Y5)/12)+FT_AnnivDays+INT(MOD(AV90-FT_Y5,12)/FT_Int2))),IF(AO90="PT",IF(AV90&lt;PT_First,0,1+INT((AV90-PT_First)/PT_Int)),0)),0)+IF(AND(AG90&gt;=3,AJ90&lt;=PFYDate),IF(AP90="FT",IF(AU90&lt;FT_First,0,IF(AU90&lt;FT_Y5,1+INT((AU90-FT_First)/FT_Int1),FT_PreY5+FT_PerYear*INT((AU90-FT_Y5)/12)+FT_AnnivDays+INT(MOD(AU90-FT_Y5,12)/FT_Int2))),IF(AP90="PT",IF(AU90&lt;PT_First,0,1+INT((AU90-PT_First)/PT_Int)),0))-IF(AP90="FT",IF(AW90&lt;FT_First,0,IF(AW90&lt;FT_Y5,1+INT((AW90-FT_First)/FT_Int1),FT_PreY5+FT_PerYear*INT((AW90-FT_Y5)/12)+FT_AnnivDays+INT(MOD(AW90-FT_Y5,12)/FT_Int2))),IF(AP90="PT",IF(AW90&lt;PT_First,0,1+INT((AW90-PT_First)/PT_Int)),0)),0))</f>
        <v/>
      </c>
      <c r="AZ90" s="12" t="str">
        <f aca="false">IF(AE90=0,"",IF(AQ90="FT",IF(AR90&lt;FT_First,FT_First,IF(AR90&lt;FT_Y5,MIN(FT_Y5,FT_First+FT_Int1*(INT((AR90-FT_First)/FT_Int1)+1)),FT_Y5+12*INT((AR90-FT_Y5)/12)+FT_Int2*(INT(MOD(AR90-FT_Y5,12)/FT_Int2)+1))),IF(AQ90="PT",IF(AR90&lt;PT_First,PT_First,PT_First+PT_Int*(INT((AR90-PT_First)/PT_Int)+1)),"")))</f>
        <v/>
      </c>
      <c r="BA90" s="12" t="str">
        <f aca="false">IF(AE90=0,"",IF(NOT(LH_Ready),0,COUNTIFS(INDEX(LH_Data,0,LH_ColFirst),$A90,INDEX(LH_Data,0,LH_ColSur),$B90,INDEX(LH_Data,0,LH_ColCat),BonusCat)))</f>
        <v/>
      </c>
      <c r="BB90" s="12" t="str">
        <f aca="false">IF(AE90=0,"",IF(OR(NOT(LH_Ready),BA90=0),0,SUMPRODUCT(MAX((INDEX(LH_Data,0,LH_ColFirst)=$A90)*(INDEX(LH_Data,0,LH_ColSur)=$B90)*(INDEX(LH_Data,0,LH_ColCat)=BonusCat)*ROW(LH_Data)))))</f>
        <v/>
      </c>
    </row>
    <row r="91" customFormat="false" ht="15" hidden="false" customHeight="false" outlineLevel="0" collapsed="false">
      <c r="A91" s="15"/>
      <c r="B91" s="15"/>
      <c r="C91" s="15"/>
      <c r="D91" s="16"/>
      <c r="E91" s="10" t="str">
        <f aca="false">IF(OR(AE91=0,$D91=""),"",DATE(YEAR(AsOfDate)+IF(DATE(YEAR(AsOfDate),MONTH($D91),DAY($D91))&lt;=AsOfDate,1,0),MONTH($D91),DAY($D91)))</f>
        <v/>
      </c>
      <c r="F91" s="16"/>
      <c r="G91" s="16"/>
      <c r="H91" s="16"/>
      <c r="I91" s="16"/>
      <c r="J91" s="16"/>
      <c r="K91" s="10" t="str">
        <f aca="false">IF(AE91=0,"",DATE(YEAR(AsOfDate)+IF(DATE(YEAR(AsOfDate),MONTH($F91),DAY($F91))&lt;=AsOfDate,1,0),MONTH($F91),DAY($F91)))</f>
        <v/>
      </c>
      <c r="L91" s="11" t="str">
        <f aca="false">IF(AE91=0,"",ROUND((AsOfDate-$F91)/365.25,1))</f>
        <v/>
      </c>
      <c r="M91" s="12" t="str">
        <f aca="false">IF(AE91=0,"",IF(AsOfDate&lt;AF91,"-",DATEDIF(AF91,AsOfDate,"y")&amp;"y "&amp;DATEDIF(AF91,AsOfDate,"ym")&amp;"m "&amp;DATEDIF(AF91,AsOfDate,"md")&amp;"d"))</f>
        <v/>
      </c>
      <c r="N91" s="13" t="str">
        <f aca="false">IF(AE91=0,"",O91*HoursPerDay)</f>
        <v/>
      </c>
      <c r="O91" s="13" t="str">
        <f aca="false">IF(AE91=0,"",AX91)</f>
        <v/>
      </c>
      <c r="P91" s="17"/>
      <c r="Q91" s="12" t="str">
        <f aca="false">IF(AE91=0,"",IF(AG91&lt;2,"",AK91&amp;" to "&amp;AL91&amp;" on "&amp;TEXT(AI91,"dd/mm/yyyy")&amp;IF(AI91&gt;AsOfDate," (future)",IF(AN91=AO91,"",IF(AO91="None"," - STOPPED accruing",IF(AN91="None"," - now qualifying"," - pathway changed"))))&amp;IF(AG91&lt;3,"","; "&amp;AL91&amp;" to "&amp;AM91&amp;" on "&amp;TEXT(AJ91,"dd/mm/yyyy")&amp;IF(AJ91&gt;AsOfDate," (future)",IF(AO91=AP91,"",IF(AP91="None"," - STOPPED accruing",IF(AO91="None"," - now qualifying"," - pathway changed")))))))</f>
        <v/>
      </c>
      <c r="R91" s="12" t="str">
        <f aca="false">IF(AE91=0,"",IF(AQ91="None",IF(O91&gt;0,"No longer accruing","Not eligible - "&amp;IF(AND(OR(ISNUMBER(SEARCH("part",$C91)),UPPER(TRIM($C91))="PT",UPPER(TRIM($C91))="PTE"),$P91&lt;&gt;"",N($P91)&lt;PT_MinHours),"under "&amp;PT_MinHours&amp;" hrs",IF(IF($C91="","",IF(OR(ISNUMBER(SEARCH("full",$C91)),UPPER(TRIM($C91))="FT",UPPER(TRIM($C91))="FTE"),"Full-Time",IF(OR(ISNUMBER(SEARCH("part",$C91)),UPPER(TRIM($C91))="PT",UPPER(TRIM($C91))="PTE"),"Part-Time",IF(OR(ISNUMBER(SEARCH("cas",$C91)),UPPER(TRIM($C91))="CAS"),"Casual","Unknown"))))="Unknown","type not recognised",$C91))),IF(O91&gt;0,"Yes - accruing","Not yet - from "&amp;TEXT(S91,"dd/mm/yyyy"))))</f>
        <v/>
      </c>
      <c r="S91" s="10" t="str">
        <f aca="false">IF(AE91=0,"",IF(AQ91="None","",EDATE(AF91,AZ91)))</f>
        <v/>
      </c>
      <c r="T91" s="13" t="str">
        <f aca="false">IF(OR(AE91=0,W91=""),"",W91-U91+V91)</f>
        <v/>
      </c>
      <c r="U91" s="13" t="str">
        <f aca="false">IF(AE91=0,"",IF(NOT(LH_Ready),"",SUMIFS(INDEX(LH_Data,0,LH_ColAcc),INDEX(LH_Data,0,LH_ColFirst),$A91,INDEX(LH_Data,0,LH_ColSur),$B91,INDEX(LH_Data,0,LH_ColCat),BonusCat)*UnitFactor))</f>
        <v/>
      </c>
      <c r="V91" s="13" t="str">
        <f aca="false">IF(AE91=0,"",IF(NOT(LH_Ready),"",SUMIFS(INDEX(LH_Data,0,LH_ColTaken),INDEX(LH_Data,0,LH_ColFirst),$A91,INDEX(LH_Data,0,LH_ColSur),$B91,INDEX(LH_Data,0,LH_ColCat),BonusCat)*UnitFactor))</f>
        <v/>
      </c>
      <c r="W91" s="13" t="str">
        <f aca="false">IF(AE91=0,"",IF(NOT(LH_Ready),"",IF(BB91=0,0,INDEX(INDEX(LH_Data,0,LH_ColClose),BB91-1)*UnitFactor)))</f>
        <v/>
      </c>
      <c r="X91" s="13" t="str">
        <f aca="false">IF(AE91=0,"",(AX91-AY91)*HoursPerDay)</f>
        <v/>
      </c>
      <c r="Y91" s="13" t="str">
        <f aca="false">IF(AE91=0,"",IF(NOT(LH_Ready),"",IF(BA91=0,N91,X91-N(U91))))</f>
        <v/>
      </c>
      <c r="Z91" s="12" t="str">
        <f aca="false">IF(OR(AE91=0,Y91=""),"",IF(Y91&gt;0,"Yes","No"))</f>
        <v/>
      </c>
      <c r="AA91" s="12" t="str">
        <f aca="false">IF(AE91=0,IF(LEN($A91&amp;$B91)=0,"","FIX INPUT - StartDate missing"),IF(AD91&lt;&gt;"","FIX INPUT - "&amp;AD91,IF(NOT(LH_Ready),"Paste Leave History export (Settings must show YES)",IF(Y91&gt;0,"ACCRUE "&amp;ROUND(Y91,2)&amp;" hrs ("&amp;ROUND(Y91/HoursPerDay,2)&amp;" days)"&amp;IF(BA91=0," - no Bonus Leave in EH yet, full catch-up since start",""),IF(Y91&lt;0,"CHECK - EH accrued "&amp;ROUND(-Y91,2)&amp;""&amp;" hrs more than policy",IF(O91&gt;0,"OK - nothing to add",IF(AQ91="None",R91,"Not yet - first day on "&amp;TEXT(S91,"dd/mm/yyyy"))))))))</f>
        <v/>
      </c>
      <c r="AB91" s="13" t="str">
        <f aca="false">IF(OR(AE91=0,T91=""),"",AY91*HoursPerDay-T91)</f>
        <v/>
      </c>
      <c r="AC91" s="12" t="str">
        <f aca="false">IF(AE91=0,"",BA91)</f>
        <v/>
      </c>
      <c r="AD91" s="12" t="str">
        <f aca="false">IF(AE91=0,"",TRIM(IF(IF($C91="","",IF(OR(ISNUMBER(SEARCH("full",$C91)),UPPER(TRIM($C91))="FT",UPPER(TRIM($C91))="FTE"),"Full-Time",IF(OR(ISNUMBER(SEARCH("part",$C91)),UPPER(TRIM($C91))="PT",UPPER(TRIM($C91))="PTE"),"Part-Time",IF(OR(ISNUMBER(SEARCH("cas",$C91)),UPPER(TRIM($C91))="CAS"),"Casual","Unknown"))))="Unknown","EmploymentType not recognised - use Full-Time, Part-Time or Casual. ","")&amp;IF(AND(AG91&gt;=1,IF(AG91&gt;=3,AM91,IF(AG91=2,AL91,AK91))&lt;&gt;IF($C91="","",IF(OR(ISNUMBER(SEARCH("full",$C91)),UPPER(TRIM($C91))="FT",UPPER(TRIM($C91))="FTE"),"Full-Time",IF(OR(ISNUMBER(SEARCH("part",$C91)),UPPER(TRIM($C91))="PT",UPPER(TRIM($C91))="PTE"),"Part-Time",IF(OR(ISNUMBER(SEARCH("cas",$C91)),UPPER(TRIM($C91))="CAS"),"Casual","Unknown"))))),"EmploymentType does not match latest start date ("&amp;IF(AG91&gt;=3,AM91,IF(AG91=2,AL91,AK91))&amp;"). ","")&amp;IF(AND(AG91&gt;=1,AH91&lt;&gt;$F91),"Earliest type date should equal StartDate. ","")&amp;IF(AND(AG91&gt;=2,AH91=AI91),"Two types start on the same date. ","")&amp;IF(AND(OR(ISNUMBER(SEARCH("part",$C91)),UPPER(TRIM($C91))="PT",UPPER(TRIM($C91))="PTE"),$P91=""),"Part-time: enter PT Hrs/Week (blank = 24+). ","")))</f>
        <v/>
      </c>
      <c r="AE91" s="12" t="n">
        <f aca="false">IF(OR(LEN($A91&amp;$B91)=0,$F91=""),0,1)</f>
        <v>0</v>
      </c>
      <c r="AF91" s="10" t="str">
        <f aca="false">IF(AE91=0,"",IF($J91&lt;&gt;"",$J91,$F91))</f>
        <v/>
      </c>
      <c r="AG91" s="12" t="str">
        <f aca="false">IF(AE91=0,"",COUNT($G91:$I91))</f>
        <v/>
      </c>
      <c r="AH91" s="10" t="str">
        <f aca="false">IF(AE91=0,"",IFERROR(SMALL($G91:$I91,1),""))</f>
        <v/>
      </c>
      <c r="AI91" s="10" t="str">
        <f aca="false">IF(AE91=0,"",IFERROR(SMALL($G91:$I91,2),""))</f>
        <v/>
      </c>
      <c r="AJ91" s="10" t="str">
        <f aca="false">IF(AE91=0,"",IFERROR(SMALL($G91:$I91,3),""))</f>
        <v/>
      </c>
      <c r="AK91" s="12" t="str">
        <f aca="false">IF(AE91=0,"",IF(AH91="","",IF(AH91=$G91,"Part-Time",IF(AH91=$H91,"Full-Time","Casual"))))</f>
        <v/>
      </c>
      <c r="AL91" s="12" t="str">
        <f aca="false">IF(AE91=0,"",IF(AI91="","",IF(AI91=$G91,"Part-Time",IF(AI91=$H91,"Full-Time","Casual"))))</f>
        <v/>
      </c>
      <c r="AM91" s="12" t="str">
        <f aca="false">IF(AE91=0,"",IF(AJ91="","",IF(AJ91=$G91,"Part-Time",IF(AJ91=$H91,"Full-Time","Casual"))))</f>
        <v/>
      </c>
      <c r="AN91" s="12" t="str">
        <f aca="false">IF(AE91=0,"",IF(AG91=0,IF(OR(ISNUMBER(SEARCH("full",$C91)),UPPER(TRIM($C91))="FT",UPPER(TRIM($C91))="FTE"),"FT",IF(AND(OR(ISNUMBER(SEARCH("part",$C91)),UPPER(TRIM($C91))="PT",UPPER(TRIM($C91))="PTE"),OR($P91="",N($P91)&gt;=PT_MinHours)),"PT","None")),IF(OR(ISNUMBER(SEARCH("full",AK91)),UPPER(TRIM(AK91))="FT",UPPER(TRIM(AK91))="FTE"),"FT",IF(AND(OR(ISNUMBER(SEARCH("part",AK91)),UPPER(TRIM(AK91))="PT",UPPER(TRIM(AK91))="PTE"),OR($P91="",N($P91)&gt;=PT_MinHours)),"PT","None"))))</f>
        <v/>
      </c>
      <c r="AO91" s="12" t="str">
        <f aca="false">IF(AE91=0,"",IF(AG91&lt;2,"",IF(OR(ISNUMBER(SEARCH("full",AL91)),UPPER(TRIM(AL91))="FT",UPPER(TRIM(AL91))="FTE"),"FT",IF(AND(OR(ISNUMBER(SEARCH("part",AL91)),UPPER(TRIM(AL91))="PT",UPPER(TRIM(AL91))="PTE"),OR($P91="",N($P91)&gt;=PT_MinHours)),"PT","None"))))</f>
        <v/>
      </c>
      <c r="AP91" s="12" t="str">
        <f aca="false">IF(AE91=0,"",IF(AG91&lt;3,"",IF(OR(ISNUMBER(SEARCH("full",AM91)),UPPER(TRIM(AM91))="FT",UPPER(TRIM(AM91))="FTE"),"FT",IF(AND(OR(ISNUMBER(SEARCH("part",AM91)),UPPER(TRIM(AM91))="PT",UPPER(TRIM(AM91))="PTE"),OR($P91="",N($P91)&gt;=PT_MinHours)),"PT","None"))))</f>
        <v/>
      </c>
      <c r="AQ91" s="12" t="str">
        <f aca="false">IF(AE91=0,"",IF(AND(AG91&gt;=3,AJ91&lt;=AsOfDate),AP91,IF(AND(AG91&gt;=2,AI91&lt;=AsOfDate),AO91,AN91)))</f>
        <v/>
      </c>
      <c r="AR91" s="12" t="str">
        <f aca="false">IF(AE91=0,"",IF(AsOfDate&lt;AF91,-1,12*(YEAR(AsOfDate)-YEAR(AF91))+MONTH(AsOfDate)-MONTH(AF91)-IF(DAY(AsOfDate)&lt;MIN(DAY(AF91),DAY(EOMONTH(AsOfDate,0))),1,0)))</f>
        <v/>
      </c>
      <c r="AS91" s="12" t="str">
        <f aca="false">IF(AE91=0,"",IF(OR(AG91&lt;2,AI91&gt;AsOfDate),AR91,IF((AI91-1)&lt;AF91,-1,12*(YEAR((AI91-1))-YEAR(AF91))+MONTH((AI91-1))-MONTH(AF91)-IF(DAY((AI91-1))&lt;MIN(DAY(AF91),DAY(EOMONTH((AI91-1),0))),1,0))))</f>
        <v/>
      </c>
      <c r="AT91" s="12" t="str">
        <f aca="false">IF(AE91=0,"",IF(OR(AG91&lt;3,AJ91&gt;AsOfDate),AR91,IF((AJ91-1)&lt;AF91,-1,12*(YEAR((AJ91-1))-YEAR(AF91))+MONTH((AJ91-1))-MONTH(AF91)-IF(DAY((AJ91-1))&lt;MIN(DAY(AF91),DAY(EOMONTH((AJ91-1),0))),1,0))))</f>
        <v/>
      </c>
      <c r="AU91" s="12" t="str">
        <f aca="false">IF(AE91=0,"",IF(PFYDate&lt;AF91,-1,12*(YEAR(PFYDate)-YEAR(AF91))+MONTH(PFYDate)-MONTH(AF91)-IF(DAY(PFYDate)&lt;MIN(DAY(AF91),DAY(EOMONTH(PFYDate,0))),1,0)))</f>
        <v/>
      </c>
      <c r="AV91" s="12" t="str">
        <f aca="false">IF(AE91=0,"",IF(OR(AG91&lt;2,AI91&gt;PFYDate),AU91,IF((AI91-1)&lt;AF91,-1,12*(YEAR((AI91-1))-YEAR(AF91))+MONTH((AI91-1))-MONTH(AF91)-IF(DAY((AI91-1))&lt;MIN(DAY(AF91),DAY(EOMONTH((AI91-1),0))),1,0))))</f>
        <v/>
      </c>
      <c r="AW91" s="12" t="str">
        <f aca="false">IF(AE91=0,"",IF(OR(AG91&lt;3,AJ91&gt;PFYDate),AU91,IF((AJ91-1)&lt;AF91,-1,12*(YEAR((AJ91-1))-YEAR(AF91))+MONTH((AJ91-1))-MONTH(AF91)-IF(DAY((AJ91-1))&lt;MIN(DAY(AF91),DAY(EOMONTH((AJ91-1),0))),1,0))))</f>
        <v/>
      </c>
      <c r="AX91" s="12" t="str">
        <f aca="false">IF(AE91=0,"",IF(AN91="FT",IF(AS91&lt;FT_First,0,IF(AS91&lt;FT_Y5,1+INT((AS91-FT_First)/FT_Int1),FT_PreY5+FT_PerYear*INT((AS91-FT_Y5)/12)+FT_AnnivDays+INT(MOD(AS91-FT_Y5,12)/FT_Int2))),IF(AN91="PT",IF(AS91&lt;PT_First,0,1+INT((AS91-PT_First)/PT_Int)),0))+IF(AND(AG91&gt;=2,AI91&lt;=AsOfDate),IF(AO91="FT",IF(AT91&lt;FT_First,0,IF(AT91&lt;FT_Y5,1+INT((AT91-FT_First)/FT_Int1),FT_PreY5+FT_PerYear*INT((AT91-FT_Y5)/12)+FT_AnnivDays+INT(MOD(AT91-FT_Y5,12)/FT_Int2))),IF(AO91="PT",IF(AT91&lt;PT_First,0,1+INT((AT91-PT_First)/PT_Int)),0))-IF(AO91="FT",IF(AS91&lt;FT_First,0,IF(AS91&lt;FT_Y5,1+INT((AS91-FT_First)/FT_Int1),FT_PreY5+FT_PerYear*INT((AS91-FT_Y5)/12)+FT_AnnivDays+INT(MOD(AS91-FT_Y5,12)/FT_Int2))),IF(AO91="PT",IF(AS91&lt;PT_First,0,1+INT((AS91-PT_First)/PT_Int)),0)),0)+IF(AND(AG91&gt;=3,AJ91&lt;=AsOfDate),IF(AP91="FT",IF(AR91&lt;FT_First,0,IF(AR91&lt;FT_Y5,1+INT((AR91-FT_First)/FT_Int1),FT_PreY5+FT_PerYear*INT((AR91-FT_Y5)/12)+FT_AnnivDays+INT(MOD(AR91-FT_Y5,12)/FT_Int2))),IF(AP91="PT",IF(AR91&lt;PT_First,0,1+INT((AR91-PT_First)/PT_Int)),0))-IF(AP91="FT",IF(AT91&lt;FT_First,0,IF(AT91&lt;FT_Y5,1+INT((AT91-FT_First)/FT_Int1),FT_PreY5+FT_PerYear*INT((AT91-FT_Y5)/12)+FT_AnnivDays+INT(MOD(AT91-FT_Y5,12)/FT_Int2))),IF(AP91="PT",IF(AT91&lt;PT_First,0,1+INT((AT91-PT_First)/PT_Int)),0)),0))</f>
        <v/>
      </c>
      <c r="AY91" s="12" t="str">
        <f aca="false">IF(AE91=0,"",IF(AN91="FT",IF(AV91&lt;FT_First,0,IF(AV91&lt;FT_Y5,1+INT((AV91-FT_First)/FT_Int1),FT_PreY5+FT_PerYear*INT((AV91-FT_Y5)/12)+FT_AnnivDays+INT(MOD(AV91-FT_Y5,12)/FT_Int2))),IF(AN91="PT",IF(AV91&lt;PT_First,0,1+INT((AV91-PT_First)/PT_Int)),0))+IF(AND(AG91&gt;=2,AI91&lt;=PFYDate),IF(AO91="FT",IF(AW91&lt;FT_First,0,IF(AW91&lt;FT_Y5,1+INT((AW91-FT_First)/FT_Int1),FT_PreY5+FT_PerYear*INT((AW91-FT_Y5)/12)+FT_AnnivDays+INT(MOD(AW91-FT_Y5,12)/FT_Int2))),IF(AO91="PT",IF(AW91&lt;PT_First,0,1+INT((AW91-PT_First)/PT_Int)),0))-IF(AO91="FT",IF(AV91&lt;FT_First,0,IF(AV91&lt;FT_Y5,1+INT((AV91-FT_First)/FT_Int1),FT_PreY5+FT_PerYear*INT((AV91-FT_Y5)/12)+FT_AnnivDays+INT(MOD(AV91-FT_Y5,12)/FT_Int2))),IF(AO91="PT",IF(AV91&lt;PT_First,0,1+INT((AV91-PT_First)/PT_Int)),0)),0)+IF(AND(AG91&gt;=3,AJ91&lt;=PFYDate),IF(AP91="FT",IF(AU91&lt;FT_First,0,IF(AU91&lt;FT_Y5,1+INT((AU91-FT_First)/FT_Int1),FT_PreY5+FT_PerYear*INT((AU91-FT_Y5)/12)+FT_AnnivDays+INT(MOD(AU91-FT_Y5,12)/FT_Int2))),IF(AP91="PT",IF(AU91&lt;PT_First,0,1+INT((AU91-PT_First)/PT_Int)),0))-IF(AP91="FT",IF(AW91&lt;FT_First,0,IF(AW91&lt;FT_Y5,1+INT((AW91-FT_First)/FT_Int1),FT_PreY5+FT_PerYear*INT((AW91-FT_Y5)/12)+FT_AnnivDays+INT(MOD(AW91-FT_Y5,12)/FT_Int2))),IF(AP91="PT",IF(AW91&lt;PT_First,0,1+INT((AW91-PT_First)/PT_Int)),0)),0))</f>
        <v/>
      </c>
      <c r="AZ91" s="12" t="str">
        <f aca="false">IF(AE91=0,"",IF(AQ91="FT",IF(AR91&lt;FT_First,FT_First,IF(AR91&lt;FT_Y5,MIN(FT_Y5,FT_First+FT_Int1*(INT((AR91-FT_First)/FT_Int1)+1)),FT_Y5+12*INT((AR91-FT_Y5)/12)+FT_Int2*(INT(MOD(AR91-FT_Y5,12)/FT_Int2)+1))),IF(AQ91="PT",IF(AR91&lt;PT_First,PT_First,PT_First+PT_Int*(INT((AR91-PT_First)/PT_Int)+1)),"")))</f>
        <v/>
      </c>
      <c r="BA91" s="12" t="str">
        <f aca="false">IF(AE91=0,"",IF(NOT(LH_Ready),0,COUNTIFS(INDEX(LH_Data,0,LH_ColFirst),$A91,INDEX(LH_Data,0,LH_ColSur),$B91,INDEX(LH_Data,0,LH_ColCat),BonusCat)))</f>
        <v/>
      </c>
      <c r="BB91" s="12" t="str">
        <f aca="false">IF(AE91=0,"",IF(OR(NOT(LH_Ready),BA91=0),0,SUMPRODUCT(MAX((INDEX(LH_Data,0,LH_ColFirst)=$A91)*(INDEX(LH_Data,0,LH_ColSur)=$B91)*(INDEX(LH_Data,0,LH_ColCat)=BonusCat)*ROW(LH_Data)))))</f>
        <v/>
      </c>
    </row>
    <row r="92" customFormat="false" ht="15" hidden="false" customHeight="false" outlineLevel="0" collapsed="false">
      <c r="A92" s="15"/>
      <c r="B92" s="15"/>
      <c r="C92" s="15"/>
      <c r="D92" s="16"/>
      <c r="E92" s="10" t="str">
        <f aca="false">IF(OR(AE92=0,$D92=""),"",DATE(YEAR(AsOfDate)+IF(DATE(YEAR(AsOfDate),MONTH($D92),DAY($D92))&lt;=AsOfDate,1,0),MONTH($D92),DAY($D92)))</f>
        <v/>
      </c>
      <c r="F92" s="16"/>
      <c r="G92" s="16"/>
      <c r="H92" s="16"/>
      <c r="I92" s="16"/>
      <c r="J92" s="16"/>
      <c r="K92" s="10" t="str">
        <f aca="false">IF(AE92=0,"",DATE(YEAR(AsOfDate)+IF(DATE(YEAR(AsOfDate),MONTH($F92),DAY($F92))&lt;=AsOfDate,1,0),MONTH($F92),DAY($F92)))</f>
        <v/>
      </c>
      <c r="L92" s="11" t="str">
        <f aca="false">IF(AE92=0,"",ROUND((AsOfDate-$F92)/365.25,1))</f>
        <v/>
      </c>
      <c r="M92" s="12" t="str">
        <f aca="false">IF(AE92=0,"",IF(AsOfDate&lt;AF92,"-",DATEDIF(AF92,AsOfDate,"y")&amp;"y "&amp;DATEDIF(AF92,AsOfDate,"ym")&amp;"m "&amp;DATEDIF(AF92,AsOfDate,"md")&amp;"d"))</f>
        <v/>
      </c>
      <c r="N92" s="13" t="str">
        <f aca="false">IF(AE92=0,"",O92*HoursPerDay)</f>
        <v/>
      </c>
      <c r="O92" s="13" t="str">
        <f aca="false">IF(AE92=0,"",AX92)</f>
        <v/>
      </c>
      <c r="P92" s="17"/>
      <c r="Q92" s="12" t="str">
        <f aca="false">IF(AE92=0,"",IF(AG92&lt;2,"",AK92&amp;" to "&amp;AL92&amp;" on "&amp;TEXT(AI92,"dd/mm/yyyy")&amp;IF(AI92&gt;AsOfDate," (future)",IF(AN92=AO92,"",IF(AO92="None"," - STOPPED accruing",IF(AN92="None"," - now qualifying"," - pathway changed"))))&amp;IF(AG92&lt;3,"","; "&amp;AL92&amp;" to "&amp;AM92&amp;" on "&amp;TEXT(AJ92,"dd/mm/yyyy")&amp;IF(AJ92&gt;AsOfDate," (future)",IF(AO92=AP92,"",IF(AP92="None"," - STOPPED accruing",IF(AO92="None"," - now qualifying"," - pathway changed")))))))</f>
        <v/>
      </c>
      <c r="R92" s="12" t="str">
        <f aca="false">IF(AE92=0,"",IF(AQ92="None",IF(O92&gt;0,"No longer accruing","Not eligible - "&amp;IF(AND(OR(ISNUMBER(SEARCH("part",$C92)),UPPER(TRIM($C92))="PT",UPPER(TRIM($C92))="PTE"),$P92&lt;&gt;"",N($P92)&lt;PT_MinHours),"under "&amp;PT_MinHours&amp;" hrs",IF(IF($C92="","",IF(OR(ISNUMBER(SEARCH("full",$C92)),UPPER(TRIM($C92))="FT",UPPER(TRIM($C92))="FTE"),"Full-Time",IF(OR(ISNUMBER(SEARCH("part",$C92)),UPPER(TRIM($C92))="PT",UPPER(TRIM($C92))="PTE"),"Part-Time",IF(OR(ISNUMBER(SEARCH("cas",$C92)),UPPER(TRIM($C92))="CAS"),"Casual","Unknown"))))="Unknown","type not recognised",$C92))),IF(O92&gt;0,"Yes - accruing","Not yet - from "&amp;TEXT(S92,"dd/mm/yyyy"))))</f>
        <v/>
      </c>
      <c r="S92" s="10" t="str">
        <f aca="false">IF(AE92=0,"",IF(AQ92="None","",EDATE(AF92,AZ92)))</f>
        <v/>
      </c>
      <c r="T92" s="13" t="str">
        <f aca="false">IF(OR(AE92=0,W92=""),"",W92-U92+V92)</f>
        <v/>
      </c>
      <c r="U92" s="13" t="str">
        <f aca="false">IF(AE92=0,"",IF(NOT(LH_Ready),"",SUMIFS(INDEX(LH_Data,0,LH_ColAcc),INDEX(LH_Data,0,LH_ColFirst),$A92,INDEX(LH_Data,0,LH_ColSur),$B92,INDEX(LH_Data,0,LH_ColCat),BonusCat)*UnitFactor))</f>
        <v/>
      </c>
      <c r="V92" s="13" t="str">
        <f aca="false">IF(AE92=0,"",IF(NOT(LH_Ready),"",SUMIFS(INDEX(LH_Data,0,LH_ColTaken),INDEX(LH_Data,0,LH_ColFirst),$A92,INDEX(LH_Data,0,LH_ColSur),$B92,INDEX(LH_Data,0,LH_ColCat),BonusCat)*UnitFactor))</f>
        <v/>
      </c>
      <c r="W92" s="13" t="str">
        <f aca="false">IF(AE92=0,"",IF(NOT(LH_Ready),"",IF(BB92=0,0,INDEX(INDEX(LH_Data,0,LH_ColClose),BB92-1)*UnitFactor)))</f>
        <v/>
      </c>
      <c r="X92" s="13" t="str">
        <f aca="false">IF(AE92=0,"",(AX92-AY92)*HoursPerDay)</f>
        <v/>
      </c>
      <c r="Y92" s="13" t="str">
        <f aca="false">IF(AE92=0,"",IF(NOT(LH_Ready),"",IF(BA92=0,N92,X92-N(U92))))</f>
        <v/>
      </c>
      <c r="Z92" s="12" t="str">
        <f aca="false">IF(OR(AE92=0,Y92=""),"",IF(Y92&gt;0,"Yes","No"))</f>
        <v/>
      </c>
      <c r="AA92" s="12" t="str">
        <f aca="false">IF(AE92=0,IF(LEN($A92&amp;$B92)=0,"","FIX INPUT - StartDate missing"),IF(AD92&lt;&gt;"","FIX INPUT - "&amp;AD92,IF(NOT(LH_Ready),"Paste Leave History export (Settings must show YES)",IF(Y92&gt;0,"ACCRUE "&amp;ROUND(Y92,2)&amp;" hrs ("&amp;ROUND(Y92/HoursPerDay,2)&amp;" days)"&amp;IF(BA92=0," - no Bonus Leave in EH yet, full catch-up since start",""),IF(Y92&lt;0,"CHECK - EH accrued "&amp;ROUND(-Y92,2)&amp;""&amp;" hrs more than policy",IF(O92&gt;0,"OK - nothing to add",IF(AQ92="None",R92,"Not yet - first day on "&amp;TEXT(S92,"dd/mm/yyyy"))))))))</f>
        <v/>
      </c>
      <c r="AB92" s="13" t="str">
        <f aca="false">IF(OR(AE92=0,T92=""),"",AY92*HoursPerDay-T92)</f>
        <v/>
      </c>
      <c r="AC92" s="12" t="str">
        <f aca="false">IF(AE92=0,"",BA92)</f>
        <v/>
      </c>
      <c r="AD92" s="12" t="str">
        <f aca="false">IF(AE92=0,"",TRIM(IF(IF($C92="","",IF(OR(ISNUMBER(SEARCH("full",$C92)),UPPER(TRIM($C92))="FT",UPPER(TRIM($C92))="FTE"),"Full-Time",IF(OR(ISNUMBER(SEARCH("part",$C92)),UPPER(TRIM($C92))="PT",UPPER(TRIM($C92))="PTE"),"Part-Time",IF(OR(ISNUMBER(SEARCH("cas",$C92)),UPPER(TRIM($C92))="CAS"),"Casual","Unknown"))))="Unknown","EmploymentType not recognised - use Full-Time, Part-Time or Casual. ","")&amp;IF(AND(AG92&gt;=1,IF(AG92&gt;=3,AM92,IF(AG92=2,AL92,AK92))&lt;&gt;IF($C92="","",IF(OR(ISNUMBER(SEARCH("full",$C92)),UPPER(TRIM($C92))="FT",UPPER(TRIM($C92))="FTE"),"Full-Time",IF(OR(ISNUMBER(SEARCH("part",$C92)),UPPER(TRIM($C92))="PT",UPPER(TRIM($C92))="PTE"),"Part-Time",IF(OR(ISNUMBER(SEARCH("cas",$C92)),UPPER(TRIM($C92))="CAS"),"Casual","Unknown"))))),"EmploymentType does not match latest start date ("&amp;IF(AG92&gt;=3,AM92,IF(AG92=2,AL92,AK92))&amp;"). ","")&amp;IF(AND(AG92&gt;=1,AH92&lt;&gt;$F92),"Earliest type date should equal StartDate. ","")&amp;IF(AND(AG92&gt;=2,AH92=AI92),"Two types start on the same date. ","")&amp;IF(AND(OR(ISNUMBER(SEARCH("part",$C92)),UPPER(TRIM($C92))="PT",UPPER(TRIM($C92))="PTE"),$P92=""),"Part-time: enter PT Hrs/Week (blank = 24+). ","")))</f>
        <v/>
      </c>
      <c r="AE92" s="12" t="n">
        <f aca="false">IF(OR(LEN($A92&amp;$B92)=0,$F92=""),0,1)</f>
        <v>0</v>
      </c>
      <c r="AF92" s="10" t="str">
        <f aca="false">IF(AE92=0,"",IF($J92&lt;&gt;"",$J92,$F92))</f>
        <v/>
      </c>
      <c r="AG92" s="12" t="str">
        <f aca="false">IF(AE92=0,"",COUNT($G92:$I92))</f>
        <v/>
      </c>
      <c r="AH92" s="10" t="str">
        <f aca="false">IF(AE92=0,"",IFERROR(SMALL($G92:$I92,1),""))</f>
        <v/>
      </c>
      <c r="AI92" s="10" t="str">
        <f aca="false">IF(AE92=0,"",IFERROR(SMALL($G92:$I92,2),""))</f>
        <v/>
      </c>
      <c r="AJ92" s="10" t="str">
        <f aca="false">IF(AE92=0,"",IFERROR(SMALL($G92:$I92,3),""))</f>
        <v/>
      </c>
      <c r="AK92" s="12" t="str">
        <f aca="false">IF(AE92=0,"",IF(AH92="","",IF(AH92=$G92,"Part-Time",IF(AH92=$H92,"Full-Time","Casual"))))</f>
        <v/>
      </c>
      <c r="AL92" s="12" t="str">
        <f aca="false">IF(AE92=0,"",IF(AI92="","",IF(AI92=$G92,"Part-Time",IF(AI92=$H92,"Full-Time","Casual"))))</f>
        <v/>
      </c>
      <c r="AM92" s="12" t="str">
        <f aca="false">IF(AE92=0,"",IF(AJ92="","",IF(AJ92=$G92,"Part-Time",IF(AJ92=$H92,"Full-Time","Casual"))))</f>
        <v/>
      </c>
      <c r="AN92" s="12" t="str">
        <f aca="false">IF(AE92=0,"",IF(AG92=0,IF(OR(ISNUMBER(SEARCH("full",$C92)),UPPER(TRIM($C92))="FT",UPPER(TRIM($C92))="FTE"),"FT",IF(AND(OR(ISNUMBER(SEARCH("part",$C92)),UPPER(TRIM($C92))="PT",UPPER(TRIM($C92))="PTE"),OR($P92="",N($P92)&gt;=PT_MinHours)),"PT","None")),IF(OR(ISNUMBER(SEARCH("full",AK92)),UPPER(TRIM(AK92))="FT",UPPER(TRIM(AK92))="FTE"),"FT",IF(AND(OR(ISNUMBER(SEARCH("part",AK92)),UPPER(TRIM(AK92))="PT",UPPER(TRIM(AK92))="PTE"),OR($P92="",N($P92)&gt;=PT_MinHours)),"PT","None"))))</f>
        <v/>
      </c>
      <c r="AO92" s="12" t="str">
        <f aca="false">IF(AE92=0,"",IF(AG92&lt;2,"",IF(OR(ISNUMBER(SEARCH("full",AL92)),UPPER(TRIM(AL92))="FT",UPPER(TRIM(AL92))="FTE"),"FT",IF(AND(OR(ISNUMBER(SEARCH("part",AL92)),UPPER(TRIM(AL92))="PT",UPPER(TRIM(AL92))="PTE"),OR($P92="",N($P92)&gt;=PT_MinHours)),"PT","None"))))</f>
        <v/>
      </c>
      <c r="AP92" s="12" t="str">
        <f aca="false">IF(AE92=0,"",IF(AG92&lt;3,"",IF(OR(ISNUMBER(SEARCH("full",AM92)),UPPER(TRIM(AM92))="FT",UPPER(TRIM(AM92))="FTE"),"FT",IF(AND(OR(ISNUMBER(SEARCH("part",AM92)),UPPER(TRIM(AM92))="PT",UPPER(TRIM(AM92))="PTE"),OR($P92="",N($P92)&gt;=PT_MinHours)),"PT","None"))))</f>
        <v/>
      </c>
      <c r="AQ92" s="12" t="str">
        <f aca="false">IF(AE92=0,"",IF(AND(AG92&gt;=3,AJ92&lt;=AsOfDate),AP92,IF(AND(AG92&gt;=2,AI92&lt;=AsOfDate),AO92,AN92)))</f>
        <v/>
      </c>
      <c r="AR92" s="12" t="str">
        <f aca="false">IF(AE92=0,"",IF(AsOfDate&lt;AF92,-1,12*(YEAR(AsOfDate)-YEAR(AF92))+MONTH(AsOfDate)-MONTH(AF92)-IF(DAY(AsOfDate)&lt;MIN(DAY(AF92),DAY(EOMONTH(AsOfDate,0))),1,0)))</f>
        <v/>
      </c>
      <c r="AS92" s="12" t="str">
        <f aca="false">IF(AE92=0,"",IF(OR(AG92&lt;2,AI92&gt;AsOfDate),AR92,IF((AI92-1)&lt;AF92,-1,12*(YEAR((AI92-1))-YEAR(AF92))+MONTH((AI92-1))-MONTH(AF92)-IF(DAY((AI92-1))&lt;MIN(DAY(AF92),DAY(EOMONTH((AI92-1),0))),1,0))))</f>
        <v/>
      </c>
      <c r="AT92" s="12" t="str">
        <f aca="false">IF(AE92=0,"",IF(OR(AG92&lt;3,AJ92&gt;AsOfDate),AR92,IF((AJ92-1)&lt;AF92,-1,12*(YEAR((AJ92-1))-YEAR(AF92))+MONTH((AJ92-1))-MONTH(AF92)-IF(DAY((AJ92-1))&lt;MIN(DAY(AF92),DAY(EOMONTH((AJ92-1),0))),1,0))))</f>
        <v/>
      </c>
      <c r="AU92" s="12" t="str">
        <f aca="false">IF(AE92=0,"",IF(PFYDate&lt;AF92,-1,12*(YEAR(PFYDate)-YEAR(AF92))+MONTH(PFYDate)-MONTH(AF92)-IF(DAY(PFYDate)&lt;MIN(DAY(AF92),DAY(EOMONTH(PFYDate,0))),1,0)))</f>
        <v/>
      </c>
      <c r="AV92" s="12" t="str">
        <f aca="false">IF(AE92=0,"",IF(OR(AG92&lt;2,AI92&gt;PFYDate),AU92,IF((AI92-1)&lt;AF92,-1,12*(YEAR((AI92-1))-YEAR(AF92))+MONTH((AI92-1))-MONTH(AF92)-IF(DAY((AI92-1))&lt;MIN(DAY(AF92),DAY(EOMONTH((AI92-1),0))),1,0))))</f>
        <v/>
      </c>
      <c r="AW92" s="12" t="str">
        <f aca="false">IF(AE92=0,"",IF(OR(AG92&lt;3,AJ92&gt;PFYDate),AU92,IF((AJ92-1)&lt;AF92,-1,12*(YEAR((AJ92-1))-YEAR(AF92))+MONTH((AJ92-1))-MONTH(AF92)-IF(DAY((AJ92-1))&lt;MIN(DAY(AF92),DAY(EOMONTH((AJ92-1),0))),1,0))))</f>
        <v/>
      </c>
      <c r="AX92" s="12" t="str">
        <f aca="false">IF(AE92=0,"",IF(AN92="FT",IF(AS92&lt;FT_First,0,IF(AS92&lt;FT_Y5,1+INT((AS92-FT_First)/FT_Int1),FT_PreY5+FT_PerYear*INT((AS92-FT_Y5)/12)+FT_AnnivDays+INT(MOD(AS92-FT_Y5,12)/FT_Int2))),IF(AN92="PT",IF(AS92&lt;PT_First,0,1+INT((AS92-PT_First)/PT_Int)),0))+IF(AND(AG92&gt;=2,AI92&lt;=AsOfDate),IF(AO92="FT",IF(AT92&lt;FT_First,0,IF(AT92&lt;FT_Y5,1+INT((AT92-FT_First)/FT_Int1),FT_PreY5+FT_PerYear*INT((AT92-FT_Y5)/12)+FT_AnnivDays+INT(MOD(AT92-FT_Y5,12)/FT_Int2))),IF(AO92="PT",IF(AT92&lt;PT_First,0,1+INT((AT92-PT_First)/PT_Int)),0))-IF(AO92="FT",IF(AS92&lt;FT_First,0,IF(AS92&lt;FT_Y5,1+INT((AS92-FT_First)/FT_Int1),FT_PreY5+FT_PerYear*INT((AS92-FT_Y5)/12)+FT_AnnivDays+INT(MOD(AS92-FT_Y5,12)/FT_Int2))),IF(AO92="PT",IF(AS92&lt;PT_First,0,1+INT((AS92-PT_First)/PT_Int)),0)),0)+IF(AND(AG92&gt;=3,AJ92&lt;=AsOfDate),IF(AP92="FT",IF(AR92&lt;FT_First,0,IF(AR92&lt;FT_Y5,1+INT((AR92-FT_First)/FT_Int1),FT_PreY5+FT_PerYear*INT((AR92-FT_Y5)/12)+FT_AnnivDays+INT(MOD(AR92-FT_Y5,12)/FT_Int2))),IF(AP92="PT",IF(AR92&lt;PT_First,0,1+INT((AR92-PT_First)/PT_Int)),0))-IF(AP92="FT",IF(AT92&lt;FT_First,0,IF(AT92&lt;FT_Y5,1+INT((AT92-FT_First)/FT_Int1),FT_PreY5+FT_PerYear*INT((AT92-FT_Y5)/12)+FT_AnnivDays+INT(MOD(AT92-FT_Y5,12)/FT_Int2))),IF(AP92="PT",IF(AT92&lt;PT_First,0,1+INT((AT92-PT_First)/PT_Int)),0)),0))</f>
        <v/>
      </c>
      <c r="AY92" s="12" t="str">
        <f aca="false">IF(AE92=0,"",IF(AN92="FT",IF(AV92&lt;FT_First,0,IF(AV92&lt;FT_Y5,1+INT((AV92-FT_First)/FT_Int1),FT_PreY5+FT_PerYear*INT((AV92-FT_Y5)/12)+FT_AnnivDays+INT(MOD(AV92-FT_Y5,12)/FT_Int2))),IF(AN92="PT",IF(AV92&lt;PT_First,0,1+INT((AV92-PT_First)/PT_Int)),0))+IF(AND(AG92&gt;=2,AI92&lt;=PFYDate),IF(AO92="FT",IF(AW92&lt;FT_First,0,IF(AW92&lt;FT_Y5,1+INT((AW92-FT_First)/FT_Int1),FT_PreY5+FT_PerYear*INT((AW92-FT_Y5)/12)+FT_AnnivDays+INT(MOD(AW92-FT_Y5,12)/FT_Int2))),IF(AO92="PT",IF(AW92&lt;PT_First,0,1+INT((AW92-PT_First)/PT_Int)),0))-IF(AO92="FT",IF(AV92&lt;FT_First,0,IF(AV92&lt;FT_Y5,1+INT((AV92-FT_First)/FT_Int1),FT_PreY5+FT_PerYear*INT((AV92-FT_Y5)/12)+FT_AnnivDays+INT(MOD(AV92-FT_Y5,12)/FT_Int2))),IF(AO92="PT",IF(AV92&lt;PT_First,0,1+INT((AV92-PT_First)/PT_Int)),0)),0)+IF(AND(AG92&gt;=3,AJ92&lt;=PFYDate),IF(AP92="FT",IF(AU92&lt;FT_First,0,IF(AU92&lt;FT_Y5,1+INT((AU92-FT_First)/FT_Int1),FT_PreY5+FT_PerYear*INT((AU92-FT_Y5)/12)+FT_AnnivDays+INT(MOD(AU92-FT_Y5,12)/FT_Int2))),IF(AP92="PT",IF(AU92&lt;PT_First,0,1+INT((AU92-PT_First)/PT_Int)),0))-IF(AP92="FT",IF(AW92&lt;FT_First,0,IF(AW92&lt;FT_Y5,1+INT((AW92-FT_First)/FT_Int1),FT_PreY5+FT_PerYear*INT((AW92-FT_Y5)/12)+FT_AnnivDays+INT(MOD(AW92-FT_Y5,12)/FT_Int2))),IF(AP92="PT",IF(AW92&lt;PT_First,0,1+INT((AW92-PT_First)/PT_Int)),0)),0))</f>
        <v/>
      </c>
      <c r="AZ92" s="12" t="str">
        <f aca="false">IF(AE92=0,"",IF(AQ92="FT",IF(AR92&lt;FT_First,FT_First,IF(AR92&lt;FT_Y5,MIN(FT_Y5,FT_First+FT_Int1*(INT((AR92-FT_First)/FT_Int1)+1)),FT_Y5+12*INT((AR92-FT_Y5)/12)+FT_Int2*(INT(MOD(AR92-FT_Y5,12)/FT_Int2)+1))),IF(AQ92="PT",IF(AR92&lt;PT_First,PT_First,PT_First+PT_Int*(INT((AR92-PT_First)/PT_Int)+1)),"")))</f>
        <v/>
      </c>
      <c r="BA92" s="12" t="str">
        <f aca="false">IF(AE92=0,"",IF(NOT(LH_Ready),0,COUNTIFS(INDEX(LH_Data,0,LH_ColFirst),$A92,INDEX(LH_Data,0,LH_ColSur),$B92,INDEX(LH_Data,0,LH_ColCat),BonusCat)))</f>
        <v/>
      </c>
      <c r="BB92" s="12" t="str">
        <f aca="false">IF(AE92=0,"",IF(OR(NOT(LH_Ready),BA92=0),0,SUMPRODUCT(MAX((INDEX(LH_Data,0,LH_ColFirst)=$A92)*(INDEX(LH_Data,0,LH_ColSur)=$B92)*(INDEX(LH_Data,0,LH_ColCat)=BonusCat)*ROW(LH_Data)))))</f>
        <v/>
      </c>
    </row>
    <row r="93" customFormat="false" ht="15" hidden="false" customHeight="false" outlineLevel="0" collapsed="false">
      <c r="A93" s="15"/>
      <c r="B93" s="15"/>
      <c r="C93" s="15"/>
      <c r="D93" s="16"/>
      <c r="E93" s="10" t="str">
        <f aca="false">IF(OR(AE93=0,$D93=""),"",DATE(YEAR(AsOfDate)+IF(DATE(YEAR(AsOfDate),MONTH($D93),DAY($D93))&lt;=AsOfDate,1,0),MONTH($D93),DAY($D93)))</f>
        <v/>
      </c>
      <c r="F93" s="16"/>
      <c r="G93" s="16"/>
      <c r="H93" s="16"/>
      <c r="I93" s="16"/>
      <c r="J93" s="16"/>
      <c r="K93" s="10" t="str">
        <f aca="false">IF(AE93=0,"",DATE(YEAR(AsOfDate)+IF(DATE(YEAR(AsOfDate),MONTH($F93),DAY($F93))&lt;=AsOfDate,1,0),MONTH($F93),DAY($F93)))</f>
        <v/>
      </c>
      <c r="L93" s="11" t="str">
        <f aca="false">IF(AE93=0,"",ROUND((AsOfDate-$F93)/365.25,1))</f>
        <v/>
      </c>
      <c r="M93" s="12" t="str">
        <f aca="false">IF(AE93=0,"",IF(AsOfDate&lt;AF93,"-",DATEDIF(AF93,AsOfDate,"y")&amp;"y "&amp;DATEDIF(AF93,AsOfDate,"ym")&amp;"m "&amp;DATEDIF(AF93,AsOfDate,"md")&amp;"d"))</f>
        <v/>
      </c>
      <c r="N93" s="13" t="str">
        <f aca="false">IF(AE93=0,"",O93*HoursPerDay)</f>
        <v/>
      </c>
      <c r="O93" s="13" t="str">
        <f aca="false">IF(AE93=0,"",AX93)</f>
        <v/>
      </c>
      <c r="P93" s="17"/>
      <c r="Q93" s="12" t="str">
        <f aca="false">IF(AE93=0,"",IF(AG93&lt;2,"",AK93&amp;" to "&amp;AL93&amp;" on "&amp;TEXT(AI93,"dd/mm/yyyy")&amp;IF(AI93&gt;AsOfDate," (future)",IF(AN93=AO93,"",IF(AO93="None"," - STOPPED accruing",IF(AN93="None"," - now qualifying"," - pathway changed"))))&amp;IF(AG93&lt;3,"","; "&amp;AL93&amp;" to "&amp;AM93&amp;" on "&amp;TEXT(AJ93,"dd/mm/yyyy")&amp;IF(AJ93&gt;AsOfDate," (future)",IF(AO93=AP93,"",IF(AP93="None"," - STOPPED accruing",IF(AO93="None"," - now qualifying"," - pathway changed")))))))</f>
        <v/>
      </c>
      <c r="R93" s="12" t="str">
        <f aca="false">IF(AE93=0,"",IF(AQ93="None",IF(O93&gt;0,"No longer accruing","Not eligible - "&amp;IF(AND(OR(ISNUMBER(SEARCH("part",$C93)),UPPER(TRIM($C93))="PT",UPPER(TRIM($C93))="PTE"),$P93&lt;&gt;"",N($P93)&lt;PT_MinHours),"under "&amp;PT_MinHours&amp;" hrs",IF(IF($C93="","",IF(OR(ISNUMBER(SEARCH("full",$C93)),UPPER(TRIM($C93))="FT",UPPER(TRIM($C93))="FTE"),"Full-Time",IF(OR(ISNUMBER(SEARCH("part",$C93)),UPPER(TRIM($C93))="PT",UPPER(TRIM($C93))="PTE"),"Part-Time",IF(OR(ISNUMBER(SEARCH("cas",$C93)),UPPER(TRIM($C93))="CAS"),"Casual","Unknown"))))="Unknown","type not recognised",$C93))),IF(O93&gt;0,"Yes - accruing","Not yet - from "&amp;TEXT(S93,"dd/mm/yyyy"))))</f>
        <v/>
      </c>
      <c r="S93" s="10" t="str">
        <f aca="false">IF(AE93=0,"",IF(AQ93="None","",EDATE(AF93,AZ93)))</f>
        <v/>
      </c>
      <c r="T93" s="13" t="str">
        <f aca="false">IF(OR(AE93=0,W93=""),"",W93-U93+V93)</f>
        <v/>
      </c>
      <c r="U93" s="13" t="str">
        <f aca="false">IF(AE93=0,"",IF(NOT(LH_Ready),"",SUMIFS(INDEX(LH_Data,0,LH_ColAcc),INDEX(LH_Data,0,LH_ColFirst),$A93,INDEX(LH_Data,0,LH_ColSur),$B93,INDEX(LH_Data,0,LH_ColCat),BonusCat)*UnitFactor))</f>
        <v/>
      </c>
      <c r="V93" s="13" t="str">
        <f aca="false">IF(AE93=0,"",IF(NOT(LH_Ready),"",SUMIFS(INDEX(LH_Data,0,LH_ColTaken),INDEX(LH_Data,0,LH_ColFirst),$A93,INDEX(LH_Data,0,LH_ColSur),$B93,INDEX(LH_Data,0,LH_ColCat),BonusCat)*UnitFactor))</f>
        <v/>
      </c>
      <c r="W93" s="13" t="str">
        <f aca="false">IF(AE93=0,"",IF(NOT(LH_Ready),"",IF(BB93=0,0,INDEX(INDEX(LH_Data,0,LH_ColClose),BB93-1)*UnitFactor)))</f>
        <v/>
      </c>
      <c r="X93" s="13" t="str">
        <f aca="false">IF(AE93=0,"",(AX93-AY93)*HoursPerDay)</f>
        <v/>
      </c>
      <c r="Y93" s="13" t="str">
        <f aca="false">IF(AE93=0,"",IF(NOT(LH_Ready),"",IF(BA93=0,N93,X93-N(U93))))</f>
        <v/>
      </c>
      <c r="Z93" s="12" t="str">
        <f aca="false">IF(OR(AE93=0,Y93=""),"",IF(Y93&gt;0,"Yes","No"))</f>
        <v/>
      </c>
      <c r="AA93" s="12" t="str">
        <f aca="false">IF(AE93=0,IF(LEN($A93&amp;$B93)=0,"","FIX INPUT - StartDate missing"),IF(AD93&lt;&gt;"","FIX INPUT - "&amp;AD93,IF(NOT(LH_Ready),"Paste Leave History export (Settings must show YES)",IF(Y93&gt;0,"ACCRUE "&amp;ROUND(Y93,2)&amp;" hrs ("&amp;ROUND(Y93/HoursPerDay,2)&amp;" days)"&amp;IF(BA93=0," - no Bonus Leave in EH yet, full catch-up since start",""),IF(Y93&lt;0,"CHECK - EH accrued "&amp;ROUND(-Y93,2)&amp;""&amp;" hrs more than policy",IF(O93&gt;0,"OK - nothing to add",IF(AQ93="None",R93,"Not yet - first day on "&amp;TEXT(S93,"dd/mm/yyyy"))))))))</f>
        <v/>
      </c>
      <c r="AB93" s="13" t="str">
        <f aca="false">IF(OR(AE93=0,T93=""),"",AY93*HoursPerDay-T93)</f>
        <v/>
      </c>
      <c r="AC93" s="12" t="str">
        <f aca="false">IF(AE93=0,"",BA93)</f>
        <v/>
      </c>
      <c r="AD93" s="12" t="str">
        <f aca="false">IF(AE93=0,"",TRIM(IF(IF($C93="","",IF(OR(ISNUMBER(SEARCH("full",$C93)),UPPER(TRIM($C93))="FT",UPPER(TRIM($C93))="FTE"),"Full-Time",IF(OR(ISNUMBER(SEARCH("part",$C93)),UPPER(TRIM($C93))="PT",UPPER(TRIM($C93))="PTE"),"Part-Time",IF(OR(ISNUMBER(SEARCH("cas",$C93)),UPPER(TRIM($C93))="CAS"),"Casual","Unknown"))))="Unknown","EmploymentType not recognised - use Full-Time, Part-Time or Casual. ","")&amp;IF(AND(AG93&gt;=1,IF(AG93&gt;=3,AM93,IF(AG93=2,AL93,AK93))&lt;&gt;IF($C93="","",IF(OR(ISNUMBER(SEARCH("full",$C93)),UPPER(TRIM($C93))="FT",UPPER(TRIM($C93))="FTE"),"Full-Time",IF(OR(ISNUMBER(SEARCH("part",$C93)),UPPER(TRIM($C93))="PT",UPPER(TRIM($C93))="PTE"),"Part-Time",IF(OR(ISNUMBER(SEARCH("cas",$C93)),UPPER(TRIM($C93))="CAS"),"Casual","Unknown"))))),"EmploymentType does not match latest start date ("&amp;IF(AG93&gt;=3,AM93,IF(AG93=2,AL93,AK93))&amp;"). ","")&amp;IF(AND(AG93&gt;=1,AH93&lt;&gt;$F93),"Earliest type date should equal StartDate. ","")&amp;IF(AND(AG93&gt;=2,AH93=AI93),"Two types start on the same date. ","")&amp;IF(AND(OR(ISNUMBER(SEARCH("part",$C93)),UPPER(TRIM($C93))="PT",UPPER(TRIM($C93))="PTE"),$P93=""),"Part-time: enter PT Hrs/Week (blank = 24+). ","")))</f>
        <v/>
      </c>
      <c r="AE93" s="12" t="n">
        <f aca="false">IF(OR(LEN($A93&amp;$B93)=0,$F93=""),0,1)</f>
        <v>0</v>
      </c>
      <c r="AF93" s="10" t="str">
        <f aca="false">IF(AE93=0,"",IF($J93&lt;&gt;"",$J93,$F93))</f>
        <v/>
      </c>
      <c r="AG93" s="12" t="str">
        <f aca="false">IF(AE93=0,"",COUNT($G93:$I93))</f>
        <v/>
      </c>
      <c r="AH93" s="10" t="str">
        <f aca="false">IF(AE93=0,"",IFERROR(SMALL($G93:$I93,1),""))</f>
        <v/>
      </c>
      <c r="AI93" s="10" t="str">
        <f aca="false">IF(AE93=0,"",IFERROR(SMALL($G93:$I93,2),""))</f>
        <v/>
      </c>
      <c r="AJ93" s="10" t="str">
        <f aca="false">IF(AE93=0,"",IFERROR(SMALL($G93:$I93,3),""))</f>
        <v/>
      </c>
      <c r="AK93" s="12" t="str">
        <f aca="false">IF(AE93=0,"",IF(AH93="","",IF(AH93=$G93,"Part-Time",IF(AH93=$H93,"Full-Time","Casual"))))</f>
        <v/>
      </c>
      <c r="AL93" s="12" t="str">
        <f aca="false">IF(AE93=0,"",IF(AI93="","",IF(AI93=$G93,"Part-Time",IF(AI93=$H93,"Full-Time","Casual"))))</f>
        <v/>
      </c>
      <c r="AM93" s="12" t="str">
        <f aca="false">IF(AE93=0,"",IF(AJ93="","",IF(AJ93=$G93,"Part-Time",IF(AJ93=$H93,"Full-Time","Casual"))))</f>
        <v/>
      </c>
      <c r="AN93" s="12" t="str">
        <f aca="false">IF(AE93=0,"",IF(AG93=0,IF(OR(ISNUMBER(SEARCH("full",$C93)),UPPER(TRIM($C93))="FT",UPPER(TRIM($C93))="FTE"),"FT",IF(AND(OR(ISNUMBER(SEARCH("part",$C93)),UPPER(TRIM($C93))="PT",UPPER(TRIM($C93))="PTE"),OR($P93="",N($P93)&gt;=PT_MinHours)),"PT","None")),IF(OR(ISNUMBER(SEARCH("full",AK93)),UPPER(TRIM(AK93))="FT",UPPER(TRIM(AK93))="FTE"),"FT",IF(AND(OR(ISNUMBER(SEARCH("part",AK93)),UPPER(TRIM(AK93))="PT",UPPER(TRIM(AK93))="PTE"),OR($P93="",N($P93)&gt;=PT_MinHours)),"PT","None"))))</f>
        <v/>
      </c>
      <c r="AO93" s="12" t="str">
        <f aca="false">IF(AE93=0,"",IF(AG93&lt;2,"",IF(OR(ISNUMBER(SEARCH("full",AL93)),UPPER(TRIM(AL93))="FT",UPPER(TRIM(AL93))="FTE"),"FT",IF(AND(OR(ISNUMBER(SEARCH("part",AL93)),UPPER(TRIM(AL93))="PT",UPPER(TRIM(AL93))="PTE"),OR($P93="",N($P93)&gt;=PT_MinHours)),"PT","None"))))</f>
        <v/>
      </c>
      <c r="AP93" s="12" t="str">
        <f aca="false">IF(AE93=0,"",IF(AG93&lt;3,"",IF(OR(ISNUMBER(SEARCH("full",AM93)),UPPER(TRIM(AM93))="FT",UPPER(TRIM(AM93))="FTE"),"FT",IF(AND(OR(ISNUMBER(SEARCH("part",AM93)),UPPER(TRIM(AM93))="PT",UPPER(TRIM(AM93))="PTE"),OR($P93="",N($P93)&gt;=PT_MinHours)),"PT","None"))))</f>
        <v/>
      </c>
      <c r="AQ93" s="12" t="str">
        <f aca="false">IF(AE93=0,"",IF(AND(AG93&gt;=3,AJ93&lt;=AsOfDate),AP93,IF(AND(AG93&gt;=2,AI93&lt;=AsOfDate),AO93,AN93)))</f>
        <v/>
      </c>
      <c r="AR93" s="12" t="str">
        <f aca="false">IF(AE93=0,"",IF(AsOfDate&lt;AF93,-1,12*(YEAR(AsOfDate)-YEAR(AF93))+MONTH(AsOfDate)-MONTH(AF93)-IF(DAY(AsOfDate)&lt;MIN(DAY(AF93),DAY(EOMONTH(AsOfDate,0))),1,0)))</f>
        <v/>
      </c>
      <c r="AS93" s="12" t="str">
        <f aca="false">IF(AE93=0,"",IF(OR(AG93&lt;2,AI93&gt;AsOfDate),AR93,IF((AI93-1)&lt;AF93,-1,12*(YEAR((AI93-1))-YEAR(AF93))+MONTH((AI93-1))-MONTH(AF93)-IF(DAY((AI93-1))&lt;MIN(DAY(AF93),DAY(EOMONTH((AI93-1),0))),1,0))))</f>
        <v/>
      </c>
      <c r="AT93" s="12" t="str">
        <f aca="false">IF(AE93=0,"",IF(OR(AG93&lt;3,AJ93&gt;AsOfDate),AR93,IF((AJ93-1)&lt;AF93,-1,12*(YEAR((AJ93-1))-YEAR(AF93))+MONTH((AJ93-1))-MONTH(AF93)-IF(DAY((AJ93-1))&lt;MIN(DAY(AF93),DAY(EOMONTH((AJ93-1),0))),1,0))))</f>
        <v/>
      </c>
      <c r="AU93" s="12" t="str">
        <f aca="false">IF(AE93=0,"",IF(PFYDate&lt;AF93,-1,12*(YEAR(PFYDate)-YEAR(AF93))+MONTH(PFYDate)-MONTH(AF93)-IF(DAY(PFYDate)&lt;MIN(DAY(AF93),DAY(EOMONTH(PFYDate,0))),1,0)))</f>
        <v/>
      </c>
      <c r="AV93" s="12" t="str">
        <f aca="false">IF(AE93=0,"",IF(OR(AG93&lt;2,AI93&gt;PFYDate),AU93,IF((AI93-1)&lt;AF93,-1,12*(YEAR((AI93-1))-YEAR(AF93))+MONTH((AI93-1))-MONTH(AF93)-IF(DAY((AI93-1))&lt;MIN(DAY(AF93),DAY(EOMONTH((AI93-1),0))),1,0))))</f>
        <v/>
      </c>
      <c r="AW93" s="12" t="str">
        <f aca="false">IF(AE93=0,"",IF(OR(AG93&lt;3,AJ93&gt;PFYDate),AU93,IF((AJ93-1)&lt;AF93,-1,12*(YEAR((AJ93-1))-YEAR(AF93))+MONTH((AJ93-1))-MONTH(AF93)-IF(DAY((AJ93-1))&lt;MIN(DAY(AF93),DAY(EOMONTH((AJ93-1),0))),1,0))))</f>
        <v/>
      </c>
      <c r="AX93" s="12" t="str">
        <f aca="false">IF(AE93=0,"",IF(AN93="FT",IF(AS93&lt;FT_First,0,IF(AS93&lt;FT_Y5,1+INT((AS93-FT_First)/FT_Int1),FT_PreY5+FT_PerYear*INT((AS93-FT_Y5)/12)+FT_AnnivDays+INT(MOD(AS93-FT_Y5,12)/FT_Int2))),IF(AN93="PT",IF(AS93&lt;PT_First,0,1+INT((AS93-PT_First)/PT_Int)),0))+IF(AND(AG93&gt;=2,AI93&lt;=AsOfDate),IF(AO93="FT",IF(AT93&lt;FT_First,0,IF(AT93&lt;FT_Y5,1+INT((AT93-FT_First)/FT_Int1),FT_PreY5+FT_PerYear*INT((AT93-FT_Y5)/12)+FT_AnnivDays+INT(MOD(AT93-FT_Y5,12)/FT_Int2))),IF(AO93="PT",IF(AT93&lt;PT_First,0,1+INT((AT93-PT_First)/PT_Int)),0))-IF(AO93="FT",IF(AS93&lt;FT_First,0,IF(AS93&lt;FT_Y5,1+INT((AS93-FT_First)/FT_Int1),FT_PreY5+FT_PerYear*INT((AS93-FT_Y5)/12)+FT_AnnivDays+INT(MOD(AS93-FT_Y5,12)/FT_Int2))),IF(AO93="PT",IF(AS93&lt;PT_First,0,1+INT((AS93-PT_First)/PT_Int)),0)),0)+IF(AND(AG93&gt;=3,AJ93&lt;=AsOfDate),IF(AP93="FT",IF(AR93&lt;FT_First,0,IF(AR93&lt;FT_Y5,1+INT((AR93-FT_First)/FT_Int1),FT_PreY5+FT_PerYear*INT((AR93-FT_Y5)/12)+FT_AnnivDays+INT(MOD(AR93-FT_Y5,12)/FT_Int2))),IF(AP93="PT",IF(AR93&lt;PT_First,0,1+INT((AR93-PT_First)/PT_Int)),0))-IF(AP93="FT",IF(AT93&lt;FT_First,0,IF(AT93&lt;FT_Y5,1+INT((AT93-FT_First)/FT_Int1),FT_PreY5+FT_PerYear*INT((AT93-FT_Y5)/12)+FT_AnnivDays+INT(MOD(AT93-FT_Y5,12)/FT_Int2))),IF(AP93="PT",IF(AT93&lt;PT_First,0,1+INT((AT93-PT_First)/PT_Int)),0)),0))</f>
        <v/>
      </c>
      <c r="AY93" s="12" t="str">
        <f aca="false">IF(AE93=0,"",IF(AN93="FT",IF(AV93&lt;FT_First,0,IF(AV93&lt;FT_Y5,1+INT((AV93-FT_First)/FT_Int1),FT_PreY5+FT_PerYear*INT((AV93-FT_Y5)/12)+FT_AnnivDays+INT(MOD(AV93-FT_Y5,12)/FT_Int2))),IF(AN93="PT",IF(AV93&lt;PT_First,0,1+INT((AV93-PT_First)/PT_Int)),0))+IF(AND(AG93&gt;=2,AI93&lt;=PFYDate),IF(AO93="FT",IF(AW93&lt;FT_First,0,IF(AW93&lt;FT_Y5,1+INT((AW93-FT_First)/FT_Int1),FT_PreY5+FT_PerYear*INT((AW93-FT_Y5)/12)+FT_AnnivDays+INT(MOD(AW93-FT_Y5,12)/FT_Int2))),IF(AO93="PT",IF(AW93&lt;PT_First,0,1+INT((AW93-PT_First)/PT_Int)),0))-IF(AO93="FT",IF(AV93&lt;FT_First,0,IF(AV93&lt;FT_Y5,1+INT((AV93-FT_First)/FT_Int1),FT_PreY5+FT_PerYear*INT((AV93-FT_Y5)/12)+FT_AnnivDays+INT(MOD(AV93-FT_Y5,12)/FT_Int2))),IF(AO93="PT",IF(AV93&lt;PT_First,0,1+INT((AV93-PT_First)/PT_Int)),0)),0)+IF(AND(AG93&gt;=3,AJ93&lt;=PFYDate),IF(AP93="FT",IF(AU93&lt;FT_First,0,IF(AU93&lt;FT_Y5,1+INT((AU93-FT_First)/FT_Int1),FT_PreY5+FT_PerYear*INT((AU93-FT_Y5)/12)+FT_AnnivDays+INT(MOD(AU93-FT_Y5,12)/FT_Int2))),IF(AP93="PT",IF(AU93&lt;PT_First,0,1+INT((AU93-PT_First)/PT_Int)),0))-IF(AP93="FT",IF(AW93&lt;FT_First,0,IF(AW93&lt;FT_Y5,1+INT((AW93-FT_First)/FT_Int1),FT_PreY5+FT_PerYear*INT((AW93-FT_Y5)/12)+FT_AnnivDays+INT(MOD(AW93-FT_Y5,12)/FT_Int2))),IF(AP93="PT",IF(AW93&lt;PT_First,0,1+INT((AW93-PT_First)/PT_Int)),0)),0))</f>
        <v/>
      </c>
      <c r="AZ93" s="12" t="str">
        <f aca="false">IF(AE93=0,"",IF(AQ93="FT",IF(AR93&lt;FT_First,FT_First,IF(AR93&lt;FT_Y5,MIN(FT_Y5,FT_First+FT_Int1*(INT((AR93-FT_First)/FT_Int1)+1)),FT_Y5+12*INT((AR93-FT_Y5)/12)+FT_Int2*(INT(MOD(AR93-FT_Y5,12)/FT_Int2)+1))),IF(AQ93="PT",IF(AR93&lt;PT_First,PT_First,PT_First+PT_Int*(INT((AR93-PT_First)/PT_Int)+1)),"")))</f>
        <v/>
      </c>
      <c r="BA93" s="12" t="str">
        <f aca="false">IF(AE93=0,"",IF(NOT(LH_Ready),0,COUNTIFS(INDEX(LH_Data,0,LH_ColFirst),$A93,INDEX(LH_Data,0,LH_ColSur),$B93,INDEX(LH_Data,0,LH_ColCat),BonusCat)))</f>
        <v/>
      </c>
      <c r="BB93" s="12" t="str">
        <f aca="false">IF(AE93=0,"",IF(OR(NOT(LH_Ready),BA93=0),0,SUMPRODUCT(MAX((INDEX(LH_Data,0,LH_ColFirst)=$A93)*(INDEX(LH_Data,0,LH_ColSur)=$B93)*(INDEX(LH_Data,0,LH_ColCat)=BonusCat)*ROW(LH_Data)))))</f>
        <v/>
      </c>
    </row>
    <row r="94" customFormat="false" ht="15" hidden="false" customHeight="false" outlineLevel="0" collapsed="false">
      <c r="A94" s="15"/>
      <c r="B94" s="15"/>
      <c r="C94" s="15"/>
      <c r="D94" s="16"/>
      <c r="E94" s="10" t="str">
        <f aca="false">IF(OR(AE94=0,$D94=""),"",DATE(YEAR(AsOfDate)+IF(DATE(YEAR(AsOfDate),MONTH($D94),DAY($D94))&lt;=AsOfDate,1,0),MONTH($D94),DAY($D94)))</f>
        <v/>
      </c>
      <c r="F94" s="16"/>
      <c r="G94" s="16"/>
      <c r="H94" s="16"/>
      <c r="I94" s="16"/>
      <c r="J94" s="16"/>
      <c r="K94" s="10" t="str">
        <f aca="false">IF(AE94=0,"",DATE(YEAR(AsOfDate)+IF(DATE(YEAR(AsOfDate),MONTH($F94),DAY($F94))&lt;=AsOfDate,1,0),MONTH($F94),DAY($F94)))</f>
        <v/>
      </c>
      <c r="L94" s="11" t="str">
        <f aca="false">IF(AE94=0,"",ROUND((AsOfDate-$F94)/365.25,1))</f>
        <v/>
      </c>
      <c r="M94" s="12" t="str">
        <f aca="false">IF(AE94=0,"",IF(AsOfDate&lt;AF94,"-",DATEDIF(AF94,AsOfDate,"y")&amp;"y "&amp;DATEDIF(AF94,AsOfDate,"ym")&amp;"m "&amp;DATEDIF(AF94,AsOfDate,"md")&amp;"d"))</f>
        <v/>
      </c>
      <c r="N94" s="13" t="str">
        <f aca="false">IF(AE94=0,"",O94*HoursPerDay)</f>
        <v/>
      </c>
      <c r="O94" s="13" t="str">
        <f aca="false">IF(AE94=0,"",AX94)</f>
        <v/>
      </c>
      <c r="P94" s="17"/>
      <c r="Q94" s="12" t="str">
        <f aca="false">IF(AE94=0,"",IF(AG94&lt;2,"",AK94&amp;" to "&amp;AL94&amp;" on "&amp;TEXT(AI94,"dd/mm/yyyy")&amp;IF(AI94&gt;AsOfDate," (future)",IF(AN94=AO94,"",IF(AO94="None"," - STOPPED accruing",IF(AN94="None"," - now qualifying"," - pathway changed"))))&amp;IF(AG94&lt;3,"","; "&amp;AL94&amp;" to "&amp;AM94&amp;" on "&amp;TEXT(AJ94,"dd/mm/yyyy")&amp;IF(AJ94&gt;AsOfDate," (future)",IF(AO94=AP94,"",IF(AP94="None"," - STOPPED accruing",IF(AO94="None"," - now qualifying"," - pathway changed")))))))</f>
        <v/>
      </c>
      <c r="R94" s="12" t="str">
        <f aca="false">IF(AE94=0,"",IF(AQ94="None",IF(O94&gt;0,"No longer accruing","Not eligible - "&amp;IF(AND(OR(ISNUMBER(SEARCH("part",$C94)),UPPER(TRIM($C94))="PT",UPPER(TRIM($C94))="PTE"),$P94&lt;&gt;"",N($P94)&lt;PT_MinHours),"under "&amp;PT_MinHours&amp;" hrs",IF(IF($C94="","",IF(OR(ISNUMBER(SEARCH("full",$C94)),UPPER(TRIM($C94))="FT",UPPER(TRIM($C94))="FTE"),"Full-Time",IF(OR(ISNUMBER(SEARCH("part",$C94)),UPPER(TRIM($C94))="PT",UPPER(TRIM($C94))="PTE"),"Part-Time",IF(OR(ISNUMBER(SEARCH("cas",$C94)),UPPER(TRIM($C94))="CAS"),"Casual","Unknown"))))="Unknown","type not recognised",$C94))),IF(O94&gt;0,"Yes - accruing","Not yet - from "&amp;TEXT(S94,"dd/mm/yyyy"))))</f>
        <v/>
      </c>
      <c r="S94" s="10" t="str">
        <f aca="false">IF(AE94=0,"",IF(AQ94="None","",EDATE(AF94,AZ94)))</f>
        <v/>
      </c>
      <c r="T94" s="13" t="str">
        <f aca="false">IF(OR(AE94=0,W94=""),"",W94-U94+V94)</f>
        <v/>
      </c>
      <c r="U94" s="13" t="str">
        <f aca="false">IF(AE94=0,"",IF(NOT(LH_Ready),"",SUMIFS(INDEX(LH_Data,0,LH_ColAcc),INDEX(LH_Data,0,LH_ColFirst),$A94,INDEX(LH_Data,0,LH_ColSur),$B94,INDEX(LH_Data,0,LH_ColCat),BonusCat)*UnitFactor))</f>
        <v/>
      </c>
      <c r="V94" s="13" t="str">
        <f aca="false">IF(AE94=0,"",IF(NOT(LH_Ready),"",SUMIFS(INDEX(LH_Data,0,LH_ColTaken),INDEX(LH_Data,0,LH_ColFirst),$A94,INDEX(LH_Data,0,LH_ColSur),$B94,INDEX(LH_Data,0,LH_ColCat),BonusCat)*UnitFactor))</f>
        <v/>
      </c>
      <c r="W94" s="13" t="str">
        <f aca="false">IF(AE94=0,"",IF(NOT(LH_Ready),"",IF(BB94=0,0,INDEX(INDEX(LH_Data,0,LH_ColClose),BB94-1)*UnitFactor)))</f>
        <v/>
      </c>
      <c r="X94" s="13" t="str">
        <f aca="false">IF(AE94=0,"",(AX94-AY94)*HoursPerDay)</f>
        <v/>
      </c>
      <c r="Y94" s="13" t="str">
        <f aca="false">IF(AE94=0,"",IF(NOT(LH_Ready),"",IF(BA94=0,N94,X94-N(U94))))</f>
        <v/>
      </c>
      <c r="Z94" s="12" t="str">
        <f aca="false">IF(OR(AE94=0,Y94=""),"",IF(Y94&gt;0,"Yes","No"))</f>
        <v/>
      </c>
      <c r="AA94" s="12" t="str">
        <f aca="false">IF(AE94=0,IF(LEN($A94&amp;$B94)=0,"","FIX INPUT - StartDate missing"),IF(AD94&lt;&gt;"","FIX INPUT - "&amp;AD94,IF(NOT(LH_Ready),"Paste Leave History export (Settings must show YES)",IF(Y94&gt;0,"ACCRUE "&amp;ROUND(Y94,2)&amp;" hrs ("&amp;ROUND(Y94/HoursPerDay,2)&amp;" days)"&amp;IF(BA94=0," - no Bonus Leave in EH yet, full catch-up since start",""),IF(Y94&lt;0,"CHECK - EH accrued "&amp;ROUND(-Y94,2)&amp;""&amp;" hrs more than policy",IF(O94&gt;0,"OK - nothing to add",IF(AQ94="None",R94,"Not yet - first day on "&amp;TEXT(S94,"dd/mm/yyyy"))))))))</f>
        <v/>
      </c>
      <c r="AB94" s="13" t="str">
        <f aca="false">IF(OR(AE94=0,T94=""),"",AY94*HoursPerDay-T94)</f>
        <v/>
      </c>
      <c r="AC94" s="12" t="str">
        <f aca="false">IF(AE94=0,"",BA94)</f>
        <v/>
      </c>
      <c r="AD94" s="12" t="str">
        <f aca="false">IF(AE94=0,"",TRIM(IF(IF($C94="","",IF(OR(ISNUMBER(SEARCH("full",$C94)),UPPER(TRIM($C94))="FT",UPPER(TRIM($C94))="FTE"),"Full-Time",IF(OR(ISNUMBER(SEARCH("part",$C94)),UPPER(TRIM($C94))="PT",UPPER(TRIM($C94))="PTE"),"Part-Time",IF(OR(ISNUMBER(SEARCH("cas",$C94)),UPPER(TRIM($C94))="CAS"),"Casual","Unknown"))))="Unknown","EmploymentType not recognised - use Full-Time, Part-Time or Casual. ","")&amp;IF(AND(AG94&gt;=1,IF(AG94&gt;=3,AM94,IF(AG94=2,AL94,AK94))&lt;&gt;IF($C94="","",IF(OR(ISNUMBER(SEARCH("full",$C94)),UPPER(TRIM($C94))="FT",UPPER(TRIM($C94))="FTE"),"Full-Time",IF(OR(ISNUMBER(SEARCH("part",$C94)),UPPER(TRIM($C94))="PT",UPPER(TRIM($C94))="PTE"),"Part-Time",IF(OR(ISNUMBER(SEARCH("cas",$C94)),UPPER(TRIM($C94))="CAS"),"Casual","Unknown"))))),"EmploymentType does not match latest start date ("&amp;IF(AG94&gt;=3,AM94,IF(AG94=2,AL94,AK94))&amp;"). ","")&amp;IF(AND(AG94&gt;=1,AH94&lt;&gt;$F94),"Earliest type date should equal StartDate. ","")&amp;IF(AND(AG94&gt;=2,AH94=AI94),"Two types start on the same date. ","")&amp;IF(AND(OR(ISNUMBER(SEARCH("part",$C94)),UPPER(TRIM($C94))="PT",UPPER(TRIM($C94))="PTE"),$P94=""),"Part-time: enter PT Hrs/Week (blank = 24+). ","")))</f>
        <v/>
      </c>
      <c r="AE94" s="12" t="n">
        <f aca="false">IF(OR(LEN($A94&amp;$B94)=0,$F94=""),0,1)</f>
        <v>0</v>
      </c>
      <c r="AF94" s="10" t="str">
        <f aca="false">IF(AE94=0,"",IF($J94&lt;&gt;"",$J94,$F94))</f>
        <v/>
      </c>
      <c r="AG94" s="12" t="str">
        <f aca="false">IF(AE94=0,"",COUNT($G94:$I94))</f>
        <v/>
      </c>
      <c r="AH94" s="10" t="str">
        <f aca="false">IF(AE94=0,"",IFERROR(SMALL($G94:$I94,1),""))</f>
        <v/>
      </c>
      <c r="AI94" s="10" t="str">
        <f aca="false">IF(AE94=0,"",IFERROR(SMALL($G94:$I94,2),""))</f>
        <v/>
      </c>
      <c r="AJ94" s="10" t="str">
        <f aca="false">IF(AE94=0,"",IFERROR(SMALL($G94:$I94,3),""))</f>
        <v/>
      </c>
      <c r="AK94" s="12" t="str">
        <f aca="false">IF(AE94=0,"",IF(AH94="","",IF(AH94=$G94,"Part-Time",IF(AH94=$H94,"Full-Time","Casual"))))</f>
        <v/>
      </c>
      <c r="AL94" s="12" t="str">
        <f aca="false">IF(AE94=0,"",IF(AI94="","",IF(AI94=$G94,"Part-Time",IF(AI94=$H94,"Full-Time","Casual"))))</f>
        <v/>
      </c>
      <c r="AM94" s="12" t="str">
        <f aca="false">IF(AE94=0,"",IF(AJ94="","",IF(AJ94=$G94,"Part-Time",IF(AJ94=$H94,"Full-Time","Casual"))))</f>
        <v/>
      </c>
      <c r="AN94" s="12" t="str">
        <f aca="false">IF(AE94=0,"",IF(AG94=0,IF(OR(ISNUMBER(SEARCH("full",$C94)),UPPER(TRIM($C94))="FT",UPPER(TRIM($C94))="FTE"),"FT",IF(AND(OR(ISNUMBER(SEARCH("part",$C94)),UPPER(TRIM($C94))="PT",UPPER(TRIM($C94))="PTE"),OR($P94="",N($P94)&gt;=PT_MinHours)),"PT","None")),IF(OR(ISNUMBER(SEARCH("full",AK94)),UPPER(TRIM(AK94))="FT",UPPER(TRIM(AK94))="FTE"),"FT",IF(AND(OR(ISNUMBER(SEARCH("part",AK94)),UPPER(TRIM(AK94))="PT",UPPER(TRIM(AK94))="PTE"),OR($P94="",N($P94)&gt;=PT_MinHours)),"PT","None"))))</f>
        <v/>
      </c>
      <c r="AO94" s="12" t="str">
        <f aca="false">IF(AE94=0,"",IF(AG94&lt;2,"",IF(OR(ISNUMBER(SEARCH("full",AL94)),UPPER(TRIM(AL94))="FT",UPPER(TRIM(AL94))="FTE"),"FT",IF(AND(OR(ISNUMBER(SEARCH("part",AL94)),UPPER(TRIM(AL94))="PT",UPPER(TRIM(AL94))="PTE"),OR($P94="",N($P94)&gt;=PT_MinHours)),"PT","None"))))</f>
        <v/>
      </c>
      <c r="AP94" s="12" t="str">
        <f aca="false">IF(AE94=0,"",IF(AG94&lt;3,"",IF(OR(ISNUMBER(SEARCH("full",AM94)),UPPER(TRIM(AM94))="FT",UPPER(TRIM(AM94))="FTE"),"FT",IF(AND(OR(ISNUMBER(SEARCH("part",AM94)),UPPER(TRIM(AM94))="PT",UPPER(TRIM(AM94))="PTE"),OR($P94="",N($P94)&gt;=PT_MinHours)),"PT","None"))))</f>
        <v/>
      </c>
      <c r="AQ94" s="12" t="str">
        <f aca="false">IF(AE94=0,"",IF(AND(AG94&gt;=3,AJ94&lt;=AsOfDate),AP94,IF(AND(AG94&gt;=2,AI94&lt;=AsOfDate),AO94,AN94)))</f>
        <v/>
      </c>
      <c r="AR94" s="12" t="str">
        <f aca="false">IF(AE94=0,"",IF(AsOfDate&lt;AF94,-1,12*(YEAR(AsOfDate)-YEAR(AF94))+MONTH(AsOfDate)-MONTH(AF94)-IF(DAY(AsOfDate)&lt;MIN(DAY(AF94),DAY(EOMONTH(AsOfDate,0))),1,0)))</f>
        <v/>
      </c>
      <c r="AS94" s="12" t="str">
        <f aca="false">IF(AE94=0,"",IF(OR(AG94&lt;2,AI94&gt;AsOfDate),AR94,IF((AI94-1)&lt;AF94,-1,12*(YEAR((AI94-1))-YEAR(AF94))+MONTH((AI94-1))-MONTH(AF94)-IF(DAY((AI94-1))&lt;MIN(DAY(AF94),DAY(EOMONTH((AI94-1),0))),1,0))))</f>
        <v/>
      </c>
      <c r="AT94" s="12" t="str">
        <f aca="false">IF(AE94=0,"",IF(OR(AG94&lt;3,AJ94&gt;AsOfDate),AR94,IF((AJ94-1)&lt;AF94,-1,12*(YEAR((AJ94-1))-YEAR(AF94))+MONTH((AJ94-1))-MONTH(AF94)-IF(DAY((AJ94-1))&lt;MIN(DAY(AF94),DAY(EOMONTH((AJ94-1),0))),1,0))))</f>
        <v/>
      </c>
      <c r="AU94" s="12" t="str">
        <f aca="false">IF(AE94=0,"",IF(PFYDate&lt;AF94,-1,12*(YEAR(PFYDate)-YEAR(AF94))+MONTH(PFYDate)-MONTH(AF94)-IF(DAY(PFYDate)&lt;MIN(DAY(AF94),DAY(EOMONTH(PFYDate,0))),1,0)))</f>
        <v/>
      </c>
      <c r="AV94" s="12" t="str">
        <f aca="false">IF(AE94=0,"",IF(OR(AG94&lt;2,AI94&gt;PFYDate),AU94,IF((AI94-1)&lt;AF94,-1,12*(YEAR((AI94-1))-YEAR(AF94))+MONTH((AI94-1))-MONTH(AF94)-IF(DAY((AI94-1))&lt;MIN(DAY(AF94),DAY(EOMONTH((AI94-1),0))),1,0))))</f>
        <v/>
      </c>
      <c r="AW94" s="12" t="str">
        <f aca="false">IF(AE94=0,"",IF(OR(AG94&lt;3,AJ94&gt;PFYDate),AU94,IF((AJ94-1)&lt;AF94,-1,12*(YEAR((AJ94-1))-YEAR(AF94))+MONTH((AJ94-1))-MONTH(AF94)-IF(DAY((AJ94-1))&lt;MIN(DAY(AF94),DAY(EOMONTH((AJ94-1),0))),1,0))))</f>
        <v/>
      </c>
      <c r="AX94" s="12" t="str">
        <f aca="false">IF(AE94=0,"",IF(AN94="FT",IF(AS94&lt;FT_First,0,IF(AS94&lt;FT_Y5,1+INT((AS94-FT_First)/FT_Int1),FT_PreY5+FT_PerYear*INT((AS94-FT_Y5)/12)+FT_AnnivDays+INT(MOD(AS94-FT_Y5,12)/FT_Int2))),IF(AN94="PT",IF(AS94&lt;PT_First,0,1+INT((AS94-PT_First)/PT_Int)),0))+IF(AND(AG94&gt;=2,AI94&lt;=AsOfDate),IF(AO94="FT",IF(AT94&lt;FT_First,0,IF(AT94&lt;FT_Y5,1+INT((AT94-FT_First)/FT_Int1),FT_PreY5+FT_PerYear*INT((AT94-FT_Y5)/12)+FT_AnnivDays+INT(MOD(AT94-FT_Y5,12)/FT_Int2))),IF(AO94="PT",IF(AT94&lt;PT_First,0,1+INT((AT94-PT_First)/PT_Int)),0))-IF(AO94="FT",IF(AS94&lt;FT_First,0,IF(AS94&lt;FT_Y5,1+INT((AS94-FT_First)/FT_Int1),FT_PreY5+FT_PerYear*INT((AS94-FT_Y5)/12)+FT_AnnivDays+INT(MOD(AS94-FT_Y5,12)/FT_Int2))),IF(AO94="PT",IF(AS94&lt;PT_First,0,1+INT((AS94-PT_First)/PT_Int)),0)),0)+IF(AND(AG94&gt;=3,AJ94&lt;=AsOfDate),IF(AP94="FT",IF(AR94&lt;FT_First,0,IF(AR94&lt;FT_Y5,1+INT((AR94-FT_First)/FT_Int1),FT_PreY5+FT_PerYear*INT((AR94-FT_Y5)/12)+FT_AnnivDays+INT(MOD(AR94-FT_Y5,12)/FT_Int2))),IF(AP94="PT",IF(AR94&lt;PT_First,0,1+INT((AR94-PT_First)/PT_Int)),0))-IF(AP94="FT",IF(AT94&lt;FT_First,0,IF(AT94&lt;FT_Y5,1+INT((AT94-FT_First)/FT_Int1),FT_PreY5+FT_PerYear*INT((AT94-FT_Y5)/12)+FT_AnnivDays+INT(MOD(AT94-FT_Y5,12)/FT_Int2))),IF(AP94="PT",IF(AT94&lt;PT_First,0,1+INT((AT94-PT_First)/PT_Int)),0)),0))</f>
        <v/>
      </c>
      <c r="AY94" s="12" t="str">
        <f aca="false">IF(AE94=0,"",IF(AN94="FT",IF(AV94&lt;FT_First,0,IF(AV94&lt;FT_Y5,1+INT((AV94-FT_First)/FT_Int1),FT_PreY5+FT_PerYear*INT((AV94-FT_Y5)/12)+FT_AnnivDays+INT(MOD(AV94-FT_Y5,12)/FT_Int2))),IF(AN94="PT",IF(AV94&lt;PT_First,0,1+INT((AV94-PT_First)/PT_Int)),0))+IF(AND(AG94&gt;=2,AI94&lt;=PFYDate),IF(AO94="FT",IF(AW94&lt;FT_First,0,IF(AW94&lt;FT_Y5,1+INT((AW94-FT_First)/FT_Int1),FT_PreY5+FT_PerYear*INT((AW94-FT_Y5)/12)+FT_AnnivDays+INT(MOD(AW94-FT_Y5,12)/FT_Int2))),IF(AO94="PT",IF(AW94&lt;PT_First,0,1+INT((AW94-PT_First)/PT_Int)),0))-IF(AO94="FT",IF(AV94&lt;FT_First,0,IF(AV94&lt;FT_Y5,1+INT((AV94-FT_First)/FT_Int1),FT_PreY5+FT_PerYear*INT((AV94-FT_Y5)/12)+FT_AnnivDays+INT(MOD(AV94-FT_Y5,12)/FT_Int2))),IF(AO94="PT",IF(AV94&lt;PT_First,0,1+INT((AV94-PT_First)/PT_Int)),0)),0)+IF(AND(AG94&gt;=3,AJ94&lt;=PFYDate),IF(AP94="FT",IF(AU94&lt;FT_First,0,IF(AU94&lt;FT_Y5,1+INT((AU94-FT_First)/FT_Int1),FT_PreY5+FT_PerYear*INT((AU94-FT_Y5)/12)+FT_AnnivDays+INT(MOD(AU94-FT_Y5,12)/FT_Int2))),IF(AP94="PT",IF(AU94&lt;PT_First,0,1+INT((AU94-PT_First)/PT_Int)),0))-IF(AP94="FT",IF(AW94&lt;FT_First,0,IF(AW94&lt;FT_Y5,1+INT((AW94-FT_First)/FT_Int1),FT_PreY5+FT_PerYear*INT((AW94-FT_Y5)/12)+FT_AnnivDays+INT(MOD(AW94-FT_Y5,12)/FT_Int2))),IF(AP94="PT",IF(AW94&lt;PT_First,0,1+INT((AW94-PT_First)/PT_Int)),0)),0))</f>
        <v/>
      </c>
      <c r="AZ94" s="12" t="str">
        <f aca="false">IF(AE94=0,"",IF(AQ94="FT",IF(AR94&lt;FT_First,FT_First,IF(AR94&lt;FT_Y5,MIN(FT_Y5,FT_First+FT_Int1*(INT((AR94-FT_First)/FT_Int1)+1)),FT_Y5+12*INT((AR94-FT_Y5)/12)+FT_Int2*(INT(MOD(AR94-FT_Y5,12)/FT_Int2)+1))),IF(AQ94="PT",IF(AR94&lt;PT_First,PT_First,PT_First+PT_Int*(INT((AR94-PT_First)/PT_Int)+1)),"")))</f>
        <v/>
      </c>
      <c r="BA94" s="12" t="str">
        <f aca="false">IF(AE94=0,"",IF(NOT(LH_Ready),0,COUNTIFS(INDEX(LH_Data,0,LH_ColFirst),$A94,INDEX(LH_Data,0,LH_ColSur),$B94,INDEX(LH_Data,0,LH_ColCat),BonusCat)))</f>
        <v/>
      </c>
      <c r="BB94" s="12" t="str">
        <f aca="false">IF(AE94=0,"",IF(OR(NOT(LH_Ready),BA94=0),0,SUMPRODUCT(MAX((INDEX(LH_Data,0,LH_ColFirst)=$A94)*(INDEX(LH_Data,0,LH_ColSur)=$B94)*(INDEX(LH_Data,0,LH_ColCat)=BonusCat)*ROW(LH_Data)))))</f>
        <v/>
      </c>
    </row>
    <row r="95" customFormat="false" ht="15" hidden="false" customHeight="false" outlineLevel="0" collapsed="false">
      <c r="A95" s="15"/>
      <c r="B95" s="15"/>
      <c r="C95" s="15"/>
      <c r="D95" s="16"/>
      <c r="E95" s="10" t="str">
        <f aca="false">IF(OR(AE95=0,$D95=""),"",DATE(YEAR(AsOfDate)+IF(DATE(YEAR(AsOfDate),MONTH($D95),DAY($D95))&lt;=AsOfDate,1,0),MONTH($D95),DAY($D95)))</f>
        <v/>
      </c>
      <c r="F95" s="16"/>
      <c r="G95" s="16"/>
      <c r="H95" s="16"/>
      <c r="I95" s="16"/>
      <c r="J95" s="16"/>
      <c r="K95" s="10" t="str">
        <f aca="false">IF(AE95=0,"",DATE(YEAR(AsOfDate)+IF(DATE(YEAR(AsOfDate),MONTH($F95),DAY($F95))&lt;=AsOfDate,1,0),MONTH($F95),DAY($F95)))</f>
        <v/>
      </c>
      <c r="L95" s="11" t="str">
        <f aca="false">IF(AE95=0,"",ROUND((AsOfDate-$F95)/365.25,1))</f>
        <v/>
      </c>
      <c r="M95" s="12" t="str">
        <f aca="false">IF(AE95=0,"",IF(AsOfDate&lt;AF95,"-",DATEDIF(AF95,AsOfDate,"y")&amp;"y "&amp;DATEDIF(AF95,AsOfDate,"ym")&amp;"m "&amp;DATEDIF(AF95,AsOfDate,"md")&amp;"d"))</f>
        <v/>
      </c>
      <c r="N95" s="13" t="str">
        <f aca="false">IF(AE95=0,"",O95*HoursPerDay)</f>
        <v/>
      </c>
      <c r="O95" s="13" t="str">
        <f aca="false">IF(AE95=0,"",AX95)</f>
        <v/>
      </c>
      <c r="P95" s="17"/>
      <c r="Q95" s="12" t="str">
        <f aca="false">IF(AE95=0,"",IF(AG95&lt;2,"",AK95&amp;" to "&amp;AL95&amp;" on "&amp;TEXT(AI95,"dd/mm/yyyy")&amp;IF(AI95&gt;AsOfDate," (future)",IF(AN95=AO95,"",IF(AO95="None"," - STOPPED accruing",IF(AN95="None"," - now qualifying"," - pathway changed"))))&amp;IF(AG95&lt;3,"","; "&amp;AL95&amp;" to "&amp;AM95&amp;" on "&amp;TEXT(AJ95,"dd/mm/yyyy")&amp;IF(AJ95&gt;AsOfDate," (future)",IF(AO95=AP95,"",IF(AP95="None"," - STOPPED accruing",IF(AO95="None"," - now qualifying"," - pathway changed")))))))</f>
        <v/>
      </c>
      <c r="R95" s="12" t="str">
        <f aca="false">IF(AE95=0,"",IF(AQ95="None",IF(O95&gt;0,"No longer accruing","Not eligible - "&amp;IF(AND(OR(ISNUMBER(SEARCH("part",$C95)),UPPER(TRIM($C95))="PT",UPPER(TRIM($C95))="PTE"),$P95&lt;&gt;"",N($P95)&lt;PT_MinHours),"under "&amp;PT_MinHours&amp;" hrs",IF(IF($C95="","",IF(OR(ISNUMBER(SEARCH("full",$C95)),UPPER(TRIM($C95))="FT",UPPER(TRIM($C95))="FTE"),"Full-Time",IF(OR(ISNUMBER(SEARCH("part",$C95)),UPPER(TRIM($C95))="PT",UPPER(TRIM($C95))="PTE"),"Part-Time",IF(OR(ISNUMBER(SEARCH("cas",$C95)),UPPER(TRIM($C95))="CAS"),"Casual","Unknown"))))="Unknown","type not recognised",$C95))),IF(O95&gt;0,"Yes - accruing","Not yet - from "&amp;TEXT(S95,"dd/mm/yyyy"))))</f>
        <v/>
      </c>
      <c r="S95" s="10" t="str">
        <f aca="false">IF(AE95=0,"",IF(AQ95="None","",EDATE(AF95,AZ95)))</f>
        <v/>
      </c>
      <c r="T95" s="13" t="str">
        <f aca="false">IF(OR(AE95=0,W95=""),"",W95-U95+V95)</f>
        <v/>
      </c>
      <c r="U95" s="13" t="str">
        <f aca="false">IF(AE95=0,"",IF(NOT(LH_Ready),"",SUMIFS(INDEX(LH_Data,0,LH_ColAcc),INDEX(LH_Data,0,LH_ColFirst),$A95,INDEX(LH_Data,0,LH_ColSur),$B95,INDEX(LH_Data,0,LH_ColCat),BonusCat)*UnitFactor))</f>
        <v/>
      </c>
      <c r="V95" s="13" t="str">
        <f aca="false">IF(AE95=0,"",IF(NOT(LH_Ready),"",SUMIFS(INDEX(LH_Data,0,LH_ColTaken),INDEX(LH_Data,0,LH_ColFirst),$A95,INDEX(LH_Data,0,LH_ColSur),$B95,INDEX(LH_Data,0,LH_ColCat),BonusCat)*UnitFactor))</f>
        <v/>
      </c>
      <c r="W95" s="13" t="str">
        <f aca="false">IF(AE95=0,"",IF(NOT(LH_Ready),"",IF(BB95=0,0,INDEX(INDEX(LH_Data,0,LH_ColClose),BB95-1)*UnitFactor)))</f>
        <v/>
      </c>
      <c r="X95" s="13" t="str">
        <f aca="false">IF(AE95=0,"",(AX95-AY95)*HoursPerDay)</f>
        <v/>
      </c>
      <c r="Y95" s="13" t="str">
        <f aca="false">IF(AE95=0,"",IF(NOT(LH_Ready),"",IF(BA95=0,N95,X95-N(U95))))</f>
        <v/>
      </c>
      <c r="Z95" s="12" t="str">
        <f aca="false">IF(OR(AE95=0,Y95=""),"",IF(Y95&gt;0,"Yes","No"))</f>
        <v/>
      </c>
      <c r="AA95" s="12" t="str">
        <f aca="false">IF(AE95=0,IF(LEN($A95&amp;$B95)=0,"","FIX INPUT - StartDate missing"),IF(AD95&lt;&gt;"","FIX INPUT - "&amp;AD95,IF(NOT(LH_Ready),"Paste Leave History export (Settings must show YES)",IF(Y95&gt;0,"ACCRUE "&amp;ROUND(Y95,2)&amp;" hrs ("&amp;ROUND(Y95/HoursPerDay,2)&amp;" days)"&amp;IF(BA95=0," - no Bonus Leave in EH yet, full catch-up since start",""),IF(Y95&lt;0,"CHECK - EH accrued "&amp;ROUND(-Y95,2)&amp;""&amp;" hrs more than policy",IF(O95&gt;0,"OK - nothing to add",IF(AQ95="None",R95,"Not yet - first day on "&amp;TEXT(S95,"dd/mm/yyyy"))))))))</f>
        <v/>
      </c>
      <c r="AB95" s="13" t="str">
        <f aca="false">IF(OR(AE95=0,T95=""),"",AY95*HoursPerDay-T95)</f>
        <v/>
      </c>
      <c r="AC95" s="12" t="str">
        <f aca="false">IF(AE95=0,"",BA95)</f>
        <v/>
      </c>
      <c r="AD95" s="12" t="str">
        <f aca="false">IF(AE95=0,"",TRIM(IF(IF($C95="","",IF(OR(ISNUMBER(SEARCH("full",$C95)),UPPER(TRIM($C95))="FT",UPPER(TRIM($C95))="FTE"),"Full-Time",IF(OR(ISNUMBER(SEARCH("part",$C95)),UPPER(TRIM($C95))="PT",UPPER(TRIM($C95))="PTE"),"Part-Time",IF(OR(ISNUMBER(SEARCH("cas",$C95)),UPPER(TRIM($C95))="CAS"),"Casual","Unknown"))))="Unknown","EmploymentType not recognised - use Full-Time, Part-Time or Casual. ","")&amp;IF(AND(AG95&gt;=1,IF(AG95&gt;=3,AM95,IF(AG95=2,AL95,AK95))&lt;&gt;IF($C95="","",IF(OR(ISNUMBER(SEARCH("full",$C95)),UPPER(TRIM($C95))="FT",UPPER(TRIM($C95))="FTE"),"Full-Time",IF(OR(ISNUMBER(SEARCH("part",$C95)),UPPER(TRIM($C95))="PT",UPPER(TRIM($C95))="PTE"),"Part-Time",IF(OR(ISNUMBER(SEARCH("cas",$C95)),UPPER(TRIM($C95))="CAS"),"Casual","Unknown"))))),"EmploymentType does not match latest start date ("&amp;IF(AG95&gt;=3,AM95,IF(AG95=2,AL95,AK95))&amp;"). ","")&amp;IF(AND(AG95&gt;=1,AH95&lt;&gt;$F95),"Earliest type date should equal StartDate. ","")&amp;IF(AND(AG95&gt;=2,AH95=AI95),"Two types start on the same date. ","")&amp;IF(AND(OR(ISNUMBER(SEARCH("part",$C95)),UPPER(TRIM($C95))="PT",UPPER(TRIM($C95))="PTE"),$P95=""),"Part-time: enter PT Hrs/Week (blank = 24+). ","")))</f>
        <v/>
      </c>
      <c r="AE95" s="12" t="n">
        <f aca="false">IF(OR(LEN($A95&amp;$B95)=0,$F95=""),0,1)</f>
        <v>0</v>
      </c>
      <c r="AF95" s="10" t="str">
        <f aca="false">IF(AE95=0,"",IF($J95&lt;&gt;"",$J95,$F95))</f>
        <v/>
      </c>
      <c r="AG95" s="12" t="str">
        <f aca="false">IF(AE95=0,"",COUNT($G95:$I95))</f>
        <v/>
      </c>
      <c r="AH95" s="10" t="str">
        <f aca="false">IF(AE95=0,"",IFERROR(SMALL($G95:$I95,1),""))</f>
        <v/>
      </c>
      <c r="AI95" s="10" t="str">
        <f aca="false">IF(AE95=0,"",IFERROR(SMALL($G95:$I95,2),""))</f>
        <v/>
      </c>
      <c r="AJ95" s="10" t="str">
        <f aca="false">IF(AE95=0,"",IFERROR(SMALL($G95:$I95,3),""))</f>
        <v/>
      </c>
      <c r="AK95" s="12" t="str">
        <f aca="false">IF(AE95=0,"",IF(AH95="","",IF(AH95=$G95,"Part-Time",IF(AH95=$H95,"Full-Time","Casual"))))</f>
        <v/>
      </c>
      <c r="AL95" s="12" t="str">
        <f aca="false">IF(AE95=0,"",IF(AI95="","",IF(AI95=$G95,"Part-Time",IF(AI95=$H95,"Full-Time","Casual"))))</f>
        <v/>
      </c>
      <c r="AM95" s="12" t="str">
        <f aca="false">IF(AE95=0,"",IF(AJ95="","",IF(AJ95=$G95,"Part-Time",IF(AJ95=$H95,"Full-Time","Casual"))))</f>
        <v/>
      </c>
      <c r="AN95" s="12" t="str">
        <f aca="false">IF(AE95=0,"",IF(AG95=0,IF(OR(ISNUMBER(SEARCH("full",$C95)),UPPER(TRIM($C95))="FT",UPPER(TRIM($C95))="FTE"),"FT",IF(AND(OR(ISNUMBER(SEARCH("part",$C95)),UPPER(TRIM($C95))="PT",UPPER(TRIM($C95))="PTE"),OR($P95="",N($P95)&gt;=PT_MinHours)),"PT","None")),IF(OR(ISNUMBER(SEARCH("full",AK95)),UPPER(TRIM(AK95))="FT",UPPER(TRIM(AK95))="FTE"),"FT",IF(AND(OR(ISNUMBER(SEARCH("part",AK95)),UPPER(TRIM(AK95))="PT",UPPER(TRIM(AK95))="PTE"),OR($P95="",N($P95)&gt;=PT_MinHours)),"PT","None"))))</f>
        <v/>
      </c>
      <c r="AO95" s="12" t="str">
        <f aca="false">IF(AE95=0,"",IF(AG95&lt;2,"",IF(OR(ISNUMBER(SEARCH("full",AL95)),UPPER(TRIM(AL95))="FT",UPPER(TRIM(AL95))="FTE"),"FT",IF(AND(OR(ISNUMBER(SEARCH("part",AL95)),UPPER(TRIM(AL95))="PT",UPPER(TRIM(AL95))="PTE"),OR($P95="",N($P95)&gt;=PT_MinHours)),"PT","None"))))</f>
        <v/>
      </c>
      <c r="AP95" s="12" t="str">
        <f aca="false">IF(AE95=0,"",IF(AG95&lt;3,"",IF(OR(ISNUMBER(SEARCH("full",AM95)),UPPER(TRIM(AM95))="FT",UPPER(TRIM(AM95))="FTE"),"FT",IF(AND(OR(ISNUMBER(SEARCH("part",AM95)),UPPER(TRIM(AM95))="PT",UPPER(TRIM(AM95))="PTE"),OR($P95="",N($P95)&gt;=PT_MinHours)),"PT","None"))))</f>
        <v/>
      </c>
      <c r="AQ95" s="12" t="str">
        <f aca="false">IF(AE95=0,"",IF(AND(AG95&gt;=3,AJ95&lt;=AsOfDate),AP95,IF(AND(AG95&gt;=2,AI95&lt;=AsOfDate),AO95,AN95)))</f>
        <v/>
      </c>
      <c r="AR95" s="12" t="str">
        <f aca="false">IF(AE95=0,"",IF(AsOfDate&lt;AF95,-1,12*(YEAR(AsOfDate)-YEAR(AF95))+MONTH(AsOfDate)-MONTH(AF95)-IF(DAY(AsOfDate)&lt;MIN(DAY(AF95),DAY(EOMONTH(AsOfDate,0))),1,0)))</f>
        <v/>
      </c>
      <c r="AS95" s="12" t="str">
        <f aca="false">IF(AE95=0,"",IF(OR(AG95&lt;2,AI95&gt;AsOfDate),AR95,IF((AI95-1)&lt;AF95,-1,12*(YEAR((AI95-1))-YEAR(AF95))+MONTH((AI95-1))-MONTH(AF95)-IF(DAY((AI95-1))&lt;MIN(DAY(AF95),DAY(EOMONTH((AI95-1),0))),1,0))))</f>
        <v/>
      </c>
      <c r="AT95" s="12" t="str">
        <f aca="false">IF(AE95=0,"",IF(OR(AG95&lt;3,AJ95&gt;AsOfDate),AR95,IF((AJ95-1)&lt;AF95,-1,12*(YEAR((AJ95-1))-YEAR(AF95))+MONTH((AJ95-1))-MONTH(AF95)-IF(DAY((AJ95-1))&lt;MIN(DAY(AF95),DAY(EOMONTH((AJ95-1),0))),1,0))))</f>
        <v/>
      </c>
      <c r="AU95" s="12" t="str">
        <f aca="false">IF(AE95=0,"",IF(PFYDate&lt;AF95,-1,12*(YEAR(PFYDate)-YEAR(AF95))+MONTH(PFYDate)-MONTH(AF95)-IF(DAY(PFYDate)&lt;MIN(DAY(AF95),DAY(EOMONTH(PFYDate,0))),1,0)))</f>
        <v/>
      </c>
      <c r="AV95" s="12" t="str">
        <f aca="false">IF(AE95=0,"",IF(OR(AG95&lt;2,AI95&gt;PFYDate),AU95,IF((AI95-1)&lt;AF95,-1,12*(YEAR((AI95-1))-YEAR(AF95))+MONTH((AI95-1))-MONTH(AF95)-IF(DAY((AI95-1))&lt;MIN(DAY(AF95),DAY(EOMONTH((AI95-1),0))),1,0))))</f>
        <v/>
      </c>
      <c r="AW95" s="12" t="str">
        <f aca="false">IF(AE95=0,"",IF(OR(AG95&lt;3,AJ95&gt;PFYDate),AU95,IF((AJ95-1)&lt;AF95,-1,12*(YEAR((AJ95-1))-YEAR(AF95))+MONTH((AJ95-1))-MONTH(AF95)-IF(DAY((AJ95-1))&lt;MIN(DAY(AF95),DAY(EOMONTH((AJ95-1),0))),1,0))))</f>
        <v/>
      </c>
      <c r="AX95" s="12" t="str">
        <f aca="false">IF(AE95=0,"",IF(AN95="FT",IF(AS95&lt;FT_First,0,IF(AS95&lt;FT_Y5,1+INT((AS95-FT_First)/FT_Int1),FT_PreY5+FT_PerYear*INT((AS95-FT_Y5)/12)+FT_AnnivDays+INT(MOD(AS95-FT_Y5,12)/FT_Int2))),IF(AN95="PT",IF(AS95&lt;PT_First,0,1+INT((AS95-PT_First)/PT_Int)),0))+IF(AND(AG95&gt;=2,AI95&lt;=AsOfDate),IF(AO95="FT",IF(AT95&lt;FT_First,0,IF(AT95&lt;FT_Y5,1+INT((AT95-FT_First)/FT_Int1),FT_PreY5+FT_PerYear*INT((AT95-FT_Y5)/12)+FT_AnnivDays+INT(MOD(AT95-FT_Y5,12)/FT_Int2))),IF(AO95="PT",IF(AT95&lt;PT_First,0,1+INT((AT95-PT_First)/PT_Int)),0))-IF(AO95="FT",IF(AS95&lt;FT_First,0,IF(AS95&lt;FT_Y5,1+INT((AS95-FT_First)/FT_Int1),FT_PreY5+FT_PerYear*INT((AS95-FT_Y5)/12)+FT_AnnivDays+INT(MOD(AS95-FT_Y5,12)/FT_Int2))),IF(AO95="PT",IF(AS95&lt;PT_First,0,1+INT((AS95-PT_First)/PT_Int)),0)),0)+IF(AND(AG95&gt;=3,AJ95&lt;=AsOfDate),IF(AP95="FT",IF(AR95&lt;FT_First,0,IF(AR95&lt;FT_Y5,1+INT((AR95-FT_First)/FT_Int1),FT_PreY5+FT_PerYear*INT((AR95-FT_Y5)/12)+FT_AnnivDays+INT(MOD(AR95-FT_Y5,12)/FT_Int2))),IF(AP95="PT",IF(AR95&lt;PT_First,0,1+INT((AR95-PT_First)/PT_Int)),0))-IF(AP95="FT",IF(AT95&lt;FT_First,0,IF(AT95&lt;FT_Y5,1+INT((AT95-FT_First)/FT_Int1),FT_PreY5+FT_PerYear*INT((AT95-FT_Y5)/12)+FT_AnnivDays+INT(MOD(AT95-FT_Y5,12)/FT_Int2))),IF(AP95="PT",IF(AT95&lt;PT_First,0,1+INT((AT95-PT_First)/PT_Int)),0)),0))</f>
        <v/>
      </c>
      <c r="AY95" s="12" t="str">
        <f aca="false">IF(AE95=0,"",IF(AN95="FT",IF(AV95&lt;FT_First,0,IF(AV95&lt;FT_Y5,1+INT((AV95-FT_First)/FT_Int1),FT_PreY5+FT_PerYear*INT((AV95-FT_Y5)/12)+FT_AnnivDays+INT(MOD(AV95-FT_Y5,12)/FT_Int2))),IF(AN95="PT",IF(AV95&lt;PT_First,0,1+INT((AV95-PT_First)/PT_Int)),0))+IF(AND(AG95&gt;=2,AI95&lt;=PFYDate),IF(AO95="FT",IF(AW95&lt;FT_First,0,IF(AW95&lt;FT_Y5,1+INT((AW95-FT_First)/FT_Int1),FT_PreY5+FT_PerYear*INT((AW95-FT_Y5)/12)+FT_AnnivDays+INT(MOD(AW95-FT_Y5,12)/FT_Int2))),IF(AO95="PT",IF(AW95&lt;PT_First,0,1+INT((AW95-PT_First)/PT_Int)),0))-IF(AO95="FT",IF(AV95&lt;FT_First,0,IF(AV95&lt;FT_Y5,1+INT((AV95-FT_First)/FT_Int1),FT_PreY5+FT_PerYear*INT((AV95-FT_Y5)/12)+FT_AnnivDays+INT(MOD(AV95-FT_Y5,12)/FT_Int2))),IF(AO95="PT",IF(AV95&lt;PT_First,0,1+INT((AV95-PT_First)/PT_Int)),0)),0)+IF(AND(AG95&gt;=3,AJ95&lt;=PFYDate),IF(AP95="FT",IF(AU95&lt;FT_First,0,IF(AU95&lt;FT_Y5,1+INT((AU95-FT_First)/FT_Int1),FT_PreY5+FT_PerYear*INT((AU95-FT_Y5)/12)+FT_AnnivDays+INT(MOD(AU95-FT_Y5,12)/FT_Int2))),IF(AP95="PT",IF(AU95&lt;PT_First,0,1+INT((AU95-PT_First)/PT_Int)),0))-IF(AP95="FT",IF(AW95&lt;FT_First,0,IF(AW95&lt;FT_Y5,1+INT((AW95-FT_First)/FT_Int1),FT_PreY5+FT_PerYear*INT((AW95-FT_Y5)/12)+FT_AnnivDays+INT(MOD(AW95-FT_Y5,12)/FT_Int2))),IF(AP95="PT",IF(AW95&lt;PT_First,0,1+INT((AW95-PT_First)/PT_Int)),0)),0))</f>
        <v/>
      </c>
      <c r="AZ95" s="12" t="str">
        <f aca="false">IF(AE95=0,"",IF(AQ95="FT",IF(AR95&lt;FT_First,FT_First,IF(AR95&lt;FT_Y5,MIN(FT_Y5,FT_First+FT_Int1*(INT((AR95-FT_First)/FT_Int1)+1)),FT_Y5+12*INT((AR95-FT_Y5)/12)+FT_Int2*(INT(MOD(AR95-FT_Y5,12)/FT_Int2)+1))),IF(AQ95="PT",IF(AR95&lt;PT_First,PT_First,PT_First+PT_Int*(INT((AR95-PT_First)/PT_Int)+1)),"")))</f>
        <v/>
      </c>
      <c r="BA95" s="12" t="str">
        <f aca="false">IF(AE95=0,"",IF(NOT(LH_Ready),0,COUNTIFS(INDEX(LH_Data,0,LH_ColFirst),$A95,INDEX(LH_Data,0,LH_ColSur),$B95,INDEX(LH_Data,0,LH_ColCat),BonusCat)))</f>
        <v/>
      </c>
      <c r="BB95" s="12" t="str">
        <f aca="false">IF(AE95=0,"",IF(OR(NOT(LH_Ready),BA95=0),0,SUMPRODUCT(MAX((INDEX(LH_Data,0,LH_ColFirst)=$A95)*(INDEX(LH_Data,0,LH_ColSur)=$B95)*(INDEX(LH_Data,0,LH_ColCat)=BonusCat)*ROW(LH_Data)))))</f>
        <v/>
      </c>
    </row>
    <row r="96" customFormat="false" ht="15" hidden="false" customHeight="false" outlineLevel="0" collapsed="false">
      <c r="A96" s="15"/>
      <c r="B96" s="15"/>
      <c r="C96" s="15"/>
      <c r="D96" s="16"/>
      <c r="E96" s="10" t="str">
        <f aca="false">IF(OR(AE96=0,$D96=""),"",DATE(YEAR(AsOfDate)+IF(DATE(YEAR(AsOfDate),MONTH($D96),DAY($D96))&lt;=AsOfDate,1,0),MONTH($D96),DAY($D96)))</f>
        <v/>
      </c>
      <c r="F96" s="16"/>
      <c r="G96" s="16"/>
      <c r="H96" s="16"/>
      <c r="I96" s="16"/>
      <c r="J96" s="16"/>
      <c r="K96" s="10" t="str">
        <f aca="false">IF(AE96=0,"",DATE(YEAR(AsOfDate)+IF(DATE(YEAR(AsOfDate),MONTH($F96),DAY($F96))&lt;=AsOfDate,1,0),MONTH($F96),DAY($F96)))</f>
        <v/>
      </c>
      <c r="L96" s="11" t="str">
        <f aca="false">IF(AE96=0,"",ROUND((AsOfDate-$F96)/365.25,1))</f>
        <v/>
      </c>
      <c r="M96" s="12" t="str">
        <f aca="false">IF(AE96=0,"",IF(AsOfDate&lt;AF96,"-",DATEDIF(AF96,AsOfDate,"y")&amp;"y "&amp;DATEDIF(AF96,AsOfDate,"ym")&amp;"m "&amp;DATEDIF(AF96,AsOfDate,"md")&amp;"d"))</f>
        <v/>
      </c>
      <c r="N96" s="13" t="str">
        <f aca="false">IF(AE96=0,"",O96*HoursPerDay)</f>
        <v/>
      </c>
      <c r="O96" s="13" t="str">
        <f aca="false">IF(AE96=0,"",AX96)</f>
        <v/>
      </c>
      <c r="P96" s="17"/>
      <c r="Q96" s="12" t="str">
        <f aca="false">IF(AE96=0,"",IF(AG96&lt;2,"",AK96&amp;" to "&amp;AL96&amp;" on "&amp;TEXT(AI96,"dd/mm/yyyy")&amp;IF(AI96&gt;AsOfDate," (future)",IF(AN96=AO96,"",IF(AO96="None"," - STOPPED accruing",IF(AN96="None"," - now qualifying"," - pathway changed"))))&amp;IF(AG96&lt;3,"","; "&amp;AL96&amp;" to "&amp;AM96&amp;" on "&amp;TEXT(AJ96,"dd/mm/yyyy")&amp;IF(AJ96&gt;AsOfDate," (future)",IF(AO96=AP96,"",IF(AP96="None"," - STOPPED accruing",IF(AO96="None"," - now qualifying"," - pathway changed")))))))</f>
        <v/>
      </c>
      <c r="R96" s="12" t="str">
        <f aca="false">IF(AE96=0,"",IF(AQ96="None",IF(O96&gt;0,"No longer accruing","Not eligible - "&amp;IF(AND(OR(ISNUMBER(SEARCH("part",$C96)),UPPER(TRIM($C96))="PT",UPPER(TRIM($C96))="PTE"),$P96&lt;&gt;"",N($P96)&lt;PT_MinHours),"under "&amp;PT_MinHours&amp;" hrs",IF(IF($C96="","",IF(OR(ISNUMBER(SEARCH("full",$C96)),UPPER(TRIM($C96))="FT",UPPER(TRIM($C96))="FTE"),"Full-Time",IF(OR(ISNUMBER(SEARCH("part",$C96)),UPPER(TRIM($C96))="PT",UPPER(TRIM($C96))="PTE"),"Part-Time",IF(OR(ISNUMBER(SEARCH("cas",$C96)),UPPER(TRIM($C96))="CAS"),"Casual","Unknown"))))="Unknown","type not recognised",$C96))),IF(O96&gt;0,"Yes - accruing","Not yet - from "&amp;TEXT(S96,"dd/mm/yyyy"))))</f>
        <v/>
      </c>
      <c r="S96" s="10" t="str">
        <f aca="false">IF(AE96=0,"",IF(AQ96="None","",EDATE(AF96,AZ96)))</f>
        <v/>
      </c>
      <c r="T96" s="13" t="str">
        <f aca="false">IF(OR(AE96=0,W96=""),"",W96-U96+V96)</f>
        <v/>
      </c>
      <c r="U96" s="13" t="str">
        <f aca="false">IF(AE96=0,"",IF(NOT(LH_Ready),"",SUMIFS(INDEX(LH_Data,0,LH_ColAcc),INDEX(LH_Data,0,LH_ColFirst),$A96,INDEX(LH_Data,0,LH_ColSur),$B96,INDEX(LH_Data,0,LH_ColCat),BonusCat)*UnitFactor))</f>
        <v/>
      </c>
      <c r="V96" s="13" t="str">
        <f aca="false">IF(AE96=0,"",IF(NOT(LH_Ready),"",SUMIFS(INDEX(LH_Data,0,LH_ColTaken),INDEX(LH_Data,0,LH_ColFirst),$A96,INDEX(LH_Data,0,LH_ColSur),$B96,INDEX(LH_Data,0,LH_ColCat),BonusCat)*UnitFactor))</f>
        <v/>
      </c>
      <c r="W96" s="13" t="str">
        <f aca="false">IF(AE96=0,"",IF(NOT(LH_Ready),"",IF(BB96=0,0,INDEX(INDEX(LH_Data,0,LH_ColClose),BB96-1)*UnitFactor)))</f>
        <v/>
      </c>
      <c r="X96" s="13" t="str">
        <f aca="false">IF(AE96=0,"",(AX96-AY96)*HoursPerDay)</f>
        <v/>
      </c>
      <c r="Y96" s="13" t="str">
        <f aca="false">IF(AE96=0,"",IF(NOT(LH_Ready),"",IF(BA96=0,N96,X96-N(U96))))</f>
        <v/>
      </c>
      <c r="Z96" s="12" t="str">
        <f aca="false">IF(OR(AE96=0,Y96=""),"",IF(Y96&gt;0,"Yes","No"))</f>
        <v/>
      </c>
      <c r="AA96" s="12" t="str">
        <f aca="false">IF(AE96=0,IF(LEN($A96&amp;$B96)=0,"","FIX INPUT - StartDate missing"),IF(AD96&lt;&gt;"","FIX INPUT - "&amp;AD96,IF(NOT(LH_Ready),"Paste Leave History export (Settings must show YES)",IF(Y96&gt;0,"ACCRUE "&amp;ROUND(Y96,2)&amp;" hrs ("&amp;ROUND(Y96/HoursPerDay,2)&amp;" days)"&amp;IF(BA96=0," - no Bonus Leave in EH yet, full catch-up since start",""),IF(Y96&lt;0,"CHECK - EH accrued "&amp;ROUND(-Y96,2)&amp;""&amp;" hrs more than policy",IF(O96&gt;0,"OK - nothing to add",IF(AQ96="None",R96,"Not yet - first day on "&amp;TEXT(S96,"dd/mm/yyyy"))))))))</f>
        <v/>
      </c>
      <c r="AB96" s="13" t="str">
        <f aca="false">IF(OR(AE96=0,T96=""),"",AY96*HoursPerDay-T96)</f>
        <v/>
      </c>
      <c r="AC96" s="12" t="str">
        <f aca="false">IF(AE96=0,"",BA96)</f>
        <v/>
      </c>
      <c r="AD96" s="12" t="str">
        <f aca="false">IF(AE96=0,"",TRIM(IF(IF($C96="","",IF(OR(ISNUMBER(SEARCH("full",$C96)),UPPER(TRIM($C96))="FT",UPPER(TRIM($C96))="FTE"),"Full-Time",IF(OR(ISNUMBER(SEARCH("part",$C96)),UPPER(TRIM($C96))="PT",UPPER(TRIM($C96))="PTE"),"Part-Time",IF(OR(ISNUMBER(SEARCH("cas",$C96)),UPPER(TRIM($C96))="CAS"),"Casual","Unknown"))))="Unknown","EmploymentType not recognised - use Full-Time, Part-Time or Casual. ","")&amp;IF(AND(AG96&gt;=1,IF(AG96&gt;=3,AM96,IF(AG96=2,AL96,AK96))&lt;&gt;IF($C96="","",IF(OR(ISNUMBER(SEARCH("full",$C96)),UPPER(TRIM($C96))="FT",UPPER(TRIM($C96))="FTE"),"Full-Time",IF(OR(ISNUMBER(SEARCH("part",$C96)),UPPER(TRIM($C96))="PT",UPPER(TRIM($C96))="PTE"),"Part-Time",IF(OR(ISNUMBER(SEARCH("cas",$C96)),UPPER(TRIM($C96))="CAS"),"Casual","Unknown"))))),"EmploymentType does not match latest start date ("&amp;IF(AG96&gt;=3,AM96,IF(AG96=2,AL96,AK96))&amp;"). ","")&amp;IF(AND(AG96&gt;=1,AH96&lt;&gt;$F96),"Earliest type date should equal StartDate. ","")&amp;IF(AND(AG96&gt;=2,AH96=AI96),"Two types start on the same date. ","")&amp;IF(AND(OR(ISNUMBER(SEARCH("part",$C96)),UPPER(TRIM($C96))="PT",UPPER(TRIM($C96))="PTE"),$P96=""),"Part-time: enter PT Hrs/Week (blank = 24+). ","")))</f>
        <v/>
      </c>
      <c r="AE96" s="12" t="n">
        <f aca="false">IF(OR(LEN($A96&amp;$B96)=0,$F96=""),0,1)</f>
        <v>0</v>
      </c>
      <c r="AF96" s="10" t="str">
        <f aca="false">IF(AE96=0,"",IF($J96&lt;&gt;"",$J96,$F96))</f>
        <v/>
      </c>
      <c r="AG96" s="12" t="str">
        <f aca="false">IF(AE96=0,"",COUNT($G96:$I96))</f>
        <v/>
      </c>
      <c r="AH96" s="10" t="str">
        <f aca="false">IF(AE96=0,"",IFERROR(SMALL($G96:$I96,1),""))</f>
        <v/>
      </c>
      <c r="AI96" s="10" t="str">
        <f aca="false">IF(AE96=0,"",IFERROR(SMALL($G96:$I96,2),""))</f>
        <v/>
      </c>
      <c r="AJ96" s="10" t="str">
        <f aca="false">IF(AE96=0,"",IFERROR(SMALL($G96:$I96,3),""))</f>
        <v/>
      </c>
      <c r="AK96" s="12" t="str">
        <f aca="false">IF(AE96=0,"",IF(AH96="","",IF(AH96=$G96,"Part-Time",IF(AH96=$H96,"Full-Time","Casual"))))</f>
        <v/>
      </c>
      <c r="AL96" s="12" t="str">
        <f aca="false">IF(AE96=0,"",IF(AI96="","",IF(AI96=$G96,"Part-Time",IF(AI96=$H96,"Full-Time","Casual"))))</f>
        <v/>
      </c>
      <c r="AM96" s="12" t="str">
        <f aca="false">IF(AE96=0,"",IF(AJ96="","",IF(AJ96=$G96,"Part-Time",IF(AJ96=$H96,"Full-Time","Casual"))))</f>
        <v/>
      </c>
      <c r="AN96" s="12" t="str">
        <f aca="false">IF(AE96=0,"",IF(AG96=0,IF(OR(ISNUMBER(SEARCH("full",$C96)),UPPER(TRIM($C96))="FT",UPPER(TRIM($C96))="FTE"),"FT",IF(AND(OR(ISNUMBER(SEARCH("part",$C96)),UPPER(TRIM($C96))="PT",UPPER(TRIM($C96))="PTE"),OR($P96="",N($P96)&gt;=PT_MinHours)),"PT","None")),IF(OR(ISNUMBER(SEARCH("full",AK96)),UPPER(TRIM(AK96))="FT",UPPER(TRIM(AK96))="FTE"),"FT",IF(AND(OR(ISNUMBER(SEARCH("part",AK96)),UPPER(TRIM(AK96))="PT",UPPER(TRIM(AK96))="PTE"),OR($P96="",N($P96)&gt;=PT_MinHours)),"PT","None"))))</f>
        <v/>
      </c>
      <c r="AO96" s="12" t="str">
        <f aca="false">IF(AE96=0,"",IF(AG96&lt;2,"",IF(OR(ISNUMBER(SEARCH("full",AL96)),UPPER(TRIM(AL96))="FT",UPPER(TRIM(AL96))="FTE"),"FT",IF(AND(OR(ISNUMBER(SEARCH("part",AL96)),UPPER(TRIM(AL96))="PT",UPPER(TRIM(AL96))="PTE"),OR($P96="",N($P96)&gt;=PT_MinHours)),"PT","None"))))</f>
        <v/>
      </c>
      <c r="AP96" s="12" t="str">
        <f aca="false">IF(AE96=0,"",IF(AG96&lt;3,"",IF(OR(ISNUMBER(SEARCH("full",AM96)),UPPER(TRIM(AM96))="FT",UPPER(TRIM(AM96))="FTE"),"FT",IF(AND(OR(ISNUMBER(SEARCH("part",AM96)),UPPER(TRIM(AM96))="PT",UPPER(TRIM(AM96))="PTE"),OR($P96="",N($P96)&gt;=PT_MinHours)),"PT","None"))))</f>
        <v/>
      </c>
      <c r="AQ96" s="12" t="str">
        <f aca="false">IF(AE96=0,"",IF(AND(AG96&gt;=3,AJ96&lt;=AsOfDate),AP96,IF(AND(AG96&gt;=2,AI96&lt;=AsOfDate),AO96,AN96)))</f>
        <v/>
      </c>
      <c r="AR96" s="12" t="str">
        <f aca="false">IF(AE96=0,"",IF(AsOfDate&lt;AF96,-1,12*(YEAR(AsOfDate)-YEAR(AF96))+MONTH(AsOfDate)-MONTH(AF96)-IF(DAY(AsOfDate)&lt;MIN(DAY(AF96),DAY(EOMONTH(AsOfDate,0))),1,0)))</f>
        <v/>
      </c>
      <c r="AS96" s="12" t="str">
        <f aca="false">IF(AE96=0,"",IF(OR(AG96&lt;2,AI96&gt;AsOfDate),AR96,IF((AI96-1)&lt;AF96,-1,12*(YEAR((AI96-1))-YEAR(AF96))+MONTH((AI96-1))-MONTH(AF96)-IF(DAY((AI96-1))&lt;MIN(DAY(AF96),DAY(EOMONTH((AI96-1),0))),1,0))))</f>
        <v/>
      </c>
      <c r="AT96" s="12" t="str">
        <f aca="false">IF(AE96=0,"",IF(OR(AG96&lt;3,AJ96&gt;AsOfDate),AR96,IF((AJ96-1)&lt;AF96,-1,12*(YEAR((AJ96-1))-YEAR(AF96))+MONTH((AJ96-1))-MONTH(AF96)-IF(DAY((AJ96-1))&lt;MIN(DAY(AF96),DAY(EOMONTH((AJ96-1),0))),1,0))))</f>
        <v/>
      </c>
      <c r="AU96" s="12" t="str">
        <f aca="false">IF(AE96=0,"",IF(PFYDate&lt;AF96,-1,12*(YEAR(PFYDate)-YEAR(AF96))+MONTH(PFYDate)-MONTH(AF96)-IF(DAY(PFYDate)&lt;MIN(DAY(AF96),DAY(EOMONTH(PFYDate,0))),1,0)))</f>
        <v/>
      </c>
      <c r="AV96" s="12" t="str">
        <f aca="false">IF(AE96=0,"",IF(OR(AG96&lt;2,AI96&gt;PFYDate),AU96,IF((AI96-1)&lt;AF96,-1,12*(YEAR((AI96-1))-YEAR(AF96))+MONTH((AI96-1))-MONTH(AF96)-IF(DAY((AI96-1))&lt;MIN(DAY(AF96),DAY(EOMONTH((AI96-1),0))),1,0))))</f>
        <v/>
      </c>
      <c r="AW96" s="12" t="str">
        <f aca="false">IF(AE96=0,"",IF(OR(AG96&lt;3,AJ96&gt;PFYDate),AU96,IF((AJ96-1)&lt;AF96,-1,12*(YEAR((AJ96-1))-YEAR(AF96))+MONTH((AJ96-1))-MONTH(AF96)-IF(DAY((AJ96-1))&lt;MIN(DAY(AF96),DAY(EOMONTH((AJ96-1),0))),1,0))))</f>
        <v/>
      </c>
      <c r="AX96" s="12" t="str">
        <f aca="false">IF(AE96=0,"",IF(AN96="FT",IF(AS96&lt;FT_First,0,IF(AS96&lt;FT_Y5,1+INT((AS96-FT_First)/FT_Int1),FT_PreY5+FT_PerYear*INT((AS96-FT_Y5)/12)+FT_AnnivDays+INT(MOD(AS96-FT_Y5,12)/FT_Int2))),IF(AN96="PT",IF(AS96&lt;PT_First,0,1+INT((AS96-PT_First)/PT_Int)),0))+IF(AND(AG96&gt;=2,AI96&lt;=AsOfDate),IF(AO96="FT",IF(AT96&lt;FT_First,0,IF(AT96&lt;FT_Y5,1+INT((AT96-FT_First)/FT_Int1),FT_PreY5+FT_PerYear*INT((AT96-FT_Y5)/12)+FT_AnnivDays+INT(MOD(AT96-FT_Y5,12)/FT_Int2))),IF(AO96="PT",IF(AT96&lt;PT_First,0,1+INT((AT96-PT_First)/PT_Int)),0))-IF(AO96="FT",IF(AS96&lt;FT_First,0,IF(AS96&lt;FT_Y5,1+INT((AS96-FT_First)/FT_Int1),FT_PreY5+FT_PerYear*INT((AS96-FT_Y5)/12)+FT_AnnivDays+INT(MOD(AS96-FT_Y5,12)/FT_Int2))),IF(AO96="PT",IF(AS96&lt;PT_First,0,1+INT((AS96-PT_First)/PT_Int)),0)),0)+IF(AND(AG96&gt;=3,AJ96&lt;=AsOfDate),IF(AP96="FT",IF(AR96&lt;FT_First,0,IF(AR96&lt;FT_Y5,1+INT((AR96-FT_First)/FT_Int1),FT_PreY5+FT_PerYear*INT((AR96-FT_Y5)/12)+FT_AnnivDays+INT(MOD(AR96-FT_Y5,12)/FT_Int2))),IF(AP96="PT",IF(AR96&lt;PT_First,0,1+INT((AR96-PT_First)/PT_Int)),0))-IF(AP96="FT",IF(AT96&lt;FT_First,0,IF(AT96&lt;FT_Y5,1+INT((AT96-FT_First)/FT_Int1),FT_PreY5+FT_PerYear*INT((AT96-FT_Y5)/12)+FT_AnnivDays+INT(MOD(AT96-FT_Y5,12)/FT_Int2))),IF(AP96="PT",IF(AT96&lt;PT_First,0,1+INT((AT96-PT_First)/PT_Int)),0)),0))</f>
        <v/>
      </c>
      <c r="AY96" s="12" t="str">
        <f aca="false">IF(AE96=0,"",IF(AN96="FT",IF(AV96&lt;FT_First,0,IF(AV96&lt;FT_Y5,1+INT((AV96-FT_First)/FT_Int1),FT_PreY5+FT_PerYear*INT((AV96-FT_Y5)/12)+FT_AnnivDays+INT(MOD(AV96-FT_Y5,12)/FT_Int2))),IF(AN96="PT",IF(AV96&lt;PT_First,0,1+INT((AV96-PT_First)/PT_Int)),0))+IF(AND(AG96&gt;=2,AI96&lt;=PFYDate),IF(AO96="FT",IF(AW96&lt;FT_First,0,IF(AW96&lt;FT_Y5,1+INT((AW96-FT_First)/FT_Int1),FT_PreY5+FT_PerYear*INT((AW96-FT_Y5)/12)+FT_AnnivDays+INT(MOD(AW96-FT_Y5,12)/FT_Int2))),IF(AO96="PT",IF(AW96&lt;PT_First,0,1+INT((AW96-PT_First)/PT_Int)),0))-IF(AO96="FT",IF(AV96&lt;FT_First,0,IF(AV96&lt;FT_Y5,1+INT((AV96-FT_First)/FT_Int1),FT_PreY5+FT_PerYear*INT((AV96-FT_Y5)/12)+FT_AnnivDays+INT(MOD(AV96-FT_Y5,12)/FT_Int2))),IF(AO96="PT",IF(AV96&lt;PT_First,0,1+INT((AV96-PT_First)/PT_Int)),0)),0)+IF(AND(AG96&gt;=3,AJ96&lt;=PFYDate),IF(AP96="FT",IF(AU96&lt;FT_First,0,IF(AU96&lt;FT_Y5,1+INT((AU96-FT_First)/FT_Int1),FT_PreY5+FT_PerYear*INT((AU96-FT_Y5)/12)+FT_AnnivDays+INT(MOD(AU96-FT_Y5,12)/FT_Int2))),IF(AP96="PT",IF(AU96&lt;PT_First,0,1+INT((AU96-PT_First)/PT_Int)),0))-IF(AP96="FT",IF(AW96&lt;FT_First,0,IF(AW96&lt;FT_Y5,1+INT((AW96-FT_First)/FT_Int1),FT_PreY5+FT_PerYear*INT((AW96-FT_Y5)/12)+FT_AnnivDays+INT(MOD(AW96-FT_Y5,12)/FT_Int2))),IF(AP96="PT",IF(AW96&lt;PT_First,0,1+INT((AW96-PT_First)/PT_Int)),0)),0))</f>
        <v/>
      </c>
      <c r="AZ96" s="12" t="str">
        <f aca="false">IF(AE96=0,"",IF(AQ96="FT",IF(AR96&lt;FT_First,FT_First,IF(AR96&lt;FT_Y5,MIN(FT_Y5,FT_First+FT_Int1*(INT((AR96-FT_First)/FT_Int1)+1)),FT_Y5+12*INT((AR96-FT_Y5)/12)+FT_Int2*(INT(MOD(AR96-FT_Y5,12)/FT_Int2)+1))),IF(AQ96="PT",IF(AR96&lt;PT_First,PT_First,PT_First+PT_Int*(INT((AR96-PT_First)/PT_Int)+1)),"")))</f>
        <v/>
      </c>
      <c r="BA96" s="12" t="str">
        <f aca="false">IF(AE96=0,"",IF(NOT(LH_Ready),0,COUNTIFS(INDEX(LH_Data,0,LH_ColFirst),$A96,INDEX(LH_Data,0,LH_ColSur),$B96,INDEX(LH_Data,0,LH_ColCat),BonusCat)))</f>
        <v/>
      </c>
      <c r="BB96" s="12" t="str">
        <f aca="false">IF(AE96=0,"",IF(OR(NOT(LH_Ready),BA96=0),0,SUMPRODUCT(MAX((INDEX(LH_Data,0,LH_ColFirst)=$A96)*(INDEX(LH_Data,0,LH_ColSur)=$B96)*(INDEX(LH_Data,0,LH_ColCat)=BonusCat)*ROW(LH_Data)))))</f>
        <v/>
      </c>
    </row>
    <row r="97" customFormat="false" ht="15" hidden="false" customHeight="false" outlineLevel="0" collapsed="false">
      <c r="A97" s="15"/>
      <c r="B97" s="15"/>
      <c r="C97" s="15"/>
      <c r="D97" s="16"/>
      <c r="E97" s="10" t="str">
        <f aca="false">IF(OR(AE97=0,$D97=""),"",DATE(YEAR(AsOfDate)+IF(DATE(YEAR(AsOfDate),MONTH($D97),DAY($D97))&lt;=AsOfDate,1,0),MONTH($D97),DAY($D97)))</f>
        <v/>
      </c>
      <c r="F97" s="16"/>
      <c r="G97" s="16"/>
      <c r="H97" s="16"/>
      <c r="I97" s="16"/>
      <c r="J97" s="16"/>
      <c r="K97" s="10" t="str">
        <f aca="false">IF(AE97=0,"",DATE(YEAR(AsOfDate)+IF(DATE(YEAR(AsOfDate),MONTH($F97),DAY($F97))&lt;=AsOfDate,1,0),MONTH($F97),DAY($F97)))</f>
        <v/>
      </c>
      <c r="L97" s="11" t="str">
        <f aca="false">IF(AE97=0,"",ROUND((AsOfDate-$F97)/365.25,1))</f>
        <v/>
      </c>
      <c r="M97" s="12" t="str">
        <f aca="false">IF(AE97=0,"",IF(AsOfDate&lt;AF97,"-",DATEDIF(AF97,AsOfDate,"y")&amp;"y "&amp;DATEDIF(AF97,AsOfDate,"ym")&amp;"m "&amp;DATEDIF(AF97,AsOfDate,"md")&amp;"d"))</f>
        <v/>
      </c>
      <c r="N97" s="13" t="str">
        <f aca="false">IF(AE97=0,"",O97*HoursPerDay)</f>
        <v/>
      </c>
      <c r="O97" s="13" t="str">
        <f aca="false">IF(AE97=0,"",AX97)</f>
        <v/>
      </c>
      <c r="P97" s="17"/>
      <c r="Q97" s="12" t="str">
        <f aca="false">IF(AE97=0,"",IF(AG97&lt;2,"",AK97&amp;" to "&amp;AL97&amp;" on "&amp;TEXT(AI97,"dd/mm/yyyy")&amp;IF(AI97&gt;AsOfDate," (future)",IF(AN97=AO97,"",IF(AO97="None"," - STOPPED accruing",IF(AN97="None"," - now qualifying"," - pathway changed"))))&amp;IF(AG97&lt;3,"","; "&amp;AL97&amp;" to "&amp;AM97&amp;" on "&amp;TEXT(AJ97,"dd/mm/yyyy")&amp;IF(AJ97&gt;AsOfDate," (future)",IF(AO97=AP97,"",IF(AP97="None"," - STOPPED accruing",IF(AO97="None"," - now qualifying"," - pathway changed")))))))</f>
        <v/>
      </c>
      <c r="R97" s="12" t="str">
        <f aca="false">IF(AE97=0,"",IF(AQ97="None",IF(O97&gt;0,"No longer accruing","Not eligible - "&amp;IF(AND(OR(ISNUMBER(SEARCH("part",$C97)),UPPER(TRIM($C97))="PT",UPPER(TRIM($C97))="PTE"),$P97&lt;&gt;"",N($P97)&lt;PT_MinHours),"under "&amp;PT_MinHours&amp;" hrs",IF(IF($C97="","",IF(OR(ISNUMBER(SEARCH("full",$C97)),UPPER(TRIM($C97))="FT",UPPER(TRIM($C97))="FTE"),"Full-Time",IF(OR(ISNUMBER(SEARCH("part",$C97)),UPPER(TRIM($C97))="PT",UPPER(TRIM($C97))="PTE"),"Part-Time",IF(OR(ISNUMBER(SEARCH("cas",$C97)),UPPER(TRIM($C97))="CAS"),"Casual","Unknown"))))="Unknown","type not recognised",$C97))),IF(O97&gt;0,"Yes - accruing","Not yet - from "&amp;TEXT(S97,"dd/mm/yyyy"))))</f>
        <v/>
      </c>
      <c r="S97" s="10" t="str">
        <f aca="false">IF(AE97=0,"",IF(AQ97="None","",EDATE(AF97,AZ97)))</f>
        <v/>
      </c>
      <c r="T97" s="13" t="str">
        <f aca="false">IF(OR(AE97=0,W97=""),"",W97-U97+V97)</f>
        <v/>
      </c>
      <c r="U97" s="13" t="str">
        <f aca="false">IF(AE97=0,"",IF(NOT(LH_Ready),"",SUMIFS(INDEX(LH_Data,0,LH_ColAcc),INDEX(LH_Data,0,LH_ColFirst),$A97,INDEX(LH_Data,0,LH_ColSur),$B97,INDEX(LH_Data,0,LH_ColCat),BonusCat)*UnitFactor))</f>
        <v/>
      </c>
      <c r="V97" s="13" t="str">
        <f aca="false">IF(AE97=0,"",IF(NOT(LH_Ready),"",SUMIFS(INDEX(LH_Data,0,LH_ColTaken),INDEX(LH_Data,0,LH_ColFirst),$A97,INDEX(LH_Data,0,LH_ColSur),$B97,INDEX(LH_Data,0,LH_ColCat),BonusCat)*UnitFactor))</f>
        <v/>
      </c>
      <c r="W97" s="13" t="str">
        <f aca="false">IF(AE97=0,"",IF(NOT(LH_Ready),"",IF(BB97=0,0,INDEX(INDEX(LH_Data,0,LH_ColClose),BB97-1)*UnitFactor)))</f>
        <v/>
      </c>
      <c r="X97" s="13" t="str">
        <f aca="false">IF(AE97=0,"",(AX97-AY97)*HoursPerDay)</f>
        <v/>
      </c>
      <c r="Y97" s="13" t="str">
        <f aca="false">IF(AE97=0,"",IF(NOT(LH_Ready),"",IF(BA97=0,N97,X97-N(U97))))</f>
        <v/>
      </c>
      <c r="Z97" s="12" t="str">
        <f aca="false">IF(OR(AE97=0,Y97=""),"",IF(Y97&gt;0,"Yes","No"))</f>
        <v/>
      </c>
      <c r="AA97" s="12" t="str">
        <f aca="false">IF(AE97=0,IF(LEN($A97&amp;$B97)=0,"","FIX INPUT - StartDate missing"),IF(AD97&lt;&gt;"","FIX INPUT - "&amp;AD97,IF(NOT(LH_Ready),"Paste Leave History export (Settings must show YES)",IF(Y97&gt;0,"ACCRUE "&amp;ROUND(Y97,2)&amp;" hrs ("&amp;ROUND(Y97/HoursPerDay,2)&amp;" days)"&amp;IF(BA97=0," - no Bonus Leave in EH yet, full catch-up since start",""),IF(Y97&lt;0,"CHECK - EH accrued "&amp;ROUND(-Y97,2)&amp;""&amp;" hrs more than policy",IF(O97&gt;0,"OK - nothing to add",IF(AQ97="None",R97,"Not yet - first day on "&amp;TEXT(S97,"dd/mm/yyyy"))))))))</f>
        <v/>
      </c>
      <c r="AB97" s="13" t="str">
        <f aca="false">IF(OR(AE97=0,T97=""),"",AY97*HoursPerDay-T97)</f>
        <v/>
      </c>
      <c r="AC97" s="12" t="str">
        <f aca="false">IF(AE97=0,"",BA97)</f>
        <v/>
      </c>
      <c r="AD97" s="12" t="str">
        <f aca="false">IF(AE97=0,"",TRIM(IF(IF($C97="","",IF(OR(ISNUMBER(SEARCH("full",$C97)),UPPER(TRIM($C97))="FT",UPPER(TRIM($C97))="FTE"),"Full-Time",IF(OR(ISNUMBER(SEARCH("part",$C97)),UPPER(TRIM($C97))="PT",UPPER(TRIM($C97))="PTE"),"Part-Time",IF(OR(ISNUMBER(SEARCH("cas",$C97)),UPPER(TRIM($C97))="CAS"),"Casual","Unknown"))))="Unknown","EmploymentType not recognised - use Full-Time, Part-Time or Casual. ","")&amp;IF(AND(AG97&gt;=1,IF(AG97&gt;=3,AM97,IF(AG97=2,AL97,AK97))&lt;&gt;IF($C97="","",IF(OR(ISNUMBER(SEARCH("full",$C97)),UPPER(TRIM($C97))="FT",UPPER(TRIM($C97))="FTE"),"Full-Time",IF(OR(ISNUMBER(SEARCH("part",$C97)),UPPER(TRIM($C97))="PT",UPPER(TRIM($C97))="PTE"),"Part-Time",IF(OR(ISNUMBER(SEARCH("cas",$C97)),UPPER(TRIM($C97))="CAS"),"Casual","Unknown"))))),"EmploymentType does not match latest start date ("&amp;IF(AG97&gt;=3,AM97,IF(AG97=2,AL97,AK97))&amp;"). ","")&amp;IF(AND(AG97&gt;=1,AH97&lt;&gt;$F97),"Earliest type date should equal StartDate. ","")&amp;IF(AND(AG97&gt;=2,AH97=AI97),"Two types start on the same date. ","")&amp;IF(AND(OR(ISNUMBER(SEARCH("part",$C97)),UPPER(TRIM($C97))="PT",UPPER(TRIM($C97))="PTE"),$P97=""),"Part-time: enter PT Hrs/Week (blank = 24+). ","")))</f>
        <v/>
      </c>
      <c r="AE97" s="12" t="n">
        <f aca="false">IF(OR(LEN($A97&amp;$B97)=0,$F97=""),0,1)</f>
        <v>0</v>
      </c>
      <c r="AF97" s="10" t="str">
        <f aca="false">IF(AE97=0,"",IF($J97&lt;&gt;"",$J97,$F97))</f>
        <v/>
      </c>
      <c r="AG97" s="12" t="str">
        <f aca="false">IF(AE97=0,"",COUNT($G97:$I97))</f>
        <v/>
      </c>
      <c r="AH97" s="10" t="str">
        <f aca="false">IF(AE97=0,"",IFERROR(SMALL($G97:$I97,1),""))</f>
        <v/>
      </c>
      <c r="AI97" s="10" t="str">
        <f aca="false">IF(AE97=0,"",IFERROR(SMALL($G97:$I97,2),""))</f>
        <v/>
      </c>
      <c r="AJ97" s="10" t="str">
        <f aca="false">IF(AE97=0,"",IFERROR(SMALL($G97:$I97,3),""))</f>
        <v/>
      </c>
      <c r="AK97" s="12" t="str">
        <f aca="false">IF(AE97=0,"",IF(AH97="","",IF(AH97=$G97,"Part-Time",IF(AH97=$H97,"Full-Time","Casual"))))</f>
        <v/>
      </c>
      <c r="AL97" s="12" t="str">
        <f aca="false">IF(AE97=0,"",IF(AI97="","",IF(AI97=$G97,"Part-Time",IF(AI97=$H97,"Full-Time","Casual"))))</f>
        <v/>
      </c>
      <c r="AM97" s="12" t="str">
        <f aca="false">IF(AE97=0,"",IF(AJ97="","",IF(AJ97=$G97,"Part-Time",IF(AJ97=$H97,"Full-Time","Casual"))))</f>
        <v/>
      </c>
      <c r="AN97" s="12" t="str">
        <f aca="false">IF(AE97=0,"",IF(AG97=0,IF(OR(ISNUMBER(SEARCH("full",$C97)),UPPER(TRIM($C97))="FT",UPPER(TRIM($C97))="FTE"),"FT",IF(AND(OR(ISNUMBER(SEARCH("part",$C97)),UPPER(TRIM($C97))="PT",UPPER(TRIM($C97))="PTE"),OR($P97="",N($P97)&gt;=PT_MinHours)),"PT","None")),IF(OR(ISNUMBER(SEARCH("full",AK97)),UPPER(TRIM(AK97))="FT",UPPER(TRIM(AK97))="FTE"),"FT",IF(AND(OR(ISNUMBER(SEARCH("part",AK97)),UPPER(TRIM(AK97))="PT",UPPER(TRIM(AK97))="PTE"),OR($P97="",N($P97)&gt;=PT_MinHours)),"PT","None"))))</f>
        <v/>
      </c>
      <c r="AO97" s="12" t="str">
        <f aca="false">IF(AE97=0,"",IF(AG97&lt;2,"",IF(OR(ISNUMBER(SEARCH("full",AL97)),UPPER(TRIM(AL97))="FT",UPPER(TRIM(AL97))="FTE"),"FT",IF(AND(OR(ISNUMBER(SEARCH("part",AL97)),UPPER(TRIM(AL97))="PT",UPPER(TRIM(AL97))="PTE"),OR($P97="",N($P97)&gt;=PT_MinHours)),"PT","None"))))</f>
        <v/>
      </c>
      <c r="AP97" s="12" t="str">
        <f aca="false">IF(AE97=0,"",IF(AG97&lt;3,"",IF(OR(ISNUMBER(SEARCH("full",AM97)),UPPER(TRIM(AM97))="FT",UPPER(TRIM(AM97))="FTE"),"FT",IF(AND(OR(ISNUMBER(SEARCH("part",AM97)),UPPER(TRIM(AM97))="PT",UPPER(TRIM(AM97))="PTE"),OR($P97="",N($P97)&gt;=PT_MinHours)),"PT","None"))))</f>
        <v/>
      </c>
      <c r="AQ97" s="12" t="str">
        <f aca="false">IF(AE97=0,"",IF(AND(AG97&gt;=3,AJ97&lt;=AsOfDate),AP97,IF(AND(AG97&gt;=2,AI97&lt;=AsOfDate),AO97,AN97)))</f>
        <v/>
      </c>
      <c r="AR97" s="12" t="str">
        <f aca="false">IF(AE97=0,"",IF(AsOfDate&lt;AF97,-1,12*(YEAR(AsOfDate)-YEAR(AF97))+MONTH(AsOfDate)-MONTH(AF97)-IF(DAY(AsOfDate)&lt;MIN(DAY(AF97),DAY(EOMONTH(AsOfDate,0))),1,0)))</f>
        <v/>
      </c>
      <c r="AS97" s="12" t="str">
        <f aca="false">IF(AE97=0,"",IF(OR(AG97&lt;2,AI97&gt;AsOfDate),AR97,IF((AI97-1)&lt;AF97,-1,12*(YEAR((AI97-1))-YEAR(AF97))+MONTH((AI97-1))-MONTH(AF97)-IF(DAY((AI97-1))&lt;MIN(DAY(AF97),DAY(EOMONTH((AI97-1),0))),1,0))))</f>
        <v/>
      </c>
      <c r="AT97" s="12" t="str">
        <f aca="false">IF(AE97=0,"",IF(OR(AG97&lt;3,AJ97&gt;AsOfDate),AR97,IF((AJ97-1)&lt;AF97,-1,12*(YEAR((AJ97-1))-YEAR(AF97))+MONTH((AJ97-1))-MONTH(AF97)-IF(DAY((AJ97-1))&lt;MIN(DAY(AF97),DAY(EOMONTH((AJ97-1),0))),1,0))))</f>
        <v/>
      </c>
      <c r="AU97" s="12" t="str">
        <f aca="false">IF(AE97=0,"",IF(PFYDate&lt;AF97,-1,12*(YEAR(PFYDate)-YEAR(AF97))+MONTH(PFYDate)-MONTH(AF97)-IF(DAY(PFYDate)&lt;MIN(DAY(AF97),DAY(EOMONTH(PFYDate,0))),1,0)))</f>
        <v/>
      </c>
      <c r="AV97" s="12" t="str">
        <f aca="false">IF(AE97=0,"",IF(OR(AG97&lt;2,AI97&gt;PFYDate),AU97,IF((AI97-1)&lt;AF97,-1,12*(YEAR((AI97-1))-YEAR(AF97))+MONTH((AI97-1))-MONTH(AF97)-IF(DAY((AI97-1))&lt;MIN(DAY(AF97),DAY(EOMONTH((AI97-1),0))),1,0))))</f>
        <v/>
      </c>
      <c r="AW97" s="12" t="str">
        <f aca="false">IF(AE97=0,"",IF(OR(AG97&lt;3,AJ97&gt;PFYDate),AU97,IF((AJ97-1)&lt;AF97,-1,12*(YEAR((AJ97-1))-YEAR(AF97))+MONTH((AJ97-1))-MONTH(AF97)-IF(DAY((AJ97-1))&lt;MIN(DAY(AF97),DAY(EOMONTH((AJ97-1),0))),1,0))))</f>
        <v/>
      </c>
      <c r="AX97" s="12" t="str">
        <f aca="false">IF(AE97=0,"",IF(AN97="FT",IF(AS97&lt;FT_First,0,IF(AS97&lt;FT_Y5,1+INT((AS97-FT_First)/FT_Int1),FT_PreY5+FT_PerYear*INT((AS97-FT_Y5)/12)+FT_AnnivDays+INT(MOD(AS97-FT_Y5,12)/FT_Int2))),IF(AN97="PT",IF(AS97&lt;PT_First,0,1+INT((AS97-PT_First)/PT_Int)),0))+IF(AND(AG97&gt;=2,AI97&lt;=AsOfDate),IF(AO97="FT",IF(AT97&lt;FT_First,0,IF(AT97&lt;FT_Y5,1+INT((AT97-FT_First)/FT_Int1),FT_PreY5+FT_PerYear*INT((AT97-FT_Y5)/12)+FT_AnnivDays+INT(MOD(AT97-FT_Y5,12)/FT_Int2))),IF(AO97="PT",IF(AT97&lt;PT_First,0,1+INT((AT97-PT_First)/PT_Int)),0))-IF(AO97="FT",IF(AS97&lt;FT_First,0,IF(AS97&lt;FT_Y5,1+INT((AS97-FT_First)/FT_Int1),FT_PreY5+FT_PerYear*INT((AS97-FT_Y5)/12)+FT_AnnivDays+INT(MOD(AS97-FT_Y5,12)/FT_Int2))),IF(AO97="PT",IF(AS97&lt;PT_First,0,1+INT((AS97-PT_First)/PT_Int)),0)),0)+IF(AND(AG97&gt;=3,AJ97&lt;=AsOfDate),IF(AP97="FT",IF(AR97&lt;FT_First,0,IF(AR97&lt;FT_Y5,1+INT((AR97-FT_First)/FT_Int1),FT_PreY5+FT_PerYear*INT((AR97-FT_Y5)/12)+FT_AnnivDays+INT(MOD(AR97-FT_Y5,12)/FT_Int2))),IF(AP97="PT",IF(AR97&lt;PT_First,0,1+INT((AR97-PT_First)/PT_Int)),0))-IF(AP97="FT",IF(AT97&lt;FT_First,0,IF(AT97&lt;FT_Y5,1+INT((AT97-FT_First)/FT_Int1),FT_PreY5+FT_PerYear*INT((AT97-FT_Y5)/12)+FT_AnnivDays+INT(MOD(AT97-FT_Y5,12)/FT_Int2))),IF(AP97="PT",IF(AT97&lt;PT_First,0,1+INT((AT97-PT_First)/PT_Int)),0)),0))</f>
        <v/>
      </c>
      <c r="AY97" s="12" t="str">
        <f aca="false">IF(AE97=0,"",IF(AN97="FT",IF(AV97&lt;FT_First,0,IF(AV97&lt;FT_Y5,1+INT((AV97-FT_First)/FT_Int1),FT_PreY5+FT_PerYear*INT((AV97-FT_Y5)/12)+FT_AnnivDays+INT(MOD(AV97-FT_Y5,12)/FT_Int2))),IF(AN97="PT",IF(AV97&lt;PT_First,0,1+INT((AV97-PT_First)/PT_Int)),0))+IF(AND(AG97&gt;=2,AI97&lt;=PFYDate),IF(AO97="FT",IF(AW97&lt;FT_First,0,IF(AW97&lt;FT_Y5,1+INT((AW97-FT_First)/FT_Int1),FT_PreY5+FT_PerYear*INT((AW97-FT_Y5)/12)+FT_AnnivDays+INT(MOD(AW97-FT_Y5,12)/FT_Int2))),IF(AO97="PT",IF(AW97&lt;PT_First,0,1+INT((AW97-PT_First)/PT_Int)),0))-IF(AO97="FT",IF(AV97&lt;FT_First,0,IF(AV97&lt;FT_Y5,1+INT((AV97-FT_First)/FT_Int1),FT_PreY5+FT_PerYear*INT((AV97-FT_Y5)/12)+FT_AnnivDays+INT(MOD(AV97-FT_Y5,12)/FT_Int2))),IF(AO97="PT",IF(AV97&lt;PT_First,0,1+INT((AV97-PT_First)/PT_Int)),0)),0)+IF(AND(AG97&gt;=3,AJ97&lt;=PFYDate),IF(AP97="FT",IF(AU97&lt;FT_First,0,IF(AU97&lt;FT_Y5,1+INT((AU97-FT_First)/FT_Int1),FT_PreY5+FT_PerYear*INT((AU97-FT_Y5)/12)+FT_AnnivDays+INT(MOD(AU97-FT_Y5,12)/FT_Int2))),IF(AP97="PT",IF(AU97&lt;PT_First,0,1+INT((AU97-PT_First)/PT_Int)),0))-IF(AP97="FT",IF(AW97&lt;FT_First,0,IF(AW97&lt;FT_Y5,1+INT((AW97-FT_First)/FT_Int1),FT_PreY5+FT_PerYear*INT((AW97-FT_Y5)/12)+FT_AnnivDays+INT(MOD(AW97-FT_Y5,12)/FT_Int2))),IF(AP97="PT",IF(AW97&lt;PT_First,0,1+INT((AW97-PT_First)/PT_Int)),0)),0))</f>
        <v/>
      </c>
      <c r="AZ97" s="12" t="str">
        <f aca="false">IF(AE97=0,"",IF(AQ97="FT",IF(AR97&lt;FT_First,FT_First,IF(AR97&lt;FT_Y5,MIN(FT_Y5,FT_First+FT_Int1*(INT((AR97-FT_First)/FT_Int1)+1)),FT_Y5+12*INT((AR97-FT_Y5)/12)+FT_Int2*(INT(MOD(AR97-FT_Y5,12)/FT_Int2)+1))),IF(AQ97="PT",IF(AR97&lt;PT_First,PT_First,PT_First+PT_Int*(INT((AR97-PT_First)/PT_Int)+1)),"")))</f>
        <v/>
      </c>
      <c r="BA97" s="12" t="str">
        <f aca="false">IF(AE97=0,"",IF(NOT(LH_Ready),0,COUNTIFS(INDEX(LH_Data,0,LH_ColFirst),$A97,INDEX(LH_Data,0,LH_ColSur),$B97,INDEX(LH_Data,0,LH_ColCat),BonusCat)))</f>
        <v/>
      </c>
      <c r="BB97" s="12" t="str">
        <f aca="false">IF(AE97=0,"",IF(OR(NOT(LH_Ready),BA97=0),0,SUMPRODUCT(MAX((INDEX(LH_Data,0,LH_ColFirst)=$A97)*(INDEX(LH_Data,0,LH_ColSur)=$B97)*(INDEX(LH_Data,0,LH_ColCat)=BonusCat)*ROW(LH_Data)))))</f>
        <v/>
      </c>
    </row>
    <row r="98" customFormat="false" ht="15" hidden="false" customHeight="false" outlineLevel="0" collapsed="false">
      <c r="A98" s="15"/>
      <c r="B98" s="15"/>
      <c r="C98" s="15"/>
      <c r="D98" s="16"/>
      <c r="E98" s="10" t="str">
        <f aca="false">IF(OR(AE98=0,$D98=""),"",DATE(YEAR(AsOfDate)+IF(DATE(YEAR(AsOfDate),MONTH($D98),DAY($D98))&lt;=AsOfDate,1,0),MONTH($D98),DAY($D98)))</f>
        <v/>
      </c>
      <c r="F98" s="16"/>
      <c r="G98" s="16"/>
      <c r="H98" s="16"/>
      <c r="I98" s="16"/>
      <c r="J98" s="16"/>
      <c r="K98" s="10" t="str">
        <f aca="false">IF(AE98=0,"",DATE(YEAR(AsOfDate)+IF(DATE(YEAR(AsOfDate),MONTH($F98),DAY($F98))&lt;=AsOfDate,1,0),MONTH($F98),DAY($F98)))</f>
        <v/>
      </c>
      <c r="L98" s="11" t="str">
        <f aca="false">IF(AE98=0,"",ROUND((AsOfDate-$F98)/365.25,1))</f>
        <v/>
      </c>
      <c r="M98" s="12" t="str">
        <f aca="false">IF(AE98=0,"",IF(AsOfDate&lt;AF98,"-",DATEDIF(AF98,AsOfDate,"y")&amp;"y "&amp;DATEDIF(AF98,AsOfDate,"ym")&amp;"m "&amp;DATEDIF(AF98,AsOfDate,"md")&amp;"d"))</f>
        <v/>
      </c>
      <c r="N98" s="13" t="str">
        <f aca="false">IF(AE98=0,"",O98*HoursPerDay)</f>
        <v/>
      </c>
      <c r="O98" s="13" t="str">
        <f aca="false">IF(AE98=0,"",AX98)</f>
        <v/>
      </c>
      <c r="P98" s="17"/>
      <c r="Q98" s="12" t="str">
        <f aca="false">IF(AE98=0,"",IF(AG98&lt;2,"",AK98&amp;" to "&amp;AL98&amp;" on "&amp;TEXT(AI98,"dd/mm/yyyy")&amp;IF(AI98&gt;AsOfDate," (future)",IF(AN98=AO98,"",IF(AO98="None"," - STOPPED accruing",IF(AN98="None"," - now qualifying"," - pathway changed"))))&amp;IF(AG98&lt;3,"","; "&amp;AL98&amp;" to "&amp;AM98&amp;" on "&amp;TEXT(AJ98,"dd/mm/yyyy")&amp;IF(AJ98&gt;AsOfDate," (future)",IF(AO98=AP98,"",IF(AP98="None"," - STOPPED accruing",IF(AO98="None"," - now qualifying"," - pathway changed")))))))</f>
        <v/>
      </c>
      <c r="R98" s="12" t="str">
        <f aca="false">IF(AE98=0,"",IF(AQ98="None",IF(O98&gt;0,"No longer accruing","Not eligible - "&amp;IF(AND(OR(ISNUMBER(SEARCH("part",$C98)),UPPER(TRIM($C98))="PT",UPPER(TRIM($C98))="PTE"),$P98&lt;&gt;"",N($P98)&lt;PT_MinHours),"under "&amp;PT_MinHours&amp;" hrs",IF(IF($C98="","",IF(OR(ISNUMBER(SEARCH("full",$C98)),UPPER(TRIM($C98))="FT",UPPER(TRIM($C98))="FTE"),"Full-Time",IF(OR(ISNUMBER(SEARCH("part",$C98)),UPPER(TRIM($C98))="PT",UPPER(TRIM($C98))="PTE"),"Part-Time",IF(OR(ISNUMBER(SEARCH("cas",$C98)),UPPER(TRIM($C98))="CAS"),"Casual","Unknown"))))="Unknown","type not recognised",$C98))),IF(O98&gt;0,"Yes - accruing","Not yet - from "&amp;TEXT(S98,"dd/mm/yyyy"))))</f>
        <v/>
      </c>
      <c r="S98" s="10" t="str">
        <f aca="false">IF(AE98=0,"",IF(AQ98="None","",EDATE(AF98,AZ98)))</f>
        <v/>
      </c>
      <c r="T98" s="13" t="str">
        <f aca="false">IF(OR(AE98=0,W98=""),"",W98-U98+V98)</f>
        <v/>
      </c>
      <c r="U98" s="13" t="str">
        <f aca="false">IF(AE98=0,"",IF(NOT(LH_Ready),"",SUMIFS(INDEX(LH_Data,0,LH_ColAcc),INDEX(LH_Data,0,LH_ColFirst),$A98,INDEX(LH_Data,0,LH_ColSur),$B98,INDEX(LH_Data,0,LH_ColCat),BonusCat)*UnitFactor))</f>
        <v/>
      </c>
      <c r="V98" s="13" t="str">
        <f aca="false">IF(AE98=0,"",IF(NOT(LH_Ready),"",SUMIFS(INDEX(LH_Data,0,LH_ColTaken),INDEX(LH_Data,0,LH_ColFirst),$A98,INDEX(LH_Data,0,LH_ColSur),$B98,INDEX(LH_Data,0,LH_ColCat),BonusCat)*UnitFactor))</f>
        <v/>
      </c>
      <c r="W98" s="13" t="str">
        <f aca="false">IF(AE98=0,"",IF(NOT(LH_Ready),"",IF(BB98=0,0,INDEX(INDEX(LH_Data,0,LH_ColClose),BB98-1)*UnitFactor)))</f>
        <v/>
      </c>
      <c r="X98" s="13" t="str">
        <f aca="false">IF(AE98=0,"",(AX98-AY98)*HoursPerDay)</f>
        <v/>
      </c>
      <c r="Y98" s="13" t="str">
        <f aca="false">IF(AE98=0,"",IF(NOT(LH_Ready),"",IF(BA98=0,N98,X98-N(U98))))</f>
        <v/>
      </c>
      <c r="Z98" s="12" t="str">
        <f aca="false">IF(OR(AE98=0,Y98=""),"",IF(Y98&gt;0,"Yes","No"))</f>
        <v/>
      </c>
      <c r="AA98" s="12" t="str">
        <f aca="false">IF(AE98=0,IF(LEN($A98&amp;$B98)=0,"","FIX INPUT - StartDate missing"),IF(AD98&lt;&gt;"","FIX INPUT - "&amp;AD98,IF(NOT(LH_Ready),"Paste Leave History export (Settings must show YES)",IF(Y98&gt;0,"ACCRUE "&amp;ROUND(Y98,2)&amp;" hrs ("&amp;ROUND(Y98/HoursPerDay,2)&amp;" days)"&amp;IF(BA98=0," - no Bonus Leave in EH yet, full catch-up since start",""),IF(Y98&lt;0,"CHECK - EH accrued "&amp;ROUND(-Y98,2)&amp;""&amp;" hrs more than policy",IF(O98&gt;0,"OK - nothing to add",IF(AQ98="None",R98,"Not yet - first day on "&amp;TEXT(S98,"dd/mm/yyyy"))))))))</f>
        <v/>
      </c>
      <c r="AB98" s="13" t="str">
        <f aca="false">IF(OR(AE98=0,T98=""),"",AY98*HoursPerDay-T98)</f>
        <v/>
      </c>
      <c r="AC98" s="12" t="str">
        <f aca="false">IF(AE98=0,"",BA98)</f>
        <v/>
      </c>
      <c r="AD98" s="12" t="str">
        <f aca="false">IF(AE98=0,"",TRIM(IF(IF($C98="","",IF(OR(ISNUMBER(SEARCH("full",$C98)),UPPER(TRIM($C98))="FT",UPPER(TRIM($C98))="FTE"),"Full-Time",IF(OR(ISNUMBER(SEARCH("part",$C98)),UPPER(TRIM($C98))="PT",UPPER(TRIM($C98))="PTE"),"Part-Time",IF(OR(ISNUMBER(SEARCH("cas",$C98)),UPPER(TRIM($C98))="CAS"),"Casual","Unknown"))))="Unknown","EmploymentType not recognised - use Full-Time, Part-Time or Casual. ","")&amp;IF(AND(AG98&gt;=1,IF(AG98&gt;=3,AM98,IF(AG98=2,AL98,AK98))&lt;&gt;IF($C98="","",IF(OR(ISNUMBER(SEARCH("full",$C98)),UPPER(TRIM($C98))="FT",UPPER(TRIM($C98))="FTE"),"Full-Time",IF(OR(ISNUMBER(SEARCH("part",$C98)),UPPER(TRIM($C98))="PT",UPPER(TRIM($C98))="PTE"),"Part-Time",IF(OR(ISNUMBER(SEARCH("cas",$C98)),UPPER(TRIM($C98))="CAS"),"Casual","Unknown"))))),"EmploymentType does not match latest start date ("&amp;IF(AG98&gt;=3,AM98,IF(AG98=2,AL98,AK98))&amp;"). ","")&amp;IF(AND(AG98&gt;=1,AH98&lt;&gt;$F98),"Earliest type date should equal StartDate. ","")&amp;IF(AND(AG98&gt;=2,AH98=AI98),"Two types start on the same date. ","")&amp;IF(AND(OR(ISNUMBER(SEARCH("part",$C98)),UPPER(TRIM($C98))="PT",UPPER(TRIM($C98))="PTE"),$P98=""),"Part-time: enter PT Hrs/Week (blank = 24+). ","")))</f>
        <v/>
      </c>
      <c r="AE98" s="12" t="n">
        <f aca="false">IF(OR(LEN($A98&amp;$B98)=0,$F98=""),0,1)</f>
        <v>0</v>
      </c>
      <c r="AF98" s="10" t="str">
        <f aca="false">IF(AE98=0,"",IF($J98&lt;&gt;"",$J98,$F98))</f>
        <v/>
      </c>
      <c r="AG98" s="12" t="str">
        <f aca="false">IF(AE98=0,"",COUNT($G98:$I98))</f>
        <v/>
      </c>
      <c r="AH98" s="10" t="str">
        <f aca="false">IF(AE98=0,"",IFERROR(SMALL($G98:$I98,1),""))</f>
        <v/>
      </c>
      <c r="AI98" s="10" t="str">
        <f aca="false">IF(AE98=0,"",IFERROR(SMALL($G98:$I98,2),""))</f>
        <v/>
      </c>
      <c r="AJ98" s="10" t="str">
        <f aca="false">IF(AE98=0,"",IFERROR(SMALL($G98:$I98,3),""))</f>
        <v/>
      </c>
      <c r="AK98" s="12" t="str">
        <f aca="false">IF(AE98=0,"",IF(AH98="","",IF(AH98=$G98,"Part-Time",IF(AH98=$H98,"Full-Time","Casual"))))</f>
        <v/>
      </c>
      <c r="AL98" s="12" t="str">
        <f aca="false">IF(AE98=0,"",IF(AI98="","",IF(AI98=$G98,"Part-Time",IF(AI98=$H98,"Full-Time","Casual"))))</f>
        <v/>
      </c>
      <c r="AM98" s="12" t="str">
        <f aca="false">IF(AE98=0,"",IF(AJ98="","",IF(AJ98=$G98,"Part-Time",IF(AJ98=$H98,"Full-Time","Casual"))))</f>
        <v/>
      </c>
      <c r="AN98" s="12" t="str">
        <f aca="false">IF(AE98=0,"",IF(AG98=0,IF(OR(ISNUMBER(SEARCH("full",$C98)),UPPER(TRIM($C98))="FT",UPPER(TRIM($C98))="FTE"),"FT",IF(AND(OR(ISNUMBER(SEARCH("part",$C98)),UPPER(TRIM($C98))="PT",UPPER(TRIM($C98))="PTE"),OR($P98="",N($P98)&gt;=PT_MinHours)),"PT","None")),IF(OR(ISNUMBER(SEARCH("full",AK98)),UPPER(TRIM(AK98))="FT",UPPER(TRIM(AK98))="FTE"),"FT",IF(AND(OR(ISNUMBER(SEARCH("part",AK98)),UPPER(TRIM(AK98))="PT",UPPER(TRIM(AK98))="PTE"),OR($P98="",N($P98)&gt;=PT_MinHours)),"PT","None"))))</f>
        <v/>
      </c>
      <c r="AO98" s="12" t="str">
        <f aca="false">IF(AE98=0,"",IF(AG98&lt;2,"",IF(OR(ISNUMBER(SEARCH("full",AL98)),UPPER(TRIM(AL98))="FT",UPPER(TRIM(AL98))="FTE"),"FT",IF(AND(OR(ISNUMBER(SEARCH("part",AL98)),UPPER(TRIM(AL98))="PT",UPPER(TRIM(AL98))="PTE"),OR($P98="",N($P98)&gt;=PT_MinHours)),"PT","None"))))</f>
        <v/>
      </c>
      <c r="AP98" s="12" t="str">
        <f aca="false">IF(AE98=0,"",IF(AG98&lt;3,"",IF(OR(ISNUMBER(SEARCH("full",AM98)),UPPER(TRIM(AM98))="FT",UPPER(TRIM(AM98))="FTE"),"FT",IF(AND(OR(ISNUMBER(SEARCH("part",AM98)),UPPER(TRIM(AM98))="PT",UPPER(TRIM(AM98))="PTE"),OR($P98="",N($P98)&gt;=PT_MinHours)),"PT","None"))))</f>
        <v/>
      </c>
      <c r="AQ98" s="12" t="str">
        <f aca="false">IF(AE98=0,"",IF(AND(AG98&gt;=3,AJ98&lt;=AsOfDate),AP98,IF(AND(AG98&gt;=2,AI98&lt;=AsOfDate),AO98,AN98)))</f>
        <v/>
      </c>
      <c r="AR98" s="12" t="str">
        <f aca="false">IF(AE98=0,"",IF(AsOfDate&lt;AF98,-1,12*(YEAR(AsOfDate)-YEAR(AF98))+MONTH(AsOfDate)-MONTH(AF98)-IF(DAY(AsOfDate)&lt;MIN(DAY(AF98),DAY(EOMONTH(AsOfDate,0))),1,0)))</f>
        <v/>
      </c>
      <c r="AS98" s="12" t="str">
        <f aca="false">IF(AE98=0,"",IF(OR(AG98&lt;2,AI98&gt;AsOfDate),AR98,IF((AI98-1)&lt;AF98,-1,12*(YEAR((AI98-1))-YEAR(AF98))+MONTH((AI98-1))-MONTH(AF98)-IF(DAY((AI98-1))&lt;MIN(DAY(AF98),DAY(EOMONTH((AI98-1),0))),1,0))))</f>
        <v/>
      </c>
      <c r="AT98" s="12" t="str">
        <f aca="false">IF(AE98=0,"",IF(OR(AG98&lt;3,AJ98&gt;AsOfDate),AR98,IF((AJ98-1)&lt;AF98,-1,12*(YEAR((AJ98-1))-YEAR(AF98))+MONTH((AJ98-1))-MONTH(AF98)-IF(DAY((AJ98-1))&lt;MIN(DAY(AF98),DAY(EOMONTH((AJ98-1),0))),1,0))))</f>
        <v/>
      </c>
      <c r="AU98" s="12" t="str">
        <f aca="false">IF(AE98=0,"",IF(PFYDate&lt;AF98,-1,12*(YEAR(PFYDate)-YEAR(AF98))+MONTH(PFYDate)-MONTH(AF98)-IF(DAY(PFYDate)&lt;MIN(DAY(AF98),DAY(EOMONTH(PFYDate,0))),1,0)))</f>
        <v/>
      </c>
      <c r="AV98" s="12" t="str">
        <f aca="false">IF(AE98=0,"",IF(OR(AG98&lt;2,AI98&gt;PFYDate),AU98,IF((AI98-1)&lt;AF98,-1,12*(YEAR((AI98-1))-YEAR(AF98))+MONTH((AI98-1))-MONTH(AF98)-IF(DAY((AI98-1))&lt;MIN(DAY(AF98),DAY(EOMONTH((AI98-1),0))),1,0))))</f>
        <v/>
      </c>
      <c r="AW98" s="12" t="str">
        <f aca="false">IF(AE98=0,"",IF(OR(AG98&lt;3,AJ98&gt;PFYDate),AU98,IF((AJ98-1)&lt;AF98,-1,12*(YEAR((AJ98-1))-YEAR(AF98))+MONTH((AJ98-1))-MONTH(AF98)-IF(DAY((AJ98-1))&lt;MIN(DAY(AF98),DAY(EOMONTH((AJ98-1),0))),1,0))))</f>
        <v/>
      </c>
      <c r="AX98" s="12" t="str">
        <f aca="false">IF(AE98=0,"",IF(AN98="FT",IF(AS98&lt;FT_First,0,IF(AS98&lt;FT_Y5,1+INT((AS98-FT_First)/FT_Int1),FT_PreY5+FT_PerYear*INT((AS98-FT_Y5)/12)+FT_AnnivDays+INT(MOD(AS98-FT_Y5,12)/FT_Int2))),IF(AN98="PT",IF(AS98&lt;PT_First,0,1+INT((AS98-PT_First)/PT_Int)),0))+IF(AND(AG98&gt;=2,AI98&lt;=AsOfDate),IF(AO98="FT",IF(AT98&lt;FT_First,0,IF(AT98&lt;FT_Y5,1+INT((AT98-FT_First)/FT_Int1),FT_PreY5+FT_PerYear*INT((AT98-FT_Y5)/12)+FT_AnnivDays+INT(MOD(AT98-FT_Y5,12)/FT_Int2))),IF(AO98="PT",IF(AT98&lt;PT_First,0,1+INT((AT98-PT_First)/PT_Int)),0))-IF(AO98="FT",IF(AS98&lt;FT_First,0,IF(AS98&lt;FT_Y5,1+INT((AS98-FT_First)/FT_Int1),FT_PreY5+FT_PerYear*INT((AS98-FT_Y5)/12)+FT_AnnivDays+INT(MOD(AS98-FT_Y5,12)/FT_Int2))),IF(AO98="PT",IF(AS98&lt;PT_First,0,1+INT((AS98-PT_First)/PT_Int)),0)),0)+IF(AND(AG98&gt;=3,AJ98&lt;=AsOfDate),IF(AP98="FT",IF(AR98&lt;FT_First,0,IF(AR98&lt;FT_Y5,1+INT((AR98-FT_First)/FT_Int1),FT_PreY5+FT_PerYear*INT((AR98-FT_Y5)/12)+FT_AnnivDays+INT(MOD(AR98-FT_Y5,12)/FT_Int2))),IF(AP98="PT",IF(AR98&lt;PT_First,0,1+INT((AR98-PT_First)/PT_Int)),0))-IF(AP98="FT",IF(AT98&lt;FT_First,0,IF(AT98&lt;FT_Y5,1+INT((AT98-FT_First)/FT_Int1),FT_PreY5+FT_PerYear*INT((AT98-FT_Y5)/12)+FT_AnnivDays+INT(MOD(AT98-FT_Y5,12)/FT_Int2))),IF(AP98="PT",IF(AT98&lt;PT_First,0,1+INT((AT98-PT_First)/PT_Int)),0)),0))</f>
        <v/>
      </c>
      <c r="AY98" s="12" t="str">
        <f aca="false">IF(AE98=0,"",IF(AN98="FT",IF(AV98&lt;FT_First,0,IF(AV98&lt;FT_Y5,1+INT((AV98-FT_First)/FT_Int1),FT_PreY5+FT_PerYear*INT((AV98-FT_Y5)/12)+FT_AnnivDays+INT(MOD(AV98-FT_Y5,12)/FT_Int2))),IF(AN98="PT",IF(AV98&lt;PT_First,0,1+INT((AV98-PT_First)/PT_Int)),0))+IF(AND(AG98&gt;=2,AI98&lt;=PFYDate),IF(AO98="FT",IF(AW98&lt;FT_First,0,IF(AW98&lt;FT_Y5,1+INT((AW98-FT_First)/FT_Int1),FT_PreY5+FT_PerYear*INT((AW98-FT_Y5)/12)+FT_AnnivDays+INT(MOD(AW98-FT_Y5,12)/FT_Int2))),IF(AO98="PT",IF(AW98&lt;PT_First,0,1+INT((AW98-PT_First)/PT_Int)),0))-IF(AO98="FT",IF(AV98&lt;FT_First,0,IF(AV98&lt;FT_Y5,1+INT((AV98-FT_First)/FT_Int1),FT_PreY5+FT_PerYear*INT((AV98-FT_Y5)/12)+FT_AnnivDays+INT(MOD(AV98-FT_Y5,12)/FT_Int2))),IF(AO98="PT",IF(AV98&lt;PT_First,0,1+INT((AV98-PT_First)/PT_Int)),0)),0)+IF(AND(AG98&gt;=3,AJ98&lt;=PFYDate),IF(AP98="FT",IF(AU98&lt;FT_First,0,IF(AU98&lt;FT_Y5,1+INT((AU98-FT_First)/FT_Int1),FT_PreY5+FT_PerYear*INT((AU98-FT_Y5)/12)+FT_AnnivDays+INT(MOD(AU98-FT_Y5,12)/FT_Int2))),IF(AP98="PT",IF(AU98&lt;PT_First,0,1+INT((AU98-PT_First)/PT_Int)),0))-IF(AP98="FT",IF(AW98&lt;FT_First,0,IF(AW98&lt;FT_Y5,1+INT((AW98-FT_First)/FT_Int1),FT_PreY5+FT_PerYear*INT((AW98-FT_Y5)/12)+FT_AnnivDays+INT(MOD(AW98-FT_Y5,12)/FT_Int2))),IF(AP98="PT",IF(AW98&lt;PT_First,0,1+INT((AW98-PT_First)/PT_Int)),0)),0))</f>
        <v/>
      </c>
      <c r="AZ98" s="12" t="str">
        <f aca="false">IF(AE98=0,"",IF(AQ98="FT",IF(AR98&lt;FT_First,FT_First,IF(AR98&lt;FT_Y5,MIN(FT_Y5,FT_First+FT_Int1*(INT((AR98-FT_First)/FT_Int1)+1)),FT_Y5+12*INT((AR98-FT_Y5)/12)+FT_Int2*(INT(MOD(AR98-FT_Y5,12)/FT_Int2)+1))),IF(AQ98="PT",IF(AR98&lt;PT_First,PT_First,PT_First+PT_Int*(INT((AR98-PT_First)/PT_Int)+1)),"")))</f>
        <v/>
      </c>
      <c r="BA98" s="12" t="str">
        <f aca="false">IF(AE98=0,"",IF(NOT(LH_Ready),0,COUNTIFS(INDEX(LH_Data,0,LH_ColFirst),$A98,INDEX(LH_Data,0,LH_ColSur),$B98,INDEX(LH_Data,0,LH_ColCat),BonusCat)))</f>
        <v/>
      </c>
      <c r="BB98" s="12" t="str">
        <f aca="false">IF(AE98=0,"",IF(OR(NOT(LH_Ready),BA98=0),0,SUMPRODUCT(MAX((INDEX(LH_Data,0,LH_ColFirst)=$A98)*(INDEX(LH_Data,0,LH_ColSur)=$B98)*(INDEX(LH_Data,0,LH_ColCat)=BonusCat)*ROW(LH_Data)))))</f>
        <v/>
      </c>
    </row>
    <row r="99" customFormat="false" ht="15" hidden="false" customHeight="false" outlineLevel="0" collapsed="false">
      <c r="A99" s="15"/>
      <c r="B99" s="15"/>
      <c r="C99" s="15"/>
      <c r="D99" s="16"/>
      <c r="E99" s="10" t="str">
        <f aca="false">IF(OR(AE99=0,$D99=""),"",DATE(YEAR(AsOfDate)+IF(DATE(YEAR(AsOfDate),MONTH($D99),DAY($D99))&lt;=AsOfDate,1,0),MONTH($D99),DAY($D99)))</f>
        <v/>
      </c>
      <c r="F99" s="16"/>
      <c r="G99" s="16"/>
      <c r="H99" s="16"/>
      <c r="I99" s="16"/>
      <c r="J99" s="16"/>
      <c r="K99" s="10" t="str">
        <f aca="false">IF(AE99=0,"",DATE(YEAR(AsOfDate)+IF(DATE(YEAR(AsOfDate),MONTH($F99),DAY($F99))&lt;=AsOfDate,1,0),MONTH($F99),DAY($F99)))</f>
        <v/>
      </c>
      <c r="L99" s="11" t="str">
        <f aca="false">IF(AE99=0,"",ROUND((AsOfDate-$F99)/365.25,1))</f>
        <v/>
      </c>
      <c r="M99" s="12" t="str">
        <f aca="false">IF(AE99=0,"",IF(AsOfDate&lt;AF99,"-",DATEDIF(AF99,AsOfDate,"y")&amp;"y "&amp;DATEDIF(AF99,AsOfDate,"ym")&amp;"m "&amp;DATEDIF(AF99,AsOfDate,"md")&amp;"d"))</f>
        <v/>
      </c>
      <c r="N99" s="13" t="str">
        <f aca="false">IF(AE99=0,"",O99*HoursPerDay)</f>
        <v/>
      </c>
      <c r="O99" s="13" t="str">
        <f aca="false">IF(AE99=0,"",AX99)</f>
        <v/>
      </c>
      <c r="P99" s="17"/>
      <c r="Q99" s="12" t="str">
        <f aca="false">IF(AE99=0,"",IF(AG99&lt;2,"",AK99&amp;" to "&amp;AL99&amp;" on "&amp;TEXT(AI99,"dd/mm/yyyy")&amp;IF(AI99&gt;AsOfDate," (future)",IF(AN99=AO99,"",IF(AO99="None"," - STOPPED accruing",IF(AN99="None"," - now qualifying"," - pathway changed"))))&amp;IF(AG99&lt;3,"","; "&amp;AL99&amp;" to "&amp;AM99&amp;" on "&amp;TEXT(AJ99,"dd/mm/yyyy")&amp;IF(AJ99&gt;AsOfDate," (future)",IF(AO99=AP99,"",IF(AP99="None"," - STOPPED accruing",IF(AO99="None"," - now qualifying"," - pathway changed")))))))</f>
        <v/>
      </c>
      <c r="R99" s="12" t="str">
        <f aca="false">IF(AE99=0,"",IF(AQ99="None",IF(O99&gt;0,"No longer accruing","Not eligible - "&amp;IF(AND(OR(ISNUMBER(SEARCH("part",$C99)),UPPER(TRIM($C99))="PT",UPPER(TRIM($C99))="PTE"),$P99&lt;&gt;"",N($P99)&lt;PT_MinHours),"under "&amp;PT_MinHours&amp;" hrs",IF(IF($C99="","",IF(OR(ISNUMBER(SEARCH("full",$C99)),UPPER(TRIM($C99))="FT",UPPER(TRIM($C99))="FTE"),"Full-Time",IF(OR(ISNUMBER(SEARCH("part",$C99)),UPPER(TRIM($C99))="PT",UPPER(TRIM($C99))="PTE"),"Part-Time",IF(OR(ISNUMBER(SEARCH("cas",$C99)),UPPER(TRIM($C99))="CAS"),"Casual","Unknown"))))="Unknown","type not recognised",$C99))),IF(O99&gt;0,"Yes - accruing","Not yet - from "&amp;TEXT(S99,"dd/mm/yyyy"))))</f>
        <v/>
      </c>
      <c r="S99" s="10" t="str">
        <f aca="false">IF(AE99=0,"",IF(AQ99="None","",EDATE(AF99,AZ99)))</f>
        <v/>
      </c>
      <c r="T99" s="13" t="str">
        <f aca="false">IF(OR(AE99=0,W99=""),"",W99-U99+V99)</f>
        <v/>
      </c>
      <c r="U99" s="13" t="str">
        <f aca="false">IF(AE99=0,"",IF(NOT(LH_Ready),"",SUMIFS(INDEX(LH_Data,0,LH_ColAcc),INDEX(LH_Data,0,LH_ColFirst),$A99,INDEX(LH_Data,0,LH_ColSur),$B99,INDEX(LH_Data,0,LH_ColCat),BonusCat)*UnitFactor))</f>
        <v/>
      </c>
      <c r="V99" s="13" t="str">
        <f aca="false">IF(AE99=0,"",IF(NOT(LH_Ready),"",SUMIFS(INDEX(LH_Data,0,LH_ColTaken),INDEX(LH_Data,0,LH_ColFirst),$A99,INDEX(LH_Data,0,LH_ColSur),$B99,INDEX(LH_Data,0,LH_ColCat),BonusCat)*UnitFactor))</f>
        <v/>
      </c>
      <c r="W99" s="13" t="str">
        <f aca="false">IF(AE99=0,"",IF(NOT(LH_Ready),"",IF(BB99=0,0,INDEX(INDEX(LH_Data,0,LH_ColClose),BB99-1)*UnitFactor)))</f>
        <v/>
      </c>
      <c r="X99" s="13" t="str">
        <f aca="false">IF(AE99=0,"",(AX99-AY99)*HoursPerDay)</f>
        <v/>
      </c>
      <c r="Y99" s="13" t="str">
        <f aca="false">IF(AE99=0,"",IF(NOT(LH_Ready),"",IF(BA99=0,N99,X99-N(U99))))</f>
        <v/>
      </c>
      <c r="Z99" s="12" t="str">
        <f aca="false">IF(OR(AE99=0,Y99=""),"",IF(Y99&gt;0,"Yes","No"))</f>
        <v/>
      </c>
      <c r="AA99" s="12" t="str">
        <f aca="false">IF(AE99=0,IF(LEN($A99&amp;$B99)=0,"","FIX INPUT - StartDate missing"),IF(AD99&lt;&gt;"","FIX INPUT - "&amp;AD99,IF(NOT(LH_Ready),"Paste Leave History export (Settings must show YES)",IF(Y99&gt;0,"ACCRUE "&amp;ROUND(Y99,2)&amp;" hrs ("&amp;ROUND(Y99/HoursPerDay,2)&amp;" days)"&amp;IF(BA99=0," - no Bonus Leave in EH yet, full catch-up since start",""),IF(Y99&lt;0,"CHECK - EH accrued "&amp;ROUND(-Y99,2)&amp;""&amp;" hrs more than policy",IF(O99&gt;0,"OK - nothing to add",IF(AQ99="None",R99,"Not yet - first day on "&amp;TEXT(S99,"dd/mm/yyyy"))))))))</f>
        <v/>
      </c>
      <c r="AB99" s="13" t="str">
        <f aca="false">IF(OR(AE99=0,T99=""),"",AY99*HoursPerDay-T99)</f>
        <v/>
      </c>
      <c r="AC99" s="12" t="str">
        <f aca="false">IF(AE99=0,"",BA99)</f>
        <v/>
      </c>
      <c r="AD99" s="12" t="str">
        <f aca="false">IF(AE99=0,"",TRIM(IF(IF($C99="","",IF(OR(ISNUMBER(SEARCH("full",$C99)),UPPER(TRIM($C99))="FT",UPPER(TRIM($C99))="FTE"),"Full-Time",IF(OR(ISNUMBER(SEARCH("part",$C99)),UPPER(TRIM($C99))="PT",UPPER(TRIM($C99))="PTE"),"Part-Time",IF(OR(ISNUMBER(SEARCH("cas",$C99)),UPPER(TRIM($C99))="CAS"),"Casual","Unknown"))))="Unknown","EmploymentType not recognised - use Full-Time, Part-Time or Casual. ","")&amp;IF(AND(AG99&gt;=1,IF(AG99&gt;=3,AM99,IF(AG99=2,AL99,AK99))&lt;&gt;IF($C99="","",IF(OR(ISNUMBER(SEARCH("full",$C99)),UPPER(TRIM($C99))="FT",UPPER(TRIM($C99))="FTE"),"Full-Time",IF(OR(ISNUMBER(SEARCH("part",$C99)),UPPER(TRIM($C99))="PT",UPPER(TRIM($C99))="PTE"),"Part-Time",IF(OR(ISNUMBER(SEARCH("cas",$C99)),UPPER(TRIM($C99))="CAS"),"Casual","Unknown"))))),"EmploymentType does not match latest start date ("&amp;IF(AG99&gt;=3,AM99,IF(AG99=2,AL99,AK99))&amp;"). ","")&amp;IF(AND(AG99&gt;=1,AH99&lt;&gt;$F99),"Earliest type date should equal StartDate. ","")&amp;IF(AND(AG99&gt;=2,AH99=AI99),"Two types start on the same date. ","")&amp;IF(AND(OR(ISNUMBER(SEARCH("part",$C99)),UPPER(TRIM($C99))="PT",UPPER(TRIM($C99))="PTE"),$P99=""),"Part-time: enter PT Hrs/Week (blank = 24+). ","")))</f>
        <v/>
      </c>
      <c r="AE99" s="12" t="n">
        <f aca="false">IF(OR(LEN($A99&amp;$B99)=0,$F99=""),0,1)</f>
        <v>0</v>
      </c>
      <c r="AF99" s="10" t="str">
        <f aca="false">IF(AE99=0,"",IF($J99&lt;&gt;"",$J99,$F99))</f>
        <v/>
      </c>
      <c r="AG99" s="12" t="str">
        <f aca="false">IF(AE99=0,"",COUNT($G99:$I99))</f>
        <v/>
      </c>
      <c r="AH99" s="10" t="str">
        <f aca="false">IF(AE99=0,"",IFERROR(SMALL($G99:$I99,1),""))</f>
        <v/>
      </c>
      <c r="AI99" s="10" t="str">
        <f aca="false">IF(AE99=0,"",IFERROR(SMALL($G99:$I99,2),""))</f>
        <v/>
      </c>
      <c r="AJ99" s="10" t="str">
        <f aca="false">IF(AE99=0,"",IFERROR(SMALL($G99:$I99,3),""))</f>
        <v/>
      </c>
      <c r="AK99" s="12" t="str">
        <f aca="false">IF(AE99=0,"",IF(AH99="","",IF(AH99=$G99,"Part-Time",IF(AH99=$H99,"Full-Time","Casual"))))</f>
        <v/>
      </c>
      <c r="AL99" s="12" t="str">
        <f aca="false">IF(AE99=0,"",IF(AI99="","",IF(AI99=$G99,"Part-Time",IF(AI99=$H99,"Full-Time","Casual"))))</f>
        <v/>
      </c>
      <c r="AM99" s="12" t="str">
        <f aca="false">IF(AE99=0,"",IF(AJ99="","",IF(AJ99=$G99,"Part-Time",IF(AJ99=$H99,"Full-Time","Casual"))))</f>
        <v/>
      </c>
      <c r="AN99" s="12" t="str">
        <f aca="false">IF(AE99=0,"",IF(AG99=0,IF(OR(ISNUMBER(SEARCH("full",$C99)),UPPER(TRIM($C99))="FT",UPPER(TRIM($C99))="FTE"),"FT",IF(AND(OR(ISNUMBER(SEARCH("part",$C99)),UPPER(TRIM($C99))="PT",UPPER(TRIM($C99))="PTE"),OR($P99="",N($P99)&gt;=PT_MinHours)),"PT","None")),IF(OR(ISNUMBER(SEARCH("full",AK99)),UPPER(TRIM(AK99))="FT",UPPER(TRIM(AK99))="FTE"),"FT",IF(AND(OR(ISNUMBER(SEARCH("part",AK99)),UPPER(TRIM(AK99))="PT",UPPER(TRIM(AK99))="PTE"),OR($P99="",N($P99)&gt;=PT_MinHours)),"PT","None"))))</f>
        <v/>
      </c>
      <c r="AO99" s="12" t="str">
        <f aca="false">IF(AE99=0,"",IF(AG99&lt;2,"",IF(OR(ISNUMBER(SEARCH("full",AL99)),UPPER(TRIM(AL99))="FT",UPPER(TRIM(AL99))="FTE"),"FT",IF(AND(OR(ISNUMBER(SEARCH("part",AL99)),UPPER(TRIM(AL99))="PT",UPPER(TRIM(AL99))="PTE"),OR($P99="",N($P99)&gt;=PT_MinHours)),"PT","None"))))</f>
        <v/>
      </c>
      <c r="AP99" s="12" t="str">
        <f aca="false">IF(AE99=0,"",IF(AG99&lt;3,"",IF(OR(ISNUMBER(SEARCH("full",AM99)),UPPER(TRIM(AM99))="FT",UPPER(TRIM(AM99))="FTE"),"FT",IF(AND(OR(ISNUMBER(SEARCH("part",AM99)),UPPER(TRIM(AM99))="PT",UPPER(TRIM(AM99))="PTE"),OR($P99="",N($P99)&gt;=PT_MinHours)),"PT","None"))))</f>
        <v/>
      </c>
      <c r="AQ99" s="12" t="str">
        <f aca="false">IF(AE99=0,"",IF(AND(AG99&gt;=3,AJ99&lt;=AsOfDate),AP99,IF(AND(AG99&gt;=2,AI99&lt;=AsOfDate),AO99,AN99)))</f>
        <v/>
      </c>
      <c r="AR99" s="12" t="str">
        <f aca="false">IF(AE99=0,"",IF(AsOfDate&lt;AF99,-1,12*(YEAR(AsOfDate)-YEAR(AF99))+MONTH(AsOfDate)-MONTH(AF99)-IF(DAY(AsOfDate)&lt;MIN(DAY(AF99),DAY(EOMONTH(AsOfDate,0))),1,0)))</f>
        <v/>
      </c>
      <c r="AS99" s="12" t="str">
        <f aca="false">IF(AE99=0,"",IF(OR(AG99&lt;2,AI99&gt;AsOfDate),AR99,IF((AI99-1)&lt;AF99,-1,12*(YEAR((AI99-1))-YEAR(AF99))+MONTH((AI99-1))-MONTH(AF99)-IF(DAY((AI99-1))&lt;MIN(DAY(AF99),DAY(EOMONTH((AI99-1),0))),1,0))))</f>
        <v/>
      </c>
      <c r="AT99" s="12" t="str">
        <f aca="false">IF(AE99=0,"",IF(OR(AG99&lt;3,AJ99&gt;AsOfDate),AR99,IF((AJ99-1)&lt;AF99,-1,12*(YEAR((AJ99-1))-YEAR(AF99))+MONTH((AJ99-1))-MONTH(AF99)-IF(DAY((AJ99-1))&lt;MIN(DAY(AF99),DAY(EOMONTH((AJ99-1),0))),1,0))))</f>
        <v/>
      </c>
      <c r="AU99" s="12" t="str">
        <f aca="false">IF(AE99=0,"",IF(PFYDate&lt;AF99,-1,12*(YEAR(PFYDate)-YEAR(AF99))+MONTH(PFYDate)-MONTH(AF99)-IF(DAY(PFYDate)&lt;MIN(DAY(AF99),DAY(EOMONTH(PFYDate,0))),1,0)))</f>
        <v/>
      </c>
      <c r="AV99" s="12" t="str">
        <f aca="false">IF(AE99=0,"",IF(OR(AG99&lt;2,AI99&gt;PFYDate),AU99,IF((AI99-1)&lt;AF99,-1,12*(YEAR((AI99-1))-YEAR(AF99))+MONTH((AI99-1))-MONTH(AF99)-IF(DAY((AI99-1))&lt;MIN(DAY(AF99),DAY(EOMONTH((AI99-1),0))),1,0))))</f>
        <v/>
      </c>
      <c r="AW99" s="12" t="str">
        <f aca="false">IF(AE99=0,"",IF(OR(AG99&lt;3,AJ99&gt;PFYDate),AU99,IF((AJ99-1)&lt;AF99,-1,12*(YEAR((AJ99-1))-YEAR(AF99))+MONTH((AJ99-1))-MONTH(AF99)-IF(DAY((AJ99-1))&lt;MIN(DAY(AF99),DAY(EOMONTH((AJ99-1),0))),1,0))))</f>
        <v/>
      </c>
      <c r="AX99" s="12" t="str">
        <f aca="false">IF(AE99=0,"",IF(AN99="FT",IF(AS99&lt;FT_First,0,IF(AS99&lt;FT_Y5,1+INT((AS99-FT_First)/FT_Int1),FT_PreY5+FT_PerYear*INT((AS99-FT_Y5)/12)+FT_AnnivDays+INT(MOD(AS99-FT_Y5,12)/FT_Int2))),IF(AN99="PT",IF(AS99&lt;PT_First,0,1+INT((AS99-PT_First)/PT_Int)),0))+IF(AND(AG99&gt;=2,AI99&lt;=AsOfDate),IF(AO99="FT",IF(AT99&lt;FT_First,0,IF(AT99&lt;FT_Y5,1+INT((AT99-FT_First)/FT_Int1),FT_PreY5+FT_PerYear*INT((AT99-FT_Y5)/12)+FT_AnnivDays+INT(MOD(AT99-FT_Y5,12)/FT_Int2))),IF(AO99="PT",IF(AT99&lt;PT_First,0,1+INT((AT99-PT_First)/PT_Int)),0))-IF(AO99="FT",IF(AS99&lt;FT_First,0,IF(AS99&lt;FT_Y5,1+INT((AS99-FT_First)/FT_Int1),FT_PreY5+FT_PerYear*INT((AS99-FT_Y5)/12)+FT_AnnivDays+INT(MOD(AS99-FT_Y5,12)/FT_Int2))),IF(AO99="PT",IF(AS99&lt;PT_First,0,1+INT((AS99-PT_First)/PT_Int)),0)),0)+IF(AND(AG99&gt;=3,AJ99&lt;=AsOfDate),IF(AP99="FT",IF(AR99&lt;FT_First,0,IF(AR99&lt;FT_Y5,1+INT((AR99-FT_First)/FT_Int1),FT_PreY5+FT_PerYear*INT((AR99-FT_Y5)/12)+FT_AnnivDays+INT(MOD(AR99-FT_Y5,12)/FT_Int2))),IF(AP99="PT",IF(AR99&lt;PT_First,0,1+INT((AR99-PT_First)/PT_Int)),0))-IF(AP99="FT",IF(AT99&lt;FT_First,0,IF(AT99&lt;FT_Y5,1+INT((AT99-FT_First)/FT_Int1),FT_PreY5+FT_PerYear*INT((AT99-FT_Y5)/12)+FT_AnnivDays+INT(MOD(AT99-FT_Y5,12)/FT_Int2))),IF(AP99="PT",IF(AT99&lt;PT_First,0,1+INT((AT99-PT_First)/PT_Int)),0)),0))</f>
        <v/>
      </c>
      <c r="AY99" s="12" t="str">
        <f aca="false">IF(AE99=0,"",IF(AN99="FT",IF(AV99&lt;FT_First,0,IF(AV99&lt;FT_Y5,1+INT((AV99-FT_First)/FT_Int1),FT_PreY5+FT_PerYear*INT((AV99-FT_Y5)/12)+FT_AnnivDays+INT(MOD(AV99-FT_Y5,12)/FT_Int2))),IF(AN99="PT",IF(AV99&lt;PT_First,0,1+INT((AV99-PT_First)/PT_Int)),0))+IF(AND(AG99&gt;=2,AI99&lt;=PFYDate),IF(AO99="FT",IF(AW99&lt;FT_First,0,IF(AW99&lt;FT_Y5,1+INT((AW99-FT_First)/FT_Int1),FT_PreY5+FT_PerYear*INT((AW99-FT_Y5)/12)+FT_AnnivDays+INT(MOD(AW99-FT_Y5,12)/FT_Int2))),IF(AO99="PT",IF(AW99&lt;PT_First,0,1+INT((AW99-PT_First)/PT_Int)),0))-IF(AO99="FT",IF(AV99&lt;FT_First,0,IF(AV99&lt;FT_Y5,1+INT((AV99-FT_First)/FT_Int1),FT_PreY5+FT_PerYear*INT((AV99-FT_Y5)/12)+FT_AnnivDays+INT(MOD(AV99-FT_Y5,12)/FT_Int2))),IF(AO99="PT",IF(AV99&lt;PT_First,0,1+INT((AV99-PT_First)/PT_Int)),0)),0)+IF(AND(AG99&gt;=3,AJ99&lt;=PFYDate),IF(AP99="FT",IF(AU99&lt;FT_First,0,IF(AU99&lt;FT_Y5,1+INT((AU99-FT_First)/FT_Int1),FT_PreY5+FT_PerYear*INT((AU99-FT_Y5)/12)+FT_AnnivDays+INT(MOD(AU99-FT_Y5,12)/FT_Int2))),IF(AP99="PT",IF(AU99&lt;PT_First,0,1+INT((AU99-PT_First)/PT_Int)),0))-IF(AP99="FT",IF(AW99&lt;FT_First,0,IF(AW99&lt;FT_Y5,1+INT((AW99-FT_First)/FT_Int1),FT_PreY5+FT_PerYear*INT((AW99-FT_Y5)/12)+FT_AnnivDays+INT(MOD(AW99-FT_Y5,12)/FT_Int2))),IF(AP99="PT",IF(AW99&lt;PT_First,0,1+INT((AW99-PT_First)/PT_Int)),0)),0))</f>
        <v/>
      </c>
      <c r="AZ99" s="12" t="str">
        <f aca="false">IF(AE99=0,"",IF(AQ99="FT",IF(AR99&lt;FT_First,FT_First,IF(AR99&lt;FT_Y5,MIN(FT_Y5,FT_First+FT_Int1*(INT((AR99-FT_First)/FT_Int1)+1)),FT_Y5+12*INT((AR99-FT_Y5)/12)+FT_Int2*(INT(MOD(AR99-FT_Y5,12)/FT_Int2)+1))),IF(AQ99="PT",IF(AR99&lt;PT_First,PT_First,PT_First+PT_Int*(INT((AR99-PT_First)/PT_Int)+1)),"")))</f>
        <v/>
      </c>
      <c r="BA99" s="12" t="str">
        <f aca="false">IF(AE99=0,"",IF(NOT(LH_Ready),0,COUNTIFS(INDEX(LH_Data,0,LH_ColFirst),$A99,INDEX(LH_Data,0,LH_ColSur),$B99,INDEX(LH_Data,0,LH_ColCat),BonusCat)))</f>
        <v/>
      </c>
      <c r="BB99" s="12" t="str">
        <f aca="false">IF(AE99=0,"",IF(OR(NOT(LH_Ready),BA99=0),0,SUMPRODUCT(MAX((INDEX(LH_Data,0,LH_ColFirst)=$A99)*(INDEX(LH_Data,0,LH_ColSur)=$B99)*(INDEX(LH_Data,0,LH_ColCat)=BonusCat)*ROW(LH_Data)))))</f>
        <v/>
      </c>
    </row>
    <row r="100" customFormat="false" ht="15" hidden="false" customHeight="false" outlineLevel="0" collapsed="false">
      <c r="A100" s="15"/>
      <c r="B100" s="15"/>
      <c r="C100" s="15"/>
      <c r="D100" s="16"/>
      <c r="E100" s="10" t="str">
        <f aca="false">IF(OR(AE100=0,$D100=""),"",DATE(YEAR(AsOfDate)+IF(DATE(YEAR(AsOfDate),MONTH($D100),DAY($D100))&lt;=AsOfDate,1,0),MONTH($D100),DAY($D100)))</f>
        <v/>
      </c>
      <c r="F100" s="16"/>
      <c r="G100" s="16"/>
      <c r="H100" s="16"/>
      <c r="I100" s="16"/>
      <c r="J100" s="16"/>
      <c r="K100" s="10" t="str">
        <f aca="false">IF(AE100=0,"",DATE(YEAR(AsOfDate)+IF(DATE(YEAR(AsOfDate),MONTH($F100),DAY($F100))&lt;=AsOfDate,1,0),MONTH($F100),DAY($F100)))</f>
        <v/>
      </c>
      <c r="L100" s="11" t="str">
        <f aca="false">IF(AE100=0,"",ROUND((AsOfDate-$F100)/365.25,1))</f>
        <v/>
      </c>
      <c r="M100" s="12" t="str">
        <f aca="false">IF(AE100=0,"",IF(AsOfDate&lt;AF100,"-",DATEDIF(AF100,AsOfDate,"y")&amp;"y "&amp;DATEDIF(AF100,AsOfDate,"ym")&amp;"m "&amp;DATEDIF(AF100,AsOfDate,"md")&amp;"d"))</f>
        <v/>
      </c>
      <c r="N100" s="13" t="str">
        <f aca="false">IF(AE100=0,"",O100*HoursPerDay)</f>
        <v/>
      </c>
      <c r="O100" s="13" t="str">
        <f aca="false">IF(AE100=0,"",AX100)</f>
        <v/>
      </c>
      <c r="P100" s="17"/>
      <c r="Q100" s="12" t="str">
        <f aca="false">IF(AE100=0,"",IF(AG100&lt;2,"",AK100&amp;" to "&amp;AL100&amp;" on "&amp;TEXT(AI100,"dd/mm/yyyy")&amp;IF(AI100&gt;AsOfDate," (future)",IF(AN100=AO100,"",IF(AO100="None"," - STOPPED accruing",IF(AN100="None"," - now qualifying"," - pathway changed"))))&amp;IF(AG100&lt;3,"","; "&amp;AL100&amp;" to "&amp;AM100&amp;" on "&amp;TEXT(AJ100,"dd/mm/yyyy")&amp;IF(AJ100&gt;AsOfDate," (future)",IF(AO100=AP100,"",IF(AP100="None"," - STOPPED accruing",IF(AO100="None"," - now qualifying"," - pathway changed")))))))</f>
        <v/>
      </c>
      <c r="R100" s="12" t="str">
        <f aca="false">IF(AE100=0,"",IF(AQ100="None",IF(O100&gt;0,"No longer accruing","Not eligible - "&amp;IF(AND(OR(ISNUMBER(SEARCH("part",$C100)),UPPER(TRIM($C100))="PT",UPPER(TRIM($C100))="PTE"),$P100&lt;&gt;"",N($P100)&lt;PT_MinHours),"under "&amp;PT_MinHours&amp;" hrs",IF(IF($C100="","",IF(OR(ISNUMBER(SEARCH("full",$C100)),UPPER(TRIM($C100))="FT",UPPER(TRIM($C100))="FTE"),"Full-Time",IF(OR(ISNUMBER(SEARCH("part",$C100)),UPPER(TRIM($C100))="PT",UPPER(TRIM($C100))="PTE"),"Part-Time",IF(OR(ISNUMBER(SEARCH("cas",$C100)),UPPER(TRIM($C100))="CAS"),"Casual","Unknown"))))="Unknown","type not recognised",$C100))),IF(O100&gt;0,"Yes - accruing","Not yet - from "&amp;TEXT(S100,"dd/mm/yyyy"))))</f>
        <v/>
      </c>
      <c r="S100" s="10" t="str">
        <f aca="false">IF(AE100=0,"",IF(AQ100="None","",EDATE(AF100,AZ100)))</f>
        <v/>
      </c>
      <c r="T100" s="13" t="str">
        <f aca="false">IF(OR(AE100=0,W100=""),"",W100-U100+V100)</f>
        <v/>
      </c>
      <c r="U100" s="13" t="str">
        <f aca="false">IF(AE100=0,"",IF(NOT(LH_Ready),"",SUMIFS(INDEX(LH_Data,0,LH_ColAcc),INDEX(LH_Data,0,LH_ColFirst),$A100,INDEX(LH_Data,0,LH_ColSur),$B100,INDEX(LH_Data,0,LH_ColCat),BonusCat)*UnitFactor))</f>
        <v/>
      </c>
      <c r="V100" s="13" t="str">
        <f aca="false">IF(AE100=0,"",IF(NOT(LH_Ready),"",SUMIFS(INDEX(LH_Data,0,LH_ColTaken),INDEX(LH_Data,0,LH_ColFirst),$A100,INDEX(LH_Data,0,LH_ColSur),$B100,INDEX(LH_Data,0,LH_ColCat),BonusCat)*UnitFactor))</f>
        <v/>
      </c>
      <c r="W100" s="13" t="str">
        <f aca="false">IF(AE100=0,"",IF(NOT(LH_Ready),"",IF(BB100=0,0,INDEX(INDEX(LH_Data,0,LH_ColClose),BB100-1)*UnitFactor)))</f>
        <v/>
      </c>
      <c r="X100" s="13" t="str">
        <f aca="false">IF(AE100=0,"",(AX100-AY100)*HoursPerDay)</f>
        <v/>
      </c>
      <c r="Y100" s="13" t="str">
        <f aca="false">IF(AE100=0,"",IF(NOT(LH_Ready),"",IF(BA100=0,N100,X100-N(U100))))</f>
        <v/>
      </c>
      <c r="Z100" s="12" t="str">
        <f aca="false">IF(OR(AE100=0,Y100=""),"",IF(Y100&gt;0,"Yes","No"))</f>
        <v/>
      </c>
      <c r="AA100" s="12" t="str">
        <f aca="false">IF(AE100=0,IF(LEN($A100&amp;$B100)=0,"","FIX INPUT - StartDate missing"),IF(AD100&lt;&gt;"","FIX INPUT - "&amp;AD100,IF(NOT(LH_Ready),"Paste Leave History export (Settings must show YES)",IF(Y100&gt;0,"ACCRUE "&amp;ROUND(Y100,2)&amp;" hrs ("&amp;ROUND(Y100/HoursPerDay,2)&amp;" days)"&amp;IF(BA100=0," - no Bonus Leave in EH yet, full catch-up since start",""),IF(Y100&lt;0,"CHECK - EH accrued "&amp;ROUND(-Y100,2)&amp;""&amp;" hrs more than policy",IF(O100&gt;0,"OK - nothing to add",IF(AQ100="None",R100,"Not yet - first day on "&amp;TEXT(S100,"dd/mm/yyyy"))))))))</f>
        <v/>
      </c>
      <c r="AB100" s="13" t="str">
        <f aca="false">IF(OR(AE100=0,T100=""),"",AY100*HoursPerDay-T100)</f>
        <v/>
      </c>
      <c r="AC100" s="12" t="str">
        <f aca="false">IF(AE100=0,"",BA100)</f>
        <v/>
      </c>
      <c r="AD100" s="12" t="str">
        <f aca="false">IF(AE100=0,"",TRIM(IF(IF($C100="","",IF(OR(ISNUMBER(SEARCH("full",$C100)),UPPER(TRIM($C100))="FT",UPPER(TRIM($C100))="FTE"),"Full-Time",IF(OR(ISNUMBER(SEARCH("part",$C100)),UPPER(TRIM($C100))="PT",UPPER(TRIM($C100))="PTE"),"Part-Time",IF(OR(ISNUMBER(SEARCH("cas",$C100)),UPPER(TRIM($C100))="CAS"),"Casual","Unknown"))))="Unknown","EmploymentType not recognised - use Full-Time, Part-Time or Casual. ","")&amp;IF(AND(AG100&gt;=1,IF(AG100&gt;=3,AM100,IF(AG100=2,AL100,AK100))&lt;&gt;IF($C100="","",IF(OR(ISNUMBER(SEARCH("full",$C100)),UPPER(TRIM($C100))="FT",UPPER(TRIM($C100))="FTE"),"Full-Time",IF(OR(ISNUMBER(SEARCH("part",$C100)),UPPER(TRIM($C100))="PT",UPPER(TRIM($C100))="PTE"),"Part-Time",IF(OR(ISNUMBER(SEARCH("cas",$C100)),UPPER(TRIM($C100))="CAS"),"Casual","Unknown"))))),"EmploymentType does not match latest start date ("&amp;IF(AG100&gt;=3,AM100,IF(AG100=2,AL100,AK100))&amp;"). ","")&amp;IF(AND(AG100&gt;=1,AH100&lt;&gt;$F100),"Earliest type date should equal StartDate. ","")&amp;IF(AND(AG100&gt;=2,AH100=AI100),"Two types start on the same date. ","")&amp;IF(AND(OR(ISNUMBER(SEARCH("part",$C100)),UPPER(TRIM($C100))="PT",UPPER(TRIM($C100))="PTE"),$P100=""),"Part-time: enter PT Hrs/Week (blank = 24+). ","")))</f>
        <v/>
      </c>
      <c r="AE100" s="12" t="n">
        <f aca="false">IF(OR(LEN($A100&amp;$B100)=0,$F100=""),0,1)</f>
        <v>0</v>
      </c>
      <c r="AF100" s="10" t="str">
        <f aca="false">IF(AE100=0,"",IF($J100&lt;&gt;"",$J100,$F100))</f>
        <v/>
      </c>
      <c r="AG100" s="12" t="str">
        <f aca="false">IF(AE100=0,"",COUNT($G100:$I100))</f>
        <v/>
      </c>
      <c r="AH100" s="10" t="str">
        <f aca="false">IF(AE100=0,"",IFERROR(SMALL($G100:$I100,1),""))</f>
        <v/>
      </c>
      <c r="AI100" s="10" t="str">
        <f aca="false">IF(AE100=0,"",IFERROR(SMALL($G100:$I100,2),""))</f>
        <v/>
      </c>
      <c r="AJ100" s="10" t="str">
        <f aca="false">IF(AE100=0,"",IFERROR(SMALL($G100:$I100,3),""))</f>
        <v/>
      </c>
      <c r="AK100" s="12" t="str">
        <f aca="false">IF(AE100=0,"",IF(AH100="","",IF(AH100=$G100,"Part-Time",IF(AH100=$H100,"Full-Time","Casual"))))</f>
        <v/>
      </c>
      <c r="AL100" s="12" t="str">
        <f aca="false">IF(AE100=0,"",IF(AI100="","",IF(AI100=$G100,"Part-Time",IF(AI100=$H100,"Full-Time","Casual"))))</f>
        <v/>
      </c>
      <c r="AM100" s="12" t="str">
        <f aca="false">IF(AE100=0,"",IF(AJ100="","",IF(AJ100=$G100,"Part-Time",IF(AJ100=$H100,"Full-Time","Casual"))))</f>
        <v/>
      </c>
      <c r="AN100" s="12" t="str">
        <f aca="false">IF(AE100=0,"",IF(AG100=0,IF(OR(ISNUMBER(SEARCH("full",$C100)),UPPER(TRIM($C100))="FT",UPPER(TRIM($C100))="FTE"),"FT",IF(AND(OR(ISNUMBER(SEARCH("part",$C100)),UPPER(TRIM($C100))="PT",UPPER(TRIM($C100))="PTE"),OR($P100="",N($P100)&gt;=PT_MinHours)),"PT","None")),IF(OR(ISNUMBER(SEARCH("full",AK100)),UPPER(TRIM(AK100))="FT",UPPER(TRIM(AK100))="FTE"),"FT",IF(AND(OR(ISNUMBER(SEARCH("part",AK100)),UPPER(TRIM(AK100))="PT",UPPER(TRIM(AK100))="PTE"),OR($P100="",N($P100)&gt;=PT_MinHours)),"PT","None"))))</f>
        <v/>
      </c>
      <c r="AO100" s="12" t="str">
        <f aca="false">IF(AE100=0,"",IF(AG100&lt;2,"",IF(OR(ISNUMBER(SEARCH("full",AL100)),UPPER(TRIM(AL100))="FT",UPPER(TRIM(AL100))="FTE"),"FT",IF(AND(OR(ISNUMBER(SEARCH("part",AL100)),UPPER(TRIM(AL100))="PT",UPPER(TRIM(AL100))="PTE"),OR($P100="",N($P100)&gt;=PT_MinHours)),"PT","None"))))</f>
        <v/>
      </c>
      <c r="AP100" s="12" t="str">
        <f aca="false">IF(AE100=0,"",IF(AG100&lt;3,"",IF(OR(ISNUMBER(SEARCH("full",AM100)),UPPER(TRIM(AM100))="FT",UPPER(TRIM(AM100))="FTE"),"FT",IF(AND(OR(ISNUMBER(SEARCH("part",AM100)),UPPER(TRIM(AM100))="PT",UPPER(TRIM(AM100))="PTE"),OR($P100="",N($P100)&gt;=PT_MinHours)),"PT","None"))))</f>
        <v/>
      </c>
      <c r="AQ100" s="12" t="str">
        <f aca="false">IF(AE100=0,"",IF(AND(AG100&gt;=3,AJ100&lt;=AsOfDate),AP100,IF(AND(AG100&gt;=2,AI100&lt;=AsOfDate),AO100,AN100)))</f>
        <v/>
      </c>
      <c r="AR100" s="12" t="str">
        <f aca="false">IF(AE100=0,"",IF(AsOfDate&lt;AF100,-1,12*(YEAR(AsOfDate)-YEAR(AF100))+MONTH(AsOfDate)-MONTH(AF100)-IF(DAY(AsOfDate)&lt;MIN(DAY(AF100),DAY(EOMONTH(AsOfDate,0))),1,0)))</f>
        <v/>
      </c>
      <c r="AS100" s="12" t="str">
        <f aca="false">IF(AE100=0,"",IF(OR(AG100&lt;2,AI100&gt;AsOfDate),AR100,IF((AI100-1)&lt;AF100,-1,12*(YEAR((AI100-1))-YEAR(AF100))+MONTH((AI100-1))-MONTH(AF100)-IF(DAY((AI100-1))&lt;MIN(DAY(AF100),DAY(EOMONTH((AI100-1),0))),1,0))))</f>
        <v/>
      </c>
      <c r="AT100" s="12" t="str">
        <f aca="false">IF(AE100=0,"",IF(OR(AG100&lt;3,AJ100&gt;AsOfDate),AR100,IF((AJ100-1)&lt;AF100,-1,12*(YEAR((AJ100-1))-YEAR(AF100))+MONTH((AJ100-1))-MONTH(AF100)-IF(DAY((AJ100-1))&lt;MIN(DAY(AF100),DAY(EOMONTH((AJ100-1),0))),1,0))))</f>
        <v/>
      </c>
      <c r="AU100" s="12" t="str">
        <f aca="false">IF(AE100=0,"",IF(PFYDate&lt;AF100,-1,12*(YEAR(PFYDate)-YEAR(AF100))+MONTH(PFYDate)-MONTH(AF100)-IF(DAY(PFYDate)&lt;MIN(DAY(AF100),DAY(EOMONTH(PFYDate,0))),1,0)))</f>
        <v/>
      </c>
      <c r="AV100" s="12" t="str">
        <f aca="false">IF(AE100=0,"",IF(OR(AG100&lt;2,AI100&gt;PFYDate),AU100,IF((AI100-1)&lt;AF100,-1,12*(YEAR((AI100-1))-YEAR(AF100))+MONTH((AI100-1))-MONTH(AF100)-IF(DAY((AI100-1))&lt;MIN(DAY(AF100),DAY(EOMONTH((AI100-1),0))),1,0))))</f>
        <v/>
      </c>
      <c r="AW100" s="12" t="str">
        <f aca="false">IF(AE100=0,"",IF(OR(AG100&lt;3,AJ100&gt;PFYDate),AU100,IF((AJ100-1)&lt;AF100,-1,12*(YEAR((AJ100-1))-YEAR(AF100))+MONTH((AJ100-1))-MONTH(AF100)-IF(DAY((AJ100-1))&lt;MIN(DAY(AF100),DAY(EOMONTH((AJ100-1),0))),1,0))))</f>
        <v/>
      </c>
      <c r="AX100" s="12" t="str">
        <f aca="false">IF(AE100=0,"",IF(AN100="FT",IF(AS100&lt;FT_First,0,IF(AS100&lt;FT_Y5,1+INT((AS100-FT_First)/FT_Int1),FT_PreY5+FT_PerYear*INT((AS100-FT_Y5)/12)+FT_AnnivDays+INT(MOD(AS100-FT_Y5,12)/FT_Int2))),IF(AN100="PT",IF(AS100&lt;PT_First,0,1+INT((AS100-PT_First)/PT_Int)),0))+IF(AND(AG100&gt;=2,AI100&lt;=AsOfDate),IF(AO100="FT",IF(AT100&lt;FT_First,0,IF(AT100&lt;FT_Y5,1+INT((AT100-FT_First)/FT_Int1),FT_PreY5+FT_PerYear*INT((AT100-FT_Y5)/12)+FT_AnnivDays+INT(MOD(AT100-FT_Y5,12)/FT_Int2))),IF(AO100="PT",IF(AT100&lt;PT_First,0,1+INT((AT100-PT_First)/PT_Int)),0))-IF(AO100="FT",IF(AS100&lt;FT_First,0,IF(AS100&lt;FT_Y5,1+INT((AS100-FT_First)/FT_Int1),FT_PreY5+FT_PerYear*INT((AS100-FT_Y5)/12)+FT_AnnivDays+INT(MOD(AS100-FT_Y5,12)/FT_Int2))),IF(AO100="PT",IF(AS100&lt;PT_First,0,1+INT((AS100-PT_First)/PT_Int)),0)),0)+IF(AND(AG100&gt;=3,AJ100&lt;=AsOfDate),IF(AP100="FT",IF(AR100&lt;FT_First,0,IF(AR100&lt;FT_Y5,1+INT((AR100-FT_First)/FT_Int1),FT_PreY5+FT_PerYear*INT((AR100-FT_Y5)/12)+FT_AnnivDays+INT(MOD(AR100-FT_Y5,12)/FT_Int2))),IF(AP100="PT",IF(AR100&lt;PT_First,0,1+INT((AR100-PT_First)/PT_Int)),0))-IF(AP100="FT",IF(AT100&lt;FT_First,0,IF(AT100&lt;FT_Y5,1+INT((AT100-FT_First)/FT_Int1),FT_PreY5+FT_PerYear*INT((AT100-FT_Y5)/12)+FT_AnnivDays+INT(MOD(AT100-FT_Y5,12)/FT_Int2))),IF(AP100="PT",IF(AT100&lt;PT_First,0,1+INT((AT100-PT_First)/PT_Int)),0)),0))</f>
        <v/>
      </c>
      <c r="AY100" s="12" t="str">
        <f aca="false">IF(AE100=0,"",IF(AN100="FT",IF(AV100&lt;FT_First,0,IF(AV100&lt;FT_Y5,1+INT((AV100-FT_First)/FT_Int1),FT_PreY5+FT_PerYear*INT((AV100-FT_Y5)/12)+FT_AnnivDays+INT(MOD(AV100-FT_Y5,12)/FT_Int2))),IF(AN100="PT",IF(AV100&lt;PT_First,0,1+INT((AV100-PT_First)/PT_Int)),0))+IF(AND(AG100&gt;=2,AI100&lt;=PFYDate),IF(AO100="FT",IF(AW100&lt;FT_First,0,IF(AW100&lt;FT_Y5,1+INT((AW100-FT_First)/FT_Int1),FT_PreY5+FT_PerYear*INT((AW100-FT_Y5)/12)+FT_AnnivDays+INT(MOD(AW100-FT_Y5,12)/FT_Int2))),IF(AO100="PT",IF(AW100&lt;PT_First,0,1+INT((AW100-PT_First)/PT_Int)),0))-IF(AO100="FT",IF(AV100&lt;FT_First,0,IF(AV100&lt;FT_Y5,1+INT((AV100-FT_First)/FT_Int1),FT_PreY5+FT_PerYear*INT((AV100-FT_Y5)/12)+FT_AnnivDays+INT(MOD(AV100-FT_Y5,12)/FT_Int2))),IF(AO100="PT",IF(AV100&lt;PT_First,0,1+INT((AV100-PT_First)/PT_Int)),0)),0)+IF(AND(AG100&gt;=3,AJ100&lt;=PFYDate),IF(AP100="FT",IF(AU100&lt;FT_First,0,IF(AU100&lt;FT_Y5,1+INT((AU100-FT_First)/FT_Int1),FT_PreY5+FT_PerYear*INT((AU100-FT_Y5)/12)+FT_AnnivDays+INT(MOD(AU100-FT_Y5,12)/FT_Int2))),IF(AP100="PT",IF(AU100&lt;PT_First,0,1+INT((AU100-PT_First)/PT_Int)),0))-IF(AP100="FT",IF(AW100&lt;FT_First,0,IF(AW100&lt;FT_Y5,1+INT((AW100-FT_First)/FT_Int1),FT_PreY5+FT_PerYear*INT((AW100-FT_Y5)/12)+FT_AnnivDays+INT(MOD(AW100-FT_Y5,12)/FT_Int2))),IF(AP100="PT",IF(AW100&lt;PT_First,0,1+INT((AW100-PT_First)/PT_Int)),0)),0))</f>
        <v/>
      </c>
      <c r="AZ100" s="12" t="str">
        <f aca="false">IF(AE100=0,"",IF(AQ100="FT",IF(AR100&lt;FT_First,FT_First,IF(AR100&lt;FT_Y5,MIN(FT_Y5,FT_First+FT_Int1*(INT((AR100-FT_First)/FT_Int1)+1)),FT_Y5+12*INT((AR100-FT_Y5)/12)+FT_Int2*(INT(MOD(AR100-FT_Y5,12)/FT_Int2)+1))),IF(AQ100="PT",IF(AR100&lt;PT_First,PT_First,PT_First+PT_Int*(INT((AR100-PT_First)/PT_Int)+1)),"")))</f>
        <v/>
      </c>
      <c r="BA100" s="12" t="str">
        <f aca="false">IF(AE100=0,"",IF(NOT(LH_Ready),0,COUNTIFS(INDEX(LH_Data,0,LH_ColFirst),$A100,INDEX(LH_Data,0,LH_ColSur),$B100,INDEX(LH_Data,0,LH_ColCat),BonusCat)))</f>
        <v/>
      </c>
      <c r="BB100" s="12" t="str">
        <f aca="false">IF(AE100=0,"",IF(OR(NOT(LH_Ready),BA100=0),0,SUMPRODUCT(MAX((INDEX(LH_Data,0,LH_ColFirst)=$A100)*(INDEX(LH_Data,0,LH_ColSur)=$B100)*(INDEX(LH_Data,0,LH_ColCat)=BonusCat)*ROW(LH_Data)))))</f>
        <v/>
      </c>
    </row>
    <row r="101" customFormat="false" ht="15" hidden="false" customHeight="false" outlineLevel="0" collapsed="false">
      <c r="A101" s="15"/>
      <c r="B101" s="15"/>
      <c r="C101" s="15"/>
      <c r="D101" s="16"/>
      <c r="E101" s="10" t="str">
        <f aca="false">IF(OR(AE101=0,$D101=""),"",DATE(YEAR(AsOfDate)+IF(DATE(YEAR(AsOfDate),MONTH($D101),DAY($D101))&lt;=AsOfDate,1,0),MONTH($D101),DAY($D101)))</f>
        <v/>
      </c>
      <c r="F101" s="16"/>
      <c r="G101" s="16"/>
      <c r="H101" s="16"/>
      <c r="I101" s="16"/>
      <c r="J101" s="16"/>
      <c r="K101" s="10" t="str">
        <f aca="false">IF(AE101=0,"",DATE(YEAR(AsOfDate)+IF(DATE(YEAR(AsOfDate),MONTH($F101),DAY($F101))&lt;=AsOfDate,1,0),MONTH($F101),DAY($F101)))</f>
        <v/>
      </c>
      <c r="L101" s="11" t="str">
        <f aca="false">IF(AE101=0,"",ROUND((AsOfDate-$F101)/365.25,1))</f>
        <v/>
      </c>
      <c r="M101" s="12" t="str">
        <f aca="false">IF(AE101=0,"",IF(AsOfDate&lt;AF101,"-",DATEDIF(AF101,AsOfDate,"y")&amp;"y "&amp;DATEDIF(AF101,AsOfDate,"ym")&amp;"m "&amp;DATEDIF(AF101,AsOfDate,"md")&amp;"d"))</f>
        <v/>
      </c>
      <c r="N101" s="13" t="str">
        <f aca="false">IF(AE101=0,"",O101*HoursPerDay)</f>
        <v/>
      </c>
      <c r="O101" s="13" t="str">
        <f aca="false">IF(AE101=0,"",AX101)</f>
        <v/>
      </c>
      <c r="P101" s="17"/>
      <c r="Q101" s="12" t="str">
        <f aca="false">IF(AE101=0,"",IF(AG101&lt;2,"",AK101&amp;" to "&amp;AL101&amp;" on "&amp;TEXT(AI101,"dd/mm/yyyy")&amp;IF(AI101&gt;AsOfDate," (future)",IF(AN101=AO101,"",IF(AO101="None"," - STOPPED accruing",IF(AN101="None"," - now qualifying"," - pathway changed"))))&amp;IF(AG101&lt;3,"","; "&amp;AL101&amp;" to "&amp;AM101&amp;" on "&amp;TEXT(AJ101,"dd/mm/yyyy")&amp;IF(AJ101&gt;AsOfDate," (future)",IF(AO101=AP101,"",IF(AP101="None"," - STOPPED accruing",IF(AO101="None"," - now qualifying"," - pathway changed")))))))</f>
        <v/>
      </c>
      <c r="R101" s="12" t="str">
        <f aca="false">IF(AE101=0,"",IF(AQ101="None",IF(O101&gt;0,"No longer accruing","Not eligible - "&amp;IF(AND(OR(ISNUMBER(SEARCH("part",$C101)),UPPER(TRIM($C101))="PT",UPPER(TRIM($C101))="PTE"),$P101&lt;&gt;"",N($P101)&lt;PT_MinHours),"under "&amp;PT_MinHours&amp;" hrs",IF(IF($C101="","",IF(OR(ISNUMBER(SEARCH("full",$C101)),UPPER(TRIM($C101))="FT",UPPER(TRIM($C101))="FTE"),"Full-Time",IF(OR(ISNUMBER(SEARCH("part",$C101)),UPPER(TRIM($C101))="PT",UPPER(TRIM($C101))="PTE"),"Part-Time",IF(OR(ISNUMBER(SEARCH("cas",$C101)),UPPER(TRIM($C101))="CAS"),"Casual","Unknown"))))="Unknown","type not recognised",$C101))),IF(O101&gt;0,"Yes - accruing","Not yet - from "&amp;TEXT(S101,"dd/mm/yyyy"))))</f>
        <v/>
      </c>
      <c r="S101" s="10" t="str">
        <f aca="false">IF(AE101=0,"",IF(AQ101="None","",EDATE(AF101,AZ101)))</f>
        <v/>
      </c>
      <c r="T101" s="13" t="str">
        <f aca="false">IF(OR(AE101=0,W101=""),"",W101-U101+V101)</f>
        <v/>
      </c>
      <c r="U101" s="13" t="str">
        <f aca="false">IF(AE101=0,"",IF(NOT(LH_Ready),"",SUMIFS(INDEX(LH_Data,0,LH_ColAcc),INDEX(LH_Data,0,LH_ColFirst),$A101,INDEX(LH_Data,0,LH_ColSur),$B101,INDEX(LH_Data,0,LH_ColCat),BonusCat)*UnitFactor))</f>
        <v/>
      </c>
      <c r="V101" s="13" t="str">
        <f aca="false">IF(AE101=0,"",IF(NOT(LH_Ready),"",SUMIFS(INDEX(LH_Data,0,LH_ColTaken),INDEX(LH_Data,0,LH_ColFirst),$A101,INDEX(LH_Data,0,LH_ColSur),$B101,INDEX(LH_Data,0,LH_ColCat),BonusCat)*UnitFactor))</f>
        <v/>
      </c>
      <c r="W101" s="13" t="str">
        <f aca="false">IF(AE101=0,"",IF(NOT(LH_Ready),"",IF(BB101=0,0,INDEX(INDEX(LH_Data,0,LH_ColClose),BB101-1)*UnitFactor)))</f>
        <v/>
      </c>
      <c r="X101" s="13" t="str">
        <f aca="false">IF(AE101=0,"",(AX101-AY101)*HoursPerDay)</f>
        <v/>
      </c>
      <c r="Y101" s="13" t="str">
        <f aca="false">IF(AE101=0,"",IF(NOT(LH_Ready),"",IF(BA101=0,N101,X101-N(U101))))</f>
        <v/>
      </c>
      <c r="Z101" s="12" t="str">
        <f aca="false">IF(OR(AE101=0,Y101=""),"",IF(Y101&gt;0,"Yes","No"))</f>
        <v/>
      </c>
      <c r="AA101" s="12" t="str">
        <f aca="false">IF(AE101=0,IF(LEN($A101&amp;$B101)=0,"","FIX INPUT - StartDate missing"),IF(AD101&lt;&gt;"","FIX INPUT - "&amp;AD101,IF(NOT(LH_Ready),"Paste Leave History export (Settings must show YES)",IF(Y101&gt;0,"ACCRUE "&amp;ROUND(Y101,2)&amp;" hrs ("&amp;ROUND(Y101/HoursPerDay,2)&amp;" days)"&amp;IF(BA101=0," - no Bonus Leave in EH yet, full catch-up since start",""),IF(Y101&lt;0,"CHECK - EH accrued "&amp;ROUND(-Y101,2)&amp;""&amp;" hrs more than policy",IF(O101&gt;0,"OK - nothing to add",IF(AQ101="None",R101,"Not yet - first day on "&amp;TEXT(S101,"dd/mm/yyyy"))))))))</f>
        <v/>
      </c>
      <c r="AB101" s="13" t="str">
        <f aca="false">IF(OR(AE101=0,T101=""),"",AY101*HoursPerDay-T101)</f>
        <v/>
      </c>
      <c r="AC101" s="12" t="str">
        <f aca="false">IF(AE101=0,"",BA101)</f>
        <v/>
      </c>
      <c r="AD101" s="12" t="str">
        <f aca="false">IF(AE101=0,"",TRIM(IF(IF($C101="","",IF(OR(ISNUMBER(SEARCH("full",$C101)),UPPER(TRIM($C101))="FT",UPPER(TRIM($C101))="FTE"),"Full-Time",IF(OR(ISNUMBER(SEARCH("part",$C101)),UPPER(TRIM($C101))="PT",UPPER(TRIM($C101))="PTE"),"Part-Time",IF(OR(ISNUMBER(SEARCH("cas",$C101)),UPPER(TRIM($C101))="CAS"),"Casual","Unknown"))))="Unknown","EmploymentType not recognised - use Full-Time, Part-Time or Casual. ","")&amp;IF(AND(AG101&gt;=1,IF(AG101&gt;=3,AM101,IF(AG101=2,AL101,AK101))&lt;&gt;IF($C101="","",IF(OR(ISNUMBER(SEARCH("full",$C101)),UPPER(TRIM($C101))="FT",UPPER(TRIM($C101))="FTE"),"Full-Time",IF(OR(ISNUMBER(SEARCH("part",$C101)),UPPER(TRIM($C101))="PT",UPPER(TRIM($C101))="PTE"),"Part-Time",IF(OR(ISNUMBER(SEARCH("cas",$C101)),UPPER(TRIM($C101))="CAS"),"Casual","Unknown"))))),"EmploymentType does not match latest start date ("&amp;IF(AG101&gt;=3,AM101,IF(AG101=2,AL101,AK101))&amp;"). ","")&amp;IF(AND(AG101&gt;=1,AH101&lt;&gt;$F101),"Earliest type date should equal StartDate. ","")&amp;IF(AND(AG101&gt;=2,AH101=AI101),"Two types start on the same date. ","")&amp;IF(AND(OR(ISNUMBER(SEARCH("part",$C101)),UPPER(TRIM($C101))="PT",UPPER(TRIM($C101))="PTE"),$P101=""),"Part-time: enter PT Hrs/Week (blank = 24+). ","")))</f>
        <v/>
      </c>
      <c r="AE101" s="12" t="n">
        <f aca="false">IF(OR(LEN($A101&amp;$B101)=0,$F101=""),0,1)</f>
        <v>0</v>
      </c>
      <c r="AF101" s="10" t="str">
        <f aca="false">IF(AE101=0,"",IF($J101&lt;&gt;"",$J101,$F101))</f>
        <v/>
      </c>
      <c r="AG101" s="12" t="str">
        <f aca="false">IF(AE101=0,"",COUNT($G101:$I101))</f>
        <v/>
      </c>
      <c r="AH101" s="10" t="str">
        <f aca="false">IF(AE101=0,"",IFERROR(SMALL($G101:$I101,1),""))</f>
        <v/>
      </c>
      <c r="AI101" s="10" t="str">
        <f aca="false">IF(AE101=0,"",IFERROR(SMALL($G101:$I101,2),""))</f>
        <v/>
      </c>
      <c r="AJ101" s="10" t="str">
        <f aca="false">IF(AE101=0,"",IFERROR(SMALL($G101:$I101,3),""))</f>
        <v/>
      </c>
      <c r="AK101" s="12" t="str">
        <f aca="false">IF(AE101=0,"",IF(AH101="","",IF(AH101=$G101,"Part-Time",IF(AH101=$H101,"Full-Time","Casual"))))</f>
        <v/>
      </c>
      <c r="AL101" s="12" t="str">
        <f aca="false">IF(AE101=0,"",IF(AI101="","",IF(AI101=$G101,"Part-Time",IF(AI101=$H101,"Full-Time","Casual"))))</f>
        <v/>
      </c>
      <c r="AM101" s="12" t="str">
        <f aca="false">IF(AE101=0,"",IF(AJ101="","",IF(AJ101=$G101,"Part-Time",IF(AJ101=$H101,"Full-Time","Casual"))))</f>
        <v/>
      </c>
      <c r="AN101" s="12" t="str">
        <f aca="false">IF(AE101=0,"",IF(AG101=0,IF(OR(ISNUMBER(SEARCH("full",$C101)),UPPER(TRIM($C101))="FT",UPPER(TRIM($C101))="FTE"),"FT",IF(AND(OR(ISNUMBER(SEARCH("part",$C101)),UPPER(TRIM($C101))="PT",UPPER(TRIM($C101))="PTE"),OR($P101="",N($P101)&gt;=PT_MinHours)),"PT","None")),IF(OR(ISNUMBER(SEARCH("full",AK101)),UPPER(TRIM(AK101))="FT",UPPER(TRIM(AK101))="FTE"),"FT",IF(AND(OR(ISNUMBER(SEARCH("part",AK101)),UPPER(TRIM(AK101))="PT",UPPER(TRIM(AK101))="PTE"),OR($P101="",N($P101)&gt;=PT_MinHours)),"PT","None"))))</f>
        <v/>
      </c>
      <c r="AO101" s="12" t="str">
        <f aca="false">IF(AE101=0,"",IF(AG101&lt;2,"",IF(OR(ISNUMBER(SEARCH("full",AL101)),UPPER(TRIM(AL101))="FT",UPPER(TRIM(AL101))="FTE"),"FT",IF(AND(OR(ISNUMBER(SEARCH("part",AL101)),UPPER(TRIM(AL101))="PT",UPPER(TRIM(AL101))="PTE"),OR($P101="",N($P101)&gt;=PT_MinHours)),"PT","None"))))</f>
        <v/>
      </c>
      <c r="AP101" s="12" t="str">
        <f aca="false">IF(AE101=0,"",IF(AG101&lt;3,"",IF(OR(ISNUMBER(SEARCH("full",AM101)),UPPER(TRIM(AM101))="FT",UPPER(TRIM(AM101))="FTE"),"FT",IF(AND(OR(ISNUMBER(SEARCH("part",AM101)),UPPER(TRIM(AM101))="PT",UPPER(TRIM(AM101))="PTE"),OR($P101="",N($P101)&gt;=PT_MinHours)),"PT","None"))))</f>
        <v/>
      </c>
      <c r="AQ101" s="12" t="str">
        <f aca="false">IF(AE101=0,"",IF(AND(AG101&gt;=3,AJ101&lt;=AsOfDate),AP101,IF(AND(AG101&gt;=2,AI101&lt;=AsOfDate),AO101,AN101)))</f>
        <v/>
      </c>
      <c r="AR101" s="12" t="str">
        <f aca="false">IF(AE101=0,"",IF(AsOfDate&lt;AF101,-1,12*(YEAR(AsOfDate)-YEAR(AF101))+MONTH(AsOfDate)-MONTH(AF101)-IF(DAY(AsOfDate)&lt;MIN(DAY(AF101),DAY(EOMONTH(AsOfDate,0))),1,0)))</f>
        <v/>
      </c>
      <c r="AS101" s="12" t="str">
        <f aca="false">IF(AE101=0,"",IF(OR(AG101&lt;2,AI101&gt;AsOfDate),AR101,IF((AI101-1)&lt;AF101,-1,12*(YEAR((AI101-1))-YEAR(AF101))+MONTH((AI101-1))-MONTH(AF101)-IF(DAY((AI101-1))&lt;MIN(DAY(AF101),DAY(EOMONTH((AI101-1),0))),1,0))))</f>
        <v/>
      </c>
      <c r="AT101" s="12" t="str">
        <f aca="false">IF(AE101=0,"",IF(OR(AG101&lt;3,AJ101&gt;AsOfDate),AR101,IF((AJ101-1)&lt;AF101,-1,12*(YEAR((AJ101-1))-YEAR(AF101))+MONTH((AJ101-1))-MONTH(AF101)-IF(DAY((AJ101-1))&lt;MIN(DAY(AF101),DAY(EOMONTH((AJ101-1),0))),1,0))))</f>
        <v/>
      </c>
      <c r="AU101" s="12" t="str">
        <f aca="false">IF(AE101=0,"",IF(PFYDate&lt;AF101,-1,12*(YEAR(PFYDate)-YEAR(AF101))+MONTH(PFYDate)-MONTH(AF101)-IF(DAY(PFYDate)&lt;MIN(DAY(AF101),DAY(EOMONTH(PFYDate,0))),1,0)))</f>
        <v/>
      </c>
      <c r="AV101" s="12" t="str">
        <f aca="false">IF(AE101=0,"",IF(OR(AG101&lt;2,AI101&gt;PFYDate),AU101,IF((AI101-1)&lt;AF101,-1,12*(YEAR((AI101-1))-YEAR(AF101))+MONTH((AI101-1))-MONTH(AF101)-IF(DAY((AI101-1))&lt;MIN(DAY(AF101),DAY(EOMONTH((AI101-1),0))),1,0))))</f>
        <v/>
      </c>
      <c r="AW101" s="12" t="str">
        <f aca="false">IF(AE101=0,"",IF(OR(AG101&lt;3,AJ101&gt;PFYDate),AU101,IF((AJ101-1)&lt;AF101,-1,12*(YEAR((AJ101-1))-YEAR(AF101))+MONTH((AJ101-1))-MONTH(AF101)-IF(DAY((AJ101-1))&lt;MIN(DAY(AF101),DAY(EOMONTH((AJ101-1),0))),1,0))))</f>
        <v/>
      </c>
      <c r="AX101" s="12" t="str">
        <f aca="false">IF(AE101=0,"",IF(AN101="FT",IF(AS101&lt;FT_First,0,IF(AS101&lt;FT_Y5,1+INT((AS101-FT_First)/FT_Int1),FT_PreY5+FT_PerYear*INT((AS101-FT_Y5)/12)+FT_AnnivDays+INT(MOD(AS101-FT_Y5,12)/FT_Int2))),IF(AN101="PT",IF(AS101&lt;PT_First,0,1+INT((AS101-PT_First)/PT_Int)),0))+IF(AND(AG101&gt;=2,AI101&lt;=AsOfDate),IF(AO101="FT",IF(AT101&lt;FT_First,0,IF(AT101&lt;FT_Y5,1+INT((AT101-FT_First)/FT_Int1),FT_PreY5+FT_PerYear*INT((AT101-FT_Y5)/12)+FT_AnnivDays+INT(MOD(AT101-FT_Y5,12)/FT_Int2))),IF(AO101="PT",IF(AT101&lt;PT_First,0,1+INT((AT101-PT_First)/PT_Int)),0))-IF(AO101="FT",IF(AS101&lt;FT_First,0,IF(AS101&lt;FT_Y5,1+INT((AS101-FT_First)/FT_Int1),FT_PreY5+FT_PerYear*INT((AS101-FT_Y5)/12)+FT_AnnivDays+INT(MOD(AS101-FT_Y5,12)/FT_Int2))),IF(AO101="PT",IF(AS101&lt;PT_First,0,1+INT((AS101-PT_First)/PT_Int)),0)),0)+IF(AND(AG101&gt;=3,AJ101&lt;=AsOfDate),IF(AP101="FT",IF(AR101&lt;FT_First,0,IF(AR101&lt;FT_Y5,1+INT((AR101-FT_First)/FT_Int1),FT_PreY5+FT_PerYear*INT((AR101-FT_Y5)/12)+FT_AnnivDays+INT(MOD(AR101-FT_Y5,12)/FT_Int2))),IF(AP101="PT",IF(AR101&lt;PT_First,0,1+INT((AR101-PT_First)/PT_Int)),0))-IF(AP101="FT",IF(AT101&lt;FT_First,0,IF(AT101&lt;FT_Y5,1+INT((AT101-FT_First)/FT_Int1),FT_PreY5+FT_PerYear*INT((AT101-FT_Y5)/12)+FT_AnnivDays+INT(MOD(AT101-FT_Y5,12)/FT_Int2))),IF(AP101="PT",IF(AT101&lt;PT_First,0,1+INT((AT101-PT_First)/PT_Int)),0)),0))</f>
        <v/>
      </c>
      <c r="AY101" s="12" t="str">
        <f aca="false">IF(AE101=0,"",IF(AN101="FT",IF(AV101&lt;FT_First,0,IF(AV101&lt;FT_Y5,1+INT((AV101-FT_First)/FT_Int1),FT_PreY5+FT_PerYear*INT((AV101-FT_Y5)/12)+FT_AnnivDays+INT(MOD(AV101-FT_Y5,12)/FT_Int2))),IF(AN101="PT",IF(AV101&lt;PT_First,0,1+INT((AV101-PT_First)/PT_Int)),0))+IF(AND(AG101&gt;=2,AI101&lt;=PFYDate),IF(AO101="FT",IF(AW101&lt;FT_First,0,IF(AW101&lt;FT_Y5,1+INT((AW101-FT_First)/FT_Int1),FT_PreY5+FT_PerYear*INT((AW101-FT_Y5)/12)+FT_AnnivDays+INT(MOD(AW101-FT_Y5,12)/FT_Int2))),IF(AO101="PT",IF(AW101&lt;PT_First,0,1+INT((AW101-PT_First)/PT_Int)),0))-IF(AO101="FT",IF(AV101&lt;FT_First,0,IF(AV101&lt;FT_Y5,1+INT((AV101-FT_First)/FT_Int1),FT_PreY5+FT_PerYear*INT((AV101-FT_Y5)/12)+FT_AnnivDays+INT(MOD(AV101-FT_Y5,12)/FT_Int2))),IF(AO101="PT",IF(AV101&lt;PT_First,0,1+INT((AV101-PT_First)/PT_Int)),0)),0)+IF(AND(AG101&gt;=3,AJ101&lt;=PFYDate),IF(AP101="FT",IF(AU101&lt;FT_First,0,IF(AU101&lt;FT_Y5,1+INT((AU101-FT_First)/FT_Int1),FT_PreY5+FT_PerYear*INT((AU101-FT_Y5)/12)+FT_AnnivDays+INT(MOD(AU101-FT_Y5,12)/FT_Int2))),IF(AP101="PT",IF(AU101&lt;PT_First,0,1+INT((AU101-PT_First)/PT_Int)),0))-IF(AP101="FT",IF(AW101&lt;FT_First,0,IF(AW101&lt;FT_Y5,1+INT((AW101-FT_First)/FT_Int1),FT_PreY5+FT_PerYear*INT((AW101-FT_Y5)/12)+FT_AnnivDays+INT(MOD(AW101-FT_Y5,12)/FT_Int2))),IF(AP101="PT",IF(AW101&lt;PT_First,0,1+INT((AW101-PT_First)/PT_Int)),0)),0))</f>
        <v/>
      </c>
      <c r="AZ101" s="12" t="str">
        <f aca="false">IF(AE101=0,"",IF(AQ101="FT",IF(AR101&lt;FT_First,FT_First,IF(AR101&lt;FT_Y5,MIN(FT_Y5,FT_First+FT_Int1*(INT((AR101-FT_First)/FT_Int1)+1)),FT_Y5+12*INT((AR101-FT_Y5)/12)+FT_Int2*(INT(MOD(AR101-FT_Y5,12)/FT_Int2)+1))),IF(AQ101="PT",IF(AR101&lt;PT_First,PT_First,PT_First+PT_Int*(INT((AR101-PT_First)/PT_Int)+1)),"")))</f>
        <v/>
      </c>
      <c r="BA101" s="12" t="str">
        <f aca="false">IF(AE101=0,"",IF(NOT(LH_Ready),0,COUNTIFS(INDEX(LH_Data,0,LH_ColFirst),$A101,INDEX(LH_Data,0,LH_ColSur),$B101,INDEX(LH_Data,0,LH_ColCat),BonusCat)))</f>
        <v/>
      </c>
      <c r="BB101" s="12" t="str">
        <f aca="false">IF(AE101=0,"",IF(OR(NOT(LH_Ready),BA101=0),0,SUMPRODUCT(MAX((INDEX(LH_Data,0,LH_ColFirst)=$A101)*(INDEX(LH_Data,0,LH_ColSur)=$B101)*(INDEX(LH_Data,0,LH_ColCat)=BonusCat)*ROW(LH_Data)))))</f>
        <v/>
      </c>
    </row>
    <row r="102" customFormat="false" ht="15" hidden="false" customHeight="false" outlineLevel="0" collapsed="false">
      <c r="A102" s="15"/>
      <c r="B102" s="15"/>
      <c r="C102" s="15"/>
      <c r="D102" s="16"/>
      <c r="E102" s="10" t="str">
        <f aca="false">IF(OR(AE102=0,$D102=""),"",DATE(YEAR(AsOfDate)+IF(DATE(YEAR(AsOfDate),MONTH($D102),DAY($D102))&lt;=AsOfDate,1,0),MONTH($D102),DAY($D102)))</f>
        <v/>
      </c>
      <c r="F102" s="16"/>
      <c r="G102" s="16"/>
      <c r="H102" s="16"/>
      <c r="I102" s="16"/>
      <c r="J102" s="16"/>
      <c r="K102" s="10" t="str">
        <f aca="false">IF(AE102=0,"",DATE(YEAR(AsOfDate)+IF(DATE(YEAR(AsOfDate),MONTH($F102),DAY($F102))&lt;=AsOfDate,1,0),MONTH($F102),DAY($F102)))</f>
        <v/>
      </c>
      <c r="L102" s="11" t="str">
        <f aca="false">IF(AE102=0,"",ROUND((AsOfDate-$F102)/365.25,1))</f>
        <v/>
      </c>
      <c r="M102" s="12" t="str">
        <f aca="false">IF(AE102=0,"",IF(AsOfDate&lt;AF102,"-",DATEDIF(AF102,AsOfDate,"y")&amp;"y "&amp;DATEDIF(AF102,AsOfDate,"ym")&amp;"m "&amp;DATEDIF(AF102,AsOfDate,"md")&amp;"d"))</f>
        <v/>
      </c>
      <c r="N102" s="13" t="str">
        <f aca="false">IF(AE102=0,"",O102*HoursPerDay)</f>
        <v/>
      </c>
      <c r="O102" s="13" t="str">
        <f aca="false">IF(AE102=0,"",AX102)</f>
        <v/>
      </c>
      <c r="P102" s="17"/>
      <c r="Q102" s="12" t="str">
        <f aca="false">IF(AE102=0,"",IF(AG102&lt;2,"",AK102&amp;" to "&amp;AL102&amp;" on "&amp;TEXT(AI102,"dd/mm/yyyy")&amp;IF(AI102&gt;AsOfDate," (future)",IF(AN102=AO102,"",IF(AO102="None"," - STOPPED accruing",IF(AN102="None"," - now qualifying"," - pathway changed"))))&amp;IF(AG102&lt;3,"","; "&amp;AL102&amp;" to "&amp;AM102&amp;" on "&amp;TEXT(AJ102,"dd/mm/yyyy")&amp;IF(AJ102&gt;AsOfDate," (future)",IF(AO102=AP102,"",IF(AP102="None"," - STOPPED accruing",IF(AO102="None"," - now qualifying"," - pathway changed")))))))</f>
        <v/>
      </c>
      <c r="R102" s="12" t="str">
        <f aca="false">IF(AE102=0,"",IF(AQ102="None",IF(O102&gt;0,"No longer accruing","Not eligible - "&amp;IF(AND(OR(ISNUMBER(SEARCH("part",$C102)),UPPER(TRIM($C102))="PT",UPPER(TRIM($C102))="PTE"),$P102&lt;&gt;"",N($P102)&lt;PT_MinHours),"under "&amp;PT_MinHours&amp;" hrs",IF(IF($C102="","",IF(OR(ISNUMBER(SEARCH("full",$C102)),UPPER(TRIM($C102))="FT",UPPER(TRIM($C102))="FTE"),"Full-Time",IF(OR(ISNUMBER(SEARCH("part",$C102)),UPPER(TRIM($C102))="PT",UPPER(TRIM($C102))="PTE"),"Part-Time",IF(OR(ISNUMBER(SEARCH("cas",$C102)),UPPER(TRIM($C102))="CAS"),"Casual","Unknown"))))="Unknown","type not recognised",$C102))),IF(O102&gt;0,"Yes - accruing","Not yet - from "&amp;TEXT(S102,"dd/mm/yyyy"))))</f>
        <v/>
      </c>
      <c r="S102" s="10" t="str">
        <f aca="false">IF(AE102=0,"",IF(AQ102="None","",EDATE(AF102,AZ102)))</f>
        <v/>
      </c>
      <c r="T102" s="13" t="str">
        <f aca="false">IF(OR(AE102=0,W102=""),"",W102-U102+V102)</f>
        <v/>
      </c>
      <c r="U102" s="13" t="str">
        <f aca="false">IF(AE102=0,"",IF(NOT(LH_Ready),"",SUMIFS(INDEX(LH_Data,0,LH_ColAcc),INDEX(LH_Data,0,LH_ColFirst),$A102,INDEX(LH_Data,0,LH_ColSur),$B102,INDEX(LH_Data,0,LH_ColCat),BonusCat)*UnitFactor))</f>
        <v/>
      </c>
      <c r="V102" s="13" t="str">
        <f aca="false">IF(AE102=0,"",IF(NOT(LH_Ready),"",SUMIFS(INDEX(LH_Data,0,LH_ColTaken),INDEX(LH_Data,0,LH_ColFirst),$A102,INDEX(LH_Data,0,LH_ColSur),$B102,INDEX(LH_Data,0,LH_ColCat),BonusCat)*UnitFactor))</f>
        <v/>
      </c>
      <c r="W102" s="13" t="str">
        <f aca="false">IF(AE102=0,"",IF(NOT(LH_Ready),"",IF(BB102=0,0,INDEX(INDEX(LH_Data,0,LH_ColClose),BB102-1)*UnitFactor)))</f>
        <v/>
      </c>
      <c r="X102" s="13" t="str">
        <f aca="false">IF(AE102=0,"",(AX102-AY102)*HoursPerDay)</f>
        <v/>
      </c>
      <c r="Y102" s="13" t="str">
        <f aca="false">IF(AE102=0,"",IF(NOT(LH_Ready),"",IF(BA102=0,N102,X102-N(U102))))</f>
        <v/>
      </c>
      <c r="Z102" s="12" t="str">
        <f aca="false">IF(OR(AE102=0,Y102=""),"",IF(Y102&gt;0,"Yes","No"))</f>
        <v/>
      </c>
      <c r="AA102" s="12" t="str">
        <f aca="false">IF(AE102=0,IF(LEN($A102&amp;$B102)=0,"","FIX INPUT - StartDate missing"),IF(AD102&lt;&gt;"","FIX INPUT - "&amp;AD102,IF(NOT(LH_Ready),"Paste Leave History export (Settings must show YES)",IF(Y102&gt;0,"ACCRUE "&amp;ROUND(Y102,2)&amp;" hrs ("&amp;ROUND(Y102/HoursPerDay,2)&amp;" days)"&amp;IF(BA102=0," - no Bonus Leave in EH yet, full catch-up since start",""),IF(Y102&lt;0,"CHECK - EH accrued "&amp;ROUND(-Y102,2)&amp;""&amp;" hrs more than policy",IF(O102&gt;0,"OK - nothing to add",IF(AQ102="None",R102,"Not yet - first day on "&amp;TEXT(S102,"dd/mm/yyyy"))))))))</f>
        <v/>
      </c>
      <c r="AB102" s="13" t="str">
        <f aca="false">IF(OR(AE102=0,T102=""),"",AY102*HoursPerDay-T102)</f>
        <v/>
      </c>
      <c r="AC102" s="12" t="str">
        <f aca="false">IF(AE102=0,"",BA102)</f>
        <v/>
      </c>
      <c r="AD102" s="12" t="str">
        <f aca="false">IF(AE102=0,"",TRIM(IF(IF($C102="","",IF(OR(ISNUMBER(SEARCH("full",$C102)),UPPER(TRIM($C102))="FT",UPPER(TRIM($C102))="FTE"),"Full-Time",IF(OR(ISNUMBER(SEARCH("part",$C102)),UPPER(TRIM($C102))="PT",UPPER(TRIM($C102))="PTE"),"Part-Time",IF(OR(ISNUMBER(SEARCH("cas",$C102)),UPPER(TRIM($C102))="CAS"),"Casual","Unknown"))))="Unknown","EmploymentType not recognised - use Full-Time, Part-Time or Casual. ","")&amp;IF(AND(AG102&gt;=1,IF(AG102&gt;=3,AM102,IF(AG102=2,AL102,AK102))&lt;&gt;IF($C102="","",IF(OR(ISNUMBER(SEARCH("full",$C102)),UPPER(TRIM($C102))="FT",UPPER(TRIM($C102))="FTE"),"Full-Time",IF(OR(ISNUMBER(SEARCH("part",$C102)),UPPER(TRIM($C102))="PT",UPPER(TRIM($C102))="PTE"),"Part-Time",IF(OR(ISNUMBER(SEARCH("cas",$C102)),UPPER(TRIM($C102))="CAS"),"Casual","Unknown"))))),"EmploymentType does not match latest start date ("&amp;IF(AG102&gt;=3,AM102,IF(AG102=2,AL102,AK102))&amp;"). ","")&amp;IF(AND(AG102&gt;=1,AH102&lt;&gt;$F102),"Earliest type date should equal StartDate. ","")&amp;IF(AND(AG102&gt;=2,AH102=AI102),"Two types start on the same date. ","")&amp;IF(AND(OR(ISNUMBER(SEARCH("part",$C102)),UPPER(TRIM($C102))="PT",UPPER(TRIM($C102))="PTE"),$P102=""),"Part-time: enter PT Hrs/Week (blank = 24+). ","")))</f>
        <v/>
      </c>
      <c r="AE102" s="12" t="n">
        <f aca="false">IF(OR(LEN($A102&amp;$B102)=0,$F102=""),0,1)</f>
        <v>0</v>
      </c>
      <c r="AF102" s="10" t="str">
        <f aca="false">IF(AE102=0,"",IF($J102&lt;&gt;"",$J102,$F102))</f>
        <v/>
      </c>
      <c r="AG102" s="12" t="str">
        <f aca="false">IF(AE102=0,"",COUNT($G102:$I102))</f>
        <v/>
      </c>
      <c r="AH102" s="10" t="str">
        <f aca="false">IF(AE102=0,"",IFERROR(SMALL($G102:$I102,1),""))</f>
        <v/>
      </c>
      <c r="AI102" s="10" t="str">
        <f aca="false">IF(AE102=0,"",IFERROR(SMALL($G102:$I102,2),""))</f>
        <v/>
      </c>
      <c r="AJ102" s="10" t="str">
        <f aca="false">IF(AE102=0,"",IFERROR(SMALL($G102:$I102,3),""))</f>
        <v/>
      </c>
      <c r="AK102" s="12" t="str">
        <f aca="false">IF(AE102=0,"",IF(AH102="","",IF(AH102=$G102,"Part-Time",IF(AH102=$H102,"Full-Time","Casual"))))</f>
        <v/>
      </c>
      <c r="AL102" s="12" t="str">
        <f aca="false">IF(AE102=0,"",IF(AI102="","",IF(AI102=$G102,"Part-Time",IF(AI102=$H102,"Full-Time","Casual"))))</f>
        <v/>
      </c>
      <c r="AM102" s="12" t="str">
        <f aca="false">IF(AE102=0,"",IF(AJ102="","",IF(AJ102=$G102,"Part-Time",IF(AJ102=$H102,"Full-Time","Casual"))))</f>
        <v/>
      </c>
      <c r="AN102" s="12" t="str">
        <f aca="false">IF(AE102=0,"",IF(AG102=0,IF(OR(ISNUMBER(SEARCH("full",$C102)),UPPER(TRIM($C102))="FT",UPPER(TRIM($C102))="FTE"),"FT",IF(AND(OR(ISNUMBER(SEARCH("part",$C102)),UPPER(TRIM($C102))="PT",UPPER(TRIM($C102))="PTE"),OR($P102="",N($P102)&gt;=PT_MinHours)),"PT","None")),IF(OR(ISNUMBER(SEARCH("full",AK102)),UPPER(TRIM(AK102))="FT",UPPER(TRIM(AK102))="FTE"),"FT",IF(AND(OR(ISNUMBER(SEARCH("part",AK102)),UPPER(TRIM(AK102))="PT",UPPER(TRIM(AK102))="PTE"),OR($P102="",N($P102)&gt;=PT_MinHours)),"PT","None"))))</f>
        <v/>
      </c>
      <c r="AO102" s="12" t="str">
        <f aca="false">IF(AE102=0,"",IF(AG102&lt;2,"",IF(OR(ISNUMBER(SEARCH("full",AL102)),UPPER(TRIM(AL102))="FT",UPPER(TRIM(AL102))="FTE"),"FT",IF(AND(OR(ISNUMBER(SEARCH("part",AL102)),UPPER(TRIM(AL102))="PT",UPPER(TRIM(AL102))="PTE"),OR($P102="",N($P102)&gt;=PT_MinHours)),"PT","None"))))</f>
        <v/>
      </c>
      <c r="AP102" s="12" t="str">
        <f aca="false">IF(AE102=0,"",IF(AG102&lt;3,"",IF(OR(ISNUMBER(SEARCH("full",AM102)),UPPER(TRIM(AM102))="FT",UPPER(TRIM(AM102))="FTE"),"FT",IF(AND(OR(ISNUMBER(SEARCH("part",AM102)),UPPER(TRIM(AM102))="PT",UPPER(TRIM(AM102))="PTE"),OR($P102="",N($P102)&gt;=PT_MinHours)),"PT","None"))))</f>
        <v/>
      </c>
      <c r="AQ102" s="12" t="str">
        <f aca="false">IF(AE102=0,"",IF(AND(AG102&gt;=3,AJ102&lt;=AsOfDate),AP102,IF(AND(AG102&gt;=2,AI102&lt;=AsOfDate),AO102,AN102)))</f>
        <v/>
      </c>
      <c r="AR102" s="12" t="str">
        <f aca="false">IF(AE102=0,"",IF(AsOfDate&lt;AF102,-1,12*(YEAR(AsOfDate)-YEAR(AF102))+MONTH(AsOfDate)-MONTH(AF102)-IF(DAY(AsOfDate)&lt;MIN(DAY(AF102),DAY(EOMONTH(AsOfDate,0))),1,0)))</f>
        <v/>
      </c>
      <c r="AS102" s="12" t="str">
        <f aca="false">IF(AE102=0,"",IF(OR(AG102&lt;2,AI102&gt;AsOfDate),AR102,IF((AI102-1)&lt;AF102,-1,12*(YEAR((AI102-1))-YEAR(AF102))+MONTH((AI102-1))-MONTH(AF102)-IF(DAY((AI102-1))&lt;MIN(DAY(AF102),DAY(EOMONTH((AI102-1),0))),1,0))))</f>
        <v/>
      </c>
      <c r="AT102" s="12" t="str">
        <f aca="false">IF(AE102=0,"",IF(OR(AG102&lt;3,AJ102&gt;AsOfDate),AR102,IF((AJ102-1)&lt;AF102,-1,12*(YEAR((AJ102-1))-YEAR(AF102))+MONTH((AJ102-1))-MONTH(AF102)-IF(DAY((AJ102-1))&lt;MIN(DAY(AF102),DAY(EOMONTH((AJ102-1),0))),1,0))))</f>
        <v/>
      </c>
      <c r="AU102" s="12" t="str">
        <f aca="false">IF(AE102=0,"",IF(PFYDate&lt;AF102,-1,12*(YEAR(PFYDate)-YEAR(AF102))+MONTH(PFYDate)-MONTH(AF102)-IF(DAY(PFYDate)&lt;MIN(DAY(AF102),DAY(EOMONTH(PFYDate,0))),1,0)))</f>
        <v/>
      </c>
      <c r="AV102" s="12" t="str">
        <f aca="false">IF(AE102=0,"",IF(OR(AG102&lt;2,AI102&gt;PFYDate),AU102,IF((AI102-1)&lt;AF102,-1,12*(YEAR((AI102-1))-YEAR(AF102))+MONTH((AI102-1))-MONTH(AF102)-IF(DAY((AI102-1))&lt;MIN(DAY(AF102),DAY(EOMONTH((AI102-1),0))),1,0))))</f>
        <v/>
      </c>
      <c r="AW102" s="12" t="str">
        <f aca="false">IF(AE102=0,"",IF(OR(AG102&lt;3,AJ102&gt;PFYDate),AU102,IF((AJ102-1)&lt;AF102,-1,12*(YEAR((AJ102-1))-YEAR(AF102))+MONTH((AJ102-1))-MONTH(AF102)-IF(DAY((AJ102-1))&lt;MIN(DAY(AF102),DAY(EOMONTH((AJ102-1),0))),1,0))))</f>
        <v/>
      </c>
      <c r="AX102" s="12" t="str">
        <f aca="false">IF(AE102=0,"",IF(AN102="FT",IF(AS102&lt;FT_First,0,IF(AS102&lt;FT_Y5,1+INT((AS102-FT_First)/FT_Int1),FT_PreY5+FT_PerYear*INT((AS102-FT_Y5)/12)+FT_AnnivDays+INT(MOD(AS102-FT_Y5,12)/FT_Int2))),IF(AN102="PT",IF(AS102&lt;PT_First,0,1+INT((AS102-PT_First)/PT_Int)),0))+IF(AND(AG102&gt;=2,AI102&lt;=AsOfDate),IF(AO102="FT",IF(AT102&lt;FT_First,0,IF(AT102&lt;FT_Y5,1+INT((AT102-FT_First)/FT_Int1),FT_PreY5+FT_PerYear*INT((AT102-FT_Y5)/12)+FT_AnnivDays+INT(MOD(AT102-FT_Y5,12)/FT_Int2))),IF(AO102="PT",IF(AT102&lt;PT_First,0,1+INT((AT102-PT_First)/PT_Int)),0))-IF(AO102="FT",IF(AS102&lt;FT_First,0,IF(AS102&lt;FT_Y5,1+INT((AS102-FT_First)/FT_Int1),FT_PreY5+FT_PerYear*INT((AS102-FT_Y5)/12)+FT_AnnivDays+INT(MOD(AS102-FT_Y5,12)/FT_Int2))),IF(AO102="PT",IF(AS102&lt;PT_First,0,1+INT((AS102-PT_First)/PT_Int)),0)),0)+IF(AND(AG102&gt;=3,AJ102&lt;=AsOfDate),IF(AP102="FT",IF(AR102&lt;FT_First,0,IF(AR102&lt;FT_Y5,1+INT((AR102-FT_First)/FT_Int1),FT_PreY5+FT_PerYear*INT((AR102-FT_Y5)/12)+FT_AnnivDays+INT(MOD(AR102-FT_Y5,12)/FT_Int2))),IF(AP102="PT",IF(AR102&lt;PT_First,0,1+INT((AR102-PT_First)/PT_Int)),0))-IF(AP102="FT",IF(AT102&lt;FT_First,0,IF(AT102&lt;FT_Y5,1+INT((AT102-FT_First)/FT_Int1),FT_PreY5+FT_PerYear*INT((AT102-FT_Y5)/12)+FT_AnnivDays+INT(MOD(AT102-FT_Y5,12)/FT_Int2))),IF(AP102="PT",IF(AT102&lt;PT_First,0,1+INT((AT102-PT_First)/PT_Int)),0)),0))</f>
        <v/>
      </c>
      <c r="AY102" s="12" t="str">
        <f aca="false">IF(AE102=0,"",IF(AN102="FT",IF(AV102&lt;FT_First,0,IF(AV102&lt;FT_Y5,1+INT((AV102-FT_First)/FT_Int1),FT_PreY5+FT_PerYear*INT((AV102-FT_Y5)/12)+FT_AnnivDays+INT(MOD(AV102-FT_Y5,12)/FT_Int2))),IF(AN102="PT",IF(AV102&lt;PT_First,0,1+INT((AV102-PT_First)/PT_Int)),0))+IF(AND(AG102&gt;=2,AI102&lt;=PFYDate),IF(AO102="FT",IF(AW102&lt;FT_First,0,IF(AW102&lt;FT_Y5,1+INT((AW102-FT_First)/FT_Int1),FT_PreY5+FT_PerYear*INT((AW102-FT_Y5)/12)+FT_AnnivDays+INT(MOD(AW102-FT_Y5,12)/FT_Int2))),IF(AO102="PT",IF(AW102&lt;PT_First,0,1+INT((AW102-PT_First)/PT_Int)),0))-IF(AO102="FT",IF(AV102&lt;FT_First,0,IF(AV102&lt;FT_Y5,1+INT((AV102-FT_First)/FT_Int1),FT_PreY5+FT_PerYear*INT((AV102-FT_Y5)/12)+FT_AnnivDays+INT(MOD(AV102-FT_Y5,12)/FT_Int2))),IF(AO102="PT",IF(AV102&lt;PT_First,0,1+INT((AV102-PT_First)/PT_Int)),0)),0)+IF(AND(AG102&gt;=3,AJ102&lt;=PFYDate),IF(AP102="FT",IF(AU102&lt;FT_First,0,IF(AU102&lt;FT_Y5,1+INT((AU102-FT_First)/FT_Int1),FT_PreY5+FT_PerYear*INT((AU102-FT_Y5)/12)+FT_AnnivDays+INT(MOD(AU102-FT_Y5,12)/FT_Int2))),IF(AP102="PT",IF(AU102&lt;PT_First,0,1+INT((AU102-PT_First)/PT_Int)),0))-IF(AP102="FT",IF(AW102&lt;FT_First,0,IF(AW102&lt;FT_Y5,1+INT((AW102-FT_First)/FT_Int1),FT_PreY5+FT_PerYear*INT((AW102-FT_Y5)/12)+FT_AnnivDays+INT(MOD(AW102-FT_Y5,12)/FT_Int2))),IF(AP102="PT",IF(AW102&lt;PT_First,0,1+INT((AW102-PT_First)/PT_Int)),0)),0))</f>
        <v/>
      </c>
      <c r="AZ102" s="12" t="str">
        <f aca="false">IF(AE102=0,"",IF(AQ102="FT",IF(AR102&lt;FT_First,FT_First,IF(AR102&lt;FT_Y5,MIN(FT_Y5,FT_First+FT_Int1*(INT((AR102-FT_First)/FT_Int1)+1)),FT_Y5+12*INT((AR102-FT_Y5)/12)+FT_Int2*(INT(MOD(AR102-FT_Y5,12)/FT_Int2)+1))),IF(AQ102="PT",IF(AR102&lt;PT_First,PT_First,PT_First+PT_Int*(INT((AR102-PT_First)/PT_Int)+1)),"")))</f>
        <v/>
      </c>
      <c r="BA102" s="12" t="str">
        <f aca="false">IF(AE102=0,"",IF(NOT(LH_Ready),0,COUNTIFS(INDEX(LH_Data,0,LH_ColFirst),$A102,INDEX(LH_Data,0,LH_ColSur),$B102,INDEX(LH_Data,0,LH_ColCat),BonusCat)))</f>
        <v/>
      </c>
      <c r="BB102" s="12" t="str">
        <f aca="false">IF(AE102=0,"",IF(OR(NOT(LH_Ready),BA102=0),0,SUMPRODUCT(MAX((INDEX(LH_Data,0,LH_ColFirst)=$A102)*(INDEX(LH_Data,0,LH_ColSur)=$B102)*(INDEX(LH_Data,0,LH_ColCat)=BonusCat)*ROW(LH_Data)))))</f>
        <v/>
      </c>
    </row>
    <row r="103" customFormat="false" ht="15" hidden="false" customHeight="false" outlineLevel="0" collapsed="false">
      <c r="A103" s="15"/>
      <c r="B103" s="15"/>
      <c r="C103" s="15"/>
      <c r="D103" s="16"/>
      <c r="E103" s="10" t="str">
        <f aca="false">IF(OR(AE103=0,$D103=""),"",DATE(YEAR(AsOfDate)+IF(DATE(YEAR(AsOfDate),MONTH($D103),DAY($D103))&lt;=AsOfDate,1,0),MONTH($D103),DAY($D103)))</f>
        <v/>
      </c>
      <c r="F103" s="16"/>
      <c r="G103" s="16"/>
      <c r="H103" s="16"/>
      <c r="I103" s="16"/>
      <c r="J103" s="16"/>
      <c r="K103" s="10" t="str">
        <f aca="false">IF(AE103=0,"",DATE(YEAR(AsOfDate)+IF(DATE(YEAR(AsOfDate),MONTH($F103),DAY($F103))&lt;=AsOfDate,1,0),MONTH($F103),DAY($F103)))</f>
        <v/>
      </c>
      <c r="L103" s="11" t="str">
        <f aca="false">IF(AE103=0,"",ROUND((AsOfDate-$F103)/365.25,1))</f>
        <v/>
      </c>
      <c r="M103" s="12" t="str">
        <f aca="false">IF(AE103=0,"",IF(AsOfDate&lt;AF103,"-",DATEDIF(AF103,AsOfDate,"y")&amp;"y "&amp;DATEDIF(AF103,AsOfDate,"ym")&amp;"m "&amp;DATEDIF(AF103,AsOfDate,"md")&amp;"d"))</f>
        <v/>
      </c>
      <c r="N103" s="13" t="str">
        <f aca="false">IF(AE103=0,"",O103*HoursPerDay)</f>
        <v/>
      </c>
      <c r="O103" s="13" t="str">
        <f aca="false">IF(AE103=0,"",AX103)</f>
        <v/>
      </c>
      <c r="P103" s="17"/>
      <c r="Q103" s="12" t="str">
        <f aca="false">IF(AE103=0,"",IF(AG103&lt;2,"",AK103&amp;" to "&amp;AL103&amp;" on "&amp;TEXT(AI103,"dd/mm/yyyy")&amp;IF(AI103&gt;AsOfDate," (future)",IF(AN103=AO103,"",IF(AO103="None"," - STOPPED accruing",IF(AN103="None"," - now qualifying"," - pathway changed"))))&amp;IF(AG103&lt;3,"","; "&amp;AL103&amp;" to "&amp;AM103&amp;" on "&amp;TEXT(AJ103,"dd/mm/yyyy")&amp;IF(AJ103&gt;AsOfDate," (future)",IF(AO103=AP103,"",IF(AP103="None"," - STOPPED accruing",IF(AO103="None"," - now qualifying"," - pathway changed")))))))</f>
        <v/>
      </c>
      <c r="R103" s="12" t="str">
        <f aca="false">IF(AE103=0,"",IF(AQ103="None",IF(O103&gt;0,"No longer accruing","Not eligible - "&amp;IF(AND(OR(ISNUMBER(SEARCH("part",$C103)),UPPER(TRIM($C103))="PT",UPPER(TRIM($C103))="PTE"),$P103&lt;&gt;"",N($P103)&lt;PT_MinHours),"under "&amp;PT_MinHours&amp;" hrs",IF(IF($C103="","",IF(OR(ISNUMBER(SEARCH("full",$C103)),UPPER(TRIM($C103))="FT",UPPER(TRIM($C103))="FTE"),"Full-Time",IF(OR(ISNUMBER(SEARCH("part",$C103)),UPPER(TRIM($C103))="PT",UPPER(TRIM($C103))="PTE"),"Part-Time",IF(OR(ISNUMBER(SEARCH("cas",$C103)),UPPER(TRIM($C103))="CAS"),"Casual","Unknown"))))="Unknown","type not recognised",$C103))),IF(O103&gt;0,"Yes - accruing","Not yet - from "&amp;TEXT(S103,"dd/mm/yyyy"))))</f>
        <v/>
      </c>
      <c r="S103" s="10" t="str">
        <f aca="false">IF(AE103=0,"",IF(AQ103="None","",EDATE(AF103,AZ103)))</f>
        <v/>
      </c>
      <c r="T103" s="13" t="str">
        <f aca="false">IF(OR(AE103=0,W103=""),"",W103-U103+V103)</f>
        <v/>
      </c>
      <c r="U103" s="13" t="str">
        <f aca="false">IF(AE103=0,"",IF(NOT(LH_Ready),"",SUMIFS(INDEX(LH_Data,0,LH_ColAcc),INDEX(LH_Data,0,LH_ColFirst),$A103,INDEX(LH_Data,0,LH_ColSur),$B103,INDEX(LH_Data,0,LH_ColCat),BonusCat)*UnitFactor))</f>
        <v/>
      </c>
      <c r="V103" s="13" t="str">
        <f aca="false">IF(AE103=0,"",IF(NOT(LH_Ready),"",SUMIFS(INDEX(LH_Data,0,LH_ColTaken),INDEX(LH_Data,0,LH_ColFirst),$A103,INDEX(LH_Data,0,LH_ColSur),$B103,INDEX(LH_Data,0,LH_ColCat),BonusCat)*UnitFactor))</f>
        <v/>
      </c>
      <c r="W103" s="13" t="str">
        <f aca="false">IF(AE103=0,"",IF(NOT(LH_Ready),"",IF(BB103=0,0,INDEX(INDEX(LH_Data,0,LH_ColClose),BB103-1)*UnitFactor)))</f>
        <v/>
      </c>
      <c r="X103" s="13" t="str">
        <f aca="false">IF(AE103=0,"",(AX103-AY103)*HoursPerDay)</f>
        <v/>
      </c>
      <c r="Y103" s="13" t="str">
        <f aca="false">IF(AE103=0,"",IF(NOT(LH_Ready),"",IF(BA103=0,N103,X103-N(U103))))</f>
        <v/>
      </c>
      <c r="Z103" s="12" t="str">
        <f aca="false">IF(OR(AE103=0,Y103=""),"",IF(Y103&gt;0,"Yes","No"))</f>
        <v/>
      </c>
      <c r="AA103" s="12" t="str">
        <f aca="false">IF(AE103=0,IF(LEN($A103&amp;$B103)=0,"","FIX INPUT - StartDate missing"),IF(AD103&lt;&gt;"","FIX INPUT - "&amp;AD103,IF(NOT(LH_Ready),"Paste Leave History export (Settings must show YES)",IF(Y103&gt;0,"ACCRUE "&amp;ROUND(Y103,2)&amp;" hrs ("&amp;ROUND(Y103/HoursPerDay,2)&amp;" days)"&amp;IF(BA103=0," - no Bonus Leave in EH yet, full catch-up since start",""),IF(Y103&lt;0,"CHECK - EH accrued "&amp;ROUND(-Y103,2)&amp;""&amp;" hrs more than policy",IF(O103&gt;0,"OK - nothing to add",IF(AQ103="None",R103,"Not yet - first day on "&amp;TEXT(S103,"dd/mm/yyyy"))))))))</f>
        <v/>
      </c>
      <c r="AB103" s="13" t="str">
        <f aca="false">IF(OR(AE103=0,T103=""),"",AY103*HoursPerDay-T103)</f>
        <v/>
      </c>
      <c r="AC103" s="12" t="str">
        <f aca="false">IF(AE103=0,"",BA103)</f>
        <v/>
      </c>
      <c r="AD103" s="12" t="str">
        <f aca="false">IF(AE103=0,"",TRIM(IF(IF($C103="","",IF(OR(ISNUMBER(SEARCH("full",$C103)),UPPER(TRIM($C103))="FT",UPPER(TRIM($C103))="FTE"),"Full-Time",IF(OR(ISNUMBER(SEARCH("part",$C103)),UPPER(TRIM($C103))="PT",UPPER(TRIM($C103))="PTE"),"Part-Time",IF(OR(ISNUMBER(SEARCH("cas",$C103)),UPPER(TRIM($C103))="CAS"),"Casual","Unknown"))))="Unknown","EmploymentType not recognised - use Full-Time, Part-Time or Casual. ","")&amp;IF(AND(AG103&gt;=1,IF(AG103&gt;=3,AM103,IF(AG103=2,AL103,AK103))&lt;&gt;IF($C103="","",IF(OR(ISNUMBER(SEARCH("full",$C103)),UPPER(TRIM($C103))="FT",UPPER(TRIM($C103))="FTE"),"Full-Time",IF(OR(ISNUMBER(SEARCH("part",$C103)),UPPER(TRIM($C103))="PT",UPPER(TRIM($C103))="PTE"),"Part-Time",IF(OR(ISNUMBER(SEARCH("cas",$C103)),UPPER(TRIM($C103))="CAS"),"Casual","Unknown"))))),"EmploymentType does not match latest start date ("&amp;IF(AG103&gt;=3,AM103,IF(AG103=2,AL103,AK103))&amp;"). ","")&amp;IF(AND(AG103&gt;=1,AH103&lt;&gt;$F103),"Earliest type date should equal StartDate. ","")&amp;IF(AND(AG103&gt;=2,AH103=AI103),"Two types start on the same date. ","")&amp;IF(AND(OR(ISNUMBER(SEARCH("part",$C103)),UPPER(TRIM($C103))="PT",UPPER(TRIM($C103))="PTE"),$P103=""),"Part-time: enter PT Hrs/Week (blank = 24+). ","")))</f>
        <v/>
      </c>
      <c r="AE103" s="12" t="n">
        <f aca="false">IF(OR(LEN($A103&amp;$B103)=0,$F103=""),0,1)</f>
        <v>0</v>
      </c>
      <c r="AF103" s="10" t="str">
        <f aca="false">IF(AE103=0,"",IF($J103&lt;&gt;"",$J103,$F103))</f>
        <v/>
      </c>
      <c r="AG103" s="12" t="str">
        <f aca="false">IF(AE103=0,"",COUNT($G103:$I103))</f>
        <v/>
      </c>
      <c r="AH103" s="10" t="str">
        <f aca="false">IF(AE103=0,"",IFERROR(SMALL($G103:$I103,1),""))</f>
        <v/>
      </c>
      <c r="AI103" s="10" t="str">
        <f aca="false">IF(AE103=0,"",IFERROR(SMALL($G103:$I103,2),""))</f>
        <v/>
      </c>
      <c r="AJ103" s="10" t="str">
        <f aca="false">IF(AE103=0,"",IFERROR(SMALL($G103:$I103,3),""))</f>
        <v/>
      </c>
      <c r="AK103" s="12" t="str">
        <f aca="false">IF(AE103=0,"",IF(AH103="","",IF(AH103=$G103,"Part-Time",IF(AH103=$H103,"Full-Time","Casual"))))</f>
        <v/>
      </c>
      <c r="AL103" s="12" t="str">
        <f aca="false">IF(AE103=0,"",IF(AI103="","",IF(AI103=$G103,"Part-Time",IF(AI103=$H103,"Full-Time","Casual"))))</f>
        <v/>
      </c>
      <c r="AM103" s="12" t="str">
        <f aca="false">IF(AE103=0,"",IF(AJ103="","",IF(AJ103=$G103,"Part-Time",IF(AJ103=$H103,"Full-Time","Casual"))))</f>
        <v/>
      </c>
      <c r="AN103" s="12" t="str">
        <f aca="false">IF(AE103=0,"",IF(AG103=0,IF(OR(ISNUMBER(SEARCH("full",$C103)),UPPER(TRIM($C103))="FT",UPPER(TRIM($C103))="FTE"),"FT",IF(AND(OR(ISNUMBER(SEARCH("part",$C103)),UPPER(TRIM($C103))="PT",UPPER(TRIM($C103))="PTE"),OR($P103="",N($P103)&gt;=PT_MinHours)),"PT","None")),IF(OR(ISNUMBER(SEARCH("full",AK103)),UPPER(TRIM(AK103))="FT",UPPER(TRIM(AK103))="FTE"),"FT",IF(AND(OR(ISNUMBER(SEARCH("part",AK103)),UPPER(TRIM(AK103))="PT",UPPER(TRIM(AK103))="PTE"),OR($P103="",N($P103)&gt;=PT_MinHours)),"PT","None"))))</f>
        <v/>
      </c>
      <c r="AO103" s="12" t="str">
        <f aca="false">IF(AE103=0,"",IF(AG103&lt;2,"",IF(OR(ISNUMBER(SEARCH("full",AL103)),UPPER(TRIM(AL103))="FT",UPPER(TRIM(AL103))="FTE"),"FT",IF(AND(OR(ISNUMBER(SEARCH("part",AL103)),UPPER(TRIM(AL103))="PT",UPPER(TRIM(AL103))="PTE"),OR($P103="",N($P103)&gt;=PT_MinHours)),"PT","None"))))</f>
        <v/>
      </c>
      <c r="AP103" s="12" t="str">
        <f aca="false">IF(AE103=0,"",IF(AG103&lt;3,"",IF(OR(ISNUMBER(SEARCH("full",AM103)),UPPER(TRIM(AM103))="FT",UPPER(TRIM(AM103))="FTE"),"FT",IF(AND(OR(ISNUMBER(SEARCH("part",AM103)),UPPER(TRIM(AM103))="PT",UPPER(TRIM(AM103))="PTE"),OR($P103="",N($P103)&gt;=PT_MinHours)),"PT","None"))))</f>
        <v/>
      </c>
      <c r="AQ103" s="12" t="str">
        <f aca="false">IF(AE103=0,"",IF(AND(AG103&gt;=3,AJ103&lt;=AsOfDate),AP103,IF(AND(AG103&gt;=2,AI103&lt;=AsOfDate),AO103,AN103)))</f>
        <v/>
      </c>
      <c r="AR103" s="12" t="str">
        <f aca="false">IF(AE103=0,"",IF(AsOfDate&lt;AF103,-1,12*(YEAR(AsOfDate)-YEAR(AF103))+MONTH(AsOfDate)-MONTH(AF103)-IF(DAY(AsOfDate)&lt;MIN(DAY(AF103),DAY(EOMONTH(AsOfDate,0))),1,0)))</f>
        <v/>
      </c>
      <c r="AS103" s="12" t="str">
        <f aca="false">IF(AE103=0,"",IF(OR(AG103&lt;2,AI103&gt;AsOfDate),AR103,IF((AI103-1)&lt;AF103,-1,12*(YEAR((AI103-1))-YEAR(AF103))+MONTH((AI103-1))-MONTH(AF103)-IF(DAY((AI103-1))&lt;MIN(DAY(AF103),DAY(EOMONTH((AI103-1),0))),1,0))))</f>
        <v/>
      </c>
      <c r="AT103" s="12" t="str">
        <f aca="false">IF(AE103=0,"",IF(OR(AG103&lt;3,AJ103&gt;AsOfDate),AR103,IF((AJ103-1)&lt;AF103,-1,12*(YEAR((AJ103-1))-YEAR(AF103))+MONTH((AJ103-1))-MONTH(AF103)-IF(DAY((AJ103-1))&lt;MIN(DAY(AF103),DAY(EOMONTH((AJ103-1),0))),1,0))))</f>
        <v/>
      </c>
      <c r="AU103" s="12" t="str">
        <f aca="false">IF(AE103=0,"",IF(PFYDate&lt;AF103,-1,12*(YEAR(PFYDate)-YEAR(AF103))+MONTH(PFYDate)-MONTH(AF103)-IF(DAY(PFYDate)&lt;MIN(DAY(AF103),DAY(EOMONTH(PFYDate,0))),1,0)))</f>
        <v/>
      </c>
      <c r="AV103" s="12" t="str">
        <f aca="false">IF(AE103=0,"",IF(OR(AG103&lt;2,AI103&gt;PFYDate),AU103,IF((AI103-1)&lt;AF103,-1,12*(YEAR((AI103-1))-YEAR(AF103))+MONTH((AI103-1))-MONTH(AF103)-IF(DAY((AI103-1))&lt;MIN(DAY(AF103),DAY(EOMONTH((AI103-1),0))),1,0))))</f>
        <v/>
      </c>
      <c r="AW103" s="12" t="str">
        <f aca="false">IF(AE103=0,"",IF(OR(AG103&lt;3,AJ103&gt;PFYDate),AU103,IF((AJ103-1)&lt;AF103,-1,12*(YEAR((AJ103-1))-YEAR(AF103))+MONTH((AJ103-1))-MONTH(AF103)-IF(DAY((AJ103-1))&lt;MIN(DAY(AF103),DAY(EOMONTH((AJ103-1),0))),1,0))))</f>
        <v/>
      </c>
      <c r="AX103" s="12" t="str">
        <f aca="false">IF(AE103=0,"",IF(AN103="FT",IF(AS103&lt;FT_First,0,IF(AS103&lt;FT_Y5,1+INT((AS103-FT_First)/FT_Int1),FT_PreY5+FT_PerYear*INT((AS103-FT_Y5)/12)+FT_AnnivDays+INT(MOD(AS103-FT_Y5,12)/FT_Int2))),IF(AN103="PT",IF(AS103&lt;PT_First,0,1+INT((AS103-PT_First)/PT_Int)),0))+IF(AND(AG103&gt;=2,AI103&lt;=AsOfDate),IF(AO103="FT",IF(AT103&lt;FT_First,0,IF(AT103&lt;FT_Y5,1+INT((AT103-FT_First)/FT_Int1),FT_PreY5+FT_PerYear*INT((AT103-FT_Y5)/12)+FT_AnnivDays+INT(MOD(AT103-FT_Y5,12)/FT_Int2))),IF(AO103="PT",IF(AT103&lt;PT_First,0,1+INT((AT103-PT_First)/PT_Int)),0))-IF(AO103="FT",IF(AS103&lt;FT_First,0,IF(AS103&lt;FT_Y5,1+INT((AS103-FT_First)/FT_Int1),FT_PreY5+FT_PerYear*INT((AS103-FT_Y5)/12)+FT_AnnivDays+INT(MOD(AS103-FT_Y5,12)/FT_Int2))),IF(AO103="PT",IF(AS103&lt;PT_First,0,1+INT((AS103-PT_First)/PT_Int)),0)),0)+IF(AND(AG103&gt;=3,AJ103&lt;=AsOfDate),IF(AP103="FT",IF(AR103&lt;FT_First,0,IF(AR103&lt;FT_Y5,1+INT((AR103-FT_First)/FT_Int1),FT_PreY5+FT_PerYear*INT((AR103-FT_Y5)/12)+FT_AnnivDays+INT(MOD(AR103-FT_Y5,12)/FT_Int2))),IF(AP103="PT",IF(AR103&lt;PT_First,0,1+INT((AR103-PT_First)/PT_Int)),0))-IF(AP103="FT",IF(AT103&lt;FT_First,0,IF(AT103&lt;FT_Y5,1+INT((AT103-FT_First)/FT_Int1),FT_PreY5+FT_PerYear*INT((AT103-FT_Y5)/12)+FT_AnnivDays+INT(MOD(AT103-FT_Y5,12)/FT_Int2))),IF(AP103="PT",IF(AT103&lt;PT_First,0,1+INT((AT103-PT_First)/PT_Int)),0)),0))</f>
        <v/>
      </c>
      <c r="AY103" s="12" t="str">
        <f aca="false">IF(AE103=0,"",IF(AN103="FT",IF(AV103&lt;FT_First,0,IF(AV103&lt;FT_Y5,1+INT((AV103-FT_First)/FT_Int1),FT_PreY5+FT_PerYear*INT((AV103-FT_Y5)/12)+FT_AnnivDays+INT(MOD(AV103-FT_Y5,12)/FT_Int2))),IF(AN103="PT",IF(AV103&lt;PT_First,0,1+INT((AV103-PT_First)/PT_Int)),0))+IF(AND(AG103&gt;=2,AI103&lt;=PFYDate),IF(AO103="FT",IF(AW103&lt;FT_First,0,IF(AW103&lt;FT_Y5,1+INT((AW103-FT_First)/FT_Int1),FT_PreY5+FT_PerYear*INT((AW103-FT_Y5)/12)+FT_AnnivDays+INT(MOD(AW103-FT_Y5,12)/FT_Int2))),IF(AO103="PT",IF(AW103&lt;PT_First,0,1+INT((AW103-PT_First)/PT_Int)),0))-IF(AO103="FT",IF(AV103&lt;FT_First,0,IF(AV103&lt;FT_Y5,1+INT((AV103-FT_First)/FT_Int1),FT_PreY5+FT_PerYear*INT((AV103-FT_Y5)/12)+FT_AnnivDays+INT(MOD(AV103-FT_Y5,12)/FT_Int2))),IF(AO103="PT",IF(AV103&lt;PT_First,0,1+INT((AV103-PT_First)/PT_Int)),0)),0)+IF(AND(AG103&gt;=3,AJ103&lt;=PFYDate),IF(AP103="FT",IF(AU103&lt;FT_First,0,IF(AU103&lt;FT_Y5,1+INT((AU103-FT_First)/FT_Int1),FT_PreY5+FT_PerYear*INT((AU103-FT_Y5)/12)+FT_AnnivDays+INT(MOD(AU103-FT_Y5,12)/FT_Int2))),IF(AP103="PT",IF(AU103&lt;PT_First,0,1+INT((AU103-PT_First)/PT_Int)),0))-IF(AP103="FT",IF(AW103&lt;FT_First,0,IF(AW103&lt;FT_Y5,1+INT((AW103-FT_First)/FT_Int1),FT_PreY5+FT_PerYear*INT((AW103-FT_Y5)/12)+FT_AnnivDays+INT(MOD(AW103-FT_Y5,12)/FT_Int2))),IF(AP103="PT",IF(AW103&lt;PT_First,0,1+INT((AW103-PT_First)/PT_Int)),0)),0))</f>
        <v/>
      </c>
      <c r="AZ103" s="12" t="str">
        <f aca="false">IF(AE103=0,"",IF(AQ103="FT",IF(AR103&lt;FT_First,FT_First,IF(AR103&lt;FT_Y5,MIN(FT_Y5,FT_First+FT_Int1*(INT((AR103-FT_First)/FT_Int1)+1)),FT_Y5+12*INT((AR103-FT_Y5)/12)+FT_Int2*(INT(MOD(AR103-FT_Y5,12)/FT_Int2)+1))),IF(AQ103="PT",IF(AR103&lt;PT_First,PT_First,PT_First+PT_Int*(INT((AR103-PT_First)/PT_Int)+1)),"")))</f>
        <v/>
      </c>
      <c r="BA103" s="12" t="str">
        <f aca="false">IF(AE103=0,"",IF(NOT(LH_Ready),0,COUNTIFS(INDEX(LH_Data,0,LH_ColFirst),$A103,INDEX(LH_Data,0,LH_ColSur),$B103,INDEX(LH_Data,0,LH_ColCat),BonusCat)))</f>
        <v/>
      </c>
      <c r="BB103" s="12" t="str">
        <f aca="false">IF(AE103=0,"",IF(OR(NOT(LH_Ready),BA103=0),0,SUMPRODUCT(MAX((INDEX(LH_Data,0,LH_ColFirst)=$A103)*(INDEX(LH_Data,0,LH_ColSur)=$B103)*(INDEX(LH_Data,0,LH_ColCat)=BonusCat)*ROW(LH_Data)))))</f>
        <v/>
      </c>
    </row>
    <row r="104" customFormat="false" ht="15" hidden="false" customHeight="false" outlineLevel="0" collapsed="false">
      <c r="A104" s="15"/>
      <c r="B104" s="15"/>
      <c r="C104" s="15"/>
      <c r="D104" s="16"/>
      <c r="E104" s="10" t="str">
        <f aca="false">IF(OR(AE104=0,$D104=""),"",DATE(YEAR(AsOfDate)+IF(DATE(YEAR(AsOfDate),MONTH($D104),DAY($D104))&lt;=AsOfDate,1,0),MONTH($D104),DAY($D104)))</f>
        <v/>
      </c>
      <c r="F104" s="16"/>
      <c r="G104" s="16"/>
      <c r="H104" s="16"/>
      <c r="I104" s="16"/>
      <c r="J104" s="16"/>
      <c r="K104" s="10" t="str">
        <f aca="false">IF(AE104=0,"",DATE(YEAR(AsOfDate)+IF(DATE(YEAR(AsOfDate),MONTH($F104),DAY($F104))&lt;=AsOfDate,1,0),MONTH($F104),DAY($F104)))</f>
        <v/>
      </c>
      <c r="L104" s="11" t="str">
        <f aca="false">IF(AE104=0,"",ROUND((AsOfDate-$F104)/365.25,1))</f>
        <v/>
      </c>
      <c r="M104" s="12" t="str">
        <f aca="false">IF(AE104=0,"",IF(AsOfDate&lt;AF104,"-",DATEDIF(AF104,AsOfDate,"y")&amp;"y "&amp;DATEDIF(AF104,AsOfDate,"ym")&amp;"m "&amp;DATEDIF(AF104,AsOfDate,"md")&amp;"d"))</f>
        <v/>
      </c>
      <c r="N104" s="13" t="str">
        <f aca="false">IF(AE104=0,"",O104*HoursPerDay)</f>
        <v/>
      </c>
      <c r="O104" s="13" t="str">
        <f aca="false">IF(AE104=0,"",AX104)</f>
        <v/>
      </c>
      <c r="P104" s="17"/>
      <c r="Q104" s="12" t="str">
        <f aca="false">IF(AE104=0,"",IF(AG104&lt;2,"",AK104&amp;" to "&amp;AL104&amp;" on "&amp;TEXT(AI104,"dd/mm/yyyy")&amp;IF(AI104&gt;AsOfDate," (future)",IF(AN104=AO104,"",IF(AO104="None"," - STOPPED accruing",IF(AN104="None"," - now qualifying"," - pathway changed"))))&amp;IF(AG104&lt;3,"","; "&amp;AL104&amp;" to "&amp;AM104&amp;" on "&amp;TEXT(AJ104,"dd/mm/yyyy")&amp;IF(AJ104&gt;AsOfDate," (future)",IF(AO104=AP104,"",IF(AP104="None"," - STOPPED accruing",IF(AO104="None"," - now qualifying"," - pathway changed")))))))</f>
        <v/>
      </c>
      <c r="R104" s="12" t="str">
        <f aca="false">IF(AE104=0,"",IF(AQ104="None",IF(O104&gt;0,"No longer accruing","Not eligible - "&amp;IF(AND(OR(ISNUMBER(SEARCH("part",$C104)),UPPER(TRIM($C104))="PT",UPPER(TRIM($C104))="PTE"),$P104&lt;&gt;"",N($P104)&lt;PT_MinHours),"under "&amp;PT_MinHours&amp;" hrs",IF(IF($C104="","",IF(OR(ISNUMBER(SEARCH("full",$C104)),UPPER(TRIM($C104))="FT",UPPER(TRIM($C104))="FTE"),"Full-Time",IF(OR(ISNUMBER(SEARCH("part",$C104)),UPPER(TRIM($C104))="PT",UPPER(TRIM($C104))="PTE"),"Part-Time",IF(OR(ISNUMBER(SEARCH("cas",$C104)),UPPER(TRIM($C104))="CAS"),"Casual","Unknown"))))="Unknown","type not recognised",$C104))),IF(O104&gt;0,"Yes - accruing","Not yet - from "&amp;TEXT(S104,"dd/mm/yyyy"))))</f>
        <v/>
      </c>
      <c r="S104" s="10" t="str">
        <f aca="false">IF(AE104=0,"",IF(AQ104="None","",EDATE(AF104,AZ104)))</f>
        <v/>
      </c>
      <c r="T104" s="13" t="str">
        <f aca="false">IF(OR(AE104=0,W104=""),"",W104-U104+V104)</f>
        <v/>
      </c>
      <c r="U104" s="13" t="str">
        <f aca="false">IF(AE104=0,"",IF(NOT(LH_Ready),"",SUMIFS(INDEX(LH_Data,0,LH_ColAcc),INDEX(LH_Data,0,LH_ColFirst),$A104,INDEX(LH_Data,0,LH_ColSur),$B104,INDEX(LH_Data,0,LH_ColCat),BonusCat)*UnitFactor))</f>
        <v/>
      </c>
      <c r="V104" s="13" t="str">
        <f aca="false">IF(AE104=0,"",IF(NOT(LH_Ready),"",SUMIFS(INDEX(LH_Data,0,LH_ColTaken),INDEX(LH_Data,0,LH_ColFirst),$A104,INDEX(LH_Data,0,LH_ColSur),$B104,INDEX(LH_Data,0,LH_ColCat),BonusCat)*UnitFactor))</f>
        <v/>
      </c>
      <c r="W104" s="13" t="str">
        <f aca="false">IF(AE104=0,"",IF(NOT(LH_Ready),"",IF(BB104=0,0,INDEX(INDEX(LH_Data,0,LH_ColClose),BB104-1)*UnitFactor)))</f>
        <v/>
      </c>
      <c r="X104" s="13" t="str">
        <f aca="false">IF(AE104=0,"",(AX104-AY104)*HoursPerDay)</f>
        <v/>
      </c>
      <c r="Y104" s="13" t="str">
        <f aca="false">IF(AE104=0,"",IF(NOT(LH_Ready),"",IF(BA104=0,N104,X104-N(U104))))</f>
        <v/>
      </c>
      <c r="Z104" s="12" t="str">
        <f aca="false">IF(OR(AE104=0,Y104=""),"",IF(Y104&gt;0,"Yes","No"))</f>
        <v/>
      </c>
      <c r="AA104" s="12" t="str">
        <f aca="false">IF(AE104=0,IF(LEN($A104&amp;$B104)=0,"","FIX INPUT - StartDate missing"),IF(AD104&lt;&gt;"","FIX INPUT - "&amp;AD104,IF(NOT(LH_Ready),"Paste Leave History export (Settings must show YES)",IF(Y104&gt;0,"ACCRUE "&amp;ROUND(Y104,2)&amp;" hrs ("&amp;ROUND(Y104/HoursPerDay,2)&amp;" days)"&amp;IF(BA104=0," - no Bonus Leave in EH yet, full catch-up since start",""),IF(Y104&lt;0,"CHECK - EH accrued "&amp;ROUND(-Y104,2)&amp;""&amp;" hrs more than policy",IF(O104&gt;0,"OK - nothing to add",IF(AQ104="None",R104,"Not yet - first day on "&amp;TEXT(S104,"dd/mm/yyyy"))))))))</f>
        <v/>
      </c>
      <c r="AB104" s="13" t="str">
        <f aca="false">IF(OR(AE104=0,T104=""),"",AY104*HoursPerDay-T104)</f>
        <v/>
      </c>
      <c r="AC104" s="12" t="str">
        <f aca="false">IF(AE104=0,"",BA104)</f>
        <v/>
      </c>
      <c r="AD104" s="12" t="str">
        <f aca="false">IF(AE104=0,"",TRIM(IF(IF($C104="","",IF(OR(ISNUMBER(SEARCH("full",$C104)),UPPER(TRIM($C104))="FT",UPPER(TRIM($C104))="FTE"),"Full-Time",IF(OR(ISNUMBER(SEARCH("part",$C104)),UPPER(TRIM($C104))="PT",UPPER(TRIM($C104))="PTE"),"Part-Time",IF(OR(ISNUMBER(SEARCH("cas",$C104)),UPPER(TRIM($C104))="CAS"),"Casual","Unknown"))))="Unknown","EmploymentType not recognised - use Full-Time, Part-Time or Casual. ","")&amp;IF(AND(AG104&gt;=1,IF(AG104&gt;=3,AM104,IF(AG104=2,AL104,AK104))&lt;&gt;IF($C104="","",IF(OR(ISNUMBER(SEARCH("full",$C104)),UPPER(TRIM($C104))="FT",UPPER(TRIM($C104))="FTE"),"Full-Time",IF(OR(ISNUMBER(SEARCH("part",$C104)),UPPER(TRIM($C104))="PT",UPPER(TRIM($C104))="PTE"),"Part-Time",IF(OR(ISNUMBER(SEARCH("cas",$C104)),UPPER(TRIM($C104))="CAS"),"Casual","Unknown"))))),"EmploymentType does not match latest start date ("&amp;IF(AG104&gt;=3,AM104,IF(AG104=2,AL104,AK104))&amp;"). ","")&amp;IF(AND(AG104&gt;=1,AH104&lt;&gt;$F104),"Earliest type date should equal StartDate. ","")&amp;IF(AND(AG104&gt;=2,AH104=AI104),"Two types start on the same date. ","")&amp;IF(AND(OR(ISNUMBER(SEARCH("part",$C104)),UPPER(TRIM($C104))="PT",UPPER(TRIM($C104))="PTE"),$P104=""),"Part-time: enter PT Hrs/Week (blank = 24+). ","")))</f>
        <v/>
      </c>
      <c r="AE104" s="12" t="n">
        <f aca="false">IF(OR(LEN($A104&amp;$B104)=0,$F104=""),0,1)</f>
        <v>0</v>
      </c>
      <c r="AF104" s="10" t="str">
        <f aca="false">IF(AE104=0,"",IF($J104&lt;&gt;"",$J104,$F104))</f>
        <v/>
      </c>
      <c r="AG104" s="12" t="str">
        <f aca="false">IF(AE104=0,"",COUNT($G104:$I104))</f>
        <v/>
      </c>
      <c r="AH104" s="10" t="str">
        <f aca="false">IF(AE104=0,"",IFERROR(SMALL($G104:$I104,1),""))</f>
        <v/>
      </c>
      <c r="AI104" s="10" t="str">
        <f aca="false">IF(AE104=0,"",IFERROR(SMALL($G104:$I104,2),""))</f>
        <v/>
      </c>
      <c r="AJ104" s="10" t="str">
        <f aca="false">IF(AE104=0,"",IFERROR(SMALL($G104:$I104,3),""))</f>
        <v/>
      </c>
      <c r="AK104" s="12" t="str">
        <f aca="false">IF(AE104=0,"",IF(AH104="","",IF(AH104=$G104,"Part-Time",IF(AH104=$H104,"Full-Time","Casual"))))</f>
        <v/>
      </c>
      <c r="AL104" s="12" t="str">
        <f aca="false">IF(AE104=0,"",IF(AI104="","",IF(AI104=$G104,"Part-Time",IF(AI104=$H104,"Full-Time","Casual"))))</f>
        <v/>
      </c>
      <c r="AM104" s="12" t="str">
        <f aca="false">IF(AE104=0,"",IF(AJ104="","",IF(AJ104=$G104,"Part-Time",IF(AJ104=$H104,"Full-Time","Casual"))))</f>
        <v/>
      </c>
      <c r="AN104" s="12" t="str">
        <f aca="false">IF(AE104=0,"",IF(AG104=0,IF(OR(ISNUMBER(SEARCH("full",$C104)),UPPER(TRIM($C104))="FT",UPPER(TRIM($C104))="FTE"),"FT",IF(AND(OR(ISNUMBER(SEARCH("part",$C104)),UPPER(TRIM($C104))="PT",UPPER(TRIM($C104))="PTE"),OR($P104="",N($P104)&gt;=PT_MinHours)),"PT","None")),IF(OR(ISNUMBER(SEARCH("full",AK104)),UPPER(TRIM(AK104))="FT",UPPER(TRIM(AK104))="FTE"),"FT",IF(AND(OR(ISNUMBER(SEARCH("part",AK104)),UPPER(TRIM(AK104))="PT",UPPER(TRIM(AK104))="PTE"),OR($P104="",N($P104)&gt;=PT_MinHours)),"PT","None"))))</f>
        <v/>
      </c>
      <c r="AO104" s="12" t="str">
        <f aca="false">IF(AE104=0,"",IF(AG104&lt;2,"",IF(OR(ISNUMBER(SEARCH("full",AL104)),UPPER(TRIM(AL104))="FT",UPPER(TRIM(AL104))="FTE"),"FT",IF(AND(OR(ISNUMBER(SEARCH("part",AL104)),UPPER(TRIM(AL104))="PT",UPPER(TRIM(AL104))="PTE"),OR($P104="",N($P104)&gt;=PT_MinHours)),"PT","None"))))</f>
        <v/>
      </c>
      <c r="AP104" s="12" t="str">
        <f aca="false">IF(AE104=0,"",IF(AG104&lt;3,"",IF(OR(ISNUMBER(SEARCH("full",AM104)),UPPER(TRIM(AM104))="FT",UPPER(TRIM(AM104))="FTE"),"FT",IF(AND(OR(ISNUMBER(SEARCH("part",AM104)),UPPER(TRIM(AM104))="PT",UPPER(TRIM(AM104))="PTE"),OR($P104="",N($P104)&gt;=PT_MinHours)),"PT","None"))))</f>
        <v/>
      </c>
      <c r="AQ104" s="12" t="str">
        <f aca="false">IF(AE104=0,"",IF(AND(AG104&gt;=3,AJ104&lt;=AsOfDate),AP104,IF(AND(AG104&gt;=2,AI104&lt;=AsOfDate),AO104,AN104)))</f>
        <v/>
      </c>
      <c r="AR104" s="12" t="str">
        <f aca="false">IF(AE104=0,"",IF(AsOfDate&lt;AF104,-1,12*(YEAR(AsOfDate)-YEAR(AF104))+MONTH(AsOfDate)-MONTH(AF104)-IF(DAY(AsOfDate)&lt;MIN(DAY(AF104),DAY(EOMONTH(AsOfDate,0))),1,0)))</f>
        <v/>
      </c>
      <c r="AS104" s="12" t="str">
        <f aca="false">IF(AE104=0,"",IF(OR(AG104&lt;2,AI104&gt;AsOfDate),AR104,IF((AI104-1)&lt;AF104,-1,12*(YEAR((AI104-1))-YEAR(AF104))+MONTH((AI104-1))-MONTH(AF104)-IF(DAY((AI104-1))&lt;MIN(DAY(AF104),DAY(EOMONTH((AI104-1),0))),1,0))))</f>
        <v/>
      </c>
      <c r="AT104" s="12" t="str">
        <f aca="false">IF(AE104=0,"",IF(OR(AG104&lt;3,AJ104&gt;AsOfDate),AR104,IF((AJ104-1)&lt;AF104,-1,12*(YEAR((AJ104-1))-YEAR(AF104))+MONTH((AJ104-1))-MONTH(AF104)-IF(DAY((AJ104-1))&lt;MIN(DAY(AF104),DAY(EOMONTH((AJ104-1),0))),1,0))))</f>
        <v/>
      </c>
      <c r="AU104" s="12" t="str">
        <f aca="false">IF(AE104=0,"",IF(PFYDate&lt;AF104,-1,12*(YEAR(PFYDate)-YEAR(AF104))+MONTH(PFYDate)-MONTH(AF104)-IF(DAY(PFYDate)&lt;MIN(DAY(AF104),DAY(EOMONTH(PFYDate,0))),1,0)))</f>
        <v/>
      </c>
      <c r="AV104" s="12" t="str">
        <f aca="false">IF(AE104=0,"",IF(OR(AG104&lt;2,AI104&gt;PFYDate),AU104,IF((AI104-1)&lt;AF104,-1,12*(YEAR((AI104-1))-YEAR(AF104))+MONTH((AI104-1))-MONTH(AF104)-IF(DAY((AI104-1))&lt;MIN(DAY(AF104),DAY(EOMONTH((AI104-1),0))),1,0))))</f>
        <v/>
      </c>
      <c r="AW104" s="12" t="str">
        <f aca="false">IF(AE104=0,"",IF(OR(AG104&lt;3,AJ104&gt;PFYDate),AU104,IF((AJ104-1)&lt;AF104,-1,12*(YEAR((AJ104-1))-YEAR(AF104))+MONTH((AJ104-1))-MONTH(AF104)-IF(DAY((AJ104-1))&lt;MIN(DAY(AF104),DAY(EOMONTH((AJ104-1),0))),1,0))))</f>
        <v/>
      </c>
      <c r="AX104" s="12" t="str">
        <f aca="false">IF(AE104=0,"",IF(AN104="FT",IF(AS104&lt;FT_First,0,IF(AS104&lt;FT_Y5,1+INT((AS104-FT_First)/FT_Int1),FT_PreY5+FT_PerYear*INT((AS104-FT_Y5)/12)+FT_AnnivDays+INT(MOD(AS104-FT_Y5,12)/FT_Int2))),IF(AN104="PT",IF(AS104&lt;PT_First,0,1+INT((AS104-PT_First)/PT_Int)),0))+IF(AND(AG104&gt;=2,AI104&lt;=AsOfDate),IF(AO104="FT",IF(AT104&lt;FT_First,0,IF(AT104&lt;FT_Y5,1+INT((AT104-FT_First)/FT_Int1),FT_PreY5+FT_PerYear*INT((AT104-FT_Y5)/12)+FT_AnnivDays+INT(MOD(AT104-FT_Y5,12)/FT_Int2))),IF(AO104="PT",IF(AT104&lt;PT_First,0,1+INT((AT104-PT_First)/PT_Int)),0))-IF(AO104="FT",IF(AS104&lt;FT_First,0,IF(AS104&lt;FT_Y5,1+INT((AS104-FT_First)/FT_Int1),FT_PreY5+FT_PerYear*INT((AS104-FT_Y5)/12)+FT_AnnivDays+INT(MOD(AS104-FT_Y5,12)/FT_Int2))),IF(AO104="PT",IF(AS104&lt;PT_First,0,1+INT((AS104-PT_First)/PT_Int)),0)),0)+IF(AND(AG104&gt;=3,AJ104&lt;=AsOfDate),IF(AP104="FT",IF(AR104&lt;FT_First,0,IF(AR104&lt;FT_Y5,1+INT((AR104-FT_First)/FT_Int1),FT_PreY5+FT_PerYear*INT((AR104-FT_Y5)/12)+FT_AnnivDays+INT(MOD(AR104-FT_Y5,12)/FT_Int2))),IF(AP104="PT",IF(AR104&lt;PT_First,0,1+INT((AR104-PT_First)/PT_Int)),0))-IF(AP104="FT",IF(AT104&lt;FT_First,0,IF(AT104&lt;FT_Y5,1+INT((AT104-FT_First)/FT_Int1),FT_PreY5+FT_PerYear*INT((AT104-FT_Y5)/12)+FT_AnnivDays+INT(MOD(AT104-FT_Y5,12)/FT_Int2))),IF(AP104="PT",IF(AT104&lt;PT_First,0,1+INT((AT104-PT_First)/PT_Int)),0)),0))</f>
        <v/>
      </c>
      <c r="AY104" s="12" t="str">
        <f aca="false">IF(AE104=0,"",IF(AN104="FT",IF(AV104&lt;FT_First,0,IF(AV104&lt;FT_Y5,1+INT((AV104-FT_First)/FT_Int1),FT_PreY5+FT_PerYear*INT((AV104-FT_Y5)/12)+FT_AnnivDays+INT(MOD(AV104-FT_Y5,12)/FT_Int2))),IF(AN104="PT",IF(AV104&lt;PT_First,0,1+INT((AV104-PT_First)/PT_Int)),0))+IF(AND(AG104&gt;=2,AI104&lt;=PFYDate),IF(AO104="FT",IF(AW104&lt;FT_First,0,IF(AW104&lt;FT_Y5,1+INT((AW104-FT_First)/FT_Int1),FT_PreY5+FT_PerYear*INT((AW104-FT_Y5)/12)+FT_AnnivDays+INT(MOD(AW104-FT_Y5,12)/FT_Int2))),IF(AO104="PT",IF(AW104&lt;PT_First,0,1+INT((AW104-PT_First)/PT_Int)),0))-IF(AO104="FT",IF(AV104&lt;FT_First,0,IF(AV104&lt;FT_Y5,1+INT((AV104-FT_First)/FT_Int1),FT_PreY5+FT_PerYear*INT((AV104-FT_Y5)/12)+FT_AnnivDays+INT(MOD(AV104-FT_Y5,12)/FT_Int2))),IF(AO104="PT",IF(AV104&lt;PT_First,0,1+INT((AV104-PT_First)/PT_Int)),0)),0)+IF(AND(AG104&gt;=3,AJ104&lt;=PFYDate),IF(AP104="FT",IF(AU104&lt;FT_First,0,IF(AU104&lt;FT_Y5,1+INT((AU104-FT_First)/FT_Int1),FT_PreY5+FT_PerYear*INT((AU104-FT_Y5)/12)+FT_AnnivDays+INT(MOD(AU104-FT_Y5,12)/FT_Int2))),IF(AP104="PT",IF(AU104&lt;PT_First,0,1+INT((AU104-PT_First)/PT_Int)),0))-IF(AP104="FT",IF(AW104&lt;FT_First,0,IF(AW104&lt;FT_Y5,1+INT((AW104-FT_First)/FT_Int1),FT_PreY5+FT_PerYear*INT((AW104-FT_Y5)/12)+FT_AnnivDays+INT(MOD(AW104-FT_Y5,12)/FT_Int2))),IF(AP104="PT",IF(AW104&lt;PT_First,0,1+INT((AW104-PT_First)/PT_Int)),0)),0))</f>
        <v/>
      </c>
      <c r="AZ104" s="12" t="str">
        <f aca="false">IF(AE104=0,"",IF(AQ104="FT",IF(AR104&lt;FT_First,FT_First,IF(AR104&lt;FT_Y5,MIN(FT_Y5,FT_First+FT_Int1*(INT((AR104-FT_First)/FT_Int1)+1)),FT_Y5+12*INT((AR104-FT_Y5)/12)+FT_Int2*(INT(MOD(AR104-FT_Y5,12)/FT_Int2)+1))),IF(AQ104="PT",IF(AR104&lt;PT_First,PT_First,PT_First+PT_Int*(INT((AR104-PT_First)/PT_Int)+1)),"")))</f>
        <v/>
      </c>
      <c r="BA104" s="12" t="str">
        <f aca="false">IF(AE104=0,"",IF(NOT(LH_Ready),0,COUNTIFS(INDEX(LH_Data,0,LH_ColFirst),$A104,INDEX(LH_Data,0,LH_ColSur),$B104,INDEX(LH_Data,0,LH_ColCat),BonusCat)))</f>
        <v/>
      </c>
      <c r="BB104" s="12" t="str">
        <f aca="false">IF(AE104=0,"",IF(OR(NOT(LH_Ready),BA104=0),0,SUMPRODUCT(MAX((INDEX(LH_Data,0,LH_ColFirst)=$A104)*(INDEX(LH_Data,0,LH_ColSur)=$B104)*(INDEX(LH_Data,0,LH_ColCat)=BonusCat)*ROW(LH_Data)))))</f>
        <v/>
      </c>
    </row>
    <row r="105" customFormat="false" ht="15" hidden="false" customHeight="false" outlineLevel="0" collapsed="false">
      <c r="A105" s="15"/>
      <c r="B105" s="15"/>
      <c r="C105" s="15"/>
      <c r="D105" s="16"/>
      <c r="E105" s="10" t="str">
        <f aca="false">IF(OR(AE105=0,$D105=""),"",DATE(YEAR(AsOfDate)+IF(DATE(YEAR(AsOfDate),MONTH($D105),DAY($D105))&lt;=AsOfDate,1,0),MONTH($D105),DAY($D105)))</f>
        <v/>
      </c>
      <c r="F105" s="16"/>
      <c r="G105" s="16"/>
      <c r="H105" s="16"/>
      <c r="I105" s="16"/>
      <c r="J105" s="16"/>
      <c r="K105" s="10" t="str">
        <f aca="false">IF(AE105=0,"",DATE(YEAR(AsOfDate)+IF(DATE(YEAR(AsOfDate),MONTH($F105),DAY($F105))&lt;=AsOfDate,1,0),MONTH($F105),DAY($F105)))</f>
        <v/>
      </c>
      <c r="L105" s="11" t="str">
        <f aca="false">IF(AE105=0,"",ROUND((AsOfDate-$F105)/365.25,1))</f>
        <v/>
      </c>
      <c r="M105" s="12" t="str">
        <f aca="false">IF(AE105=0,"",IF(AsOfDate&lt;AF105,"-",DATEDIF(AF105,AsOfDate,"y")&amp;"y "&amp;DATEDIF(AF105,AsOfDate,"ym")&amp;"m "&amp;DATEDIF(AF105,AsOfDate,"md")&amp;"d"))</f>
        <v/>
      </c>
      <c r="N105" s="13" t="str">
        <f aca="false">IF(AE105=0,"",O105*HoursPerDay)</f>
        <v/>
      </c>
      <c r="O105" s="13" t="str">
        <f aca="false">IF(AE105=0,"",AX105)</f>
        <v/>
      </c>
      <c r="P105" s="17"/>
      <c r="Q105" s="12" t="str">
        <f aca="false">IF(AE105=0,"",IF(AG105&lt;2,"",AK105&amp;" to "&amp;AL105&amp;" on "&amp;TEXT(AI105,"dd/mm/yyyy")&amp;IF(AI105&gt;AsOfDate," (future)",IF(AN105=AO105,"",IF(AO105="None"," - STOPPED accruing",IF(AN105="None"," - now qualifying"," - pathway changed"))))&amp;IF(AG105&lt;3,"","; "&amp;AL105&amp;" to "&amp;AM105&amp;" on "&amp;TEXT(AJ105,"dd/mm/yyyy")&amp;IF(AJ105&gt;AsOfDate," (future)",IF(AO105=AP105,"",IF(AP105="None"," - STOPPED accruing",IF(AO105="None"," - now qualifying"," - pathway changed")))))))</f>
        <v/>
      </c>
      <c r="R105" s="12" t="str">
        <f aca="false">IF(AE105=0,"",IF(AQ105="None",IF(O105&gt;0,"No longer accruing","Not eligible - "&amp;IF(AND(OR(ISNUMBER(SEARCH("part",$C105)),UPPER(TRIM($C105))="PT",UPPER(TRIM($C105))="PTE"),$P105&lt;&gt;"",N($P105)&lt;PT_MinHours),"under "&amp;PT_MinHours&amp;" hrs",IF(IF($C105="","",IF(OR(ISNUMBER(SEARCH("full",$C105)),UPPER(TRIM($C105))="FT",UPPER(TRIM($C105))="FTE"),"Full-Time",IF(OR(ISNUMBER(SEARCH("part",$C105)),UPPER(TRIM($C105))="PT",UPPER(TRIM($C105))="PTE"),"Part-Time",IF(OR(ISNUMBER(SEARCH("cas",$C105)),UPPER(TRIM($C105))="CAS"),"Casual","Unknown"))))="Unknown","type not recognised",$C105))),IF(O105&gt;0,"Yes - accruing","Not yet - from "&amp;TEXT(S105,"dd/mm/yyyy"))))</f>
        <v/>
      </c>
      <c r="S105" s="10" t="str">
        <f aca="false">IF(AE105=0,"",IF(AQ105="None","",EDATE(AF105,AZ105)))</f>
        <v/>
      </c>
      <c r="T105" s="13" t="str">
        <f aca="false">IF(OR(AE105=0,W105=""),"",W105-U105+V105)</f>
        <v/>
      </c>
      <c r="U105" s="13" t="str">
        <f aca="false">IF(AE105=0,"",IF(NOT(LH_Ready),"",SUMIFS(INDEX(LH_Data,0,LH_ColAcc),INDEX(LH_Data,0,LH_ColFirst),$A105,INDEX(LH_Data,0,LH_ColSur),$B105,INDEX(LH_Data,0,LH_ColCat),BonusCat)*UnitFactor))</f>
        <v/>
      </c>
      <c r="V105" s="13" t="str">
        <f aca="false">IF(AE105=0,"",IF(NOT(LH_Ready),"",SUMIFS(INDEX(LH_Data,0,LH_ColTaken),INDEX(LH_Data,0,LH_ColFirst),$A105,INDEX(LH_Data,0,LH_ColSur),$B105,INDEX(LH_Data,0,LH_ColCat),BonusCat)*UnitFactor))</f>
        <v/>
      </c>
      <c r="W105" s="13" t="str">
        <f aca="false">IF(AE105=0,"",IF(NOT(LH_Ready),"",IF(BB105=0,0,INDEX(INDEX(LH_Data,0,LH_ColClose),BB105-1)*UnitFactor)))</f>
        <v/>
      </c>
      <c r="X105" s="13" t="str">
        <f aca="false">IF(AE105=0,"",(AX105-AY105)*HoursPerDay)</f>
        <v/>
      </c>
      <c r="Y105" s="13" t="str">
        <f aca="false">IF(AE105=0,"",IF(NOT(LH_Ready),"",IF(BA105=0,N105,X105-N(U105))))</f>
        <v/>
      </c>
      <c r="Z105" s="12" t="str">
        <f aca="false">IF(OR(AE105=0,Y105=""),"",IF(Y105&gt;0,"Yes","No"))</f>
        <v/>
      </c>
      <c r="AA105" s="12" t="str">
        <f aca="false">IF(AE105=0,IF(LEN($A105&amp;$B105)=0,"","FIX INPUT - StartDate missing"),IF(AD105&lt;&gt;"","FIX INPUT - "&amp;AD105,IF(NOT(LH_Ready),"Paste Leave History export (Settings must show YES)",IF(Y105&gt;0,"ACCRUE "&amp;ROUND(Y105,2)&amp;" hrs ("&amp;ROUND(Y105/HoursPerDay,2)&amp;" days)"&amp;IF(BA105=0," - no Bonus Leave in EH yet, full catch-up since start",""),IF(Y105&lt;0,"CHECK - EH accrued "&amp;ROUND(-Y105,2)&amp;""&amp;" hrs more than policy",IF(O105&gt;0,"OK - nothing to add",IF(AQ105="None",R105,"Not yet - first day on "&amp;TEXT(S105,"dd/mm/yyyy"))))))))</f>
        <v/>
      </c>
      <c r="AB105" s="13" t="str">
        <f aca="false">IF(OR(AE105=0,T105=""),"",AY105*HoursPerDay-T105)</f>
        <v/>
      </c>
      <c r="AC105" s="12" t="str">
        <f aca="false">IF(AE105=0,"",BA105)</f>
        <v/>
      </c>
      <c r="AD105" s="12" t="str">
        <f aca="false">IF(AE105=0,"",TRIM(IF(IF($C105="","",IF(OR(ISNUMBER(SEARCH("full",$C105)),UPPER(TRIM($C105))="FT",UPPER(TRIM($C105))="FTE"),"Full-Time",IF(OR(ISNUMBER(SEARCH("part",$C105)),UPPER(TRIM($C105))="PT",UPPER(TRIM($C105))="PTE"),"Part-Time",IF(OR(ISNUMBER(SEARCH("cas",$C105)),UPPER(TRIM($C105))="CAS"),"Casual","Unknown"))))="Unknown","EmploymentType not recognised - use Full-Time, Part-Time or Casual. ","")&amp;IF(AND(AG105&gt;=1,IF(AG105&gt;=3,AM105,IF(AG105=2,AL105,AK105))&lt;&gt;IF($C105="","",IF(OR(ISNUMBER(SEARCH("full",$C105)),UPPER(TRIM($C105))="FT",UPPER(TRIM($C105))="FTE"),"Full-Time",IF(OR(ISNUMBER(SEARCH("part",$C105)),UPPER(TRIM($C105))="PT",UPPER(TRIM($C105))="PTE"),"Part-Time",IF(OR(ISNUMBER(SEARCH("cas",$C105)),UPPER(TRIM($C105))="CAS"),"Casual","Unknown"))))),"EmploymentType does not match latest start date ("&amp;IF(AG105&gt;=3,AM105,IF(AG105=2,AL105,AK105))&amp;"). ","")&amp;IF(AND(AG105&gt;=1,AH105&lt;&gt;$F105),"Earliest type date should equal StartDate. ","")&amp;IF(AND(AG105&gt;=2,AH105=AI105),"Two types start on the same date. ","")&amp;IF(AND(OR(ISNUMBER(SEARCH("part",$C105)),UPPER(TRIM($C105))="PT",UPPER(TRIM($C105))="PTE"),$P105=""),"Part-time: enter PT Hrs/Week (blank = 24+). ","")))</f>
        <v/>
      </c>
      <c r="AE105" s="12" t="n">
        <f aca="false">IF(OR(LEN($A105&amp;$B105)=0,$F105=""),0,1)</f>
        <v>0</v>
      </c>
      <c r="AF105" s="10" t="str">
        <f aca="false">IF(AE105=0,"",IF($J105&lt;&gt;"",$J105,$F105))</f>
        <v/>
      </c>
      <c r="AG105" s="12" t="str">
        <f aca="false">IF(AE105=0,"",COUNT($G105:$I105))</f>
        <v/>
      </c>
      <c r="AH105" s="10" t="str">
        <f aca="false">IF(AE105=0,"",IFERROR(SMALL($G105:$I105,1),""))</f>
        <v/>
      </c>
      <c r="AI105" s="10" t="str">
        <f aca="false">IF(AE105=0,"",IFERROR(SMALL($G105:$I105,2),""))</f>
        <v/>
      </c>
      <c r="AJ105" s="10" t="str">
        <f aca="false">IF(AE105=0,"",IFERROR(SMALL($G105:$I105,3),""))</f>
        <v/>
      </c>
      <c r="AK105" s="12" t="str">
        <f aca="false">IF(AE105=0,"",IF(AH105="","",IF(AH105=$G105,"Part-Time",IF(AH105=$H105,"Full-Time","Casual"))))</f>
        <v/>
      </c>
      <c r="AL105" s="12" t="str">
        <f aca="false">IF(AE105=0,"",IF(AI105="","",IF(AI105=$G105,"Part-Time",IF(AI105=$H105,"Full-Time","Casual"))))</f>
        <v/>
      </c>
      <c r="AM105" s="12" t="str">
        <f aca="false">IF(AE105=0,"",IF(AJ105="","",IF(AJ105=$G105,"Part-Time",IF(AJ105=$H105,"Full-Time","Casual"))))</f>
        <v/>
      </c>
      <c r="AN105" s="12" t="str">
        <f aca="false">IF(AE105=0,"",IF(AG105=0,IF(OR(ISNUMBER(SEARCH("full",$C105)),UPPER(TRIM($C105))="FT",UPPER(TRIM($C105))="FTE"),"FT",IF(AND(OR(ISNUMBER(SEARCH("part",$C105)),UPPER(TRIM($C105))="PT",UPPER(TRIM($C105))="PTE"),OR($P105="",N($P105)&gt;=PT_MinHours)),"PT","None")),IF(OR(ISNUMBER(SEARCH("full",AK105)),UPPER(TRIM(AK105))="FT",UPPER(TRIM(AK105))="FTE"),"FT",IF(AND(OR(ISNUMBER(SEARCH("part",AK105)),UPPER(TRIM(AK105))="PT",UPPER(TRIM(AK105))="PTE"),OR($P105="",N($P105)&gt;=PT_MinHours)),"PT","None"))))</f>
        <v/>
      </c>
      <c r="AO105" s="12" t="str">
        <f aca="false">IF(AE105=0,"",IF(AG105&lt;2,"",IF(OR(ISNUMBER(SEARCH("full",AL105)),UPPER(TRIM(AL105))="FT",UPPER(TRIM(AL105))="FTE"),"FT",IF(AND(OR(ISNUMBER(SEARCH("part",AL105)),UPPER(TRIM(AL105))="PT",UPPER(TRIM(AL105))="PTE"),OR($P105="",N($P105)&gt;=PT_MinHours)),"PT","None"))))</f>
        <v/>
      </c>
      <c r="AP105" s="12" t="str">
        <f aca="false">IF(AE105=0,"",IF(AG105&lt;3,"",IF(OR(ISNUMBER(SEARCH("full",AM105)),UPPER(TRIM(AM105))="FT",UPPER(TRIM(AM105))="FTE"),"FT",IF(AND(OR(ISNUMBER(SEARCH("part",AM105)),UPPER(TRIM(AM105))="PT",UPPER(TRIM(AM105))="PTE"),OR($P105="",N($P105)&gt;=PT_MinHours)),"PT","None"))))</f>
        <v/>
      </c>
      <c r="AQ105" s="12" t="str">
        <f aca="false">IF(AE105=0,"",IF(AND(AG105&gt;=3,AJ105&lt;=AsOfDate),AP105,IF(AND(AG105&gt;=2,AI105&lt;=AsOfDate),AO105,AN105)))</f>
        <v/>
      </c>
      <c r="AR105" s="12" t="str">
        <f aca="false">IF(AE105=0,"",IF(AsOfDate&lt;AF105,-1,12*(YEAR(AsOfDate)-YEAR(AF105))+MONTH(AsOfDate)-MONTH(AF105)-IF(DAY(AsOfDate)&lt;MIN(DAY(AF105),DAY(EOMONTH(AsOfDate,0))),1,0)))</f>
        <v/>
      </c>
      <c r="AS105" s="12" t="str">
        <f aca="false">IF(AE105=0,"",IF(OR(AG105&lt;2,AI105&gt;AsOfDate),AR105,IF((AI105-1)&lt;AF105,-1,12*(YEAR((AI105-1))-YEAR(AF105))+MONTH((AI105-1))-MONTH(AF105)-IF(DAY((AI105-1))&lt;MIN(DAY(AF105),DAY(EOMONTH((AI105-1),0))),1,0))))</f>
        <v/>
      </c>
      <c r="AT105" s="12" t="str">
        <f aca="false">IF(AE105=0,"",IF(OR(AG105&lt;3,AJ105&gt;AsOfDate),AR105,IF((AJ105-1)&lt;AF105,-1,12*(YEAR((AJ105-1))-YEAR(AF105))+MONTH((AJ105-1))-MONTH(AF105)-IF(DAY((AJ105-1))&lt;MIN(DAY(AF105),DAY(EOMONTH((AJ105-1),0))),1,0))))</f>
        <v/>
      </c>
      <c r="AU105" s="12" t="str">
        <f aca="false">IF(AE105=0,"",IF(PFYDate&lt;AF105,-1,12*(YEAR(PFYDate)-YEAR(AF105))+MONTH(PFYDate)-MONTH(AF105)-IF(DAY(PFYDate)&lt;MIN(DAY(AF105),DAY(EOMONTH(PFYDate,0))),1,0)))</f>
        <v/>
      </c>
      <c r="AV105" s="12" t="str">
        <f aca="false">IF(AE105=0,"",IF(OR(AG105&lt;2,AI105&gt;PFYDate),AU105,IF((AI105-1)&lt;AF105,-1,12*(YEAR((AI105-1))-YEAR(AF105))+MONTH((AI105-1))-MONTH(AF105)-IF(DAY((AI105-1))&lt;MIN(DAY(AF105),DAY(EOMONTH((AI105-1),0))),1,0))))</f>
        <v/>
      </c>
      <c r="AW105" s="12" t="str">
        <f aca="false">IF(AE105=0,"",IF(OR(AG105&lt;3,AJ105&gt;PFYDate),AU105,IF((AJ105-1)&lt;AF105,-1,12*(YEAR((AJ105-1))-YEAR(AF105))+MONTH((AJ105-1))-MONTH(AF105)-IF(DAY((AJ105-1))&lt;MIN(DAY(AF105),DAY(EOMONTH((AJ105-1),0))),1,0))))</f>
        <v/>
      </c>
      <c r="AX105" s="12" t="str">
        <f aca="false">IF(AE105=0,"",IF(AN105="FT",IF(AS105&lt;FT_First,0,IF(AS105&lt;FT_Y5,1+INT((AS105-FT_First)/FT_Int1),FT_PreY5+FT_PerYear*INT((AS105-FT_Y5)/12)+FT_AnnivDays+INT(MOD(AS105-FT_Y5,12)/FT_Int2))),IF(AN105="PT",IF(AS105&lt;PT_First,0,1+INT((AS105-PT_First)/PT_Int)),0))+IF(AND(AG105&gt;=2,AI105&lt;=AsOfDate),IF(AO105="FT",IF(AT105&lt;FT_First,0,IF(AT105&lt;FT_Y5,1+INT((AT105-FT_First)/FT_Int1),FT_PreY5+FT_PerYear*INT((AT105-FT_Y5)/12)+FT_AnnivDays+INT(MOD(AT105-FT_Y5,12)/FT_Int2))),IF(AO105="PT",IF(AT105&lt;PT_First,0,1+INT((AT105-PT_First)/PT_Int)),0))-IF(AO105="FT",IF(AS105&lt;FT_First,0,IF(AS105&lt;FT_Y5,1+INT((AS105-FT_First)/FT_Int1),FT_PreY5+FT_PerYear*INT((AS105-FT_Y5)/12)+FT_AnnivDays+INT(MOD(AS105-FT_Y5,12)/FT_Int2))),IF(AO105="PT",IF(AS105&lt;PT_First,0,1+INT((AS105-PT_First)/PT_Int)),0)),0)+IF(AND(AG105&gt;=3,AJ105&lt;=AsOfDate),IF(AP105="FT",IF(AR105&lt;FT_First,0,IF(AR105&lt;FT_Y5,1+INT((AR105-FT_First)/FT_Int1),FT_PreY5+FT_PerYear*INT((AR105-FT_Y5)/12)+FT_AnnivDays+INT(MOD(AR105-FT_Y5,12)/FT_Int2))),IF(AP105="PT",IF(AR105&lt;PT_First,0,1+INT((AR105-PT_First)/PT_Int)),0))-IF(AP105="FT",IF(AT105&lt;FT_First,0,IF(AT105&lt;FT_Y5,1+INT((AT105-FT_First)/FT_Int1),FT_PreY5+FT_PerYear*INT((AT105-FT_Y5)/12)+FT_AnnivDays+INT(MOD(AT105-FT_Y5,12)/FT_Int2))),IF(AP105="PT",IF(AT105&lt;PT_First,0,1+INT((AT105-PT_First)/PT_Int)),0)),0))</f>
        <v/>
      </c>
      <c r="AY105" s="12" t="str">
        <f aca="false">IF(AE105=0,"",IF(AN105="FT",IF(AV105&lt;FT_First,0,IF(AV105&lt;FT_Y5,1+INT((AV105-FT_First)/FT_Int1),FT_PreY5+FT_PerYear*INT((AV105-FT_Y5)/12)+FT_AnnivDays+INT(MOD(AV105-FT_Y5,12)/FT_Int2))),IF(AN105="PT",IF(AV105&lt;PT_First,0,1+INT((AV105-PT_First)/PT_Int)),0))+IF(AND(AG105&gt;=2,AI105&lt;=PFYDate),IF(AO105="FT",IF(AW105&lt;FT_First,0,IF(AW105&lt;FT_Y5,1+INT((AW105-FT_First)/FT_Int1),FT_PreY5+FT_PerYear*INT((AW105-FT_Y5)/12)+FT_AnnivDays+INT(MOD(AW105-FT_Y5,12)/FT_Int2))),IF(AO105="PT",IF(AW105&lt;PT_First,0,1+INT((AW105-PT_First)/PT_Int)),0))-IF(AO105="FT",IF(AV105&lt;FT_First,0,IF(AV105&lt;FT_Y5,1+INT((AV105-FT_First)/FT_Int1),FT_PreY5+FT_PerYear*INT((AV105-FT_Y5)/12)+FT_AnnivDays+INT(MOD(AV105-FT_Y5,12)/FT_Int2))),IF(AO105="PT",IF(AV105&lt;PT_First,0,1+INT((AV105-PT_First)/PT_Int)),0)),0)+IF(AND(AG105&gt;=3,AJ105&lt;=PFYDate),IF(AP105="FT",IF(AU105&lt;FT_First,0,IF(AU105&lt;FT_Y5,1+INT((AU105-FT_First)/FT_Int1),FT_PreY5+FT_PerYear*INT((AU105-FT_Y5)/12)+FT_AnnivDays+INT(MOD(AU105-FT_Y5,12)/FT_Int2))),IF(AP105="PT",IF(AU105&lt;PT_First,0,1+INT((AU105-PT_First)/PT_Int)),0))-IF(AP105="FT",IF(AW105&lt;FT_First,0,IF(AW105&lt;FT_Y5,1+INT((AW105-FT_First)/FT_Int1),FT_PreY5+FT_PerYear*INT((AW105-FT_Y5)/12)+FT_AnnivDays+INT(MOD(AW105-FT_Y5,12)/FT_Int2))),IF(AP105="PT",IF(AW105&lt;PT_First,0,1+INT((AW105-PT_First)/PT_Int)),0)),0))</f>
        <v/>
      </c>
      <c r="AZ105" s="12" t="str">
        <f aca="false">IF(AE105=0,"",IF(AQ105="FT",IF(AR105&lt;FT_First,FT_First,IF(AR105&lt;FT_Y5,MIN(FT_Y5,FT_First+FT_Int1*(INT((AR105-FT_First)/FT_Int1)+1)),FT_Y5+12*INT((AR105-FT_Y5)/12)+FT_Int2*(INT(MOD(AR105-FT_Y5,12)/FT_Int2)+1))),IF(AQ105="PT",IF(AR105&lt;PT_First,PT_First,PT_First+PT_Int*(INT((AR105-PT_First)/PT_Int)+1)),"")))</f>
        <v/>
      </c>
      <c r="BA105" s="12" t="str">
        <f aca="false">IF(AE105=0,"",IF(NOT(LH_Ready),0,COUNTIFS(INDEX(LH_Data,0,LH_ColFirst),$A105,INDEX(LH_Data,0,LH_ColSur),$B105,INDEX(LH_Data,0,LH_ColCat),BonusCat)))</f>
        <v/>
      </c>
      <c r="BB105" s="12" t="str">
        <f aca="false">IF(AE105=0,"",IF(OR(NOT(LH_Ready),BA105=0),0,SUMPRODUCT(MAX((INDEX(LH_Data,0,LH_ColFirst)=$A105)*(INDEX(LH_Data,0,LH_ColSur)=$B105)*(INDEX(LH_Data,0,LH_ColCat)=BonusCat)*ROW(LH_Data)))))</f>
        <v/>
      </c>
    </row>
    <row r="106" customFormat="false" ht="15" hidden="false" customHeight="false" outlineLevel="0" collapsed="false">
      <c r="A106" s="15"/>
      <c r="B106" s="15"/>
      <c r="C106" s="15"/>
      <c r="D106" s="16"/>
      <c r="E106" s="10" t="str">
        <f aca="false">IF(OR(AE106=0,$D106=""),"",DATE(YEAR(AsOfDate)+IF(DATE(YEAR(AsOfDate),MONTH($D106),DAY($D106))&lt;=AsOfDate,1,0),MONTH($D106),DAY($D106)))</f>
        <v/>
      </c>
      <c r="F106" s="16"/>
      <c r="G106" s="16"/>
      <c r="H106" s="16"/>
      <c r="I106" s="16"/>
      <c r="J106" s="16"/>
      <c r="K106" s="10" t="str">
        <f aca="false">IF(AE106=0,"",DATE(YEAR(AsOfDate)+IF(DATE(YEAR(AsOfDate),MONTH($F106),DAY($F106))&lt;=AsOfDate,1,0),MONTH($F106),DAY($F106)))</f>
        <v/>
      </c>
      <c r="L106" s="11" t="str">
        <f aca="false">IF(AE106=0,"",ROUND((AsOfDate-$F106)/365.25,1))</f>
        <v/>
      </c>
      <c r="M106" s="12" t="str">
        <f aca="false">IF(AE106=0,"",IF(AsOfDate&lt;AF106,"-",DATEDIF(AF106,AsOfDate,"y")&amp;"y "&amp;DATEDIF(AF106,AsOfDate,"ym")&amp;"m "&amp;DATEDIF(AF106,AsOfDate,"md")&amp;"d"))</f>
        <v/>
      </c>
      <c r="N106" s="13" t="str">
        <f aca="false">IF(AE106=0,"",O106*HoursPerDay)</f>
        <v/>
      </c>
      <c r="O106" s="13" t="str">
        <f aca="false">IF(AE106=0,"",AX106)</f>
        <v/>
      </c>
      <c r="P106" s="17"/>
      <c r="Q106" s="12" t="str">
        <f aca="false">IF(AE106=0,"",IF(AG106&lt;2,"",AK106&amp;" to "&amp;AL106&amp;" on "&amp;TEXT(AI106,"dd/mm/yyyy")&amp;IF(AI106&gt;AsOfDate," (future)",IF(AN106=AO106,"",IF(AO106="None"," - STOPPED accruing",IF(AN106="None"," - now qualifying"," - pathway changed"))))&amp;IF(AG106&lt;3,"","; "&amp;AL106&amp;" to "&amp;AM106&amp;" on "&amp;TEXT(AJ106,"dd/mm/yyyy")&amp;IF(AJ106&gt;AsOfDate," (future)",IF(AO106=AP106,"",IF(AP106="None"," - STOPPED accruing",IF(AO106="None"," - now qualifying"," - pathway changed")))))))</f>
        <v/>
      </c>
      <c r="R106" s="12" t="str">
        <f aca="false">IF(AE106=0,"",IF(AQ106="None",IF(O106&gt;0,"No longer accruing","Not eligible - "&amp;IF(AND(OR(ISNUMBER(SEARCH("part",$C106)),UPPER(TRIM($C106))="PT",UPPER(TRIM($C106))="PTE"),$P106&lt;&gt;"",N($P106)&lt;PT_MinHours),"under "&amp;PT_MinHours&amp;" hrs",IF(IF($C106="","",IF(OR(ISNUMBER(SEARCH("full",$C106)),UPPER(TRIM($C106))="FT",UPPER(TRIM($C106))="FTE"),"Full-Time",IF(OR(ISNUMBER(SEARCH("part",$C106)),UPPER(TRIM($C106))="PT",UPPER(TRIM($C106))="PTE"),"Part-Time",IF(OR(ISNUMBER(SEARCH("cas",$C106)),UPPER(TRIM($C106))="CAS"),"Casual","Unknown"))))="Unknown","type not recognised",$C106))),IF(O106&gt;0,"Yes - accruing","Not yet - from "&amp;TEXT(S106,"dd/mm/yyyy"))))</f>
        <v/>
      </c>
      <c r="S106" s="10" t="str">
        <f aca="false">IF(AE106=0,"",IF(AQ106="None","",EDATE(AF106,AZ106)))</f>
        <v/>
      </c>
      <c r="T106" s="13" t="str">
        <f aca="false">IF(OR(AE106=0,W106=""),"",W106-U106+V106)</f>
        <v/>
      </c>
      <c r="U106" s="13" t="str">
        <f aca="false">IF(AE106=0,"",IF(NOT(LH_Ready),"",SUMIFS(INDEX(LH_Data,0,LH_ColAcc),INDEX(LH_Data,0,LH_ColFirst),$A106,INDEX(LH_Data,0,LH_ColSur),$B106,INDEX(LH_Data,0,LH_ColCat),BonusCat)*UnitFactor))</f>
        <v/>
      </c>
      <c r="V106" s="13" t="str">
        <f aca="false">IF(AE106=0,"",IF(NOT(LH_Ready),"",SUMIFS(INDEX(LH_Data,0,LH_ColTaken),INDEX(LH_Data,0,LH_ColFirst),$A106,INDEX(LH_Data,0,LH_ColSur),$B106,INDEX(LH_Data,0,LH_ColCat),BonusCat)*UnitFactor))</f>
        <v/>
      </c>
      <c r="W106" s="13" t="str">
        <f aca="false">IF(AE106=0,"",IF(NOT(LH_Ready),"",IF(BB106=0,0,INDEX(INDEX(LH_Data,0,LH_ColClose),BB106-1)*UnitFactor)))</f>
        <v/>
      </c>
      <c r="X106" s="13" t="str">
        <f aca="false">IF(AE106=0,"",(AX106-AY106)*HoursPerDay)</f>
        <v/>
      </c>
      <c r="Y106" s="13" t="str">
        <f aca="false">IF(AE106=0,"",IF(NOT(LH_Ready),"",IF(BA106=0,N106,X106-N(U106))))</f>
        <v/>
      </c>
      <c r="Z106" s="12" t="str">
        <f aca="false">IF(OR(AE106=0,Y106=""),"",IF(Y106&gt;0,"Yes","No"))</f>
        <v/>
      </c>
      <c r="AA106" s="12" t="str">
        <f aca="false">IF(AE106=0,IF(LEN($A106&amp;$B106)=0,"","FIX INPUT - StartDate missing"),IF(AD106&lt;&gt;"","FIX INPUT - "&amp;AD106,IF(NOT(LH_Ready),"Paste Leave History export (Settings must show YES)",IF(Y106&gt;0,"ACCRUE "&amp;ROUND(Y106,2)&amp;" hrs ("&amp;ROUND(Y106/HoursPerDay,2)&amp;" days)"&amp;IF(BA106=0," - no Bonus Leave in EH yet, full catch-up since start",""),IF(Y106&lt;0,"CHECK - EH accrued "&amp;ROUND(-Y106,2)&amp;""&amp;" hrs more than policy",IF(O106&gt;0,"OK - nothing to add",IF(AQ106="None",R106,"Not yet - first day on "&amp;TEXT(S106,"dd/mm/yyyy"))))))))</f>
        <v/>
      </c>
      <c r="AB106" s="13" t="str">
        <f aca="false">IF(OR(AE106=0,T106=""),"",AY106*HoursPerDay-T106)</f>
        <v/>
      </c>
      <c r="AC106" s="12" t="str">
        <f aca="false">IF(AE106=0,"",BA106)</f>
        <v/>
      </c>
      <c r="AD106" s="12" t="str">
        <f aca="false">IF(AE106=0,"",TRIM(IF(IF($C106="","",IF(OR(ISNUMBER(SEARCH("full",$C106)),UPPER(TRIM($C106))="FT",UPPER(TRIM($C106))="FTE"),"Full-Time",IF(OR(ISNUMBER(SEARCH("part",$C106)),UPPER(TRIM($C106))="PT",UPPER(TRIM($C106))="PTE"),"Part-Time",IF(OR(ISNUMBER(SEARCH("cas",$C106)),UPPER(TRIM($C106))="CAS"),"Casual","Unknown"))))="Unknown","EmploymentType not recognised - use Full-Time, Part-Time or Casual. ","")&amp;IF(AND(AG106&gt;=1,IF(AG106&gt;=3,AM106,IF(AG106=2,AL106,AK106))&lt;&gt;IF($C106="","",IF(OR(ISNUMBER(SEARCH("full",$C106)),UPPER(TRIM($C106))="FT",UPPER(TRIM($C106))="FTE"),"Full-Time",IF(OR(ISNUMBER(SEARCH("part",$C106)),UPPER(TRIM($C106))="PT",UPPER(TRIM($C106))="PTE"),"Part-Time",IF(OR(ISNUMBER(SEARCH("cas",$C106)),UPPER(TRIM($C106))="CAS"),"Casual","Unknown"))))),"EmploymentType does not match latest start date ("&amp;IF(AG106&gt;=3,AM106,IF(AG106=2,AL106,AK106))&amp;"). ","")&amp;IF(AND(AG106&gt;=1,AH106&lt;&gt;$F106),"Earliest type date should equal StartDate. ","")&amp;IF(AND(AG106&gt;=2,AH106=AI106),"Two types start on the same date. ","")&amp;IF(AND(OR(ISNUMBER(SEARCH("part",$C106)),UPPER(TRIM($C106))="PT",UPPER(TRIM($C106))="PTE"),$P106=""),"Part-time: enter PT Hrs/Week (blank = 24+). ","")))</f>
        <v/>
      </c>
      <c r="AE106" s="12" t="n">
        <f aca="false">IF(OR(LEN($A106&amp;$B106)=0,$F106=""),0,1)</f>
        <v>0</v>
      </c>
      <c r="AF106" s="10" t="str">
        <f aca="false">IF(AE106=0,"",IF($J106&lt;&gt;"",$J106,$F106))</f>
        <v/>
      </c>
      <c r="AG106" s="12" t="str">
        <f aca="false">IF(AE106=0,"",COUNT($G106:$I106))</f>
        <v/>
      </c>
      <c r="AH106" s="10" t="str">
        <f aca="false">IF(AE106=0,"",IFERROR(SMALL($G106:$I106,1),""))</f>
        <v/>
      </c>
      <c r="AI106" s="10" t="str">
        <f aca="false">IF(AE106=0,"",IFERROR(SMALL($G106:$I106,2),""))</f>
        <v/>
      </c>
      <c r="AJ106" s="10" t="str">
        <f aca="false">IF(AE106=0,"",IFERROR(SMALL($G106:$I106,3),""))</f>
        <v/>
      </c>
      <c r="AK106" s="12" t="str">
        <f aca="false">IF(AE106=0,"",IF(AH106="","",IF(AH106=$G106,"Part-Time",IF(AH106=$H106,"Full-Time","Casual"))))</f>
        <v/>
      </c>
      <c r="AL106" s="12" t="str">
        <f aca="false">IF(AE106=0,"",IF(AI106="","",IF(AI106=$G106,"Part-Time",IF(AI106=$H106,"Full-Time","Casual"))))</f>
        <v/>
      </c>
      <c r="AM106" s="12" t="str">
        <f aca="false">IF(AE106=0,"",IF(AJ106="","",IF(AJ106=$G106,"Part-Time",IF(AJ106=$H106,"Full-Time","Casual"))))</f>
        <v/>
      </c>
      <c r="AN106" s="12" t="str">
        <f aca="false">IF(AE106=0,"",IF(AG106=0,IF(OR(ISNUMBER(SEARCH("full",$C106)),UPPER(TRIM($C106))="FT",UPPER(TRIM($C106))="FTE"),"FT",IF(AND(OR(ISNUMBER(SEARCH("part",$C106)),UPPER(TRIM($C106))="PT",UPPER(TRIM($C106))="PTE"),OR($P106="",N($P106)&gt;=PT_MinHours)),"PT","None")),IF(OR(ISNUMBER(SEARCH("full",AK106)),UPPER(TRIM(AK106))="FT",UPPER(TRIM(AK106))="FTE"),"FT",IF(AND(OR(ISNUMBER(SEARCH("part",AK106)),UPPER(TRIM(AK106))="PT",UPPER(TRIM(AK106))="PTE"),OR($P106="",N($P106)&gt;=PT_MinHours)),"PT","None"))))</f>
        <v/>
      </c>
      <c r="AO106" s="12" t="str">
        <f aca="false">IF(AE106=0,"",IF(AG106&lt;2,"",IF(OR(ISNUMBER(SEARCH("full",AL106)),UPPER(TRIM(AL106))="FT",UPPER(TRIM(AL106))="FTE"),"FT",IF(AND(OR(ISNUMBER(SEARCH("part",AL106)),UPPER(TRIM(AL106))="PT",UPPER(TRIM(AL106))="PTE"),OR($P106="",N($P106)&gt;=PT_MinHours)),"PT","None"))))</f>
        <v/>
      </c>
      <c r="AP106" s="12" t="str">
        <f aca="false">IF(AE106=0,"",IF(AG106&lt;3,"",IF(OR(ISNUMBER(SEARCH("full",AM106)),UPPER(TRIM(AM106))="FT",UPPER(TRIM(AM106))="FTE"),"FT",IF(AND(OR(ISNUMBER(SEARCH("part",AM106)),UPPER(TRIM(AM106))="PT",UPPER(TRIM(AM106))="PTE"),OR($P106="",N($P106)&gt;=PT_MinHours)),"PT","None"))))</f>
        <v/>
      </c>
      <c r="AQ106" s="12" t="str">
        <f aca="false">IF(AE106=0,"",IF(AND(AG106&gt;=3,AJ106&lt;=AsOfDate),AP106,IF(AND(AG106&gt;=2,AI106&lt;=AsOfDate),AO106,AN106)))</f>
        <v/>
      </c>
      <c r="AR106" s="12" t="str">
        <f aca="false">IF(AE106=0,"",IF(AsOfDate&lt;AF106,-1,12*(YEAR(AsOfDate)-YEAR(AF106))+MONTH(AsOfDate)-MONTH(AF106)-IF(DAY(AsOfDate)&lt;MIN(DAY(AF106),DAY(EOMONTH(AsOfDate,0))),1,0)))</f>
        <v/>
      </c>
      <c r="AS106" s="12" t="str">
        <f aca="false">IF(AE106=0,"",IF(OR(AG106&lt;2,AI106&gt;AsOfDate),AR106,IF((AI106-1)&lt;AF106,-1,12*(YEAR((AI106-1))-YEAR(AF106))+MONTH((AI106-1))-MONTH(AF106)-IF(DAY((AI106-1))&lt;MIN(DAY(AF106),DAY(EOMONTH((AI106-1),0))),1,0))))</f>
        <v/>
      </c>
      <c r="AT106" s="12" t="str">
        <f aca="false">IF(AE106=0,"",IF(OR(AG106&lt;3,AJ106&gt;AsOfDate),AR106,IF((AJ106-1)&lt;AF106,-1,12*(YEAR((AJ106-1))-YEAR(AF106))+MONTH((AJ106-1))-MONTH(AF106)-IF(DAY((AJ106-1))&lt;MIN(DAY(AF106),DAY(EOMONTH((AJ106-1),0))),1,0))))</f>
        <v/>
      </c>
      <c r="AU106" s="12" t="str">
        <f aca="false">IF(AE106=0,"",IF(PFYDate&lt;AF106,-1,12*(YEAR(PFYDate)-YEAR(AF106))+MONTH(PFYDate)-MONTH(AF106)-IF(DAY(PFYDate)&lt;MIN(DAY(AF106),DAY(EOMONTH(PFYDate,0))),1,0)))</f>
        <v/>
      </c>
      <c r="AV106" s="12" t="str">
        <f aca="false">IF(AE106=0,"",IF(OR(AG106&lt;2,AI106&gt;PFYDate),AU106,IF((AI106-1)&lt;AF106,-1,12*(YEAR((AI106-1))-YEAR(AF106))+MONTH((AI106-1))-MONTH(AF106)-IF(DAY((AI106-1))&lt;MIN(DAY(AF106),DAY(EOMONTH((AI106-1),0))),1,0))))</f>
        <v/>
      </c>
      <c r="AW106" s="12" t="str">
        <f aca="false">IF(AE106=0,"",IF(OR(AG106&lt;3,AJ106&gt;PFYDate),AU106,IF((AJ106-1)&lt;AF106,-1,12*(YEAR((AJ106-1))-YEAR(AF106))+MONTH((AJ106-1))-MONTH(AF106)-IF(DAY((AJ106-1))&lt;MIN(DAY(AF106),DAY(EOMONTH((AJ106-1),0))),1,0))))</f>
        <v/>
      </c>
      <c r="AX106" s="12" t="str">
        <f aca="false">IF(AE106=0,"",IF(AN106="FT",IF(AS106&lt;FT_First,0,IF(AS106&lt;FT_Y5,1+INT((AS106-FT_First)/FT_Int1),FT_PreY5+FT_PerYear*INT((AS106-FT_Y5)/12)+FT_AnnivDays+INT(MOD(AS106-FT_Y5,12)/FT_Int2))),IF(AN106="PT",IF(AS106&lt;PT_First,0,1+INT((AS106-PT_First)/PT_Int)),0))+IF(AND(AG106&gt;=2,AI106&lt;=AsOfDate),IF(AO106="FT",IF(AT106&lt;FT_First,0,IF(AT106&lt;FT_Y5,1+INT((AT106-FT_First)/FT_Int1),FT_PreY5+FT_PerYear*INT((AT106-FT_Y5)/12)+FT_AnnivDays+INT(MOD(AT106-FT_Y5,12)/FT_Int2))),IF(AO106="PT",IF(AT106&lt;PT_First,0,1+INT((AT106-PT_First)/PT_Int)),0))-IF(AO106="FT",IF(AS106&lt;FT_First,0,IF(AS106&lt;FT_Y5,1+INT((AS106-FT_First)/FT_Int1),FT_PreY5+FT_PerYear*INT((AS106-FT_Y5)/12)+FT_AnnivDays+INT(MOD(AS106-FT_Y5,12)/FT_Int2))),IF(AO106="PT",IF(AS106&lt;PT_First,0,1+INT((AS106-PT_First)/PT_Int)),0)),0)+IF(AND(AG106&gt;=3,AJ106&lt;=AsOfDate),IF(AP106="FT",IF(AR106&lt;FT_First,0,IF(AR106&lt;FT_Y5,1+INT((AR106-FT_First)/FT_Int1),FT_PreY5+FT_PerYear*INT((AR106-FT_Y5)/12)+FT_AnnivDays+INT(MOD(AR106-FT_Y5,12)/FT_Int2))),IF(AP106="PT",IF(AR106&lt;PT_First,0,1+INT((AR106-PT_First)/PT_Int)),0))-IF(AP106="FT",IF(AT106&lt;FT_First,0,IF(AT106&lt;FT_Y5,1+INT((AT106-FT_First)/FT_Int1),FT_PreY5+FT_PerYear*INT((AT106-FT_Y5)/12)+FT_AnnivDays+INT(MOD(AT106-FT_Y5,12)/FT_Int2))),IF(AP106="PT",IF(AT106&lt;PT_First,0,1+INT((AT106-PT_First)/PT_Int)),0)),0))</f>
        <v/>
      </c>
      <c r="AY106" s="12" t="str">
        <f aca="false">IF(AE106=0,"",IF(AN106="FT",IF(AV106&lt;FT_First,0,IF(AV106&lt;FT_Y5,1+INT((AV106-FT_First)/FT_Int1),FT_PreY5+FT_PerYear*INT((AV106-FT_Y5)/12)+FT_AnnivDays+INT(MOD(AV106-FT_Y5,12)/FT_Int2))),IF(AN106="PT",IF(AV106&lt;PT_First,0,1+INT((AV106-PT_First)/PT_Int)),0))+IF(AND(AG106&gt;=2,AI106&lt;=PFYDate),IF(AO106="FT",IF(AW106&lt;FT_First,0,IF(AW106&lt;FT_Y5,1+INT((AW106-FT_First)/FT_Int1),FT_PreY5+FT_PerYear*INT((AW106-FT_Y5)/12)+FT_AnnivDays+INT(MOD(AW106-FT_Y5,12)/FT_Int2))),IF(AO106="PT",IF(AW106&lt;PT_First,0,1+INT((AW106-PT_First)/PT_Int)),0))-IF(AO106="FT",IF(AV106&lt;FT_First,0,IF(AV106&lt;FT_Y5,1+INT((AV106-FT_First)/FT_Int1),FT_PreY5+FT_PerYear*INT((AV106-FT_Y5)/12)+FT_AnnivDays+INT(MOD(AV106-FT_Y5,12)/FT_Int2))),IF(AO106="PT",IF(AV106&lt;PT_First,0,1+INT((AV106-PT_First)/PT_Int)),0)),0)+IF(AND(AG106&gt;=3,AJ106&lt;=PFYDate),IF(AP106="FT",IF(AU106&lt;FT_First,0,IF(AU106&lt;FT_Y5,1+INT((AU106-FT_First)/FT_Int1),FT_PreY5+FT_PerYear*INT((AU106-FT_Y5)/12)+FT_AnnivDays+INT(MOD(AU106-FT_Y5,12)/FT_Int2))),IF(AP106="PT",IF(AU106&lt;PT_First,0,1+INT((AU106-PT_First)/PT_Int)),0))-IF(AP106="FT",IF(AW106&lt;FT_First,0,IF(AW106&lt;FT_Y5,1+INT((AW106-FT_First)/FT_Int1),FT_PreY5+FT_PerYear*INT((AW106-FT_Y5)/12)+FT_AnnivDays+INT(MOD(AW106-FT_Y5,12)/FT_Int2))),IF(AP106="PT",IF(AW106&lt;PT_First,0,1+INT((AW106-PT_First)/PT_Int)),0)),0))</f>
        <v/>
      </c>
      <c r="AZ106" s="12" t="str">
        <f aca="false">IF(AE106=0,"",IF(AQ106="FT",IF(AR106&lt;FT_First,FT_First,IF(AR106&lt;FT_Y5,MIN(FT_Y5,FT_First+FT_Int1*(INT((AR106-FT_First)/FT_Int1)+1)),FT_Y5+12*INT((AR106-FT_Y5)/12)+FT_Int2*(INT(MOD(AR106-FT_Y5,12)/FT_Int2)+1))),IF(AQ106="PT",IF(AR106&lt;PT_First,PT_First,PT_First+PT_Int*(INT((AR106-PT_First)/PT_Int)+1)),"")))</f>
        <v/>
      </c>
      <c r="BA106" s="12" t="str">
        <f aca="false">IF(AE106=0,"",IF(NOT(LH_Ready),0,COUNTIFS(INDEX(LH_Data,0,LH_ColFirst),$A106,INDEX(LH_Data,0,LH_ColSur),$B106,INDEX(LH_Data,0,LH_ColCat),BonusCat)))</f>
        <v/>
      </c>
      <c r="BB106" s="12" t="str">
        <f aca="false">IF(AE106=0,"",IF(OR(NOT(LH_Ready),BA106=0),0,SUMPRODUCT(MAX((INDEX(LH_Data,0,LH_ColFirst)=$A106)*(INDEX(LH_Data,0,LH_ColSur)=$B106)*(INDEX(LH_Data,0,LH_ColCat)=BonusCat)*ROW(LH_Data)))))</f>
        <v/>
      </c>
    </row>
    <row r="107" customFormat="false" ht="15" hidden="false" customHeight="false" outlineLevel="0" collapsed="false">
      <c r="A107" s="15"/>
      <c r="B107" s="15"/>
      <c r="C107" s="15"/>
      <c r="D107" s="16"/>
      <c r="E107" s="10" t="str">
        <f aca="false">IF(OR(AE107=0,$D107=""),"",DATE(YEAR(AsOfDate)+IF(DATE(YEAR(AsOfDate),MONTH($D107),DAY($D107))&lt;=AsOfDate,1,0),MONTH($D107),DAY($D107)))</f>
        <v/>
      </c>
      <c r="F107" s="16"/>
      <c r="G107" s="16"/>
      <c r="H107" s="16"/>
      <c r="I107" s="16"/>
      <c r="J107" s="16"/>
      <c r="K107" s="10" t="str">
        <f aca="false">IF(AE107=0,"",DATE(YEAR(AsOfDate)+IF(DATE(YEAR(AsOfDate),MONTH($F107),DAY($F107))&lt;=AsOfDate,1,0),MONTH($F107),DAY($F107)))</f>
        <v/>
      </c>
      <c r="L107" s="11" t="str">
        <f aca="false">IF(AE107=0,"",ROUND((AsOfDate-$F107)/365.25,1))</f>
        <v/>
      </c>
      <c r="M107" s="12" t="str">
        <f aca="false">IF(AE107=0,"",IF(AsOfDate&lt;AF107,"-",DATEDIF(AF107,AsOfDate,"y")&amp;"y "&amp;DATEDIF(AF107,AsOfDate,"ym")&amp;"m "&amp;DATEDIF(AF107,AsOfDate,"md")&amp;"d"))</f>
        <v/>
      </c>
      <c r="N107" s="13" t="str">
        <f aca="false">IF(AE107=0,"",O107*HoursPerDay)</f>
        <v/>
      </c>
      <c r="O107" s="13" t="str">
        <f aca="false">IF(AE107=0,"",AX107)</f>
        <v/>
      </c>
      <c r="P107" s="17"/>
      <c r="Q107" s="12" t="str">
        <f aca="false">IF(AE107=0,"",IF(AG107&lt;2,"",AK107&amp;" to "&amp;AL107&amp;" on "&amp;TEXT(AI107,"dd/mm/yyyy")&amp;IF(AI107&gt;AsOfDate," (future)",IF(AN107=AO107,"",IF(AO107="None"," - STOPPED accruing",IF(AN107="None"," - now qualifying"," - pathway changed"))))&amp;IF(AG107&lt;3,"","; "&amp;AL107&amp;" to "&amp;AM107&amp;" on "&amp;TEXT(AJ107,"dd/mm/yyyy")&amp;IF(AJ107&gt;AsOfDate," (future)",IF(AO107=AP107,"",IF(AP107="None"," - STOPPED accruing",IF(AO107="None"," - now qualifying"," - pathway changed")))))))</f>
        <v/>
      </c>
      <c r="R107" s="12" t="str">
        <f aca="false">IF(AE107=0,"",IF(AQ107="None",IF(O107&gt;0,"No longer accruing","Not eligible - "&amp;IF(AND(OR(ISNUMBER(SEARCH("part",$C107)),UPPER(TRIM($C107))="PT",UPPER(TRIM($C107))="PTE"),$P107&lt;&gt;"",N($P107)&lt;PT_MinHours),"under "&amp;PT_MinHours&amp;" hrs",IF(IF($C107="","",IF(OR(ISNUMBER(SEARCH("full",$C107)),UPPER(TRIM($C107))="FT",UPPER(TRIM($C107))="FTE"),"Full-Time",IF(OR(ISNUMBER(SEARCH("part",$C107)),UPPER(TRIM($C107))="PT",UPPER(TRIM($C107))="PTE"),"Part-Time",IF(OR(ISNUMBER(SEARCH("cas",$C107)),UPPER(TRIM($C107))="CAS"),"Casual","Unknown"))))="Unknown","type not recognised",$C107))),IF(O107&gt;0,"Yes - accruing","Not yet - from "&amp;TEXT(S107,"dd/mm/yyyy"))))</f>
        <v/>
      </c>
      <c r="S107" s="10" t="str">
        <f aca="false">IF(AE107=0,"",IF(AQ107="None","",EDATE(AF107,AZ107)))</f>
        <v/>
      </c>
      <c r="T107" s="13" t="str">
        <f aca="false">IF(OR(AE107=0,W107=""),"",W107-U107+V107)</f>
        <v/>
      </c>
      <c r="U107" s="13" t="str">
        <f aca="false">IF(AE107=0,"",IF(NOT(LH_Ready),"",SUMIFS(INDEX(LH_Data,0,LH_ColAcc),INDEX(LH_Data,0,LH_ColFirst),$A107,INDEX(LH_Data,0,LH_ColSur),$B107,INDEX(LH_Data,0,LH_ColCat),BonusCat)*UnitFactor))</f>
        <v/>
      </c>
      <c r="V107" s="13" t="str">
        <f aca="false">IF(AE107=0,"",IF(NOT(LH_Ready),"",SUMIFS(INDEX(LH_Data,0,LH_ColTaken),INDEX(LH_Data,0,LH_ColFirst),$A107,INDEX(LH_Data,0,LH_ColSur),$B107,INDEX(LH_Data,0,LH_ColCat),BonusCat)*UnitFactor))</f>
        <v/>
      </c>
      <c r="W107" s="13" t="str">
        <f aca="false">IF(AE107=0,"",IF(NOT(LH_Ready),"",IF(BB107=0,0,INDEX(INDEX(LH_Data,0,LH_ColClose),BB107-1)*UnitFactor)))</f>
        <v/>
      </c>
      <c r="X107" s="13" t="str">
        <f aca="false">IF(AE107=0,"",(AX107-AY107)*HoursPerDay)</f>
        <v/>
      </c>
      <c r="Y107" s="13" t="str">
        <f aca="false">IF(AE107=0,"",IF(NOT(LH_Ready),"",IF(BA107=0,N107,X107-N(U107))))</f>
        <v/>
      </c>
      <c r="Z107" s="12" t="str">
        <f aca="false">IF(OR(AE107=0,Y107=""),"",IF(Y107&gt;0,"Yes","No"))</f>
        <v/>
      </c>
      <c r="AA107" s="12" t="str">
        <f aca="false">IF(AE107=0,IF(LEN($A107&amp;$B107)=0,"","FIX INPUT - StartDate missing"),IF(AD107&lt;&gt;"","FIX INPUT - "&amp;AD107,IF(NOT(LH_Ready),"Paste Leave History export (Settings must show YES)",IF(Y107&gt;0,"ACCRUE "&amp;ROUND(Y107,2)&amp;" hrs ("&amp;ROUND(Y107/HoursPerDay,2)&amp;" days)"&amp;IF(BA107=0," - no Bonus Leave in EH yet, full catch-up since start",""),IF(Y107&lt;0,"CHECK - EH accrued "&amp;ROUND(-Y107,2)&amp;""&amp;" hrs more than policy",IF(O107&gt;0,"OK - nothing to add",IF(AQ107="None",R107,"Not yet - first day on "&amp;TEXT(S107,"dd/mm/yyyy"))))))))</f>
        <v/>
      </c>
      <c r="AB107" s="13" t="str">
        <f aca="false">IF(OR(AE107=0,T107=""),"",AY107*HoursPerDay-T107)</f>
        <v/>
      </c>
      <c r="AC107" s="12" t="str">
        <f aca="false">IF(AE107=0,"",BA107)</f>
        <v/>
      </c>
      <c r="AD107" s="12" t="str">
        <f aca="false">IF(AE107=0,"",TRIM(IF(IF($C107="","",IF(OR(ISNUMBER(SEARCH("full",$C107)),UPPER(TRIM($C107))="FT",UPPER(TRIM($C107))="FTE"),"Full-Time",IF(OR(ISNUMBER(SEARCH("part",$C107)),UPPER(TRIM($C107))="PT",UPPER(TRIM($C107))="PTE"),"Part-Time",IF(OR(ISNUMBER(SEARCH("cas",$C107)),UPPER(TRIM($C107))="CAS"),"Casual","Unknown"))))="Unknown","EmploymentType not recognised - use Full-Time, Part-Time or Casual. ","")&amp;IF(AND(AG107&gt;=1,IF(AG107&gt;=3,AM107,IF(AG107=2,AL107,AK107))&lt;&gt;IF($C107="","",IF(OR(ISNUMBER(SEARCH("full",$C107)),UPPER(TRIM($C107))="FT",UPPER(TRIM($C107))="FTE"),"Full-Time",IF(OR(ISNUMBER(SEARCH("part",$C107)),UPPER(TRIM($C107))="PT",UPPER(TRIM($C107))="PTE"),"Part-Time",IF(OR(ISNUMBER(SEARCH("cas",$C107)),UPPER(TRIM($C107))="CAS"),"Casual","Unknown"))))),"EmploymentType does not match latest start date ("&amp;IF(AG107&gt;=3,AM107,IF(AG107=2,AL107,AK107))&amp;"). ","")&amp;IF(AND(AG107&gt;=1,AH107&lt;&gt;$F107),"Earliest type date should equal StartDate. ","")&amp;IF(AND(AG107&gt;=2,AH107=AI107),"Two types start on the same date. ","")&amp;IF(AND(OR(ISNUMBER(SEARCH("part",$C107)),UPPER(TRIM($C107))="PT",UPPER(TRIM($C107))="PTE"),$P107=""),"Part-time: enter PT Hrs/Week (blank = 24+). ","")))</f>
        <v/>
      </c>
      <c r="AE107" s="12" t="n">
        <f aca="false">IF(OR(LEN($A107&amp;$B107)=0,$F107=""),0,1)</f>
        <v>0</v>
      </c>
      <c r="AF107" s="10" t="str">
        <f aca="false">IF(AE107=0,"",IF($J107&lt;&gt;"",$J107,$F107))</f>
        <v/>
      </c>
      <c r="AG107" s="12" t="str">
        <f aca="false">IF(AE107=0,"",COUNT($G107:$I107))</f>
        <v/>
      </c>
      <c r="AH107" s="10" t="str">
        <f aca="false">IF(AE107=0,"",IFERROR(SMALL($G107:$I107,1),""))</f>
        <v/>
      </c>
      <c r="AI107" s="10" t="str">
        <f aca="false">IF(AE107=0,"",IFERROR(SMALL($G107:$I107,2),""))</f>
        <v/>
      </c>
      <c r="AJ107" s="10" t="str">
        <f aca="false">IF(AE107=0,"",IFERROR(SMALL($G107:$I107,3),""))</f>
        <v/>
      </c>
      <c r="AK107" s="12" t="str">
        <f aca="false">IF(AE107=0,"",IF(AH107="","",IF(AH107=$G107,"Part-Time",IF(AH107=$H107,"Full-Time","Casual"))))</f>
        <v/>
      </c>
      <c r="AL107" s="12" t="str">
        <f aca="false">IF(AE107=0,"",IF(AI107="","",IF(AI107=$G107,"Part-Time",IF(AI107=$H107,"Full-Time","Casual"))))</f>
        <v/>
      </c>
      <c r="AM107" s="12" t="str">
        <f aca="false">IF(AE107=0,"",IF(AJ107="","",IF(AJ107=$G107,"Part-Time",IF(AJ107=$H107,"Full-Time","Casual"))))</f>
        <v/>
      </c>
      <c r="AN107" s="12" t="str">
        <f aca="false">IF(AE107=0,"",IF(AG107=0,IF(OR(ISNUMBER(SEARCH("full",$C107)),UPPER(TRIM($C107))="FT",UPPER(TRIM($C107))="FTE"),"FT",IF(AND(OR(ISNUMBER(SEARCH("part",$C107)),UPPER(TRIM($C107))="PT",UPPER(TRIM($C107))="PTE"),OR($P107="",N($P107)&gt;=PT_MinHours)),"PT","None")),IF(OR(ISNUMBER(SEARCH("full",AK107)),UPPER(TRIM(AK107))="FT",UPPER(TRIM(AK107))="FTE"),"FT",IF(AND(OR(ISNUMBER(SEARCH("part",AK107)),UPPER(TRIM(AK107))="PT",UPPER(TRIM(AK107))="PTE"),OR($P107="",N($P107)&gt;=PT_MinHours)),"PT","None"))))</f>
        <v/>
      </c>
      <c r="AO107" s="12" t="str">
        <f aca="false">IF(AE107=0,"",IF(AG107&lt;2,"",IF(OR(ISNUMBER(SEARCH("full",AL107)),UPPER(TRIM(AL107))="FT",UPPER(TRIM(AL107))="FTE"),"FT",IF(AND(OR(ISNUMBER(SEARCH("part",AL107)),UPPER(TRIM(AL107))="PT",UPPER(TRIM(AL107))="PTE"),OR($P107="",N($P107)&gt;=PT_MinHours)),"PT","None"))))</f>
        <v/>
      </c>
      <c r="AP107" s="12" t="str">
        <f aca="false">IF(AE107=0,"",IF(AG107&lt;3,"",IF(OR(ISNUMBER(SEARCH("full",AM107)),UPPER(TRIM(AM107))="FT",UPPER(TRIM(AM107))="FTE"),"FT",IF(AND(OR(ISNUMBER(SEARCH("part",AM107)),UPPER(TRIM(AM107))="PT",UPPER(TRIM(AM107))="PTE"),OR($P107="",N($P107)&gt;=PT_MinHours)),"PT","None"))))</f>
        <v/>
      </c>
      <c r="AQ107" s="12" t="str">
        <f aca="false">IF(AE107=0,"",IF(AND(AG107&gt;=3,AJ107&lt;=AsOfDate),AP107,IF(AND(AG107&gt;=2,AI107&lt;=AsOfDate),AO107,AN107)))</f>
        <v/>
      </c>
      <c r="AR107" s="12" t="str">
        <f aca="false">IF(AE107=0,"",IF(AsOfDate&lt;AF107,-1,12*(YEAR(AsOfDate)-YEAR(AF107))+MONTH(AsOfDate)-MONTH(AF107)-IF(DAY(AsOfDate)&lt;MIN(DAY(AF107),DAY(EOMONTH(AsOfDate,0))),1,0)))</f>
        <v/>
      </c>
      <c r="AS107" s="12" t="str">
        <f aca="false">IF(AE107=0,"",IF(OR(AG107&lt;2,AI107&gt;AsOfDate),AR107,IF((AI107-1)&lt;AF107,-1,12*(YEAR((AI107-1))-YEAR(AF107))+MONTH((AI107-1))-MONTH(AF107)-IF(DAY((AI107-1))&lt;MIN(DAY(AF107),DAY(EOMONTH((AI107-1),0))),1,0))))</f>
        <v/>
      </c>
      <c r="AT107" s="12" t="str">
        <f aca="false">IF(AE107=0,"",IF(OR(AG107&lt;3,AJ107&gt;AsOfDate),AR107,IF((AJ107-1)&lt;AF107,-1,12*(YEAR((AJ107-1))-YEAR(AF107))+MONTH((AJ107-1))-MONTH(AF107)-IF(DAY((AJ107-1))&lt;MIN(DAY(AF107),DAY(EOMONTH((AJ107-1),0))),1,0))))</f>
        <v/>
      </c>
      <c r="AU107" s="12" t="str">
        <f aca="false">IF(AE107=0,"",IF(PFYDate&lt;AF107,-1,12*(YEAR(PFYDate)-YEAR(AF107))+MONTH(PFYDate)-MONTH(AF107)-IF(DAY(PFYDate)&lt;MIN(DAY(AF107),DAY(EOMONTH(PFYDate,0))),1,0)))</f>
        <v/>
      </c>
      <c r="AV107" s="12" t="str">
        <f aca="false">IF(AE107=0,"",IF(OR(AG107&lt;2,AI107&gt;PFYDate),AU107,IF((AI107-1)&lt;AF107,-1,12*(YEAR((AI107-1))-YEAR(AF107))+MONTH((AI107-1))-MONTH(AF107)-IF(DAY((AI107-1))&lt;MIN(DAY(AF107),DAY(EOMONTH((AI107-1),0))),1,0))))</f>
        <v/>
      </c>
      <c r="AW107" s="12" t="str">
        <f aca="false">IF(AE107=0,"",IF(OR(AG107&lt;3,AJ107&gt;PFYDate),AU107,IF((AJ107-1)&lt;AF107,-1,12*(YEAR((AJ107-1))-YEAR(AF107))+MONTH((AJ107-1))-MONTH(AF107)-IF(DAY((AJ107-1))&lt;MIN(DAY(AF107),DAY(EOMONTH((AJ107-1),0))),1,0))))</f>
        <v/>
      </c>
      <c r="AX107" s="12" t="str">
        <f aca="false">IF(AE107=0,"",IF(AN107="FT",IF(AS107&lt;FT_First,0,IF(AS107&lt;FT_Y5,1+INT((AS107-FT_First)/FT_Int1),FT_PreY5+FT_PerYear*INT((AS107-FT_Y5)/12)+FT_AnnivDays+INT(MOD(AS107-FT_Y5,12)/FT_Int2))),IF(AN107="PT",IF(AS107&lt;PT_First,0,1+INT((AS107-PT_First)/PT_Int)),0))+IF(AND(AG107&gt;=2,AI107&lt;=AsOfDate),IF(AO107="FT",IF(AT107&lt;FT_First,0,IF(AT107&lt;FT_Y5,1+INT((AT107-FT_First)/FT_Int1),FT_PreY5+FT_PerYear*INT((AT107-FT_Y5)/12)+FT_AnnivDays+INT(MOD(AT107-FT_Y5,12)/FT_Int2))),IF(AO107="PT",IF(AT107&lt;PT_First,0,1+INT((AT107-PT_First)/PT_Int)),0))-IF(AO107="FT",IF(AS107&lt;FT_First,0,IF(AS107&lt;FT_Y5,1+INT((AS107-FT_First)/FT_Int1),FT_PreY5+FT_PerYear*INT((AS107-FT_Y5)/12)+FT_AnnivDays+INT(MOD(AS107-FT_Y5,12)/FT_Int2))),IF(AO107="PT",IF(AS107&lt;PT_First,0,1+INT((AS107-PT_First)/PT_Int)),0)),0)+IF(AND(AG107&gt;=3,AJ107&lt;=AsOfDate),IF(AP107="FT",IF(AR107&lt;FT_First,0,IF(AR107&lt;FT_Y5,1+INT((AR107-FT_First)/FT_Int1),FT_PreY5+FT_PerYear*INT((AR107-FT_Y5)/12)+FT_AnnivDays+INT(MOD(AR107-FT_Y5,12)/FT_Int2))),IF(AP107="PT",IF(AR107&lt;PT_First,0,1+INT((AR107-PT_First)/PT_Int)),0))-IF(AP107="FT",IF(AT107&lt;FT_First,0,IF(AT107&lt;FT_Y5,1+INT((AT107-FT_First)/FT_Int1),FT_PreY5+FT_PerYear*INT((AT107-FT_Y5)/12)+FT_AnnivDays+INT(MOD(AT107-FT_Y5,12)/FT_Int2))),IF(AP107="PT",IF(AT107&lt;PT_First,0,1+INT((AT107-PT_First)/PT_Int)),0)),0))</f>
        <v/>
      </c>
      <c r="AY107" s="12" t="str">
        <f aca="false">IF(AE107=0,"",IF(AN107="FT",IF(AV107&lt;FT_First,0,IF(AV107&lt;FT_Y5,1+INT((AV107-FT_First)/FT_Int1),FT_PreY5+FT_PerYear*INT((AV107-FT_Y5)/12)+FT_AnnivDays+INT(MOD(AV107-FT_Y5,12)/FT_Int2))),IF(AN107="PT",IF(AV107&lt;PT_First,0,1+INT((AV107-PT_First)/PT_Int)),0))+IF(AND(AG107&gt;=2,AI107&lt;=PFYDate),IF(AO107="FT",IF(AW107&lt;FT_First,0,IF(AW107&lt;FT_Y5,1+INT((AW107-FT_First)/FT_Int1),FT_PreY5+FT_PerYear*INT((AW107-FT_Y5)/12)+FT_AnnivDays+INT(MOD(AW107-FT_Y5,12)/FT_Int2))),IF(AO107="PT",IF(AW107&lt;PT_First,0,1+INT((AW107-PT_First)/PT_Int)),0))-IF(AO107="FT",IF(AV107&lt;FT_First,0,IF(AV107&lt;FT_Y5,1+INT((AV107-FT_First)/FT_Int1),FT_PreY5+FT_PerYear*INT((AV107-FT_Y5)/12)+FT_AnnivDays+INT(MOD(AV107-FT_Y5,12)/FT_Int2))),IF(AO107="PT",IF(AV107&lt;PT_First,0,1+INT((AV107-PT_First)/PT_Int)),0)),0)+IF(AND(AG107&gt;=3,AJ107&lt;=PFYDate),IF(AP107="FT",IF(AU107&lt;FT_First,0,IF(AU107&lt;FT_Y5,1+INT((AU107-FT_First)/FT_Int1),FT_PreY5+FT_PerYear*INT((AU107-FT_Y5)/12)+FT_AnnivDays+INT(MOD(AU107-FT_Y5,12)/FT_Int2))),IF(AP107="PT",IF(AU107&lt;PT_First,0,1+INT((AU107-PT_First)/PT_Int)),0))-IF(AP107="FT",IF(AW107&lt;FT_First,0,IF(AW107&lt;FT_Y5,1+INT((AW107-FT_First)/FT_Int1),FT_PreY5+FT_PerYear*INT((AW107-FT_Y5)/12)+FT_AnnivDays+INT(MOD(AW107-FT_Y5,12)/FT_Int2))),IF(AP107="PT",IF(AW107&lt;PT_First,0,1+INT((AW107-PT_First)/PT_Int)),0)),0))</f>
        <v/>
      </c>
      <c r="AZ107" s="12" t="str">
        <f aca="false">IF(AE107=0,"",IF(AQ107="FT",IF(AR107&lt;FT_First,FT_First,IF(AR107&lt;FT_Y5,MIN(FT_Y5,FT_First+FT_Int1*(INT((AR107-FT_First)/FT_Int1)+1)),FT_Y5+12*INT((AR107-FT_Y5)/12)+FT_Int2*(INT(MOD(AR107-FT_Y5,12)/FT_Int2)+1))),IF(AQ107="PT",IF(AR107&lt;PT_First,PT_First,PT_First+PT_Int*(INT((AR107-PT_First)/PT_Int)+1)),"")))</f>
        <v/>
      </c>
      <c r="BA107" s="12" t="str">
        <f aca="false">IF(AE107=0,"",IF(NOT(LH_Ready),0,COUNTIFS(INDEX(LH_Data,0,LH_ColFirst),$A107,INDEX(LH_Data,0,LH_ColSur),$B107,INDEX(LH_Data,0,LH_ColCat),BonusCat)))</f>
        <v/>
      </c>
      <c r="BB107" s="12" t="str">
        <f aca="false">IF(AE107=0,"",IF(OR(NOT(LH_Ready),BA107=0),0,SUMPRODUCT(MAX((INDEX(LH_Data,0,LH_ColFirst)=$A107)*(INDEX(LH_Data,0,LH_ColSur)=$B107)*(INDEX(LH_Data,0,LH_ColCat)=BonusCat)*ROW(LH_Data)))))</f>
        <v/>
      </c>
    </row>
    <row r="108" customFormat="false" ht="15" hidden="false" customHeight="false" outlineLevel="0" collapsed="false">
      <c r="A108" s="15"/>
      <c r="B108" s="15"/>
      <c r="C108" s="15"/>
      <c r="D108" s="16"/>
      <c r="E108" s="10" t="str">
        <f aca="false">IF(OR(AE108=0,$D108=""),"",DATE(YEAR(AsOfDate)+IF(DATE(YEAR(AsOfDate),MONTH($D108),DAY($D108))&lt;=AsOfDate,1,0),MONTH($D108),DAY($D108)))</f>
        <v/>
      </c>
      <c r="F108" s="16"/>
      <c r="G108" s="16"/>
      <c r="H108" s="16"/>
      <c r="I108" s="16"/>
      <c r="J108" s="16"/>
      <c r="K108" s="10" t="str">
        <f aca="false">IF(AE108=0,"",DATE(YEAR(AsOfDate)+IF(DATE(YEAR(AsOfDate),MONTH($F108),DAY($F108))&lt;=AsOfDate,1,0),MONTH($F108),DAY($F108)))</f>
        <v/>
      </c>
      <c r="L108" s="11" t="str">
        <f aca="false">IF(AE108=0,"",ROUND((AsOfDate-$F108)/365.25,1))</f>
        <v/>
      </c>
      <c r="M108" s="12" t="str">
        <f aca="false">IF(AE108=0,"",IF(AsOfDate&lt;AF108,"-",DATEDIF(AF108,AsOfDate,"y")&amp;"y "&amp;DATEDIF(AF108,AsOfDate,"ym")&amp;"m "&amp;DATEDIF(AF108,AsOfDate,"md")&amp;"d"))</f>
        <v/>
      </c>
      <c r="N108" s="13" t="str">
        <f aca="false">IF(AE108=0,"",O108*HoursPerDay)</f>
        <v/>
      </c>
      <c r="O108" s="13" t="str">
        <f aca="false">IF(AE108=0,"",AX108)</f>
        <v/>
      </c>
      <c r="P108" s="17"/>
      <c r="Q108" s="12" t="str">
        <f aca="false">IF(AE108=0,"",IF(AG108&lt;2,"",AK108&amp;" to "&amp;AL108&amp;" on "&amp;TEXT(AI108,"dd/mm/yyyy")&amp;IF(AI108&gt;AsOfDate," (future)",IF(AN108=AO108,"",IF(AO108="None"," - STOPPED accruing",IF(AN108="None"," - now qualifying"," - pathway changed"))))&amp;IF(AG108&lt;3,"","; "&amp;AL108&amp;" to "&amp;AM108&amp;" on "&amp;TEXT(AJ108,"dd/mm/yyyy")&amp;IF(AJ108&gt;AsOfDate," (future)",IF(AO108=AP108,"",IF(AP108="None"," - STOPPED accruing",IF(AO108="None"," - now qualifying"," - pathway changed")))))))</f>
        <v/>
      </c>
      <c r="R108" s="12" t="str">
        <f aca="false">IF(AE108=0,"",IF(AQ108="None",IF(O108&gt;0,"No longer accruing","Not eligible - "&amp;IF(AND(OR(ISNUMBER(SEARCH("part",$C108)),UPPER(TRIM($C108))="PT",UPPER(TRIM($C108))="PTE"),$P108&lt;&gt;"",N($P108)&lt;PT_MinHours),"under "&amp;PT_MinHours&amp;" hrs",IF(IF($C108="","",IF(OR(ISNUMBER(SEARCH("full",$C108)),UPPER(TRIM($C108))="FT",UPPER(TRIM($C108))="FTE"),"Full-Time",IF(OR(ISNUMBER(SEARCH("part",$C108)),UPPER(TRIM($C108))="PT",UPPER(TRIM($C108))="PTE"),"Part-Time",IF(OR(ISNUMBER(SEARCH("cas",$C108)),UPPER(TRIM($C108))="CAS"),"Casual","Unknown"))))="Unknown","type not recognised",$C108))),IF(O108&gt;0,"Yes - accruing","Not yet - from "&amp;TEXT(S108,"dd/mm/yyyy"))))</f>
        <v/>
      </c>
      <c r="S108" s="10" t="str">
        <f aca="false">IF(AE108=0,"",IF(AQ108="None","",EDATE(AF108,AZ108)))</f>
        <v/>
      </c>
      <c r="T108" s="13" t="str">
        <f aca="false">IF(OR(AE108=0,W108=""),"",W108-U108+V108)</f>
        <v/>
      </c>
      <c r="U108" s="13" t="str">
        <f aca="false">IF(AE108=0,"",IF(NOT(LH_Ready),"",SUMIFS(INDEX(LH_Data,0,LH_ColAcc),INDEX(LH_Data,0,LH_ColFirst),$A108,INDEX(LH_Data,0,LH_ColSur),$B108,INDEX(LH_Data,0,LH_ColCat),BonusCat)*UnitFactor))</f>
        <v/>
      </c>
      <c r="V108" s="13" t="str">
        <f aca="false">IF(AE108=0,"",IF(NOT(LH_Ready),"",SUMIFS(INDEX(LH_Data,0,LH_ColTaken),INDEX(LH_Data,0,LH_ColFirst),$A108,INDEX(LH_Data,0,LH_ColSur),$B108,INDEX(LH_Data,0,LH_ColCat),BonusCat)*UnitFactor))</f>
        <v/>
      </c>
      <c r="W108" s="13" t="str">
        <f aca="false">IF(AE108=0,"",IF(NOT(LH_Ready),"",IF(BB108=0,0,INDEX(INDEX(LH_Data,0,LH_ColClose),BB108-1)*UnitFactor)))</f>
        <v/>
      </c>
      <c r="X108" s="13" t="str">
        <f aca="false">IF(AE108=0,"",(AX108-AY108)*HoursPerDay)</f>
        <v/>
      </c>
      <c r="Y108" s="13" t="str">
        <f aca="false">IF(AE108=0,"",IF(NOT(LH_Ready),"",IF(BA108=0,N108,X108-N(U108))))</f>
        <v/>
      </c>
      <c r="Z108" s="12" t="str">
        <f aca="false">IF(OR(AE108=0,Y108=""),"",IF(Y108&gt;0,"Yes","No"))</f>
        <v/>
      </c>
      <c r="AA108" s="12" t="str">
        <f aca="false">IF(AE108=0,IF(LEN($A108&amp;$B108)=0,"","FIX INPUT - StartDate missing"),IF(AD108&lt;&gt;"","FIX INPUT - "&amp;AD108,IF(NOT(LH_Ready),"Paste Leave History export (Settings must show YES)",IF(Y108&gt;0,"ACCRUE "&amp;ROUND(Y108,2)&amp;" hrs ("&amp;ROUND(Y108/HoursPerDay,2)&amp;" days)"&amp;IF(BA108=0," - no Bonus Leave in EH yet, full catch-up since start",""),IF(Y108&lt;0,"CHECK - EH accrued "&amp;ROUND(-Y108,2)&amp;""&amp;" hrs more than policy",IF(O108&gt;0,"OK - nothing to add",IF(AQ108="None",R108,"Not yet - first day on "&amp;TEXT(S108,"dd/mm/yyyy"))))))))</f>
        <v/>
      </c>
      <c r="AB108" s="13" t="str">
        <f aca="false">IF(OR(AE108=0,T108=""),"",AY108*HoursPerDay-T108)</f>
        <v/>
      </c>
      <c r="AC108" s="12" t="str">
        <f aca="false">IF(AE108=0,"",BA108)</f>
        <v/>
      </c>
      <c r="AD108" s="12" t="str">
        <f aca="false">IF(AE108=0,"",TRIM(IF(IF($C108="","",IF(OR(ISNUMBER(SEARCH("full",$C108)),UPPER(TRIM($C108))="FT",UPPER(TRIM($C108))="FTE"),"Full-Time",IF(OR(ISNUMBER(SEARCH("part",$C108)),UPPER(TRIM($C108))="PT",UPPER(TRIM($C108))="PTE"),"Part-Time",IF(OR(ISNUMBER(SEARCH("cas",$C108)),UPPER(TRIM($C108))="CAS"),"Casual","Unknown"))))="Unknown","EmploymentType not recognised - use Full-Time, Part-Time or Casual. ","")&amp;IF(AND(AG108&gt;=1,IF(AG108&gt;=3,AM108,IF(AG108=2,AL108,AK108))&lt;&gt;IF($C108="","",IF(OR(ISNUMBER(SEARCH("full",$C108)),UPPER(TRIM($C108))="FT",UPPER(TRIM($C108))="FTE"),"Full-Time",IF(OR(ISNUMBER(SEARCH("part",$C108)),UPPER(TRIM($C108))="PT",UPPER(TRIM($C108))="PTE"),"Part-Time",IF(OR(ISNUMBER(SEARCH("cas",$C108)),UPPER(TRIM($C108))="CAS"),"Casual","Unknown"))))),"EmploymentType does not match latest start date ("&amp;IF(AG108&gt;=3,AM108,IF(AG108=2,AL108,AK108))&amp;"). ","")&amp;IF(AND(AG108&gt;=1,AH108&lt;&gt;$F108),"Earliest type date should equal StartDate. ","")&amp;IF(AND(AG108&gt;=2,AH108=AI108),"Two types start on the same date. ","")&amp;IF(AND(OR(ISNUMBER(SEARCH("part",$C108)),UPPER(TRIM($C108))="PT",UPPER(TRIM($C108))="PTE"),$P108=""),"Part-time: enter PT Hrs/Week (blank = 24+). ","")))</f>
        <v/>
      </c>
      <c r="AE108" s="12" t="n">
        <f aca="false">IF(OR(LEN($A108&amp;$B108)=0,$F108=""),0,1)</f>
        <v>0</v>
      </c>
      <c r="AF108" s="10" t="str">
        <f aca="false">IF(AE108=0,"",IF($J108&lt;&gt;"",$J108,$F108))</f>
        <v/>
      </c>
      <c r="AG108" s="12" t="str">
        <f aca="false">IF(AE108=0,"",COUNT($G108:$I108))</f>
        <v/>
      </c>
      <c r="AH108" s="10" t="str">
        <f aca="false">IF(AE108=0,"",IFERROR(SMALL($G108:$I108,1),""))</f>
        <v/>
      </c>
      <c r="AI108" s="10" t="str">
        <f aca="false">IF(AE108=0,"",IFERROR(SMALL($G108:$I108,2),""))</f>
        <v/>
      </c>
      <c r="AJ108" s="10" t="str">
        <f aca="false">IF(AE108=0,"",IFERROR(SMALL($G108:$I108,3),""))</f>
        <v/>
      </c>
      <c r="AK108" s="12" t="str">
        <f aca="false">IF(AE108=0,"",IF(AH108="","",IF(AH108=$G108,"Part-Time",IF(AH108=$H108,"Full-Time","Casual"))))</f>
        <v/>
      </c>
      <c r="AL108" s="12" t="str">
        <f aca="false">IF(AE108=0,"",IF(AI108="","",IF(AI108=$G108,"Part-Time",IF(AI108=$H108,"Full-Time","Casual"))))</f>
        <v/>
      </c>
      <c r="AM108" s="12" t="str">
        <f aca="false">IF(AE108=0,"",IF(AJ108="","",IF(AJ108=$G108,"Part-Time",IF(AJ108=$H108,"Full-Time","Casual"))))</f>
        <v/>
      </c>
      <c r="AN108" s="12" t="str">
        <f aca="false">IF(AE108=0,"",IF(AG108=0,IF(OR(ISNUMBER(SEARCH("full",$C108)),UPPER(TRIM($C108))="FT",UPPER(TRIM($C108))="FTE"),"FT",IF(AND(OR(ISNUMBER(SEARCH("part",$C108)),UPPER(TRIM($C108))="PT",UPPER(TRIM($C108))="PTE"),OR($P108="",N($P108)&gt;=PT_MinHours)),"PT","None")),IF(OR(ISNUMBER(SEARCH("full",AK108)),UPPER(TRIM(AK108))="FT",UPPER(TRIM(AK108))="FTE"),"FT",IF(AND(OR(ISNUMBER(SEARCH("part",AK108)),UPPER(TRIM(AK108))="PT",UPPER(TRIM(AK108))="PTE"),OR($P108="",N($P108)&gt;=PT_MinHours)),"PT","None"))))</f>
        <v/>
      </c>
      <c r="AO108" s="12" t="str">
        <f aca="false">IF(AE108=0,"",IF(AG108&lt;2,"",IF(OR(ISNUMBER(SEARCH("full",AL108)),UPPER(TRIM(AL108))="FT",UPPER(TRIM(AL108))="FTE"),"FT",IF(AND(OR(ISNUMBER(SEARCH("part",AL108)),UPPER(TRIM(AL108))="PT",UPPER(TRIM(AL108))="PTE"),OR($P108="",N($P108)&gt;=PT_MinHours)),"PT","None"))))</f>
        <v/>
      </c>
      <c r="AP108" s="12" t="str">
        <f aca="false">IF(AE108=0,"",IF(AG108&lt;3,"",IF(OR(ISNUMBER(SEARCH("full",AM108)),UPPER(TRIM(AM108))="FT",UPPER(TRIM(AM108))="FTE"),"FT",IF(AND(OR(ISNUMBER(SEARCH("part",AM108)),UPPER(TRIM(AM108))="PT",UPPER(TRIM(AM108))="PTE"),OR($P108="",N($P108)&gt;=PT_MinHours)),"PT","None"))))</f>
        <v/>
      </c>
      <c r="AQ108" s="12" t="str">
        <f aca="false">IF(AE108=0,"",IF(AND(AG108&gt;=3,AJ108&lt;=AsOfDate),AP108,IF(AND(AG108&gt;=2,AI108&lt;=AsOfDate),AO108,AN108)))</f>
        <v/>
      </c>
      <c r="AR108" s="12" t="str">
        <f aca="false">IF(AE108=0,"",IF(AsOfDate&lt;AF108,-1,12*(YEAR(AsOfDate)-YEAR(AF108))+MONTH(AsOfDate)-MONTH(AF108)-IF(DAY(AsOfDate)&lt;MIN(DAY(AF108),DAY(EOMONTH(AsOfDate,0))),1,0)))</f>
        <v/>
      </c>
      <c r="AS108" s="12" t="str">
        <f aca="false">IF(AE108=0,"",IF(OR(AG108&lt;2,AI108&gt;AsOfDate),AR108,IF((AI108-1)&lt;AF108,-1,12*(YEAR((AI108-1))-YEAR(AF108))+MONTH((AI108-1))-MONTH(AF108)-IF(DAY((AI108-1))&lt;MIN(DAY(AF108),DAY(EOMONTH((AI108-1),0))),1,0))))</f>
        <v/>
      </c>
      <c r="AT108" s="12" t="str">
        <f aca="false">IF(AE108=0,"",IF(OR(AG108&lt;3,AJ108&gt;AsOfDate),AR108,IF((AJ108-1)&lt;AF108,-1,12*(YEAR((AJ108-1))-YEAR(AF108))+MONTH((AJ108-1))-MONTH(AF108)-IF(DAY((AJ108-1))&lt;MIN(DAY(AF108),DAY(EOMONTH((AJ108-1),0))),1,0))))</f>
        <v/>
      </c>
      <c r="AU108" s="12" t="str">
        <f aca="false">IF(AE108=0,"",IF(PFYDate&lt;AF108,-1,12*(YEAR(PFYDate)-YEAR(AF108))+MONTH(PFYDate)-MONTH(AF108)-IF(DAY(PFYDate)&lt;MIN(DAY(AF108),DAY(EOMONTH(PFYDate,0))),1,0)))</f>
        <v/>
      </c>
      <c r="AV108" s="12" t="str">
        <f aca="false">IF(AE108=0,"",IF(OR(AG108&lt;2,AI108&gt;PFYDate),AU108,IF((AI108-1)&lt;AF108,-1,12*(YEAR((AI108-1))-YEAR(AF108))+MONTH((AI108-1))-MONTH(AF108)-IF(DAY((AI108-1))&lt;MIN(DAY(AF108),DAY(EOMONTH((AI108-1),0))),1,0))))</f>
        <v/>
      </c>
      <c r="AW108" s="12" t="str">
        <f aca="false">IF(AE108=0,"",IF(OR(AG108&lt;3,AJ108&gt;PFYDate),AU108,IF((AJ108-1)&lt;AF108,-1,12*(YEAR((AJ108-1))-YEAR(AF108))+MONTH((AJ108-1))-MONTH(AF108)-IF(DAY((AJ108-1))&lt;MIN(DAY(AF108),DAY(EOMONTH((AJ108-1),0))),1,0))))</f>
        <v/>
      </c>
      <c r="AX108" s="12" t="str">
        <f aca="false">IF(AE108=0,"",IF(AN108="FT",IF(AS108&lt;FT_First,0,IF(AS108&lt;FT_Y5,1+INT((AS108-FT_First)/FT_Int1),FT_PreY5+FT_PerYear*INT((AS108-FT_Y5)/12)+FT_AnnivDays+INT(MOD(AS108-FT_Y5,12)/FT_Int2))),IF(AN108="PT",IF(AS108&lt;PT_First,0,1+INT((AS108-PT_First)/PT_Int)),0))+IF(AND(AG108&gt;=2,AI108&lt;=AsOfDate),IF(AO108="FT",IF(AT108&lt;FT_First,0,IF(AT108&lt;FT_Y5,1+INT((AT108-FT_First)/FT_Int1),FT_PreY5+FT_PerYear*INT((AT108-FT_Y5)/12)+FT_AnnivDays+INT(MOD(AT108-FT_Y5,12)/FT_Int2))),IF(AO108="PT",IF(AT108&lt;PT_First,0,1+INT((AT108-PT_First)/PT_Int)),0))-IF(AO108="FT",IF(AS108&lt;FT_First,0,IF(AS108&lt;FT_Y5,1+INT((AS108-FT_First)/FT_Int1),FT_PreY5+FT_PerYear*INT((AS108-FT_Y5)/12)+FT_AnnivDays+INT(MOD(AS108-FT_Y5,12)/FT_Int2))),IF(AO108="PT",IF(AS108&lt;PT_First,0,1+INT((AS108-PT_First)/PT_Int)),0)),0)+IF(AND(AG108&gt;=3,AJ108&lt;=AsOfDate),IF(AP108="FT",IF(AR108&lt;FT_First,0,IF(AR108&lt;FT_Y5,1+INT((AR108-FT_First)/FT_Int1),FT_PreY5+FT_PerYear*INT((AR108-FT_Y5)/12)+FT_AnnivDays+INT(MOD(AR108-FT_Y5,12)/FT_Int2))),IF(AP108="PT",IF(AR108&lt;PT_First,0,1+INT((AR108-PT_First)/PT_Int)),0))-IF(AP108="FT",IF(AT108&lt;FT_First,0,IF(AT108&lt;FT_Y5,1+INT((AT108-FT_First)/FT_Int1),FT_PreY5+FT_PerYear*INT((AT108-FT_Y5)/12)+FT_AnnivDays+INT(MOD(AT108-FT_Y5,12)/FT_Int2))),IF(AP108="PT",IF(AT108&lt;PT_First,0,1+INT((AT108-PT_First)/PT_Int)),0)),0))</f>
        <v/>
      </c>
      <c r="AY108" s="12" t="str">
        <f aca="false">IF(AE108=0,"",IF(AN108="FT",IF(AV108&lt;FT_First,0,IF(AV108&lt;FT_Y5,1+INT((AV108-FT_First)/FT_Int1),FT_PreY5+FT_PerYear*INT((AV108-FT_Y5)/12)+FT_AnnivDays+INT(MOD(AV108-FT_Y5,12)/FT_Int2))),IF(AN108="PT",IF(AV108&lt;PT_First,0,1+INT((AV108-PT_First)/PT_Int)),0))+IF(AND(AG108&gt;=2,AI108&lt;=PFYDate),IF(AO108="FT",IF(AW108&lt;FT_First,0,IF(AW108&lt;FT_Y5,1+INT((AW108-FT_First)/FT_Int1),FT_PreY5+FT_PerYear*INT((AW108-FT_Y5)/12)+FT_AnnivDays+INT(MOD(AW108-FT_Y5,12)/FT_Int2))),IF(AO108="PT",IF(AW108&lt;PT_First,0,1+INT((AW108-PT_First)/PT_Int)),0))-IF(AO108="FT",IF(AV108&lt;FT_First,0,IF(AV108&lt;FT_Y5,1+INT((AV108-FT_First)/FT_Int1),FT_PreY5+FT_PerYear*INT((AV108-FT_Y5)/12)+FT_AnnivDays+INT(MOD(AV108-FT_Y5,12)/FT_Int2))),IF(AO108="PT",IF(AV108&lt;PT_First,0,1+INT((AV108-PT_First)/PT_Int)),0)),0)+IF(AND(AG108&gt;=3,AJ108&lt;=PFYDate),IF(AP108="FT",IF(AU108&lt;FT_First,0,IF(AU108&lt;FT_Y5,1+INT((AU108-FT_First)/FT_Int1),FT_PreY5+FT_PerYear*INT((AU108-FT_Y5)/12)+FT_AnnivDays+INT(MOD(AU108-FT_Y5,12)/FT_Int2))),IF(AP108="PT",IF(AU108&lt;PT_First,0,1+INT((AU108-PT_First)/PT_Int)),0))-IF(AP108="FT",IF(AW108&lt;FT_First,0,IF(AW108&lt;FT_Y5,1+INT((AW108-FT_First)/FT_Int1),FT_PreY5+FT_PerYear*INT((AW108-FT_Y5)/12)+FT_AnnivDays+INT(MOD(AW108-FT_Y5,12)/FT_Int2))),IF(AP108="PT",IF(AW108&lt;PT_First,0,1+INT((AW108-PT_First)/PT_Int)),0)),0))</f>
        <v/>
      </c>
      <c r="AZ108" s="12" t="str">
        <f aca="false">IF(AE108=0,"",IF(AQ108="FT",IF(AR108&lt;FT_First,FT_First,IF(AR108&lt;FT_Y5,MIN(FT_Y5,FT_First+FT_Int1*(INT((AR108-FT_First)/FT_Int1)+1)),FT_Y5+12*INT((AR108-FT_Y5)/12)+FT_Int2*(INT(MOD(AR108-FT_Y5,12)/FT_Int2)+1))),IF(AQ108="PT",IF(AR108&lt;PT_First,PT_First,PT_First+PT_Int*(INT((AR108-PT_First)/PT_Int)+1)),"")))</f>
        <v/>
      </c>
      <c r="BA108" s="12" t="str">
        <f aca="false">IF(AE108=0,"",IF(NOT(LH_Ready),0,COUNTIFS(INDEX(LH_Data,0,LH_ColFirst),$A108,INDEX(LH_Data,0,LH_ColSur),$B108,INDEX(LH_Data,0,LH_ColCat),BonusCat)))</f>
        <v/>
      </c>
      <c r="BB108" s="12" t="str">
        <f aca="false">IF(AE108=0,"",IF(OR(NOT(LH_Ready),BA108=0),0,SUMPRODUCT(MAX((INDEX(LH_Data,0,LH_ColFirst)=$A108)*(INDEX(LH_Data,0,LH_ColSur)=$B108)*(INDEX(LH_Data,0,LH_ColCat)=BonusCat)*ROW(LH_Data)))))</f>
        <v/>
      </c>
    </row>
    <row r="109" customFormat="false" ht="15" hidden="false" customHeight="false" outlineLevel="0" collapsed="false">
      <c r="A109" s="15"/>
      <c r="B109" s="15"/>
      <c r="C109" s="15"/>
      <c r="D109" s="16"/>
      <c r="E109" s="10" t="str">
        <f aca="false">IF(OR(AE109=0,$D109=""),"",DATE(YEAR(AsOfDate)+IF(DATE(YEAR(AsOfDate),MONTH($D109),DAY($D109))&lt;=AsOfDate,1,0),MONTH($D109),DAY($D109)))</f>
        <v/>
      </c>
      <c r="F109" s="16"/>
      <c r="G109" s="16"/>
      <c r="H109" s="16"/>
      <c r="I109" s="16"/>
      <c r="J109" s="16"/>
      <c r="K109" s="10" t="str">
        <f aca="false">IF(AE109=0,"",DATE(YEAR(AsOfDate)+IF(DATE(YEAR(AsOfDate),MONTH($F109),DAY($F109))&lt;=AsOfDate,1,0),MONTH($F109),DAY($F109)))</f>
        <v/>
      </c>
      <c r="L109" s="11" t="str">
        <f aca="false">IF(AE109=0,"",ROUND((AsOfDate-$F109)/365.25,1))</f>
        <v/>
      </c>
      <c r="M109" s="12" t="str">
        <f aca="false">IF(AE109=0,"",IF(AsOfDate&lt;AF109,"-",DATEDIF(AF109,AsOfDate,"y")&amp;"y "&amp;DATEDIF(AF109,AsOfDate,"ym")&amp;"m "&amp;DATEDIF(AF109,AsOfDate,"md")&amp;"d"))</f>
        <v/>
      </c>
      <c r="N109" s="13" t="str">
        <f aca="false">IF(AE109=0,"",O109*HoursPerDay)</f>
        <v/>
      </c>
      <c r="O109" s="13" t="str">
        <f aca="false">IF(AE109=0,"",AX109)</f>
        <v/>
      </c>
      <c r="P109" s="17"/>
      <c r="Q109" s="12" t="str">
        <f aca="false">IF(AE109=0,"",IF(AG109&lt;2,"",AK109&amp;" to "&amp;AL109&amp;" on "&amp;TEXT(AI109,"dd/mm/yyyy")&amp;IF(AI109&gt;AsOfDate," (future)",IF(AN109=AO109,"",IF(AO109="None"," - STOPPED accruing",IF(AN109="None"," - now qualifying"," - pathway changed"))))&amp;IF(AG109&lt;3,"","; "&amp;AL109&amp;" to "&amp;AM109&amp;" on "&amp;TEXT(AJ109,"dd/mm/yyyy")&amp;IF(AJ109&gt;AsOfDate," (future)",IF(AO109=AP109,"",IF(AP109="None"," - STOPPED accruing",IF(AO109="None"," - now qualifying"," - pathway changed")))))))</f>
        <v/>
      </c>
      <c r="R109" s="12" t="str">
        <f aca="false">IF(AE109=0,"",IF(AQ109="None",IF(O109&gt;0,"No longer accruing","Not eligible - "&amp;IF(AND(OR(ISNUMBER(SEARCH("part",$C109)),UPPER(TRIM($C109))="PT",UPPER(TRIM($C109))="PTE"),$P109&lt;&gt;"",N($P109)&lt;PT_MinHours),"under "&amp;PT_MinHours&amp;" hrs",IF(IF($C109="","",IF(OR(ISNUMBER(SEARCH("full",$C109)),UPPER(TRIM($C109))="FT",UPPER(TRIM($C109))="FTE"),"Full-Time",IF(OR(ISNUMBER(SEARCH("part",$C109)),UPPER(TRIM($C109))="PT",UPPER(TRIM($C109))="PTE"),"Part-Time",IF(OR(ISNUMBER(SEARCH("cas",$C109)),UPPER(TRIM($C109))="CAS"),"Casual","Unknown"))))="Unknown","type not recognised",$C109))),IF(O109&gt;0,"Yes - accruing","Not yet - from "&amp;TEXT(S109,"dd/mm/yyyy"))))</f>
        <v/>
      </c>
      <c r="S109" s="10" t="str">
        <f aca="false">IF(AE109=0,"",IF(AQ109="None","",EDATE(AF109,AZ109)))</f>
        <v/>
      </c>
      <c r="T109" s="13" t="str">
        <f aca="false">IF(OR(AE109=0,W109=""),"",W109-U109+V109)</f>
        <v/>
      </c>
      <c r="U109" s="13" t="str">
        <f aca="false">IF(AE109=0,"",IF(NOT(LH_Ready),"",SUMIFS(INDEX(LH_Data,0,LH_ColAcc),INDEX(LH_Data,0,LH_ColFirst),$A109,INDEX(LH_Data,0,LH_ColSur),$B109,INDEX(LH_Data,0,LH_ColCat),BonusCat)*UnitFactor))</f>
        <v/>
      </c>
      <c r="V109" s="13" t="str">
        <f aca="false">IF(AE109=0,"",IF(NOT(LH_Ready),"",SUMIFS(INDEX(LH_Data,0,LH_ColTaken),INDEX(LH_Data,0,LH_ColFirst),$A109,INDEX(LH_Data,0,LH_ColSur),$B109,INDEX(LH_Data,0,LH_ColCat),BonusCat)*UnitFactor))</f>
        <v/>
      </c>
      <c r="W109" s="13" t="str">
        <f aca="false">IF(AE109=0,"",IF(NOT(LH_Ready),"",IF(BB109=0,0,INDEX(INDEX(LH_Data,0,LH_ColClose),BB109-1)*UnitFactor)))</f>
        <v/>
      </c>
      <c r="X109" s="13" t="str">
        <f aca="false">IF(AE109=0,"",(AX109-AY109)*HoursPerDay)</f>
        <v/>
      </c>
      <c r="Y109" s="13" t="str">
        <f aca="false">IF(AE109=0,"",IF(NOT(LH_Ready),"",IF(BA109=0,N109,X109-N(U109))))</f>
        <v/>
      </c>
      <c r="Z109" s="12" t="str">
        <f aca="false">IF(OR(AE109=0,Y109=""),"",IF(Y109&gt;0,"Yes","No"))</f>
        <v/>
      </c>
      <c r="AA109" s="12" t="str">
        <f aca="false">IF(AE109=0,IF(LEN($A109&amp;$B109)=0,"","FIX INPUT - StartDate missing"),IF(AD109&lt;&gt;"","FIX INPUT - "&amp;AD109,IF(NOT(LH_Ready),"Paste Leave History export (Settings must show YES)",IF(Y109&gt;0,"ACCRUE "&amp;ROUND(Y109,2)&amp;" hrs ("&amp;ROUND(Y109/HoursPerDay,2)&amp;" days)"&amp;IF(BA109=0," - no Bonus Leave in EH yet, full catch-up since start",""),IF(Y109&lt;0,"CHECK - EH accrued "&amp;ROUND(-Y109,2)&amp;""&amp;" hrs more than policy",IF(O109&gt;0,"OK - nothing to add",IF(AQ109="None",R109,"Not yet - first day on "&amp;TEXT(S109,"dd/mm/yyyy"))))))))</f>
        <v/>
      </c>
      <c r="AB109" s="13" t="str">
        <f aca="false">IF(OR(AE109=0,T109=""),"",AY109*HoursPerDay-T109)</f>
        <v/>
      </c>
      <c r="AC109" s="12" t="str">
        <f aca="false">IF(AE109=0,"",BA109)</f>
        <v/>
      </c>
      <c r="AD109" s="12" t="str">
        <f aca="false">IF(AE109=0,"",TRIM(IF(IF($C109="","",IF(OR(ISNUMBER(SEARCH("full",$C109)),UPPER(TRIM($C109))="FT",UPPER(TRIM($C109))="FTE"),"Full-Time",IF(OR(ISNUMBER(SEARCH("part",$C109)),UPPER(TRIM($C109))="PT",UPPER(TRIM($C109))="PTE"),"Part-Time",IF(OR(ISNUMBER(SEARCH("cas",$C109)),UPPER(TRIM($C109))="CAS"),"Casual","Unknown"))))="Unknown","EmploymentType not recognised - use Full-Time, Part-Time or Casual. ","")&amp;IF(AND(AG109&gt;=1,IF(AG109&gt;=3,AM109,IF(AG109=2,AL109,AK109))&lt;&gt;IF($C109="","",IF(OR(ISNUMBER(SEARCH("full",$C109)),UPPER(TRIM($C109))="FT",UPPER(TRIM($C109))="FTE"),"Full-Time",IF(OR(ISNUMBER(SEARCH("part",$C109)),UPPER(TRIM($C109))="PT",UPPER(TRIM($C109))="PTE"),"Part-Time",IF(OR(ISNUMBER(SEARCH("cas",$C109)),UPPER(TRIM($C109))="CAS"),"Casual","Unknown"))))),"EmploymentType does not match latest start date ("&amp;IF(AG109&gt;=3,AM109,IF(AG109=2,AL109,AK109))&amp;"). ","")&amp;IF(AND(AG109&gt;=1,AH109&lt;&gt;$F109),"Earliest type date should equal StartDate. ","")&amp;IF(AND(AG109&gt;=2,AH109=AI109),"Two types start on the same date. ","")&amp;IF(AND(OR(ISNUMBER(SEARCH("part",$C109)),UPPER(TRIM($C109))="PT",UPPER(TRIM($C109))="PTE"),$P109=""),"Part-time: enter PT Hrs/Week (blank = 24+). ","")))</f>
        <v/>
      </c>
      <c r="AE109" s="12" t="n">
        <f aca="false">IF(OR(LEN($A109&amp;$B109)=0,$F109=""),0,1)</f>
        <v>0</v>
      </c>
      <c r="AF109" s="10" t="str">
        <f aca="false">IF(AE109=0,"",IF($J109&lt;&gt;"",$J109,$F109))</f>
        <v/>
      </c>
      <c r="AG109" s="12" t="str">
        <f aca="false">IF(AE109=0,"",COUNT($G109:$I109))</f>
        <v/>
      </c>
      <c r="AH109" s="10" t="str">
        <f aca="false">IF(AE109=0,"",IFERROR(SMALL($G109:$I109,1),""))</f>
        <v/>
      </c>
      <c r="AI109" s="10" t="str">
        <f aca="false">IF(AE109=0,"",IFERROR(SMALL($G109:$I109,2),""))</f>
        <v/>
      </c>
      <c r="AJ109" s="10" t="str">
        <f aca="false">IF(AE109=0,"",IFERROR(SMALL($G109:$I109,3),""))</f>
        <v/>
      </c>
      <c r="AK109" s="12" t="str">
        <f aca="false">IF(AE109=0,"",IF(AH109="","",IF(AH109=$G109,"Part-Time",IF(AH109=$H109,"Full-Time","Casual"))))</f>
        <v/>
      </c>
      <c r="AL109" s="12" t="str">
        <f aca="false">IF(AE109=0,"",IF(AI109="","",IF(AI109=$G109,"Part-Time",IF(AI109=$H109,"Full-Time","Casual"))))</f>
        <v/>
      </c>
      <c r="AM109" s="12" t="str">
        <f aca="false">IF(AE109=0,"",IF(AJ109="","",IF(AJ109=$G109,"Part-Time",IF(AJ109=$H109,"Full-Time","Casual"))))</f>
        <v/>
      </c>
      <c r="AN109" s="12" t="str">
        <f aca="false">IF(AE109=0,"",IF(AG109=0,IF(OR(ISNUMBER(SEARCH("full",$C109)),UPPER(TRIM($C109))="FT",UPPER(TRIM($C109))="FTE"),"FT",IF(AND(OR(ISNUMBER(SEARCH("part",$C109)),UPPER(TRIM($C109))="PT",UPPER(TRIM($C109))="PTE"),OR($P109="",N($P109)&gt;=PT_MinHours)),"PT","None")),IF(OR(ISNUMBER(SEARCH("full",AK109)),UPPER(TRIM(AK109))="FT",UPPER(TRIM(AK109))="FTE"),"FT",IF(AND(OR(ISNUMBER(SEARCH("part",AK109)),UPPER(TRIM(AK109))="PT",UPPER(TRIM(AK109))="PTE"),OR($P109="",N($P109)&gt;=PT_MinHours)),"PT","None"))))</f>
        <v/>
      </c>
      <c r="AO109" s="12" t="str">
        <f aca="false">IF(AE109=0,"",IF(AG109&lt;2,"",IF(OR(ISNUMBER(SEARCH("full",AL109)),UPPER(TRIM(AL109))="FT",UPPER(TRIM(AL109))="FTE"),"FT",IF(AND(OR(ISNUMBER(SEARCH("part",AL109)),UPPER(TRIM(AL109))="PT",UPPER(TRIM(AL109))="PTE"),OR($P109="",N($P109)&gt;=PT_MinHours)),"PT","None"))))</f>
        <v/>
      </c>
      <c r="AP109" s="12" t="str">
        <f aca="false">IF(AE109=0,"",IF(AG109&lt;3,"",IF(OR(ISNUMBER(SEARCH("full",AM109)),UPPER(TRIM(AM109))="FT",UPPER(TRIM(AM109))="FTE"),"FT",IF(AND(OR(ISNUMBER(SEARCH("part",AM109)),UPPER(TRIM(AM109))="PT",UPPER(TRIM(AM109))="PTE"),OR($P109="",N($P109)&gt;=PT_MinHours)),"PT","None"))))</f>
        <v/>
      </c>
      <c r="AQ109" s="12" t="str">
        <f aca="false">IF(AE109=0,"",IF(AND(AG109&gt;=3,AJ109&lt;=AsOfDate),AP109,IF(AND(AG109&gt;=2,AI109&lt;=AsOfDate),AO109,AN109)))</f>
        <v/>
      </c>
      <c r="AR109" s="12" t="str">
        <f aca="false">IF(AE109=0,"",IF(AsOfDate&lt;AF109,-1,12*(YEAR(AsOfDate)-YEAR(AF109))+MONTH(AsOfDate)-MONTH(AF109)-IF(DAY(AsOfDate)&lt;MIN(DAY(AF109),DAY(EOMONTH(AsOfDate,0))),1,0)))</f>
        <v/>
      </c>
      <c r="AS109" s="12" t="str">
        <f aca="false">IF(AE109=0,"",IF(OR(AG109&lt;2,AI109&gt;AsOfDate),AR109,IF((AI109-1)&lt;AF109,-1,12*(YEAR((AI109-1))-YEAR(AF109))+MONTH((AI109-1))-MONTH(AF109)-IF(DAY((AI109-1))&lt;MIN(DAY(AF109),DAY(EOMONTH((AI109-1),0))),1,0))))</f>
        <v/>
      </c>
      <c r="AT109" s="12" t="str">
        <f aca="false">IF(AE109=0,"",IF(OR(AG109&lt;3,AJ109&gt;AsOfDate),AR109,IF((AJ109-1)&lt;AF109,-1,12*(YEAR((AJ109-1))-YEAR(AF109))+MONTH((AJ109-1))-MONTH(AF109)-IF(DAY((AJ109-1))&lt;MIN(DAY(AF109),DAY(EOMONTH((AJ109-1),0))),1,0))))</f>
        <v/>
      </c>
      <c r="AU109" s="12" t="str">
        <f aca="false">IF(AE109=0,"",IF(PFYDate&lt;AF109,-1,12*(YEAR(PFYDate)-YEAR(AF109))+MONTH(PFYDate)-MONTH(AF109)-IF(DAY(PFYDate)&lt;MIN(DAY(AF109),DAY(EOMONTH(PFYDate,0))),1,0)))</f>
        <v/>
      </c>
      <c r="AV109" s="12" t="str">
        <f aca="false">IF(AE109=0,"",IF(OR(AG109&lt;2,AI109&gt;PFYDate),AU109,IF((AI109-1)&lt;AF109,-1,12*(YEAR((AI109-1))-YEAR(AF109))+MONTH((AI109-1))-MONTH(AF109)-IF(DAY((AI109-1))&lt;MIN(DAY(AF109),DAY(EOMONTH((AI109-1),0))),1,0))))</f>
        <v/>
      </c>
      <c r="AW109" s="12" t="str">
        <f aca="false">IF(AE109=0,"",IF(OR(AG109&lt;3,AJ109&gt;PFYDate),AU109,IF((AJ109-1)&lt;AF109,-1,12*(YEAR((AJ109-1))-YEAR(AF109))+MONTH((AJ109-1))-MONTH(AF109)-IF(DAY((AJ109-1))&lt;MIN(DAY(AF109),DAY(EOMONTH((AJ109-1),0))),1,0))))</f>
        <v/>
      </c>
      <c r="AX109" s="12" t="str">
        <f aca="false">IF(AE109=0,"",IF(AN109="FT",IF(AS109&lt;FT_First,0,IF(AS109&lt;FT_Y5,1+INT((AS109-FT_First)/FT_Int1),FT_PreY5+FT_PerYear*INT((AS109-FT_Y5)/12)+FT_AnnivDays+INT(MOD(AS109-FT_Y5,12)/FT_Int2))),IF(AN109="PT",IF(AS109&lt;PT_First,0,1+INT((AS109-PT_First)/PT_Int)),0))+IF(AND(AG109&gt;=2,AI109&lt;=AsOfDate),IF(AO109="FT",IF(AT109&lt;FT_First,0,IF(AT109&lt;FT_Y5,1+INT((AT109-FT_First)/FT_Int1),FT_PreY5+FT_PerYear*INT((AT109-FT_Y5)/12)+FT_AnnivDays+INT(MOD(AT109-FT_Y5,12)/FT_Int2))),IF(AO109="PT",IF(AT109&lt;PT_First,0,1+INT((AT109-PT_First)/PT_Int)),0))-IF(AO109="FT",IF(AS109&lt;FT_First,0,IF(AS109&lt;FT_Y5,1+INT((AS109-FT_First)/FT_Int1),FT_PreY5+FT_PerYear*INT((AS109-FT_Y5)/12)+FT_AnnivDays+INT(MOD(AS109-FT_Y5,12)/FT_Int2))),IF(AO109="PT",IF(AS109&lt;PT_First,0,1+INT((AS109-PT_First)/PT_Int)),0)),0)+IF(AND(AG109&gt;=3,AJ109&lt;=AsOfDate),IF(AP109="FT",IF(AR109&lt;FT_First,0,IF(AR109&lt;FT_Y5,1+INT((AR109-FT_First)/FT_Int1),FT_PreY5+FT_PerYear*INT((AR109-FT_Y5)/12)+FT_AnnivDays+INT(MOD(AR109-FT_Y5,12)/FT_Int2))),IF(AP109="PT",IF(AR109&lt;PT_First,0,1+INT((AR109-PT_First)/PT_Int)),0))-IF(AP109="FT",IF(AT109&lt;FT_First,0,IF(AT109&lt;FT_Y5,1+INT((AT109-FT_First)/FT_Int1),FT_PreY5+FT_PerYear*INT((AT109-FT_Y5)/12)+FT_AnnivDays+INT(MOD(AT109-FT_Y5,12)/FT_Int2))),IF(AP109="PT",IF(AT109&lt;PT_First,0,1+INT((AT109-PT_First)/PT_Int)),0)),0))</f>
        <v/>
      </c>
      <c r="AY109" s="12" t="str">
        <f aca="false">IF(AE109=0,"",IF(AN109="FT",IF(AV109&lt;FT_First,0,IF(AV109&lt;FT_Y5,1+INT((AV109-FT_First)/FT_Int1),FT_PreY5+FT_PerYear*INT((AV109-FT_Y5)/12)+FT_AnnivDays+INT(MOD(AV109-FT_Y5,12)/FT_Int2))),IF(AN109="PT",IF(AV109&lt;PT_First,0,1+INT((AV109-PT_First)/PT_Int)),0))+IF(AND(AG109&gt;=2,AI109&lt;=PFYDate),IF(AO109="FT",IF(AW109&lt;FT_First,0,IF(AW109&lt;FT_Y5,1+INT((AW109-FT_First)/FT_Int1),FT_PreY5+FT_PerYear*INT((AW109-FT_Y5)/12)+FT_AnnivDays+INT(MOD(AW109-FT_Y5,12)/FT_Int2))),IF(AO109="PT",IF(AW109&lt;PT_First,0,1+INT((AW109-PT_First)/PT_Int)),0))-IF(AO109="FT",IF(AV109&lt;FT_First,0,IF(AV109&lt;FT_Y5,1+INT((AV109-FT_First)/FT_Int1),FT_PreY5+FT_PerYear*INT((AV109-FT_Y5)/12)+FT_AnnivDays+INT(MOD(AV109-FT_Y5,12)/FT_Int2))),IF(AO109="PT",IF(AV109&lt;PT_First,0,1+INT((AV109-PT_First)/PT_Int)),0)),0)+IF(AND(AG109&gt;=3,AJ109&lt;=PFYDate),IF(AP109="FT",IF(AU109&lt;FT_First,0,IF(AU109&lt;FT_Y5,1+INT((AU109-FT_First)/FT_Int1),FT_PreY5+FT_PerYear*INT((AU109-FT_Y5)/12)+FT_AnnivDays+INT(MOD(AU109-FT_Y5,12)/FT_Int2))),IF(AP109="PT",IF(AU109&lt;PT_First,0,1+INT((AU109-PT_First)/PT_Int)),0))-IF(AP109="FT",IF(AW109&lt;FT_First,0,IF(AW109&lt;FT_Y5,1+INT((AW109-FT_First)/FT_Int1),FT_PreY5+FT_PerYear*INT((AW109-FT_Y5)/12)+FT_AnnivDays+INT(MOD(AW109-FT_Y5,12)/FT_Int2))),IF(AP109="PT",IF(AW109&lt;PT_First,0,1+INT((AW109-PT_First)/PT_Int)),0)),0))</f>
        <v/>
      </c>
      <c r="AZ109" s="12" t="str">
        <f aca="false">IF(AE109=0,"",IF(AQ109="FT",IF(AR109&lt;FT_First,FT_First,IF(AR109&lt;FT_Y5,MIN(FT_Y5,FT_First+FT_Int1*(INT((AR109-FT_First)/FT_Int1)+1)),FT_Y5+12*INT((AR109-FT_Y5)/12)+FT_Int2*(INT(MOD(AR109-FT_Y5,12)/FT_Int2)+1))),IF(AQ109="PT",IF(AR109&lt;PT_First,PT_First,PT_First+PT_Int*(INT((AR109-PT_First)/PT_Int)+1)),"")))</f>
        <v/>
      </c>
      <c r="BA109" s="12" t="str">
        <f aca="false">IF(AE109=0,"",IF(NOT(LH_Ready),0,COUNTIFS(INDEX(LH_Data,0,LH_ColFirst),$A109,INDEX(LH_Data,0,LH_ColSur),$B109,INDEX(LH_Data,0,LH_ColCat),BonusCat)))</f>
        <v/>
      </c>
      <c r="BB109" s="12" t="str">
        <f aca="false">IF(AE109=0,"",IF(OR(NOT(LH_Ready),BA109=0),0,SUMPRODUCT(MAX((INDEX(LH_Data,0,LH_ColFirst)=$A109)*(INDEX(LH_Data,0,LH_ColSur)=$B109)*(INDEX(LH_Data,0,LH_ColCat)=BonusCat)*ROW(LH_Data)))))</f>
        <v/>
      </c>
    </row>
    <row r="110" customFormat="false" ht="15" hidden="false" customHeight="false" outlineLevel="0" collapsed="false">
      <c r="A110" s="15"/>
      <c r="B110" s="15"/>
      <c r="C110" s="15"/>
      <c r="D110" s="16"/>
      <c r="E110" s="10" t="str">
        <f aca="false">IF(OR(AE110=0,$D110=""),"",DATE(YEAR(AsOfDate)+IF(DATE(YEAR(AsOfDate),MONTH($D110),DAY($D110))&lt;=AsOfDate,1,0),MONTH($D110),DAY($D110)))</f>
        <v/>
      </c>
      <c r="F110" s="16"/>
      <c r="G110" s="16"/>
      <c r="H110" s="16"/>
      <c r="I110" s="16"/>
      <c r="J110" s="16"/>
      <c r="K110" s="10" t="str">
        <f aca="false">IF(AE110=0,"",DATE(YEAR(AsOfDate)+IF(DATE(YEAR(AsOfDate),MONTH($F110),DAY($F110))&lt;=AsOfDate,1,0),MONTH($F110),DAY($F110)))</f>
        <v/>
      </c>
      <c r="L110" s="11" t="str">
        <f aca="false">IF(AE110=0,"",ROUND((AsOfDate-$F110)/365.25,1))</f>
        <v/>
      </c>
      <c r="M110" s="12" t="str">
        <f aca="false">IF(AE110=0,"",IF(AsOfDate&lt;AF110,"-",DATEDIF(AF110,AsOfDate,"y")&amp;"y "&amp;DATEDIF(AF110,AsOfDate,"ym")&amp;"m "&amp;DATEDIF(AF110,AsOfDate,"md")&amp;"d"))</f>
        <v/>
      </c>
      <c r="N110" s="13" t="str">
        <f aca="false">IF(AE110=0,"",O110*HoursPerDay)</f>
        <v/>
      </c>
      <c r="O110" s="13" t="str">
        <f aca="false">IF(AE110=0,"",AX110)</f>
        <v/>
      </c>
      <c r="P110" s="17"/>
      <c r="Q110" s="12" t="str">
        <f aca="false">IF(AE110=0,"",IF(AG110&lt;2,"",AK110&amp;" to "&amp;AL110&amp;" on "&amp;TEXT(AI110,"dd/mm/yyyy")&amp;IF(AI110&gt;AsOfDate," (future)",IF(AN110=AO110,"",IF(AO110="None"," - STOPPED accruing",IF(AN110="None"," - now qualifying"," - pathway changed"))))&amp;IF(AG110&lt;3,"","; "&amp;AL110&amp;" to "&amp;AM110&amp;" on "&amp;TEXT(AJ110,"dd/mm/yyyy")&amp;IF(AJ110&gt;AsOfDate," (future)",IF(AO110=AP110,"",IF(AP110="None"," - STOPPED accruing",IF(AO110="None"," - now qualifying"," - pathway changed")))))))</f>
        <v/>
      </c>
      <c r="R110" s="12" t="str">
        <f aca="false">IF(AE110=0,"",IF(AQ110="None",IF(O110&gt;0,"No longer accruing","Not eligible - "&amp;IF(AND(OR(ISNUMBER(SEARCH("part",$C110)),UPPER(TRIM($C110))="PT",UPPER(TRIM($C110))="PTE"),$P110&lt;&gt;"",N($P110)&lt;PT_MinHours),"under "&amp;PT_MinHours&amp;" hrs",IF(IF($C110="","",IF(OR(ISNUMBER(SEARCH("full",$C110)),UPPER(TRIM($C110))="FT",UPPER(TRIM($C110))="FTE"),"Full-Time",IF(OR(ISNUMBER(SEARCH("part",$C110)),UPPER(TRIM($C110))="PT",UPPER(TRIM($C110))="PTE"),"Part-Time",IF(OR(ISNUMBER(SEARCH("cas",$C110)),UPPER(TRIM($C110))="CAS"),"Casual","Unknown"))))="Unknown","type not recognised",$C110))),IF(O110&gt;0,"Yes - accruing","Not yet - from "&amp;TEXT(S110,"dd/mm/yyyy"))))</f>
        <v/>
      </c>
      <c r="S110" s="10" t="str">
        <f aca="false">IF(AE110=0,"",IF(AQ110="None","",EDATE(AF110,AZ110)))</f>
        <v/>
      </c>
      <c r="T110" s="13" t="str">
        <f aca="false">IF(OR(AE110=0,W110=""),"",W110-U110+V110)</f>
        <v/>
      </c>
      <c r="U110" s="13" t="str">
        <f aca="false">IF(AE110=0,"",IF(NOT(LH_Ready),"",SUMIFS(INDEX(LH_Data,0,LH_ColAcc),INDEX(LH_Data,0,LH_ColFirst),$A110,INDEX(LH_Data,0,LH_ColSur),$B110,INDEX(LH_Data,0,LH_ColCat),BonusCat)*UnitFactor))</f>
        <v/>
      </c>
      <c r="V110" s="13" t="str">
        <f aca="false">IF(AE110=0,"",IF(NOT(LH_Ready),"",SUMIFS(INDEX(LH_Data,0,LH_ColTaken),INDEX(LH_Data,0,LH_ColFirst),$A110,INDEX(LH_Data,0,LH_ColSur),$B110,INDEX(LH_Data,0,LH_ColCat),BonusCat)*UnitFactor))</f>
        <v/>
      </c>
      <c r="W110" s="13" t="str">
        <f aca="false">IF(AE110=0,"",IF(NOT(LH_Ready),"",IF(BB110=0,0,INDEX(INDEX(LH_Data,0,LH_ColClose),BB110-1)*UnitFactor)))</f>
        <v/>
      </c>
      <c r="X110" s="13" t="str">
        <f aca="false">IF(AE110=0,"",(AX110-AY110)*HoursPerDay)</f>
        <v/>
      </c>
      <c r="Y110" s="13" t="str">
        <f aca="false">IF(AE110=0,"",IF(NOT(LH_Ready),"",IF(BA110=0,N110,X110-N(U110))))</f>
        <v/>
      </c>
      <c r="Z110" s="12" t="str">
        <f aca="false">IF(OR(AE110=0,Y110=""),"",IF(Y110&gt;0,"Yes","No"))</f>
        <v/>
      </c>
      <c r="AA110" s="12" t="str">
        <f aca="false">IF(AE110=0,IF(LEN($A110&amp;$B110)=0,"","FIX INPUT - StartDate missing"),IF(AD110&lt;&gt;"","FIX INPUT - "&amp;AD110,IF(NOT(LH_Ready),"Paste Leave History export (Settings must show YES)",IF(Y110&gt;0,"ACCRUE "&amp;ROUND(Y110,2)&amp;" hrs ("&amp;ROUND(Y110/HoursPerDay,2)&amp;" days)"&amp;IF(BA110=0," - no Bonus Leave in EH yet, full catch-up since start",""),IF(Y110&lt;0,"CHECK - EH accrued "&amp;ROUND(-Y110,2)&amp;""&amp;" hrs more than policy",IF(O110&gt;0,"OK - nothing to add",IF(AQ110="None",R110,"Not yet - first day on "&amp;TEXT(S110,"dd/mm/yyyy"))))))))</f>
        <v/>
      </c>
      <c r="AB110" s="13" t="str">
        <f aca="false">IF(OR(AE110=0,T110=""),"",AY110*HoursPerDay-T110)</f>
        <v/>
      </c>
      <c r="AC110" s="12" t="str">
        <f aca="false">IF(AE110=0,"",BA110)</f>
        <v/>
      </c>
      <c r="AD110" s="12" t="str">
        <f aca="false">IF(AE110=0,"",TRIM(IF(IF($C110="","",IF(OR(ISNUMBER(SEARCH("full",$C110)),UPPER(TRIM($C110))="FT",UPPER(TRIM($C110))="FTE"),"Full-Time",IF(OR(ISNUMBER(SEARCH("part",$C110)),UPPER(TRIM($C110))="PT",UPPER(TRIM($C110))="PTE"),"Part-Time",IF(OR(ISNUMBER(SEARCH("cas",$C110)),UPPER(TRIM($C110))="CAS"),"Casual","Unknown"))))="Unknown","EmploymentType not recognised - use Full-Time, Part-Time or Casual. ","")&amp;IF(AND(AG110&gt;=1,IF(AG110&gt;=3,AM110,IF(AG110=2,AL110,AK110))&lt;&gt;IF($C110="","",IF(OR(ISNUMBER(SEARCH("full",$C110)),UPPER(TRIM($C110))="FT",UPPER(TRIM($C110))="FTE"),"Full-Time",IF(OR(ISNUMBER(SEARCH("part",$C110)),UPPER(TRIM($C110))="PT",UPPER(TRIM($C110))="PTE"),"Part-Time",IF(OR(ISNUMBER(SEARCH("cas",$C110)),UPPER(TRIM($C110))="CAS"),"Casual","Unknown"))))),"EmploymentType does not match latest start date ("&amp;IF(AG110&gt;=3,AM110,IF(AG110=2,AL110,AK110))&amp;"). ","")&amp;IF(AND(AG110&gt;=1,AH110&lt;&gt;$F110),"Earliest type date should equal StartDate. ","")&amp;IF(AND(AG110&gt;=2,AH110=AI110),"Two types start on the same date. ","")&amp;IF(AND(OR(ISNUMBER(SEARCH("part",$C110)),UPPER(TRIM($C110))="PT",UPPER(TRIM($C110))="PTE"),$P110=""),"Part-time: enter PT Hrs/Week (blank = 24+). ","")))</f>
        <v/>
      </c>
      <c r="AE110" s="12" t="n">
        <f aca="false">IF(OR(LEN($A110&amp;$B110)=0,$F110=""),0,1)</f>
        <v>0</v>
      </c>
      <c r="AF110" s="10" t="str">
        <f aca="false">IF(AE110=0,"",IF($J110&lt;&gt;"",$J110,$F110))</f>
        <v/>
      </c>
      <c r="AG110" s="12" t="str">
        <f aca="false">IF(AE110=0,"",COUNT($G110:$I110))</f>
        <v/>
      </c>
      <c r="AH110" s="10" t="str">
        <f aca="false">IF(AE110=0,"",IFERROR(SMALL($G110:$I110,1),""))</f>
        <v/>
      </c>
      <c r="AI110" s="10" t="str">
        <f aca="false">IF(AE110=0,"",IFERROR(SMALL($G110:$I110,2),""))</f>
        <v/>
      </c>
      <c r="AJ110" s="10" t="str">
        <f aca="false">IF(AE110=0,"",IFERROR(SMALL($G110:$I110,3),""))</f>
        <v/>
      </c>
      <c r="AK110" s="12" t="str">
        <f aca="false">IF(AE110=0,"",IF(AH110="","",IF(AH110=$G110,"Part-Time",IF(AH110=$H110,"Full-Time","Casual"))))</f>
        <v/>
      </c>
      <c r="AL110" s="12" t="str">
        <f aca="false">IF(AE110=0,"",IF(AI110="","",IF(AI110=$G110,"Part-Time",IF(AI110=$H110,"Full-Time","Casual"))))</f>
        <v/>
      </c>
      <c r="AM110" s="12" t="str">
        <f aca="false">IF(AE110=0,"",IF(AJ110="","",IF(AJ110=$G110,"Part-Time",IF(AJ110=$H110,"Full-Time","Casual"))))</f>
        <v/>
      </c>
      <c r="AN110" s="12" t="str">
        <f aca="false">IF(AE110=0,"",IF(AG110=0,IF(OR(ISNUMBER(SEARCH("full",$C110)),UPPER(TRIM($C110))="FT",UPPER(TRIM($C110))="FTE"),"FT",IF(AND(OR(ISNUMBER(SEARCH("part",$C110)),UPPER(TRIM($C110))="PT",UPPER(TRIM($C110))="PTE"),OR($P110="",N($P110)&gt;=PT_MinHours)),"PT","None")),IF(OR(ISNUMBER(SEARCH("full",AK110)),UPPER(TRIM(AK110))="FT",UPPER(TRIM(AK110))="FTE"),"FT",IF(AND(OR(ISNUMBER(SEARCH("part",AK110)),UPPER(TRIM(AK110))="PT",UPPER(TRIM(AK110))="PTE"),OR($P110="",N($P110)&gt;=PT_MinHours)),"PT","None"))))</f>
        <v/>
      </c>
      <c r="AO110" s="12" t="str">
        <f aca="false">IF(AE110=0,"",IF(AG110&lt;2,"",IF(OR(ISNUMBER(SEARCH("full",AL110)),UPPER(TRIM(AL110))="FT",UPPER(TRIM(AL110))="FTE"),"FT",IF(AND(OR(ISNUMBER(SEARCH("part",AL110)),UPPER(TRIM(AL110))="PT",UPPER(TRIM(AL110))="PTE"),OR($P110="",N($P110)&gt;=PT_MinHours)),"PT","None"))))</f>
        <v/>
      </c>
      <c r="AP110" s="12" t="str">
        <f aca="false">IF(AE110=0,"",IF(AG110&lt;3,"",IF(OR(ISNUMBER(SEARCH("full",AM110)),UPPER(TRIM(AM110))="FT",UPPER(TRIM(AM110))="FTE"),"FT",IF(AND(OR(ISNUMBER(SEARCH("part",AM110)),UPPER(TRIM(AM110))="PT",UPPER(TRIM(AM110))="PTE"),OR($P110="",N($P110)&gt;=PT_MinHours)),"PT","None"))))</f>
        <v/>
      </c>
      <c r="AQ110" s="12" t="str">
        <f aca="false">IF(AE110=0,"",IF(AND(AG110&gt;=3,AJ110&lt;=AsOfDate),AP110,IF(AND(AG110&gt;=2,AI110&lt;=AsOfDate),AO110,AN110)))</f>
        <v/>
      </c>
      <c r="AR110" s="12" t="str">
        <f aca="false">IF(AE110=0,"",IF(AsOfDate&lt;AF110,-1,12*(YEAR(AsOfDate)-YEAR(AF110))+MONTH(AsOfDate)-MONTH(AF110)-IF(DAY(AsOfDate)&lt;MIN(DAY(AF110),DAY(EOMONTH(AsOfDate,0))),1,0)))</f>
        <v/>
      </c>
      <c r="AS110" s="12" t="str">
        <f aca="false">IF(AE110=0,"",IF(OR(AG110&lt;2,AI110&gt;AsOfDate),AR110,IF((AI110-1)&lt;AF110,-1,12*(YEAR((AI110-1))-YEAR(AF110))+MONTH((AI110-1))-MONTH(AF110)-IF(DAY((AI110-1))&lt;MIN(DAY(AF110),DAY(EOMONTH((AI110-1),0))),1,0))))</f>
        <v/>
      </c>
      <c r="AT110" s="12" t="str">
        <f aca="false">IF(AE110=0,"",IF(OR(AG110&lt;3,AJ110&gt;AsOfDate),AR110,IF((AJ110-1)&lt;AF110,-1,12*(YEAR((AJ110-1))-YEAR(AF110))+MONTH((AJ110-1))-MONTH(AF110)-IF(DAY((AJ110-1))&lt;MIN(DAY(AF110),DAY(EOMONTH((AJ110-1),0))),1,0))))</f>
        <v/>
      </c>
      <c r="AU110" s="12" t="str">
        <f aca="false">IF(AE110=0,"",IF(PFYDate&lt;AF110,-1,12*(YEAR(PFYDate)-YEAR(AF110))+MONTH(PFYDate)-MONTH(AF110)-IF(DAY(PFYDate)&lt;MIN(DAY(AF110),DAY(EOMONTH(PFYDate,0))),1,0)))</f>
        <v/>
      </c>
      <c r="AV110" s="12" t="str">
        <f aca="false">IF(AE110=0,"",IF(OR(AG110&lt;2,AI110&gt;PFYDate),AU110,IF((AI110-1)&lt;AF110,-1,12*(YEAR((AI110-1))-YEAR(AF110))+MONTH((AI110-1))-MONTH(AF110)-IF(DAY((AI110-1))&lt;MIN(DAY(AF110),DAY(EOMONTH((AI110-1),0))),1,0))))</f>
        <v/>
      </c>
      <c r="AW110" s="12" t="str">
        <f aca="false">IF(AE110=0,"",IF(OR(AG110&lt;3,AJ110&gt;PFYDate),AU110,IF((AJ110-1)&lt;AF110,-1,12*(YEAR((AJ110-1))-YEAR(AF110))+MONTH((AJ110-1))-MONTH(AF110)-IF(DAY((AJ110-1))&lt;MIN(DAY(AF110),DAY(EOMONTH((AJ110-1),0))),1,0))))</f>
        <v/>
      </c>
      <c r="AX110" s="12" t="str">
        <f aca="false">IF(AE110=0,"",IF(AN110="FT",IF(AS110&lt;FT_First,0,IF(AS110&lt;FT_Y5,1+INT((AS110-FT_First)/FT_Int1),FT_PreY5+FT_PerYear*INT((AS110-FT_Y5)/12)+FT_AnnivDays+INT(MOD(AS110-FT_Y5,12)/FT_Int2))),IF(AN110="PT",IF(AS110&lt;PT_First,0,1+INT((AS110-PT_First)/PT_Int)),0))+IF(AND(AG110&gt;=2,AI110&lt;=AsOfDate),IF(AO110="FT",IF(AT110&lt;FT_First,0,IF(AT110&lt;FT_Y5,1+INT((AT110-FT_First)/FT_Int1),FT_PreY5+FT_PerYear*INT((AT110-FT_Y5)/12)+FT_AnnivDays+INT(MOD(AT110-FT_Y5,12)/FT_Int2))),IF(AO110="PT",IF(AT110&lt;PT_First,0,1+INT((AT110-PT_First)/PT_Int)),0))-IF(AO110="FT",IF(AS110&lt;FT_First,0,IF(AS110&lt;FT_Y5,1+INT((AS110-FT_First)/FT_Int1),FT_PreY5+FT_PerYear*INT((AS110-FT_Y5)/12)+FT_AnnivDays+INT(MOD(AS110-FT_Y5,12)/FT_Int2))),IF(AO110="PT",IF(AS110&lt;PT_First,0,1+INT((AS110-PT_First)/PT_Int)),0)),0)+IF(AND(AG110&gt;=3,AJ110&lt;=AsOfDate),IF(AP110="FT",IF(AR110&lt;FT_First,0,IF(AR110&lt;FT_Y5,1+INT((AR110-FT_First)/FT_Int1),FT_PreY5+FT_PerYear*INT((AR110-FT_Y5)/12)+FT_AnnivDays+INT(MOD(AR110-FT_Y5,12)/FT_Int2))),IF(AP110="PT",IF(AR110&lt;PT_First,0,1+INT((AR110-PT_First)/PT_Int)),0))-IF(AP110="FT",IF(AT110&lt;FT_First,0,IF(AT110&lt;FT_Y5,1+INT((AT110-FT_First)/FT_Int1),FT_PreY5+FT_PerYear*INT((AT110-FT_Y5)/12)+FT_AnnivDays+INT(MOD(AT110-FT_Y5,12)/FT_Int2))),IF(AP110="PT",IF(AT110&lt;PT_First,0,1+INT((AT110-PT_First)/PT_Int)),0)),0))</f>
        <v/>
      </c>
      <c r="AY110" s="12" t="str">
        <f aca="false">IF(AE110=0,"",IF(AN110="FT",IF(AV110&lt;FT_First,0,IF(AV110&lt;FT_Y5,1+INT((AV110-FT_First)/FT_Int1),FT_PreY5+FT_PerYear*INT((AV110-FT_Y5)/12)+FT_AnnivDays+INT(MOD(AV110-FT_Y5,12)/FT_Int2))),IF(AN110="PT",IF(AV110&lt;PT_First,0,1+INT((AV110-PT_First)/PT_Int)),0))+IF(AND(AG110&gt;=2,AI110&lt;=PFYDate),IF(AO110="FT",IF(AW110&lt;FT_First,0,IF(AW110&lt;FT_Y5,1+INT((AW110-FT_First)/FT_Int1),FT_PreY5+FT_PerYear*INT((AW110-FT_Y5)/12)+FT_AnnivDays+INT(MOD(AW110-FT_Y5,12)/FT_Int2))),IF(AO110="PT",IF(AW110&lt;PT_First,0,1+INT((AW110-PT_First)/PT_Int)),0))-IF(AO110="FT",IF(AV110&lt;FT_First,0,IF(AV110&lt;FT_Y5,1+INT((AV110-FT_First)/FT_Int1),FT_PreY5+FT_PerYear*INT((AV110-FT_Y5)/12)+FT_AnnivDays+INT(MOD(AV110-FT_Y5,12)/FT_Int2))),IF(AO110="PT",IF(AV110&lt;PT_First,0,1+INT((AV110-PT_First)/PT_Int)),0)),0)+IF(AND(AG110&gt;=3,AJ110&lt;=PFYDate),IF(AP110="FT",IF(AU110&lt;FT_First,0,IF(AU110&lt;FT_Y5,1+INT((AU110-FT_First)/FT_Int1),FT_PreY5+FT_PerYear*INT((AU110-FT_Y5)/12)+FT_AnnivDays+INT(MOD(AU110-FT_Y5,12)/FT_Int2))),IF(AP110="PT",IF(AU110&lt;PT_First,0,1+INT((AU110-PT_First)/PT_Int)),0))-IF(AP110="FT",IF(AW110&lt;FT_First,0,IF(AW110&lt;FT_Y5,1+INT((AW110-FT_First)/FT_Int1),FT_PreY5+FT_PerYear*INT((AW110-FT_Y5)/12)+FT_AnnivDays+INT(MOD(AW110-FT_Y5,12)/FT_Int2))),IF(AP110="PT",IF(AW110&lt;PT_First,0,1+INT((AW110-PT_First)/PT_Int)),0)),0))</f>
        <v/>
      </c>
      <c r="AZ110" s="12" t="str">
        <f aca="false">IF(AE110=0,"",IF(AQ110="FT",IF(AR110&lt;FT_First,FT_First,IF(AR110&lt;FT_Y5,MIN(FT_Y5,FT_First+FT_Int1*(INT((AR110-FT_First)/FT_Int1)+1)),FT_Y5+12*INT((AR110-FT_Y5)/12)+FT_Int2*(INT(MOD(AR110-FT_Y5,12)/FT_Int2)+1))),IF(AQ110="PT",IF(AR110&lt;PT_First,PT_First,PT_First+PT_Int*(INT((AR110-PT_First)/PT_Int)+1)),"")))</f>
        <v/>
      </c>
      <c r="BA110" s="12" t="str">
        <f aca="false">IF(AE110=0,"",IF(NOT(LH_Ready),0,COUNTIFS(INDEX(LH_Data,0,LH_ColFirst),$A110,INDEX(LH_Data,0,LH_ColSur),$B110,INDEX(LH_Data,0,LH_ColCat),BonusCat)))</f>
        <v/>
      </c>
      <c r="BB110" s="12" t="str">
        <f aca="false">IF(AE110=0,"",IF(OR(NOT(LH_Ready),BA110=0),0,SUMPRODUCT(MAX((INDEX(LH_Data,0,LH_ColFirst)=$A110)*(INDEX(LH_Data,0,LH_ColSur)=$B110)*(INDEX(LH_Data,0,LH_ColCat)=BonusCat)*ROW(LH_Data)))))</f>
        <v/>
      </c>
    </row>
    <row r="111" customFormat="false" ht="15" hidden="false" customHeight="false" outlineLevel="0" collapsed="false">
      <c r="A111" s="15"/>
      <c r="B111" s="15"/>
      <c r="C111" s="15"/>
      <c r="D111" s="16"/>
      <c r="E111" s="10" t="str">
        <f aca="false">IF(OR(AE111=0,$D111=""),"",DATE(YEAR(AsOfDate)+IF(DATE(YEAR(AsOfDate),MONTH($D111),DAY($D111))&lt;=AsOfDate,1,0),MONTH($D111),DAY($D111)))</f>
        <v/>
      </c>
      <c r="F111" s="16"/>
      <c r="G111" s="16"/>
      <c r="H111" s="16"/>
      <c r="I111" s="16"/>
      <c r="J111" s="16"/>
      <c r="K111" s="10" t="str">
        <f aca="false">IF(AE111=0,"",DATE(YEAR(AsOfDate)+IF(DATE(YEAR(AsOfDate),MONTH($F111),DAY($F111))&lt;=AsOfDate,1,0),MONTH($F111),DAY($F111)))</f>
        <v/>
      </c>
      <c r="L111" s="11" t="str">
        <f aca="false">IF(AE111=0,"",ROUND((AsOfDate-$F111)/365.25,1))</f>
        <v/>
      </c>
      <c r="M111" s="12" t="str">
        <f aca="false">IF(AE111=0,"",IF(AsOfDate&lt;AF111,"-",DATEDIF(AF111,AsOfDate,"y")&amp;"y "&amp;DATEDIF(AF111,AsOfDate,"ym")&amp;"m "&amp;DATEDIF(AF111,AsOfDate,"md")&amp;"d"))</f>
        <v/>
      </c>
      <c r="N111" s="13" t="str">
        <f aca="false">IF(AE111=0,"",O111*HoursPerDay)</f>
        <v/>
      </c>
      <c r="O111" s="13" t="str">
        <f aca="false">IF(AE111=0,"",AX111)</f>
        <v/>
      </c>
      <c r="P111" s="17"/>
      <c r="Q111" s="12" t="str">
        <f aca="false">IF(AE111=0,"",IF(AG111&lt;2,"",AK111&amp;" to "&amp;AL111&amp;" on "&amp;TEXT(AI111,"dd/mm/yyyy")&amp;IF(AI111&gt;AsOfDate," (future)",IF(AN111=AO111,"",IF(AO111="None"," - STOPPED accruing",IF(AN111="None"," - now qualifying"," - pathway changed"))))&amp;IF(AG111&lt;3,"","; "&amp;AL111&amp;" to "&amp;AM111&amp;" on "&amp;TEXT(AJ111,"dd/mm/yyyy")&amp;IF(AJ111&gt;AsOfDate," (future)",IF(AO111=AP111,"",IF(AP111="None"," - STOPPED accruing",IF(AO111="None"," - now qualifying"," - pathway changed")))))))</f>
        <v/>
      </c>
      <c r="R111" s="12" t="str">
        <f aca="false">IF(AE111=0,"",IF(AQ111="None",IF(O111&gt;0,"No longer accruing","Not eligible - "&amp;IF(AND(OR(ISNUMBER(SEARCH("part",$C111)),UPPER(TRIM($C111))="PT",UPPER(TRIM($C111))="PTE"),$P111&lt;&gt;"",N($P111)&lt;PT_MinHours),"under "&amp;PT_MinHours&amp;" hrs",IF(IF($C111="","",IF(OR(ISNUMBER(SEARCH("full",$C111)),UPPER(TRIM($C111))="FT",UPPER(TRIM($C111))="FTE"),"Full-Time",IF(OR(ISNUMBER(SEARCH("part",$C111)),UPPER(TRIM($C111))="PT",UPPER(TRIM($C111))="PTE"),"Part-Time",IF(OR(ISNUMBER(SEARCH("cas",$C111)),UPPER(TRIM($C111))="CAS"),"Casual","Unknown"))))="Unknown","type not recognised",$C111))),IF(O111&gt;0,"Yes - accruing","Not yet - from "&amp;TEXT(S111,"dd/mm/yyyy"))))</f>
        <v/>
      </c>
      <c r="S111" s="10" t="str">
        <f aca="false">IF(AE111=0,"",IF(AQ111="None","",EDATE(AF111,AZ111)))</f>
        <v/>
      </c>
      <c r="T111" s="13" t="str">
        <f aca="false">IF(OR(AE111=0,W111=""),"",W111-U111+V111)</f>
        <v/>
      </c>
      <c r="U111" s="13" t="str">
        <f aca="false">IF(AE111=0,"",IF(NOT(LH_Ready),"",SUMIFS(INDEX(LH_Data,0,LH_ColAcc),INDEX(LH_Data,0,LH_ColFirst),$A111,INDEX(LH_Data,0,LH_ColSur),$B111,INDEX(LH_Data,0,LH_ColCat),BonusCat)*UnitFactor))</f>
        <v/>
      </c>
      <c r="V111" s="13" t="str">
        <f aca="false">IF(AE111=0,"",IF(NOT(LH_Ready),"",SUMIFS(INDEX(LH_Data,0,LH_ColTaken),INDEX(LH_Data,0,LH_ColFirst),$A111,INDEX(LH_Data,0,LH_ColSur),$B111,INDEX(LH_Data,0,LH_ColCat),BonusCat)*UnitFactor))</f>
        <v/>
      </c>
      <c r="W111" s="13" t="str">
        <f aca="false">IF(AE111=0,"",IF(NOT(LH_Ready),"",IF(BB111=0,0,INDEX(INDEX(LH_Data,0,LH_ColClose),BB111-1)*UnitFactor)))</f>
        <v/>
      </c>
      <c r="X111" s="13" t="str">
        <f aca="false">IF(AE111=0,"",(AX111-AY111)*HoursPerDay)</f>
        <v/>
      </c>
      <c r="Y111" s="13" t="str">
        <f aca="false">IF(AE111=0,"",IF(NOT(LH_Ready),"",IF(BA111=0,N111,X111-N(U111))))</f>
        <v/>
      </c>
      <c r="Z111" s="12" t="str">
        <f aca="false">IF(OR(AE111=0,Y111=""),"",IF(Y111&gt;0,"Yes","No"))</f>
        <v/>
      </c>
      <c r="AA111" s="12" t="str">
        <f aca="false">IF(AE111=0,IF(LEN($A111&amp;$B111)=0,"","FIX INPUT - StartDate missing"),IF(AD111&lt;&gt;"","FIX INPUT - "&amp;AD111,IF(NOT(LH_Ready),"Paste Leave History export (Settings must show YES)",IF(Y111&gt;0,"ACCRUE "&amp;ROUND(Y111,2)&amp;" hrs ("&amp;ROUND(Y111/HoursPerDay,2)&amp;" days)"&amp;IF(BA111=0," - no Bonus Leave in EH yet, full catch-up since start",""),IF(Y111&lt;0,"CHECK - EH accrued "&amp;ROUND(-Y111,2)&amp;""&amp;" hrs more than policy",IF(O111&gt;0,"OK - nothing to add",IF(AQ111="None",R111,"Not yet - first day on "&amp;TEXT(S111,"dd/mm/yyyy"))))))))</f>
        <v/>
      </c>
      <c r="AB111" s="13" t="str">
        <f aca="false">IF(OR(AE111=0,T111=""),"",AY111*HoursPerDay-T111)</f>
        <v/>
      </c>
      <c r="AC111" s="12" t="str">
        <f aca="false">IF(AE111=0,"",BA111)</f>
        <v/>
      </c>
      <c r="AD111" s="12" t="str">
        <f aca="false">IF(AE111=0,"",TRIM(IF(IF($C111="","",IF(OR(ISNUMBER(SEARCH("full",$C111)),UPPER(TRIM($C111))="FT",UPPER(TRIM($C111))="FTE"),"Full-Time",IF(OR(ISNUMBER(SEARCH("part",$C111)),UPPER(TRIM($C111))="PT",UPPER(TRIM($C111))="PTE"),"Part-Time",IF(OR(ISNUMBER(SEARCH("cas",$C111)),UPPER(TRIM($C111))="CAS"),"Casual","Unknown"))))="Unknown","EmploymentType not recognised - use Full-Time, Part-Time or Casual. ","")&amp;IF(AND(AG111&gt;=1,IF(AG111&gt;=3,AM111,IF(AG111=2,AL111,AK111))&lt;&gt;IF($C111="","",IF(OR(ISNUMBER(SEARCH("full",$C111)),UPPER(TRIM($C111))="FT",UPPER(TRIM($C111))="FTE"),"Full-Time",IF(OR(ISNUMBER(SEARCH("part",$C111)),UPPER(TRIM($C111))="PT",UPPER(TRIM($C111))="PTE"),"Part-Time",IF(OR(ISNUMBER(SEARCH("cas",$C111)),UPPER(TRIM($C111))="CAS"),"Casual","Unknown"))))),"EmploymentType does not match latest start date ("&amp;IF(AG111&gt;=3,AM111,IF(AG111=2,AL111,AK111))&amp;"). ","")&amp;IF(AND(AG111&gt;=1,AH111&lt;&gt;$F111),"Earliest type date should equal StartDate. ","")&amp;IF(AND(AG111&gt;=2,AH111=AI111),"Two types start on the same date. ","")&amp;IF(AND(OR(ISNUMBER(SEARCH("part",$C111)),UPPER(TRIM($C111))="PT",UPPER(TRIM($C111))="PTE"),$P111=""),"Part-time: enter PT Hrs/Week (blank = 24+). ","")))</f>
        <v/>
      </c>
      <c r="AE111" s="12" t="n">
        <f aca="false">IF(OR(LEN($A111&amp;$B111)=0,$F111=""),0,1)</f>
        <v>0</v>
      </c>
      <c r="AF111" s="10" t="str">
        <f aca="false">IF(AE111=0,"",IF($J111&lt;&gt;"",$J111,$F111))</f>
        <v/>
      </c>
      <c r="AG111" s="12" t="str">
        <f aca="false">IF(AE111=0,"",COUNT($G111:$I111))</f>
        <v/>
      </c>
      <c r="AH111" s="10" t="str">
        <f aca="false">IF(AE111=0,"",IFERROR(SMALL($G111:$I111,1),""))</f>
        <v/>
      </c>
      <c r="AI111" s="10" t="str">
        <f aca="false">IF(AE111=0,"",IFERROR(SMALL($G111:$I111,2),""))</f>
        <v/>
      </c>
      <c r="AJ111" s="10" t="str">
        <f aca="false">IF(AE111=0,"",IFERROR(SMALL($G111:$I111,3),""))</f>
        <v/>
      </c>
      <c r="AK111" s="12" t="str">
        <f aca="false">IF(AE111=0,"",IF(AH111="","",IF(AH111=$G111,"Part-Time",IF(AH111=$H111,"Full-Time","Casual"))))</f>
        <v/>
      </c>
      <c r="AL111" s="12" t="str">
        <f aca="false">IF(AE111=0,"",IF(AI111="","",IF(AI111=$G111,"Part-Time",IF(AI111=$H111,"Full-Time","Casual"))))</f>
        <v/>
      </c>
      <c r="AM111" s="12" t="str">
        <f aca="false">IF(AE111=0,"",IF(AJ111="","",IF(AJ111=$G111,"Part-Time",IF(AJ111=$H111,"Full-Time","Casual"))))</f>
        <v/>
      </c>
      <c r="AN111" s="12" t="str">
        <f aca="false">IF(AE111=0,"",IF(AG111=0,IF(OR(ISNUMBER(SEARCH("full",$C111)),UPPER(TRIM($C111))="FT",UPPER(TRIM($C111))="FTE"),"FT",IF(AND(OR(ISNUMBER(SEARCH("part",$C111)),UPPER(TRIM($C111))="PT",UPPER(TRIM($C111))="PTE"),OR($P111="",N($P111)&gt;=PT_MinHours)),"PT","None")),IF(OR(ISNUMBER(SEARCH("full",AK111)),UPPER(TRIM(AK111))="FT",UPPER(TRIM(AK111))="FTE"),"FT",IF(AND(OR(ISNUMBER(SEARCH("part",AK111)),UPPER(TRIM(AK111))="PT",UPPER(TRIM(AK111))="PTE"),OR($P111="",N($P111)&gt;=PT_MinHours)),"PT","None"))))</f>
        <v/>
      </c>
      <c r="AO111" s="12" t="str">
        <f aca="false">IF(AE111=0,"",IF(AG111&lt;2,"",IF(OR(ISNUMBER(SEARCH("full",AL111)),UPPER(TRIM(AL111))="FT",UPPER(TRIM(AL111))="FTE"),"FT",IF(AND(OR(ISNUMBER(SEARCH("part",AL111)),UPPER(TRIM(AL111))="PT",UPPER(TRIM(AL111))="PTE"),OR($P111="",N($P111)&gt;=PT_MinHours)),"PT","None"))))</f>
        <v/>
      </c>
      <c r="AP111" s="12" t="str">
        <f aca="false">IF(AE111=0,"",IF(AG111&lt;3,"",IF(OR(ISNUMBER(SEARCH("full",AM111)),UPPER(TRIM(AM111))="FT",UPPER(TRIM(AM111))="FTE"),"FT",IF(AND(OR(ISNUMBER(SEARCH("part",AM111)),UPPER(TRIM(AM111))="PT",UPPER(TRIM(AM111))="PTE"),OR($P111="",N($P111)&gt;=PT_MinHours)),"PT","None"))))</f>
        <v/>
      </c>
      <c r="AQ111" s="12" t="str">
        <f aca="false">IF(AE111=0,"",IF(AND(AG111&gt;=3,AJ111&lt;=AsOfDate),AP111,IF(AND(AG111&gt;=2,AI111&lt;=AsOfDate),AO111,AN111)))</f>
        <v/>
      </c>
      <c r="AR111" s="12" t="str">
        <f aca="false">IF(AE111=0,"",IF(AsOfDate&lt;AF111,-1,12*(YEAR(AsOfDate)-YEAR(AF111))+MONTH(AsOfDate)-MONTH(AF111)-IF(DAY(AsOfDate)&lt;MIN(DAY(AF111),DAY(EOMONTH(AsOfDate,0))),1,0)))</f>
        <v/>
      </c>
      <c r="AS111" s="12" t="str">
        <f aca="false">IF(AE111=0,"",IF(OR(AG111&lt;2,AI111&gt;AsOfDate),AR111,IF((AI111-1)&lt;AF111,-1,12*(YEAR((AI111-1))-YEAR(AF111))+MONTH((AI111-1))-MONTH(AF111)-IF(DAY((AI111-1))&lt;MIN(DAY(AF111),DAY(EOMONTH((AI111-1),0))),1,0))))</f>
        <v/>
      </c>
      <c r="AT111" s="12" t="str">
        <f aca="false">IF(AE111=0,"",IF(OR(AG111&lt;3,AJ111&gt;AsOfDate),AR111,IF((AJ111-1)&lt;AF111,-1,12*(YEAR((AJ111-1))-YEAR(AF111))+MONTH((AJ111-1))-MONTH(AF111)-IF(DAY((AJ111-1))&lt;MIN(DAY(AF111),DAY(EOMONTH((AJ111-1),0))),1,0))))</f>
        <v/>
      </c>
      <c r="AU111" s="12" t="str">
        <f aca="false">IF(AE111=0,"",IF(PFYDate&lt;AF111,-1,12*(YEAR(PFYDate)-YEAR(AF111))+MONTH(PFYDate)-MONTH(AF111)-IF(DAY(PFYDate)&lt;MIN(DAY(AF111),DAY(EOMONTH(PFYDate,0))),1,0)))</f>
        <v/>
      </c>
      <c r="AV111" s="12" t="str">
        <f aca="false">IF(AE111=0,"",IF(OR(AG111&lt;2,AI111&gt;PFYDate),AU111,IF((AI111-1)&lt;AF111,-1,12*(YEAR((AI111-1))-YEAR(AF111))+MONTH((AI111-1))-MONTH(AF111)-IF(DAY((AI111-1))&lt;MIN(DAY(AF111),DAY(EOMONTH((AI111-1),0))),1,0))))</f>
        <v/>
      </c>
      <c r="AW111" s="12" t="str">
        <f aca="false">IF(AE111=0,"",IF(OR(AG111&lt;3,AJ111&gt;PFYDate),AU111,IF((AJ111-1)&lt;AF111,-1,12*(YEAR((AJ111-1))-YEAR(AF111))+MONTH((AJ111-1))-MONTH(AF111)-IF(DAY((AJ111-1))&lt;MIN(DAY(AF111),DAY(EOMONTH((AJ111-1),0))),1,0))))</f>
        <v/>
      </c>
      <c r="AX111" s="12" t="str">
        <f aca="false">IF(AE111=0,"",IF(AN111="FT",IF(AS111&lt;FT_First,0,IF(AS111&lt;FT_Y5,1+INT((AS111-FT_First)/FT_Int1),FT_PreY5+FT_PerYear*INT((AS111-FT_Y5)/12)+FT_AnnivDays+INT(MOD(AS111-FT_Y5,12)/FT_Int2))),IF(AN111="PT",IF(AS111&lt;PT_First,0,1+INT((AS111-PT_First)/PT_Int)),0))+IF(AND(AG111&gt;=2,AI111&lt;=AsOfDate),IF(AO111="FT",IF(AT111&lt;FT_First,0,IF(AT111&lt;FT_Y5,1+INT((AT111-FT_First)/FT_Int1),FT_PreY5+FT_PerYear*INT((AT111-FT_Y5)/12)+FT_AnnivDays+INT(MOD(AT111-FT_Y5,12)/FT_Int2))),IF(AO111="PT",IF(AT111&lt;PT_First,0,1+INT((AT111-PT_First)/PT_Int)),0))-IF(AO111="FT",IF(AS111&lt;FT_First,0,IF(AS111&lt;FT_Y5,1+INT((AS111-FT_First)/FT_Int1),FT_PreY5+FT_PerYear*INT((AS111-FT_Y5)/12)+FT_AnnivDays+INT(MOD(AS111-FT_Y5,12)/FT_Int2))),IF(AO111="PT",IF(AS111&lt;PT_First,0,1+INT((AS111-PT_First)/PT_Int)),0)),0)+IF(AND(AG111&gt;=3,AJ111&lt;=AsOfDate),IF(AP111="FT",IF(AR111&lt;FT_First,0,IF(AR111&lt;FT_Y5,1+INT((AR111-FT_First)/FT_Int1),FT_PreY5+FT_PerYear*INT((AR111-FT_Y5)/12)+FT_AnnivDays+INT(MOD(AR111-FT_Y5,12)/FT_Int2))),IF(AP111="PT",IF(AR111&lt;PT_First,0,1+INT((AR111-PT_First)/PT_Int)),0))-IF(AP111="FT",IF(AT111&lt;FT_First,0,IF(AT111&lt;FT_Y5,1+INT((AT111-FT_First)/FT_Int1),FT_PreY5+FT_PerYear*INT((AT111-FT_Y5)/12)+FT_AnnivDays+INT(MOD(AT111-FT_Y5,12)/FT_Int2))),IF(AP111="PT",IF(AT111&lt;PT_First,0,1+INT((AT111-PT_First)/PT_Int)),0)),0))</f>
        <v/>
      </c>
      <c r="AY111" s="12" t="str">
        <f aca="false">IF(AE111=0,"",IF(AN111="FT",IF(AV111&lt;FT_First,0,IF(AV111&lt;FT_Y5,1+INT((AV111-FT_First)/FT_Int1),FT_PreY5+FT_PerYear*INT((AV111-FT_Y5)/12)+FT_AnnivDays+INT(MOD(AV111-FT_Y5,12)/FT_Int2))),IF(AN111="PT",IF(AV111&lt;PT_First,0,1+INT((AV111-PT_First)/PT_Int)),0))+IF(AND(AG111&gt;=2,AI111&lt;=PFYDate),IF(AO111="FT",IF(AW111&lt;FT_First,0,IF(AW111&lt;FT_Y5,1+INT((AW111-FT_First)/FT_Int1),FT_PreY5+FT_PerYear*INT((AW111-FT_Y5)/12)+FT_AnnivDays+INT(MOD(AW111-FT_Y5,12)/FT_Int2))),IF(AO111="PT",IF(AW111&lt;PT_First,0,1+INT((AW111-PT_First)/PT_Int)),0))-IF(AO111="FT",IF(AV111&lt;FT_First,0,IF(AV111&lt;FT_Y5,1+INT((AV111-FT_First)/FT_Int1),FT_PreY5+FT_PerYear*INT((AV111-FT_Y5)/12)+FT_AnnivDays+INT(MOD(AV111-FT_Y5,12)/FT_Int2))),IF(AO111="PT",IF(AV111&lt;PT_First,0,1+INT((AV111-PT_First)/PT_Int)),0)),0)+IF(AND(AG111&gt;=3,AJ111&lt;=PFYDate),IF(AP111="FT",IF(AU111&lt;FT_First,0,IF(AU111&lt;FT_Y5,1+INT((AU111-FT_First)/FT_Int1),FT_PreY5+FT_PerYear*INT((AU111-FT_Y5)/12)+FT_AnnivDays+INT(MOD(AU111-FT_Y5,12)/FT_Int2))),IF(AP111="PT",IF(AU111&lt;PT_First,0,1+INT((AU111-PT_First)/PT_Int)),0))-IF(AP111="FT",IF(AW111&lt;FT_First,0,IF(AW111&lt;FT_Y5,1+INT((AW111-FT_First)/FT_Int1),FT_PreY5+FT_PerYear*INT((AW111-FT_Y5)/12)+FT_AnnivDays+INT(MOD(AW111-FT_Y5,12)/FT_Int2))),IF(AP111="PT",IF(AW111&lt;PT_First,0,1+INT((AW111-PT_First)/PT_Int)),0)),0))</f>
        <v/>
      </c>
      <c r="AZ111" s="12" t="str">
        <f aca="false">IF(AE111=0,"",IF(AQ111="FT",IF(AR111&lt;FT_First,FT_First,IF(AR111&lt;FT_Y5,MIN(FT_Y5,FT_First+FT_Int1*(INT((AR111-FT_First)/FT_Int1)+1)),FT_Y5+12*INT((AR111-FT_Y5)/12)+FT_Int2*(INT(MOD(AR111-FT_Y5,12)/FT_Int2)+1))),IF(AQ111="PT",IF(AR111&lt;PT_First,PT_First,PT_First+PT_Int*(INT((AR111-PT_First)/PT_Int)+1)),"")))</f>
        <v/>
      </c>
      <c r="BA111" s="12" t="str">
        <f aca="false">IF(AE111=0,"",IF(NOT(LH_Ready),0,COUNTIFS(INDEX(LH_Data,0,LH_ColFirst),$A111,INDEX(LH_Data,0,LH_ColSur),$B111,INDEX(LH_Data,0,LH_ColCat),BonusCat)))</f>
        <v/>
      </c>
      <c r="BB111" s="12" t="str">
        <f aca="false">IF(AE111=0,"",IF(OR(NOT(LH_Ready),BA111=0),0,SUMPRODUCT(MAX((INDEX(LH_Data,0,LH_ColFirst)=$A111)*(INDEX(LH_Data,0,LH_ColSur)=$B111)*(INDEX(LH_Data,0,LH_ColCat)=BonusCat)*ROW(LH_Data)))))</f>
        <v/>
      </c>
    </row>
    <row r="112" customFormat="false" ht="15" hidden="false" customHeight="false" outlineLevel="0" collapsed="false">
      <c r="A112" s="15"/>
      <c r="B112" s="15"/>
      <c r="C112" s="15"/>
      <c r="D112" s="16"/>
      <c r="E112" s="10" t="str">
        <f aca="false">IF(OR(AE112=0,$D112=""),"",DATE(YEAR(AsOfDate)+IF(DATE(YEAR(AsOfDate),MONTH($D112),DAY($D112))&lt;=AsOfDate,1,0),MONTH($D112),DAY($D112)))</f>
        <v/>
      </c>
      <c r="F112" s="16"/>
      <c r="G112" s="16"/>
      <c r="H112" s="16"/>
      <c r="I112" s="16"/>
      <c r="J112" s="16"/>
      <c r="K112" s="10" t="str">
        <f aca="false">IF(AE112=0,"",DATE(YEAR(AsOfDate)+IF(DATE(YEAR(AsOfDate),MONTH($F112),DAY($F112))&lt;=AsOfDate,1,0),MONTH($F112),DAY($F112)))</f>
        <v/>
      </c>
      <c r="L112" s="11" t="str">
        <f aca="false">IF(AE112=0,"",ROUND((AsOfDate-$F112)/365.25,1))</f>
        <v/>
      </c>
      <c r="M112" s="12" t="str">
        <f aca="false">IF(AE112=0,"",IF(AsOfDate&lt;AF112,"-",DATEDIF(AF112,AsOfDate,"y")&amp;"y "&amp;DATEDIF(AF112,AsOfDate,"ym")&amp;"m "&amp;DATEDIF(AF112,AsOfDate,"md")&amp;"d"))</f>
        <v/>
      </c>
      <c r="N112" s="13" t="str">
        <f aca="false">IF(AE112=0,"",O112*HoursPerDay)</f>
        <v/>
      </c>
      <c r="O112" s="13" t="str">
        <f aca="false">IF(AE112=0,"",AX112)</f>
        <v/>
      </c>
      <c r="P112" s="17"/>
      <c r="Q112" s="12" t="str">
        <f aca="false">IF(AE112=0,"",IF(AG112&lt;2,"",AK112&amp;" to "&amp;AL112&amp;" on "&amp;TEXT(AI112,"dd/mm/yyyy")&amp;IF(AI112&gt;AsOfDate," (future)",IF(AN112=AO112,"",IF(AO112="None"," - STOPPED accruing",IF(AN112="None"," - now qualifying"," - pathway changed"))))&amp;IF(AG112&lt;3,"","; "&amp;AL112&amp;" to "&amp;AM112&amp;" on "&amp;TEXT(AJ112,"dd/mm/yyyy")&amp;IF(AJ112&gt;AsOfDate," (future)",IF(AO112=AP112,"",IF(AP112="None"," - STOPPED accruing",IF(AO112="None"," - now qualifying"," - pathway changed")))))))</f>
        <v/>
      </c>
      <c r="R112" s="12" t="str">
        <f aca="false">IF(AE112=0,"",IF(AQ112="None",IF(O112&gt;0,"No longer accruing","Not eligible - "&amp;IF(AND(OR(ISNUMBER(SEARCH("part",$C112)),UPPER(TRIM($C112))="PT",UPPER(TRIM($C112))="PTE"),$P112&lt;&gt;"",N($P112)&lt;PT_MinHours),"under "&amp;PT_MinHours&amp;" hrs",IF(IF($C112="","",IF(OR(ISNUMBER(SEARCH("full",$C112)),UPPER(TRIM($C112))="FT",UPPER(TRIM($C112))="FTE"),"Full-Time",IF(OR(ISNUMBER(SEARCH("part",$C112)),UPPER(TRIM($C112))="PT",UPPER(TRIM($C112))="PTE"),"Part-Time",IF(OR(ISNUMBER(SEARCH("cas",$C112)),UPPER(TRIM($C112))="CAS"),"Casual","Unknown"))))="Unknown","type not recognised",$C112))),IF(O112&gt;0,"Yes - accruing","Not yet - from "&amp;TEXT(S112,"dd/mm/yyyy"))))</f>
        <v/>
      </c>
      <c r="S112" s="10" t="str">
        <f aca="false">IF(AE112=0,"",IF(AQ112="None","",EDATE(AF112,AZ112)))</f>
        <v/>
      </c>
      <c r="T112" s="13" t="str">
        <f aca="false">IF(OR(AE112=0,W112=""),"",W112-U112+V112)</f>
        <v/>
      </c>
      <c r="U112" s="13" t="str">
        <f aca="false">IF(AE112=0,"",IF(NOT(LH_Ready),"",SUMIFS(INDEX(LH_Data,0,LH_ColAcc),INDEX(LH_Data,0,LH_ColFirst),$A112,INDEX(LH_Data,0,LH_ColSur),$B112,INDEX(LH_Data,0,LH_ColCat),BonusCat)*UnitFactor))</f>
        <v/>
      </c>
      <c r="V112" s="13" t="str">
        <f aca="false">IF(AE112=0,"",IF(NOT(LH_Ready),"",SUMIFS(INDEX(LH_Data,0,LH_ColTaken),INDEX(LH_Data,0,LH_ColFirst),$A112,INDEX(LH_Data,0,LH_ColSur),$B112,INDEX(LH_Data,0,LH_ColCat),BonusCat)*UnitFactor))</f>
        <v/>
      </c>
      <c r="W112" s="13" t="str">
        <f aca="false">IF(AE112=0,"",IF(NOT(LH_Ready),"",IF(BB112=0,0,INDEX(INDEX(LH_Data,0,LH_ColClose),BB112-1)*UnitFactor)))</f>
        <v/>
      </c>
      <c r="X112" s="13" t="str">
        <f aca="false">IF(AE112=0,"",(AX112-AY112)*HoursPerDay)</f>
        <v/>
      </c>
      <c r="Y112" s="13" t="str">
        <f aca="false">IF(AE112=0,"",IF(NOT(LH_Ready),"",IF(BA112=0,N112,X112-N(U112))))</f>
        <v/>
      </c>
      <c r="Z112" s="12" t="str">
        <f aca="false">IF(OR(AE112=0,Y112=""),"",IF(Y112&gt;0,"Yes","No"))</f>
        <v/>
      </c>
      <c r="AA112" s="12" t="str">
        <f aca="false">IF(AE112=0,IF(LEN($A112&amp;$B112)=0,"","FIX INPUT - StartDate missing"),IF(AD112&lt;&gt;"","FIX INPUT - "&amp;AD112,IF(NOT(LH_Ready),"Paste Leave History export (Settings must show YES)",IF(Y112&gt;0,"ACCRUE "&amp;ROUND(Y112,2)&amp;" hrs ("&amp;ROUND(Y112/HoursPerDay,2)&amp;" days)"&amp;IF(BA112=0," - no Bonus Leave in EH yet, full catch-up since start",""),IF(Y112&lt;0,"CHECK - EH accrued "&amp;ROUND(-Y112,2)&amp;""&amp;" hrs more than policy",IF(O112&gt;0,"OK - nothing to add",IF(AQ112="None",R112,"Not yet - first day on "&amp;TEXT(S112,"dd/mm/yyyy"))))))))</f>
        <v/>
      </c>
      <c r="AB112" s="13" t="str">
        <f aca="false">IF(OR(AE112=0,T112=""),"",AY112*HoursPerDay-T112)</f>
        <v/>
      </c>
      <c r="AC112" s="12" t="str">
        <f aca="false">IF(AE112=0,"",BA112)</f>
        <v/>
      </c>
      <c r="AD112" s="12" t="str">
        <f aca="false">IF(AE112=0,"",TRIM(IF(IF($C112="","",IF(OR(ISNUMBER(SEARCH("full",$C112)),UPPER(TRIM($C112))="FT",UPPER(TRIM($C112))="FTE"),"Full-Time",IF(OR(ISNUMBER(SEARCH("part",$C112)),UPPER(TRIM($C112))="PT",UPPER(TRIM($C112))="PTE"),"Part-Time",IF(OR(ISNUMBER(SEARCH("cas",$C112)),UPPER(TRIM($C112))="CAS"),"Casual","Unknown"))))="Unknown","EmploymentType not recognised - use Full-Time, Part-Time or Casual. ","")&amp;IF(AND(AG112&gt;=1,IF(AG112&gt;=3,AM112,IF(AG112=2,AL112,AK112))&lt;&gt;IF($C112="","",IF(OR(ISNUMBER(SEARCH("full",$C112)),UPPER(TRIM($C112))="FT",UPPER(TRIM($C112))="FTE"),"Full-Time",IF(OR(ISNUMBER(SEARCH("part",$C112)),UPPER(TRIM($C112))="PT",UPPER(TRIM($C112))="PTE"),"Part-Time",IF(OR(ISNUMBER(SEARCH("cas",$C112)),UPPER(TRIM($C112))="CAS"),"Casual","Unknown"))))),"EmploymentType does not match latest start date ("&amp;IF(AG112&gt;=3,AM112,IF(AG112=2,AL112,AK112))&amp;"). ","")&amp;IF(AND(AG112&gt;=1,AH112&lt;&gt;$F112),"Earliest type date should equal StartDate. ","")&amp;IF(AND(AG112&gt;=2,AH112=AI112),"Two types start on the same date. ","")&amp;IF(AND(OR(ISNUMBER(SEARCH("part",$C112)),UPPER(TRIM($C112))="PT",UPPER(TRIM($C112))="PTE"),$P112=""),"Part-time: enter PT Hrs/Week (blank = 24+). ","")))</f>
        <v/>
      </c>
      <c r="AE112" s="12" t="n">
        <f aca="false">IF(OR(LEN($A112&amp;$B112)=0,$F112=""),0,1)</f>
        <v>0</v>
      </c>
      <c r="AF112" s="10" t="str">
        <f aca="false">IF(AE112=0,"",IF($J112&lt;&gt;"",$J112,$F112))</f>
        <v/>
      </c>
      <c r="AG112" s="12" t="str">
        <f aca="false">IF(AE112=0,"",COUNT($G112:$I112))</f>
        <v/>
      </c>
      <c r="AH112" s="10" t="str">
        <f aca="false">IF(AE112=0,"",IFERROR(SMALL($G112:$I112,1),""))</f>
        <v/>
      </c>
      <c r="AI112" s="10" t="str">
        <f aca="false">IF(AE112=0,"",IFERROR(SMALL($G112:$I112,2),""))</f>
        <v/>
      </c>
      <c r="AJ112" s="10" t="str">
        <f aca="false">IF(AE112=0,"",IFERROR(SMALL($G112:$I112,3),""))</f>
        <v/>
      </c>
      <c r="AK112" s="12" t="str">
        <f aca="false">IF(AE112=0,"",IF(AH112="","",IF(AH112=$G112,"Part-Time",IF(AH112=$H112,"Full-Time","Casual"))))</f>
        <v/>
      </c>
      <c r="AL112" s="12" t="str">
        <f aca="false">IF(AE112=0,"",IF(AI112="","",IF(AI112=$G112,"Part-Time",IF(AI112=$H112,"Full-Time","Casual"))))</f>
        <v/>
      </c>
      <c r="AM112" s="12" t="str">
        <f aca="false">IF(AE112=0,"",IF(AJ112="","",IF(AJ112=$G112,"Part-Time",IF(AJ112=$H112,"Full-Time","Casual"))))</f>
        <v/>
      </c>
      <c r="AN112" s="12" t="str">
        <f aca="false">IF(AE112=0,"",IF(AG112=0,IF(OR(ISNUMBER(SEARCH("full",$C112)),UPPER(TRIM($C112))="FT",UPPER(TRIM($C112))="FTE"),"FT",IF(AND(OR(ISNUMBER(SEARCH("part",$C112)),UPPER(TRIM($C112))="PT",UPPER(TRIM($C112))="PTE"),OR($P112="",N($P112)&gt;=PT_MinHours)),"PT","None")),IF(OR(ISNUMBER(SEARCH("full",AK112)),UPPER(TRIM(AK112))="FT",UPPER(TRIM(AK112))="FTE"),"FT",IF(AND(OR(ISNUMBER(SEARCH("part",AK112)),UPPER(TRIM(AK112))="PT",UPPER(TRIM(AK112))="PTE"),OR($P112="",N($P112)&gt;=PT_MinHours)),"PT","None"))))</f>
        <v/>
      </c>
      <c r="AO112" s="12" t="str">
        <f aca="false">IF(AE112=0,"",IF(AG112&lt;2,"",IF(OR(ISNUMBER(SEARCH("full",AL112)),UPPER(TRIM(AL112))="FT",UPPER(TRIM(AL112))="FTE"),"FT",IF(AND(OR(ISNUMBER(SEARCH("part",AL112)),UPPER(TRIM(AL112))="PT",UPPER(TRIM(AL112))="PTE"),OR($P112="",N($P112)&gt;=PT_MinHours)),"PT","None"))))</f>
        <v/>
      </c>
      <c r="AP112" s="12" t="str">
        <f aca="false">IF(AE112=0,"",IF(AG112&lt;3,"",IF(OR(ISNUMBER(SEARCH("full",AM112)),UPPER(TRIM(AM112))="FT",UPPER(TRIM(AM112))="FTE"),"FT",IF(AND(OR(ISNUMBER(SEARCH("part",AM112)),UPPER(TRIM(AM112))="PT",UPPER(TRIM(AM112))="PTE"),OR($P112="",N($P112)&gt;=PT_MinHours)),"PT","None"))))</f>
        <v/>
      </c>
      <c r="AQ112" s="12" t="str">
        <f aca="false">IF(AE112=0,"",IF(AND(AG112&gt;=3,AJ112&lt;=AsOfDate),AP112,IF(AND(AG112&gt;=2,AI112&lt;=AsOfDate),AO112,AN112)))</f>
        <v/>
      </c>
      <c r="AR112" s="12" t="str">
        <f aca="false">IF(AE112=0,"",IF(AsOfDate&lt;AF112,-1,12*(YEAR(AsOfDate)-YEAR(AF112))+MONTH(AsOfDate)-MONTH(AF112)-IF(DAY(AsOfDate)&lt;MIN(DAY(AF112),DAY(EOMONTH(AsOfDate,0))),1,0)))</f>
        <v/>
      </c>
      <c r="AS112" s="12" t="str">
        <f aca="false">IF(AE112=0,"",IF(OR(AG112&lt;2,AI112&gt;AsOfDate),AR112,IF((AI112-1)&lt;AF112,-1,12*(YEAR((AI112-1))-YEAR(AF112))+MONTH((AI112-1))-MONTH(AF112)-IF(DAY((AI112-1))&lt;MIN(DAY(AF112),DAY(EOMONTH((AI112-1),0))),1,0))))</f>
        <v/>
      </c>
      <c r="AT112" s="12" t="str">
        <f aca="false">IF(AE112=0,"",IF(OR(AG112&lt;3,AJ112&gt;AsOfDate),AR112,IF((AJ112-1)&lt;AF112,-1,12*(YEAR((AJ112-1))-YEAR(AF112))+MONTH((AJ112-1))-MONTH(AF112)-IF(DAY((AJ112-1))&lt;MIN(DAY(AF112),DAY(EOMONTH((AJ112-1),0))),1,0))))</f>
        <v/>
      </c>
      <c r="AU112" s="12" t="str">
        <f aca="false">IF(AE112=0,"",IF(PFYDate&lt;AF112,-1,12*(YEAR(PFYDate)-YEAR(AF112))+MONTH(PFYDate)-MONTH(AF112)-IF(DAY(PFYDate)&lt;MIN(DAY(AF112),DAY(EOMONTH(PFYDate,0))),1,0)))</f>
        <v/>
      </c>
      <c r="AV112" s="12" t="str">
        <f aca="false">IF(AE112=0,"",IF(OR(AG112&lt;2,AI112&gt;PFYDate),AU112,IF((AI112-1)&lt;AF112,-1,12*(YEAR((AI112-1))-YEAR(AF112))+MONTH((AI112-1))-MONTH(AF112)-IF(DAY((AI112-1))&lt;MIN(DAY(AF112),DAY(EOMONTH((AI112-1),0))),1,0))))</f>
        <v/>
      </c>
      <c r="AW112" s="12" t="str">
        <f aca="false">IF(AE112=0,"",IF(OR(AG112&lt;3,AJ112&gt;PFYDate),AU112,IF((AJ112-1)&lt;AF112,-1,12*(YEAR((AJ112-1))-YEAR(AF112))+MONTH((AJ112-1))-MONTH(AF112)-IF(DAY((AJ112-1))&lt;MIN(DAY(AF112),DAY(EOMONTH((AJ112-1),0))),1,0))))</f>
        <v/>
      </c>
      <c r="AX112" s="12" t="str">
        <f aca="false">IF(AE112=0,"",IF(AN112="FT",IF(AS112&lt;FT_First,0,IF(AS112&lt;FT_Y5,1+INT((AS112-FT_First)/FT_Int1),FT_PreY5+FT_PerYear*INT((AS112-FT_Y5)/12)+FT_AnnivDays+INT(MOD(AS112-FT_Y5,12)/FT_Int2))),IF(AN112="PT",IF(AS112&lt;PT_First,0,1+INT((AS112-PT_First)/PT_Int)),0))+IF(AND(AG112&gt;=2,AI112&lt;=AsOfDate),IF(AO112="FT",IF(AT112&lt;FT_First,0,IF(AT112&lt;FT_Y5,1+INT((AT112-FT_First)/FT_Int1),FT_PreY5+FT_PerYear*INT((AT112-FT_Y5)/12)+FT_AnnivDays+INT(MOD(AT112-FT_Y5,12)/FT_Int2))),IF(AO112="PT",IF(AT112&lt;PT_First,0,1+INT((AT112-PT_First)/PT_Int)),0))-IF(AO112="FT",IF(AS112&lt;FT_First,0,IF(AS112&lt;FT_Y5,1+INT((AS112-FT_First)/FT_Int1),FT_PreY5+FT_PerYear*INT((AS112-FT_Y5)/12)+FT_AnnivDays+INT(MOD(AS112-FT_Y5,12)/FT_Int2))),IF(AO112="PT",IF(AS112&lt;PT_First,0,1+INT((AS112-PT_First)/PT_Int)),0)),0)+IF(AND(AG112&gt;=3,AJ112&lt;=AsOfDate),IF(AP112="FT",IF(AR112&lt;FT_First,0,IF(AR112&lt;FT_Y5,1+INT((AR112-FT_First)/FT_Int1),FT_PreY5+FT_PerYear*INT((AR112-FT_Y5)/12)+FT_AnnivDays+INT(MOD(AR112-FT_Y5,12)/FT_Int2))),IF(AP112="PT",IF(AR112&lt;PT_First,0,1+INT((AR112-PT_First)/PT_Int)),0))-IF(AP112="FT",IF(AT112&lt;FT_First,0,IF(AT112&lt;FT_Y5,1+INT((AT112-FT_First)/FT_Int1),FT_PreY5+FT_PerYear*INT((AT112-FT_Y5)/12)+FT_AnnivDays+INT(MOD(AT112-FT_Y5,12)/FT_Int2))),IF(AP112="PT",IF(AT112&lt;PT_First,0,1+INT((AT112-PT_First)/PT_Int)),0)),0))</f>
        <v/>
      </c>
      <c r="AY112" s="12" t="str">
        <f aca="false">IF(AE112=0,"",IF(AN112="FT",IF(AV112&lt;FT_First,0,IF(AV112&lt;FT_Y5,1+INT((AV112-FT_First)/FT_Int1),FT_PreY5+FT_PerYear*INT((AV112-FT_Y5)/12)+FT_AnnivDays+INT(MOD(AV112-FT_Y5,12)/FT_Int2))),IF(AN112="PT",IF(AV112&lt;PT_First,0,1+INT((AV112-PT_First)/PT_Int)),0))+IF(AND(AG112&gt;=2,AI112&lt;=PFYDate),IF(AO112="FT",IF(AW112&lt;FT_First,0,IF(AW112&lt;FT_Y5,1+INT((AW112-FT_First)/FT_Int1),FT_PreY5+FT_PerYear*INT((AW112-FT_Y5)/12)+FT_AnnivDays+INT(MOD(AW112-FT_Y5,12)/FT_Int2))),IF(AO112="PT",IF(AW112&lt;PT_First,0,1+INT((AW112-PT_First)/PT_Int)),0))-IF(AO112="FT",IF(AV112&lt;FT_First,0,IF(AV112&lt;FT_Y5,1+INT((AV112-FT_First)/FT_Int1),FT_PreY5+FT_PerYear*INT((AV112-FT_Y5)/12)+FT_AnnivDays+INT(MOD(AV112-FT_Y5,12)/FT_Int2))),IF(AO112="PT",IF(AV112&lt;PT_First,0,1+INT((AV112-PT_First)/PT_Int)),0)),0)+IF(AND(AG112&gt;=3,AJ112&lt;=PFYDate),IF(AP112="FT",IF(AU112&lt;FT_First,0,IF(AU112&lt;FT_Y5,1+INT((AU112-FT_First)/FT_Int1),FT_PreY5+FT_PerYear*INT((AU112-FT_Y5)/12)+FT_AnnivDays+INT(MOD(AU112-FT_Y5,12)/FT_Int2))),IF(AP112="PT",IF(AU112&lt;PT_First,0,1+INT((AU112-PT_First)/PT_Int)),0))-IF(AP112="FT",IF(AW112&lt;FT_First,0,IF(AW112&lt;FT_Y5,1+INT((AW112-FT_First)/FT_Int1),FT_PreY5+FT_PerYear*INT((AW112-FT_Y5)/12)+FT_AnnivDays+INT(MOD(AW112-FT_Y5,12)/FT_Int2))),IF(AP112="PT",IF(AW112&lt;PT_First,0,1+INT((AW112-PT_First)/PT_Int)),0)),0))</f>
        <v/>
      </c>
      <c r="AZ112" s="12" t="str">
        <f aca="false">IF(AE112=0,"",IF(AQ112="FT",IF(AR112&lt;FT_First,FT_First,IF(AR112&lt;FT_Y5,MIN(FT_Y5,FT_First+FT_Int1*(INT((AR112-FT_First)/FT_Int1)+1)),FT_Y5+12*INT((AR112-FT_Y5)/12)+FT_Int2*(INT(MOD(AR112-FT_Y5,12)/FT_Int2)+1))),IF(AQ112="PT",IF(AR112&lt;PT_First,PT_First,PT_First+PT_Int*(INT((AR112-PT_First)/PT_Int)+1)),"")))</f>
        <v/>
      </c>
      <c r="BA112" s="12" t="str">
        <f aca="false">IF(AE112=0,"",IF(NOT(LH_Ready),0,COUNTIFS(INDEX(LH_Data,0,LH_ColFirst),$A112,INDEX(LH_Data,0,LH_ColSur),$B112,INDEX(LH_Data,0,LH_ColCat),BonusCat)))</f>
        <v/>
      </c>
      <c r="BB112" s="12" t="str">
        <f aca="false">IF(AE112=0,"",IF(OR(NOT(LH_Ready),BA112=0),0,SUMPRODUCT(MAX((INDEX(LH_Data,0,LH_ColFirst)=$A112)*(INDEX(LH_Data,0,LH_ColSur)=$B112)*(INDEX(LH_Data,0,LH_ColCat)=BonusCat)*ROW(LH_Data)))))</f>
        <v/>
      </c>
    </row>
    <row r="113" customFormat="false" ht="15" hidden="false" customHeight="false" outlineLevel="0" collapsed="false">
      <c r="A113" s="15"/>
      <c r="B113" s="15"/>
      <c r="C113" s="15"/>
      <c r="D113" s="16"/>
      <c r="E113" s="10" t="str">
        <f aca="false">IF(OR(AE113=0,$D113=""),"",DATE(YEAR(AsOfDate)+IF(DATE(YEAR(AsOfDate),MONTH($D113),DAY($D113))&lt;=AsOfDate,1,0),MONTH($D113),DAY($D113)))</f>
        <v/>
      </c>
      <c r="F113" s="16"/>
      <c r="G113" s="16"/>
      <c r="H113" s="16"/>
      <c r="I113" s="16"/>
      <c r="J113" s="16"/>
      <c r="K113" s="10" t="str">
        <f aca="false">IF(AE113=0,"",DATE(YEAR(AsOfDate)+IF(DATE(YEAR(AsOfDate),MONTH($F113),DAY($F113))&lt;=AsOfDate,1,0),MONTH($F113),DAY($F113)))</f>
        <v/>
      </c>
      <c r="L113" s="11" t="str">
        <f aca="false">IF(AE113=0,"",ROUND((AsOfDate-$F113)/365.25,1))</f>
        <v/>
      </c>
      <c r="M113" s="12" t="str">
        <f aca="false">IF(AE113=0,"",IF(AsOfDate&lt;AF113,"-",DATEDIF(AF113,AsOfDate,"y")&amp;"y "&amp;DATEDIF(AF113,AsOfDate,"ym")&amp;"m "&amp;DATEDIF(AF113,AsOfDate,"md")&amp;"d"))</f>
        <v/>
      </c>
      <c r="N113" s="13" t="str">
        <f aca="false">IF(AE113=0,"",O113*HoursPerDay)</f>
        <v/>
      </c>
      <c r="O113" s="13" t="str">
        <f aca="false">IF(AE113=0,"",AX113)</f>
        <v/>
      </c>
      <c r="P113" s="17"/>
      <c r="Q113" s="12" t="str">
        <f aca="false">IF(AE113=0,"",IF(AG113&lt;2,"",AK113&amp;" to "&amp;AL113&amp;" on "&amp;TEXT(AI113,"dd/mm/yyyy")&amp;IF(AI113&gt;AsOfDate," (future)",IF(AN113=AO113,"",IF(AO113="None"," - STOPPED accruing",IF(AN113="None"," - now qualifying"," - pathway changed"))))&amp;IF(AG113&lt;3,"","; "&amp;AL113&amp;" to "&amp;AM113&amp;" on "&amp;TEXT(AJ113,"dd/mm/yyyy")&amp;IF(AJ113&gt;AsOfDate," (future)",IF(AO113=AP113,"",IF(AP113="None"," - STOPPED accruing",IF(AO113="None"," - now qualifying"," - pathway changed")))))))</f>
        <v/>
      </c>
      <c r="R113" s="12" t="str">
        <f aca="false">IF(AE113=0,"",IF(AQ113="None",IF(O113&gt;0,"No longer accruing","Not eligible - "&amp;IF(AND(OR(ISNUMBER(SEARCH("part",$C113)),UPPER(TRIM($C113))="PT",UPPER(TRIM($C113))="PTE"),$P113&lt;&gt;"",N($P113)&lt;PT_MinHours),"under "&amp;PT_MinHours&amp;" hrs",IF(IF($C113="","",IF(OR(ISNUMBER(SEARCH("full",$C113)),UPPER(TRIM($C113))="FT",UPPER(TRIM($C113))="FTE"),"Full-Time",IF(OR(ISNUMBER(SEARCH("part",$C113)),UPPER(TRIM($C113))="PT",UPPER(TRIM($C113))="PTE"),"Part-Time",IF(OR(ISNUMBER(SEARCH("cas",$C113)),UPPER(TRIM($C113))="CAS"),"Casual","Unknown"))))="Unknown","type not recognised",$C113))),IF(O113&gt;0,"Yes - accruing","Not yet - from "&amp;TEXT(S113,"dd/mm/yyyy"))))</f>
        <v/>
      </c>
      <c r="S113" s="10" t="str">
        <f aca="false">IF(AE113=0,"",IF(AQ113="None","",EDATE(AF113,AZ113)))</f>
        <v/>
      </c>
      <c r="T113" s="13" t="str">
        <f aca="false">IF(OR(AE113=0,W113=""),"",W113-U113+V113)</f>
        <v/>
      </c>
      <c r="U113" s="13" t="str">
        <f aca="false">IF(AE113=0,"",IF(NOT(LH_Ready),"",SUMIFS(INDEX(LH_Data,0,LH_ColAcc),INDEX(LH_Data,0,LH_ColFirst),$A113,INDEX(LH_Data,0,LH_ColSur),$B113,INDEX(LH_Data,0,LH_ColCat),BonusCat)*UnitFactor))</f>
        <v/>
      </c>
      <c r="V113" s="13" t="str">
        <f aca="false">IF(AE113=0,"",IF(NOT(LH_Ready),"",SUMIFS(INDEX(LH_Data,0,LH_ColTaken),INDEX(LH_Data,0,LH_ColFirst),$A113,INDEX(LH_Data,0,LH_ColSur),$B113,INDEX(LH_Data,0,LH_ColCat),BonusCat)*UnitFactor))</f>
        <v/>
      </c>
      <c r="W113" s="13" t="str">
        <f aca="false">IF(AE113=0,"",IF(NOT(LH_Ready),"",IF(BB113=0,0,INDEX(INDEX(LH_Data,0,LH_ColClose),BB113-1)*UnitFactor)))</f>
        <v/>
      </c>
      <c r="X113" s="13" t="str">
        <f aca="false">IF(AE113=0,"",(AX113-AY113)*HoursPerDay)</f>
        <v/>
      </c>
      <c r="Y113" s="13" t="str">
        <f aca="false">IF(AE113=0,"",IF(NOT(LH_Ready),"",IF(BA113=0,N113,X113-N(U113))))</f>
        <v/>
      </c>
      <c r="Z113" s="12" t="str">
        <f aca="false">IF(OR(AE113=0,Y113=""),"",IF(Y113&gt;0,"Yes","No"))</f>
        <v/>
      </c>
      <c r="AA113" s="12" t="str">
        <f aca="false">IF(AE113=0,IF(LEN($A113&amp;$B113)=0,"","FIX INPUT - StartDate missing"),IF(AD113&lt;&gt;"","FIX INPUT - "&amp;AD113,IF(NOT(LH_Ready),"Paste Leave History export (Settings must show YES)",IF(Y113&gt;0,"ACCRUE "&amp;ROUND(Y113,2)&amp;" hrs ("&amp;ROUND(Y113/HoursPerDay,2)&amp;" days)"&amp;IF(BA113=0," - no Bonus Leave in EH yet, full catch-up since start",""),IF(Y113&lt;0,"CHECK - EH accrued "&amp;ROUND(-Y113,2)&amp;""&amp;" hrs more than policy",IF(O113&gt;0,"OK - nothing to add",IF(AQ113="None",R113,"Not yet - first day on "&amp;TEXT(S113,"dd/mm/yyyy"))))))))</f>
        <v/>
      </c>
      <c r="AB113" s="13" t="str">
        <f aca="false">IF(OR(AE113=0,T113=""),"",AY113*HoursPerDay-T113)</f>
        <v/>
      </c>
      <c r="AC113" s="12" t="str">
        <f aca="false">IF(AE113=0,"",BA113)</f>
        <v/>
      </c>
      <c r="AD113" s="12" t="str">
        <f aca="false">IF(AE113=0,"",TRIM(IF(IF($C113="","",IF(OR(ISNUMBER(SEARCH("full",$C113)),UPPER(TRIM($C113))="FT",UPPER(TRIM($C113))="FTE"),"Full-Time",IF(OR(ISNUMBER(SEARCH("part",$C113)),UPPER(TRIM($C113))="PT",UPPER(TRIM($C113))="PTE"),"Part-Time",IF(OR(ISNUMBER(SEARCH("cas",$C113)),UPPER(TRIM($C113))="CAS"),"Casual","Unknown"))))="Unknown","EmploymentType not recognised - use Full-Time, Part-Time or Casual. ","")&amp;IF(AND(AG113&gt;=1,IF(AG113&gt;=3,AM113,IF(AG113=2,AL113,AK113))&lt;&gt;IF($C113="","",IF(OR(ISNUMBER(SEARCH("full",$C113)),UPPER(TRIM($C113))="FT",UPPER(TRIM($C113))="FTE"),"Full-Time",IF(OR(ISNUMBER(SEARCH("part",$C113)),UPPER(TRIM($C113))="PT",UPPER(TRIM($C113))="PTE"),"Part-Time",IF(OR(ISNUMBER(SEARCH("cas",$C113)),UPPER(TRIM($C113))="CAS"),"Casual","Unknown"))))),"EmploymentType does not match latest start date ("&amp;IF(AG113&gt;=3,AM113,IF(AG113=2,AL113,AK113))&amp;"). ","")&amp;IF(AND(AG113&gt;=1,AH113&lt;&gt;$F113),"Earliest type date should equal StartDate. ","")&amp;IF(AND(AG113&gt;=2,AH113=AI113),"Two types start on the same date. ","")&amp;IF(AND(OR(ISNUMBER(SEARCH("part",$C113)),UPPER(TRIM($C113))="PT",UPPER(TRIM($C113))="PTE"),$P113=""),"Part-time: enter PT Hrs/Week (blank = 24+). ","")))</f>
        <v/>
      </c>
      <c r="AE113" s="12" t="n">
        <f aca="false">IF(OR(LEN($A113&amp;$B113)=0,$F113=""),0,1)</f>
        <v>0</v>
      </c>
      <c r="AF113" s="10" t="str">
        <f aca="false">IF(AE113=0,"",IF($J113&lt;&gt;"",$J113,$F113))</f>
        <v/>
      </c>
      <c r="AG113" s="12" t="str">
        <f aca="false">IF(AE113=0,"",COUNT($G113:$I113))</f>
        <v/>
      </c>
      <c r="AH113" s="10" t="str">
        <f aca="false">IF(AE113=0,"",IFERROR(SMALL($G113:$I113,1),""))</f>
        <v/>
      </c>
      <c r="AI113" s="10" t="str">
        <f aca="false">IF(AE113=0,"",IFERROR(SMALL($G113:$I113,2),""))</f>
        <v/>
      </c>
      <c r="AJ113" s="10" t="str">
        <f aca="false">IF(AE113=0,"",IFERROR(SMALL($G113:$I113,3),""))</f>
        <v/>
      </c>
      <c r="AK113" s="12" t="str">
        <f aca="false">IF(AE113=0,"",IF(AH113="","",IF(AH113=$G113,"Part-Time",IF(AH113=$H113,"Full-Time","Casual"))))</f>
        <v/>
      </c>
      <c r="AL113" s="12" t="str">
        <f aca="false">IF(AE113=0,"",IF(AI113="","",IF(AI113=$G113,"Part-Time",IF(AI113=$H113,"Full-Time","Casual"))))</f>
        <v/>
      </c>
      <c r="AM113" s="12" t="str">
        <f aca="false">IF(AE113=0,"",IF(AJ113="","",IF(AJ113=$G113,"Part-Time",IF(AJ113=$H113,"Full-Time","Casual"))))</f>
        <v/>
      </c>
      <c r="AN113" s="12" t="str">
        <f aca="false">IF(AE113=0,"",IF(AG113=0,IF(OR(ISNUMBER(SEARCH("full",$C113)),UPPER(TRIM($C113))="FT",UPPER(TRIM($C113))="FTE"),"FT",IF(AND(OR(ISNUMBER(SEARCH("part",$C113)),UPPER(TRIM($C113))="PT",UPPER(TRIM($C113))="PTE"),OR($P113="",N($P113)&gt;=PT_MinHours)),"PT","None")),IF(OR(ISNUMBER(SEARCH("full",AK113)),UPPER(TRIM(AK113))="FT",UPPER(TRIM(AK113))="FTE"),"FT",IF(AND(OR(ISNUMBER(SEARCH("part",AK113)),UPPER(TRIM(AK113))="PT",UPPER(TRIM(AK113))="PTE"),OR($P113="",N($P113)&gt;=PT_MinHours)),"PT","None"))))</f>
        <v/>
      </c>
      <c r="AO113" s="12" t="str">
        <f aca="false">IF(AE113=0,"",IF(AG113&lt;2,"",IF(OR(ISNUMBER(SEARCH("full",AL113)),UPPER(TRIM(AL113))="FT",UPPER(TRIM(AL113))="FTE"),"FT",IF(AND(OR(ISNUMBER(SEARCH("part",AL113)),UPPER(TRIM(AL113))="PT",UPPER(TRIM(AL113))="PTE"),OR($P113="",N($P113)&gt;=PT_MinHours)),"PT","None"))))</f>
        <v/>
      </c>
      <c r="AP113" s="12" t="str">
        <f aca="false">IF(AE113=0,"",IF(AG113&lt;3,"",IF(OR(ISNUMBER(SEARCH("full",AM113)),UPPER(TRIM(AM113))="FT",UPPER(TRIM(AM113))="FTE"),"FT",IF(AND(OR(ISNUMBER(SEARCH("part",AM113)),UPPER(TRIM(AM113))="PT",UPPER(TRIM(AM113))="PTE"),OR($P113="",N($P113)&gt;=PT_MinHours)),"PT","None"))))</f>
        <v/>
      </c>
      <c r="AQ113" s="12" t="str">
        <f aca="false">IF(AE113=0,"",IF(AND(AG113&gt;=3,AJ113&lt;=AsOfDate),AP113,IF(AND(AG113&gt;=2,AI113&lt;=AsOfDate),AO113,AN113)))</f>
        <v/>
      </c>
      <c r="AR113" s="12" t="str">
        <f aca="false">IF(AE113=0,"",IF(AsOfDate&lt;AF113,-1,12*(YEAR(AsOfDate)-YEAR(AF113))+MONTH(AsOfDate)-MONTH(AF113)-IF(DAY(AsOfDate)&lt;MIN(DAY(AF113),DAY(EOMONTH(AsOfDate,0))),1,0)))</f>
        <v/>
      </c>
      <c r="AS113" s="12" t="str">
        <f aca="false">IF(AE113=0,"",IF(OR(AG113&lt;2,AI113&gt;AsOfDate),AR113,IF((AI113-1)&lt;AF113,-1,12*(YEAR((AI113-1))-YEAR(AF113))+MONTH((AI113-1))-MONTH(AF113)-IF(DAY((AI113-1))&lt;MIN(DAY(AF113),DAY(EOMONTH((AI113-1),0))),1,0))))</f>
        <v/>
      </c>
      <c r="AT113" s="12" t="str">
        <f aca="false">IF(AE113=0,"",IF(OR(AG113&lt;3,AJ113&gt;AsOfDate),AR113,IF((AJ113-1)&lt;AF113,-1,12*(YEAR((AJ113-1))-YEAR(AF113))+MONTH((AJ113-1))-MONTH(AF113)-IF(DAY((AJ113-1))&lt;MIN(DAY(AF113),DAY(EOMONTH((AJ113-1),0))),1,0))))</f>
        <v/>
      </c>
      <c r="AU113" s="12" t="str">
        <f aca="false">IF(AE113=0,"",IF(PFYDate&lt;AF113,-1,12*(YEAR(PFYDate)-YEAR(AF113))+MONTH(PFYDate)-MONTH(AF113)-IF(DAY(PFYDate)&lt;MIN(DAY(AF113),DAY(EOMONTH(PFYDate,0))),1,0)))</f>
        <v/>
      </c>
      <c r="AV113" s="12" t="str">
        <f aca="false">IF(AE113=0,"",IF(OR(AG113&lt;2,AI113&gt;PFYDate),AU113,IF((AI113-1)&lt;AF113,-1,12*(YEAR((AI113-1))-YEAR(AF113))+MONTH((AI113-1))-MONTH(AF113)-IF(DAY((AI113-1))&lt;MIN(DAY(AF113),DAY(EOMONTH((AI113-1),0))),1,0))))</f>
        <v/>
      </c>
      <c r="AW113" s="12" t="str">
        <f aca="false">IF(AE113=0,"",IF(OR(AG113&lt;3,AJ113&gt;PFYDate),AU113,IF((AJ113-1)&lt;AF113,-1,12*(YEAR((AJ113-1))-YEAR(AF113))+MONTH((AJ113-1))-MONTH(AF113)-IF(DAY((AJ113-1))&lt;MIN(DAY(AF113),DAY(EOMONTH((AJ113-1),0))),1,0))))</f>
        <v/>
      </c>
      <c r="AX113" s="12" t="str">
        <f aca="false">IF(AE113=0,"",IF(AN113="FT",IF(AS113&lt;FT_First,0,IF(AS113&lt;FT_Y5,1+INT((AS113-FT_First)/FT_Int1),FT_PreY5+FT_PerYear*INT((AS113-FT_Y5)/12)+FT_AnnivDays+INT(MOD(AS113-FT_Y5,12)/FT_Int2))),IF(AN113="PT",IF(AS113&lt;PT_First,0,1+INT((AS113-PT_First)/PT_Int)),0))+IF(AND(AG113&gt;=2,AI113&lt;=AsOfDate),IF(AO113="FT",IF(AT113&lt;FT_First,0,IF(AT113&lt;FT_Y5,1+INT((AT113-FT_First)/FT_Int1),FT_PreY5+FT_PerYear*INT((AT113-FT_Y5)/12)+FT_AnnivDays+INT(MOD(AT113-FT_Y5,12)/FT_Int2))),IF(AO113="PT",IF(AT113&lt;PT_First,0,1+INT((AT113-PT_First)/PT_Int)),0))-IF(AO113="FT",IF(AS113&lt;FT_First,0,IF(AS113&lt;FT_Y5,1+INT((AS113-FT_First)/FT_Int1),FT_PreY5+FT_PerYear*INT((AS113-FT_Y5)/12)+FT_AnnivDays+INT(MOD(AS113-FT_Y5,12)/FT_Int2))),IF(AO113="PT",IF(AS113&lt;PT_First,0,1+INT((AS113-PT_First)/PT_Int)),0)),0)+IF(AND(AG113&gt;=3,AJ113&lt;=AsOfDate),IF(AP113="FT",IF(AR113&lt;FT_First,0,IF(AR113&lt;FT_Y5,1+INT((AR113-FT_First)/FT_Int1),FT_PreY5+FT_PerYear*INT((AR113-FT_Y5)/12)+FT_AnnivDays+INT(MOD(AR113-FT_Y5,12)/FT_Int2))),IF(AP113="PT",IF(AR113&lt;PT_First,0,1+INT((AR113-PT_First)/PT_Int)),0))-IF(AP113="FT",IF(AT113&lt;FT_First,0,IF(AT113&lt;FT_Y5,1+INT((AT113-FT_First)/FT_Int1),FT_PreY5+FT_PerYear*INT((AT113-FT_Y5)/12)+FT_AnnivDays+INT(MOD(AT113-FT_Y5,12)/FT_Int2))),IF(AP113="PT",IF(AT113&lt;PT_First,0,1+INT((AT113-PT_First)/PT_Int)),0)),0))</f>
        <v/>
      </c>
      <c r="AY113" s="12" t="str">
        <f aca="false">IF(AE113=0,"",IF(AN113="FT",IF(AV113&lt;FT_First,0,IF(AV113&lt;FT_Y5,1+INT((AV113-FT_First)/FT_Int1),FT_PreY5+FT_PerYear*INT((AV113-FT_Y5)/12)+FT_AnnivDays+INT(MOD(AV113-FT_Y5,12)/FT_Int2))),IF(AN113="PT",IF(AV113&lt;PT_First,0,1+INT((AV113-PT_First)/PT_Int)),0))+IF(AND(AG113&gt;=2,AI113&lt;=PFYDate),IF(AO113="FT",IF(AW113&lt;FT_First,0,IF(AW113&lt;FT_Y5,1+INT((AW113-FT_First)/FT_Int1),FT_PreY5+FT_PerYear*INT((AW113-FT_Y5)/12)+FT_AnnivDays+INT(MOD(AW113-FT_Y5,12)/FT_Int2))),IF(AO113="PT",IF(AW113&lt;PT_First,0,1+INT((AW113-PT_First)/PT_Int)),0))-IF(AO113="FT",IF(AV113&lt;FT_First,0,IF(AV113&lt;FT_Y5,1+INT((AV113-FT_First)/FT_Int1),FT_PreY5+FT_PerYear*INT((AV113-FT_Y5)/12)+FT_AnnivDays+INT(MOD(AV113-FT_Y5,12)/FT_Int2))),IF(AO113="PT",IF(AV113&lt;PT_First,0,1+INT((AV113-PT_First)/PT_Int)),0)),0)+IF(AND(AG113&gt;=3,AJ113&lt;=PFYDate),IF(AP113="FT",IF(AU113&lt;FT_First,0,IF(AU113&lt;FT_Y5,1+INT((AU113-FT_First)/FT_Int1),FT_PreY5+FT_PerYear*INT((AU113-FT_Y5)/12)+FT_AnnivDays+INT(MOD(AU113-FT_Y5,12)/FT_Int2))),IF(AP113="PT",IF(AU113&lt;PT_First,0,1+INT((AU113-PT_First)/PT_Int)),0))-IF(AP113="FT",IF(AW113&lt;FT_First,0,IF(AW113&lt;FT_Y5,1+INT((AW113-FT_First)/FT_Int1),FT_PreY5+FT_PerYear*INT((AW113-FT_Y5)/12)+FT_AnnivDays+INT(MOD(AW113-FT_Y5,12)/FT_Int2))),IF(AP113="PT",IF(AW113&lt;PT_First,0,1+INT((AW113-PT_First)/PT_Int)),0)),0))</f>
        <v/>
      </c>
      <c r="AZ113" s="12" t="str">
        <f aca="false">IF(AE113=0,"",IF(AQ113="FT",IF(AR113&lt;FT_First,FT_First,IF(AR113&lt;FT_Y5,MIN(FT_Y5,FT_First+FT_Int1*(INT((AR113-FT_First)/FT_Int1)+1)),FT_Y5+12*INT((AR113-FT_Y5)/12)+FT_Int2*(INT(MOD(AR113-FT_Y5,12)/FT_Int2)+1))),IF(AQ113="PT",IF(AR113&lt;PT_First,PT_First,PT_First+PT_Int*(INT((AR113-PT_First)/PT_Int)+1)),"")))</f>
        <v/>
      </c>
      <c r="BA113" s="12" t="str">
        <f aca="false">IF(AE113=0,"",IF(NOT(LH_Ready),0,COUNTIFS(INDEX(LH_Data,0,LH_ColFirst),$A113,INDEX(LH_Data,0,LH_ColSur),$B113,INDEX(LH_Data,0,LH_ColCat),BonusCat)))</f>
        <v/>
      </c>
      <c r="BB113" s="12" t="str">
        <f aca="false">IF(AE113=0,"",IF(OR(NOT(LH_Ready),BA113=0),0,SUMPRODUCT(MAX((INDEX(LH_Data,0,LH_ColFirst)=$A113)*(INDEX(LH_Data,0,LH_ColSur)=$B113)*(INDEX(LH_Data,0,LH_ColCat)=BonusCat)*ROW(LH_Data)))))</f>
        <v/>
      </c>
    </row>
    <row r="114" customFormat="false" ht="15" hidden="false" customHeight="false" outlineLevel="0" collapsed="false">
      <c r="A114" s="15"/>
      <c r="B114" s="15"/>
      <c r="C114" s="15"/>
      <c r="D114" s="16"/>
      <c r="E114" s="10" t="str">
        <f aca="false">IF(OR(AE114=0,$D114=""),"",DATE(YEAR(AsOfDate)+IF(DATE(YEAR(AsOfDate),MONTH($D114),DAY($D114))&lt;=AsOfDate,1,0),MONTH($D114),DAY($D114)))</f>
        <v/>
      </c>
      <c r="F114" s="16"/>
      <c r="G114" s="16"/>
      <c r="H114" s="16"/>
      <c r="I114" s="16"/>
      <c r="J114" s="16"/>
      <c r="K114" s="10" t="str">
        <f aca="false">IF(AE114=0,"",DATE(YEAR(AsOfDate)+IF(DATE(YEAR(AsOfDate),MONTH($F114),DAY($F114))&lt;=AsOfDate,1,0),MONTH($F114),DAY($F114)))</f>
        <v/>
      </c>
      <c r="L114" s="11" t="str">
        <f aca="false">IF(AE114=0,"",ROUND((AsOfDate-$F114)/365.25,1))</f>
        <v/>
      </c>
      <c r="M114" s="12" t="str">
        <f aca="false">IF(AE114=0,"",IF(AsOfDate&lt;AF114,"-",DATEDIF(AF114,AsOfDate,"y")&amp;"y "&amp;DATEDIF(AF114,AsOfDate,"ym")&amp;"m "&amp;DATEDIF(AF114,AsOfDate,"md")&amp;"d"))</f>
        <v/>
      </c>
      <c r="N114" s="13" t="str">
        <f aca="false">IF(AE114=0,"",O114*HoursPerDay)</f>
        <v/>
      </c>
      <c r="O114" s="13" t="str">
        <f aca="false">IF(AE114=0,"",AX114)</f>
        <v/>
      </c>
      <c r="P114" s="17"/>
      <c r="Q114" s="12" t="str">
        <f aca="false">IF(AE114=0,"",IF(AG114&lt;2,"",AK114&amp;" to "&amp;AL114&amp;" on "&amp;TEXT(AI114,"dd/mm/yyyy")&amp;IF(AI114&gt;AsOfDate," (future)",IF(AN114=AO114,"",IF(AO114="None"," - STOPPED accruing",IF(AN114="None"," - now qualifying"," - pathway changed"))))&amp;IF(AG114&lt;3,"","; "&amp;AL114&amp;" to "&amp;AM114&amp;" on "&amp;TEXT(AJ114,"dd/mm/yyyy")&amp;IF(AJ114&gt;AsOfDate," (future)",IF(AO114=AP114,"",IF(AP114="None"," - STOPPED accruing",IF(AO114="None"," - now qualifying"," - pathway changed")))))))</f>
        <v/>
      </c>
      <c r="R114" s="12" t="str">
        <f aca="false">IF(AE114=0,"",IF(AQ114="None",IF(O114&gt;0,"No longer accruing","Not eligible - "&amp;IF(AND(OR(ISNUMBER(SEARCH("part",$C114)),UPPER(TRIM($C114))="PT",UPPER(TRIM($C114))="PTE"),$P114&lt;&gt;"",N($P114)&lt;PT_MinHours),"under "&amp;PT_MinHours&amp;" hrs",IF(IF($C114="","",IF(OR(ISNUMBER(SEARCH("full",$C114)),UPPER(TRIM($C114))="FT",UPPER(TRIM($C114))="FTE"),"Full-Time",IF(OR(ISNUMBER(SEARCH("part",$C114)),UPPER(TRIM($C114))="PT",UPPER(TRIM($C114))="PTE"),"Part-Time",IF(OR(ISNUMBER(SEARCH("cas",$C114)),UPPER(TRIM($C114))="CAS"),"Casual","Unknown"))))="Unknown","type not recognised",$C114))),IF(O114&gt;0,"Yes - accruing","Not yet - from "&amp;TEXT(S114,"dd/mm/yyyy"))))</f>
        <v/>
      </c>
      <c r="S114" s="10" t="str">
        <f aca="false">IF(AE114=0,"",IF(AQ114="None","",EDATE(AF114,AZ114)))</f>
        <v/>
      </c>
      <c r="T114" s="13" t="str">
        <f aca="false">IF(OR(AE114=0,W114=""),"",W114-U114+V114)</f>
        <v/>
      </c>
      <c r="U114" s="13" t="str">
        <f aca="false">IF(AE114=0,"",IF(NOT(LH_Ready),"",SUMIFS(INDEX(LH_Data,0,LH_ColAcc),INDEX(LH_Data,0,LH_ColFirst),$A114,INDEX(LH_Data,0,LH_ColSur),$B114,INDEX(LH_Data,0,LH_ColCat),BonusCat)*UnitFactor))</f>
        <v/>
      </c>
      <c r="V114" s="13" t="str">
        <f aca="false">IF(AE114=0,"",IF(NOT(LH_Ready),"",SUMIFS(INDEX(LH_Data,0,LH_ColTaken),INDEX(LH_Data,0,LH_ColFirst),$A114,INDEX(LH_Data,0,LH_ColSur),$B114,INDEX(LH_Data,0,LH_ColCat),BonusCat)*UnitFactor))</f>
        <v/>
      </c>
      <c r="W114" s="13" t="str">
        <f aca="false">IF(AE114=0,"",IF(NOT(LH_Ready),"",IF(BB114=0,0,INDEX(INDEX(LH_Data,0,LH_ColClose),BB114-1)*UnitFactor)))</f>
        <v/>
      </c>
      <c r="X114" s="13" t="str">
        <f aca="false">IF(AE114=0,"",(AX114-AY114)*HoursPerDay)</f>
        <v/>
      </c>
      <c r="Y114" s="13" t="str">
        <f aca="false">IF(AE114=0,"",IF(NOT(LH_Ready),"",IF(BA114=0,N114,X114-N(U114))))</f>
        <v/>
      </c>
      <c r="Z114" s="12" t="str">
        <f aca="false">IF(OR(AE114=0,Y114=""),"",IF(Y114&gt;0,"Yes","No"))</f>
        <v/>
      </c>
      <c r="AA114" s="12" t="str">
        <f aca="false">IF(AE114=0,IF(LEN($A114&amp;$B114)=0,"","FIX INPUT - StartDate missing"),IF(AD114&lt;&gt;"","FIX INPUT - "&amp;AD114,IF(NOT(LH_Ready),"Paste Leave History export (Settings must show YES)",IF(Y114&gt;0,"ACCRUE "&amp;ROUND(Y114,2)&amp;" hrs ("&amp;ROUND(Y114/HoursPerDay,2)&amp;" days)"&amp;IF(BA114=0," - no Bonus Leave in EH yet, full catch-up since start",""),IF(Y114&lt;0,"CHECK - EH accrued "&amp;ROUND(-Y114,2)&amp;""&amp;" hrs more than policy",IF(O114&gt;0,"OK - nothing to add",IF(AQ114="None",R114,"Not yet - first day on "&amp;TEXT(S114,"dd/mm/yyyy"))))))))</f>
        <v/>
      </c>
      <c r="AB114" s="13" t="str">
        <f aca="false">IF(OR(AE114=0,T114=""),"",AY114*HoursPerDay-T114)</f>
        <v/>
      </c>
      <c r="AC114" s="12" t="str">
        <f aca="false">IF(AE114=0,"",BA114)</f>
        <v/>
      </c>
      <c r="AD114" s="12" t="str">
        <f aca="false">IF(AE114=0,"",TRIM(IF(IF($C114="","",IF(OR(ISNUMBER(SEARCH("full",$C114)),UPPER(TRIM($C114))="FT",UPPER(TRIM($C114))="FTE"),"Full-Time",IF(OR(ISNUMBER(SEARCH("part",$C114)),UPPER(TRIM($C114))="PT",UPPER(TRIM($C114))="PTE"),"Part-Time",IF(OR(ISNUMBER(SEARCH("cas",$C114)),UPPER(TRIM($C114))="CAS"),"Casual","Unknown"))))="Unknown","EmploymentType not recognised - use Full-Time, Part-Time or Casual. ","")&amp;IF(AND(AG114&gt;=1,IF(AG114&gt;=3,AM114,IF(AG114=2,AL114,AK114))&lt;&gt;IF($C114="","",IF(OR(ISNUMBER(SEARCH("full",$C114)),UPPER(TRIM($C114))="FT",UPPER(TRIM($C114))="FTE"),"Full-Time",IF(OR(ISNUMBER(SEARCH("part",$C114)),UPPER(TRIM($C114))="PT",UPPER(TRIM($C114))="PTE"),"Part-Time",IF(OR(ISNUMBER(SEARCH("cas",$C114)),UPPER(TRIM($C114))="CAS"),"Casual","Unknown"))))),"EmploymentType does not match latest start date ("&amp;IF(AG114&gt;=3,AM114,IF(AG114=2,AL114,AK114))&amp;"). ","")&amp;IF(AND(AG114&gt;=1,AH114&lt;&gt;$F114),"Earliest type date should equal StartDate. ","")&amp;IF(AND(AG114&gt;=2,AH114=AI114),"Two types start on the same date. ","")&amp;IF(AND(OR(ISNUMBER(SEARCH("part",$C114)),UPPER(TRIM($C114))="PT",UPPER(TRIM($C114))="PTE"),$P114=""),"Part-time: enter PT Hrs/Week (blank = 24+). ","")))</f>
        <v/>
      </c>
      <c r="AE114" s="12" t="n">
        <f aca="false">IF(OR(LEN($A114&amp;$B114)=0,$F114=""),0,1)</f>
        <v>0</v>
      </c>
      <c r="AF114" s="10" t="str">
        <f aca="false">IF(AE114=0,"",IF($J114&lt;&gt;"",$J114,$F114))</f>
        <v/>
      </c>
      <c r="AG114" s="12" t="str">
        <f aca="false">IF(AE114=0,"",COUNT($G114:$I114))</f>
        <v/>
      </c>
      <c r="AH114" s="10" t="str">
        <f aca="false">IF(AE114=0,"",IFERROR(SMALL($G114:$I114,1),""))</f>
        <v/>
      </c>
      <c r="AI114" s="10" t="str">
        <f aca="false">IF(AE114=0,"",IFERROR(SMALL($G114:$I114,2),""))</f>
        <v/>
      </c>
      <c r="AJ114" s="10" t="str">
        <f aca="false">IF(AE114=0,"",IFERROR(SMALL($G114:$I114,3),""))</f>
        <v/>
      </c>
      <c r="AK114" s="12" t="str">
        <f aca="false">IF(AE114=0,"",IF(AH114="","",IF(AH114=$G114,"Part-Time",IF(AH114=$H114,"Full-Time","Casual"))))</f>
        <v/>
      </c>
      <c r="AL114" s="12" t="str">
        <f aca="false">IF(AE114=0,"",IF(AI114="","",IF(AI114=$G114,"Part-Time",IF(AI114=$H114,"Full-Time","Casual"))))</f>
        <v/>
      </c>
      <c r="AM114" s="12" t="str">
        <f aca="false">IF(AE114=0,"",IF(AJ114="","",IF(AJ114=$G114,"Part-Time",IF(AJ114=$H114,"Full-Time","Casual"))))</f>
        <v/>
      </c>
      <c r="AN114" s="12" t="str">
        <f aca="false">IF(AE114=0,"",IF(AG114=0,IF(OR(ISNUMBER(SEARCH("full",$C114)),UPPER(TRIM($C114))="FT",UPPER(TRIM($C114))="FTE"),"FT",IF(AND(OR(ISNUMBER(SEARCH("part",$C114)),UPPER(TRIM($C114))="PT",UPPER(TRIM($C114))="PTE"),OR($P114="",N($P114)&gt;=PT_MinHours)),"PT","None")),IF(OR(ISNUMBER(SEARCH("full",AK114)),UPPER(TRIM(AK114))="FT",UPPER(TRIM(AK114))="FTE"),"FT",IF(AND(OR(ISNUMBER(SEARCH("part",AK114)),UPPER(TRIM(AK114))="PT",UPPER(TRIM(AK114))="PTE"),OR($P114="",N($P114)&gt;=PT_MinHours)),"PT","None"))))</f>
        <v/>
      </c>
      <c r="AO114" s="12" t="str">
        <f aca="false">IF(AE114=0,"",IF(AG114&lt;2,"",IF(OR(ISNUMBER(SEARCH("full",AL114)),UPPER(TRIM(AL114))="FT",UPPER(TRIM(AL114))="FTE"),"FT",IF(AND(OR(ISNUMBER(SEARCH("part",AL114)),UPPER(TRIM(AL114))="PT",UPPER(TRIM(AL114))="PTE"),OR($P114="",N($P114)&gt;=PT_MinHours)),"PT","None"))))</f>
        <v/>
      </c>
      <c r="AP114" s="12" t="str">
        <f aca="false">IF(AE114=0,"",IF(AG114&lt;3,"",IF(OR(ISNUMBER(SEARCH("full",AM114)),UPPER(TRIM(AM114))="FT",UPPER(TRIM(AM114))="FTE"),"FT",IF(AND(OR(ISNUMBER(SEARCH("part",AM114)),UPPER(TRIM(AM114))="PT",UPPER(TRIM(AM114))="PTE"),OR($P114="",N($P114)&gt;=PT_MinHours)),"PT","None"))))</f>
        <v/>
      </c>
      <c r="AQ114" s="12" t="str">
        <f aca="false">IF(AE114=0,"",IF(AND(AG114&gt;=3,AJ114&lt;=AsOfDate),AP114,IF(AND(AG114&gt;=2,AI114&lt;=AsOfDate),AO114,AN114)))</f>
        <v/>
      </c>
      <c r="AR114" s="12" t="str">
        <f aca="false">IF(AE114=0,"",IF(AsOfDate&lt;AF114,-1,12*(YEAR(AsOfDate)-YEAR(AF114))+MONTH(AsOfDate)-MONTH(AF114)-IF(DAY(AsOfDate)&lt;MIN(DAY(AF114),DAY(EOMONTH(AsOfDate,0))),1,0)))</f>
        <v/>
      </c>
      <c r="AS114" s="12" t="str">
        <f aca="false">IF(AE114=0,"",IF(OR(AG114&lt;2,AI114&gt;AsOfDate),AR114,IF((AI114-1)&lt;AF114,-1,12*(YEAR((AI114-1))-YEAR(AF114))+MONTH((AI114-1))-MONTH(AF114)-IF(DAY((AI114-1))&lt;MIN(DAY(AF114),DAY(EOMONTH((AI114-1),0))),1,0))))</f>
        <v/>
      </c>
      <c r="AT114" s="12" t="str">
        <f aca="false">IF(AE114=0,"",IF(OR(AG114&lt;3,AJ114&gt;AsOfDate),AR114,IF((AJ114-1)&lt;AF114,-1,12*(YEAR((AJ114-1))-YEAR(AF114))+MONTH((AJ114-1))-MONTH(AF114)-IF(DAY((AJ114-1))&lt;MIN(DAY(AF114),DAY(EOMONTH((AJ114-1),0))),1,0))))</f>
        <v/>
      </c>
      <c r="AU114" s="12" t="str">
        <f aca="false">IF(AE114=0,"",IF(PFYDate&lt;AF114,-1,12*(YEAR(PFYDate)-YEAR(AF114))+MONTH(PFYDate)-MONTH(AF114)-IF(DAY(PFYDate)&lt;MIN(DAY(AF114),DAY(EOMONTH(PFYDate,0))),1,0)))</f>
        <v/>
      </c>
      <c r="AV114" s="12" t="str">
        <f aca="false">IF(AE114=0,"",IF(OR(AG114&lt;2,AI114&gt;PFYDate),AU114,IF((AI114-1)&lt;AF114,-1,12*(YEAR((AI114-1))-YEAR(AF114))+MONTH((AI114-1))-MONTH(AF114)-IF(DAY((AI114-1))&lt;MIN(DAY(AF114),DAY(EOMONTH((AI114-1),0))),1,0))))</f>
        <v/>
      </c>
      <c r="AW114" s="12" t="str">
        <f aca="false">IF(AE114=0,"",IF(OR(AG114&lt;3,AJ114&gt;PFYDate),AU114,IF((AJ114-1)&lt;AF114,-1,12*(YEAR((AJ114-1))-YEAR(AF114))+MONTH((AJ114-1))-MONTH(AF114)-IF(DAY((AJ114-1))&lt;MIN(DAY(AF114),DAY(EOMONTH((AJ114-1),0))),1,0))))</f>
        <v/>
      </c>
      <c r="AX114" s="12" t="str">
        <f aca="false">IF(AE114=0,"",IF(AN114="FT",IF(AS114&lt;FT_First,0,IF(AS114&lt;FT_Y5,1+INT((AS114-FT_First)/FT_Int1),FT_PreY5+FT_PerYear*INT((AS114-FT_Y5)/12)+FT_AnnivDays+INT(MOD(AS114-FT_Y5,12)/FT_Int2))),IF(AN114="PT",IF(AS114&lt;PT_First,0,1+INT((AS114-PT_First)/PT_Int)),0))+IF(AND(AG114&gt;=2,AI114&lt;=AsOfDate),IF(AO114="FT",IF(AT114&lt;FT_First,0,IF(AT114&lt;FT_Y5,1+INT((AT114-FT_First)/FT_Int1),FT_PreY5+FT_PerYear*INT((AT114-FT_Y5)/12)+FT_AnnivDays+INT(MOD(AT114-FT_Y5,12)/FT_Int2))),IF(AO114="PT",IF(AT114&lt;PT_First,0,1+INT((AT114-PT_First)/PT_Int)),0))-IF(AO114="FT",IF(AS114&lt;FT_First,0,IF(AS114&lt;FT_Y5,1+INT((AS114-FT_First)/FT_Int1),FT_PreY5+FT_PerYear*INT((AS114-FT_Y5)/12)+FT_AnnivDays+INT(MOD(AS114-FT_Y5,12)/FT_Int2))),IF(AO114="PT",IF(AS114&lt;PT_First,0,1+INT((AS114-PT_First)/PT_Int)),0)),0)+IF(AND(AG114&gt;=3,AJ114&lt;=AsOfDate),IF(AP114="FT",IF(AR114&lt;FT_First,0,IF(AR114&lt;FT_Y5,1+INT((AR114-FT_First)/FT_Int1),FT_PreY5+FT_PerYear*INT((AR114-FT_Y5)/12)+FT_AnnivDays+INT(MOD(AR114-FT_Y5,12)/FT_Int2))),IF(AP114="PT",IF(AR114&lt;PT_First,0,1+INT((AR114-PT_First)/PT_Int)),0))-IF(AP114="FT",IF(AT114&lt;FT_First,0,IF(AT114&lt;FT_Y5,1+INT((AT114-FT_First)/FT_Int1),FT_PreY5+FT_PerYear*INT((AT114-FT_Y5)/12)+FT_AnnivDays+INT(MOD(AT114-FT_Y5,12)/FT_Int2))),IF(AP114="PT",IF(AT114&lt;PT_First,0,1+INT((AT114-PT_First)/PT_Int)),0)),0))</f>
        <v/>
      </c>
      <c r="AY114" s="12" t="str">
        <f aca="false">IF(AE114=0,"",IF(AN114="FT",IF(AV114&lt;FT_First,0,IF(AV114&lt;FT_Y5,1+INT((AV114-FT_First)/FT_Int1),FT_PreY5+FT_PerYear*INT((AV114-FT_Y5)/12)+FT_AnnivDays+INT(MOD(AV114-FT_Y5,12)/FT_Int2))),IF(AN114="PT",IF(AV114&lt;PT_First,0,1+INT((AV114-PT_First)/PT_Int)),0))+IF(AND(AG114&gt;=2,AI114&lt;=PFYDate),IF(AO114="FT",IF(AW114&lt;FT_First,0,IF(AW114&lt;FT_Y5,1+INT((AW114-FT_First)/FT_Int1),FT_PreY5+FT_PerYear*INT((AW114-FT_Y5)/12)+FT_AnnivDays+INT(MOD(AW114-FT_Y5,12)/FT_Int2))),IF(AO114="PT",IF(AW114&lt;PT_First,0,1+INT((AW114-PT_First)/PT_Int)),0))-IF(AO114="FT",IF(AV114&lt;FT_First,0,IF(AV114&lt;FT_Y5,1+INT((AV114-FT_First)/FT_Int1),FT_PreY5+FT_PerYear*INT((AV114-FT_Y5)/12)+FT_AnnivDays+INT(MOD(AV114-FT_Y5,12)/FT_Int2))),IF(AO114="PT",IF(AV114&lt;PT_First,0,1+INT((AV114-PT_First)/PT_Int)),0)),0)+IF(AND(AG114&gt;=3,AJ114&lt;=PFYDate),IF(AP114="FT",IF(AU114&lt;FT_First,0,IF(AU114&lt;FT_Y5,1+INT((AU114-FT_First)/FT_Int1),FT_PreY5+FT_PerYear*INT((AU114-FT_Y5)/12)+FT_AnnivDays+INT(MOD(AU114-FT_Y5,12)/FT_Int2))),IF(AP114="PT",IF(AU114&lt;PT_First,0,1+INT((AU114-PT_First)/PT_Int)),0))-IF(AP114="FT",IF(AW114&lt;FT_First,0,IF(AW114&lt;FT_Y5,1+INT((AW114-FT_First)/FT_Int1),FT_PreY5+FT_PerYear*INT((AW114-FT_Y5)/12)+FT_AnnivDays+INT(MOD(AW114-FT_Y5,12)/FT_Int2))),IF(AP114="PT",IF(AW114&lt;PT_First,0,1+INT((AW114-PT_First)/PT_Int)),0)),0))</f>
        <v/>
      </c>
      <c r="AZ114" s="12" t="str">
        <f aca="false">IF(AE114=0,"",IF(AQ114="FT",IF(AR114&lt;FT_First,FT_First,IF(AR114&lt;FT_Y5,MIN(FT_Y5,FT_First+FT_Int1*(INT((AR114-FT_First)/FT_Int1)+1)),FT_Y5+12*INT((AR114-FT_Y5)/12)+FT_Int2*(INT(MOD(AR114-FT_Y5,12)/FT_Int2)+1))),IF(AQ114="PT",IF(AR114&lt;PT_First,PT_First,PT_First+PT_Int*(INT((AR114-PT_First)/PT_Int)+1)),"")))</f>
        <v/>
      </c>
      <c r="BA114" s="12" t="str">
        <f aca="false">IF(AE114=0,"",IF(NOT(LH_Ready),0,COUNTIFS(INDEX(LH_Data,0,LH_ColFirst),$A114,INDEX(LH_Data,0,LH_ColSur),$B114,INDEX(LH_Data,0,LH_ColCat),BonusCat)))</f>
        <v/>
      </c>
      <c r="BB114" s="12" t="str">
        <f aca="false">IF(AE114=0,"",IF(OR(NOT(LH_Ready),BA114=0),0,SUMPRODUCT(MAX((INDEX(LH_Data,0,LH_ColFirst)=$A114)*(INDEX(LH_Data,0,LH_ColSur)=$B114)*(INDEX(LH_Data,0,LH_ColCat)=BonusCat)*ROW(LH_Data)))))</f>
        <v/>
      </c>
    </row>
    <row r="115" customFormat="false" ht="15" hidden="false" customHeight="false" outlineLevel="0" collapsed="false">
      <c r="A115" s="15"/>
      <c r="B115" s="15"/>
      <c r="C115" s="15"/>
      <c r="D115" s="16"/>
      <c r="E115" s="10" t="str">
        <f aca="false">IF(OR(AE115=0,$D115=""),"",DATE(YEAR(AsOfDate)+IF(DATE(YEAR(AsOfDate),MONTH($D115),DAY($D115))&lt;=AsOfDate,1,0),MONTH($D115),DAY($D115)))</f>
        <v/>
      </c>
      <c r="F115" s="16"/>
      <c r="G115" s="16"/>
      <c r="H115" s="16"/>
      <c r="I115" s="16"/>
      <c r="J115" s="16"/>
      <c r="K115" s="10" t="str">
        <f aca="false">IF(AE115=0,"",DATE(YEAR(AsOfDate)+IF(DATE(YEAR(AsOfDate),MONTH($F115),DAY($F115))&lt;=AsOfDate,1,0),MONTH($F115),DAY($F115)))</f>
        <v/>
      </c>
      <c r="L115" s="11" t="str">
        <f aca="false">IF(AE115=0,"",ROUND((AsOfDate-$F115)/365.25,1))</f>
        <v/>
      </c>
      <c r="M115" s="12" t="str">
        <f aca="false">IF(AE115=0,"",IF(AsOfDate&lt;AF115,"-",DATEDIF(AF115,AsOfDate,"y")&amp;"y "&amp;DATEDIF(AF115,AsOfDate,"ym")&amp;"m "&amp;DATEDIF(AF115,AsOfDate,"md")&amp;"d"))</f>
        <v/>
      </c>
      <c r="N115" s="13" t="str">
        <f aca="false">IF(AE115=0,"",O115*HoursPerDay)</f>
        <v/>
      </c>
      <c r="O115" s="13" t="str">
        <f aca="false">IF(AE115=0,"",AX115)</f>
        <v/>
      </c>
      <c r="P115" s="17"/>
      <c r="Q115" s="12" t="str">
        <f aca="false">IF(AE115=0,"",IF(AG115&lt;2,"",AK115&amp;" to "&amp;AL115&amp;" on "&amp;TEXT(AI115,"dd/mm/yyyy")&amp;IF(AI115&gt;AsOfDate," (future)",IF(AN115=AO115,"",IF(AO115="None"," - STOPPED accruing",IF(AN115="None"," - now qualifying"," - pathway changed"))))&amp;IF(AG115&lt;3,"","; "&amp;AL115&amp;" to "&amp;AM115&amp;" on "&amp;TEXT(AJ115,"dd/mm/yyyy")&amp;IF(AJ115&gt;AsOfDate," (future)",IF(AO115=AP115,"",IF(AP115="None"," - STOPPED accruing",IF(AO115="None"," - now qualifying"," - pathway changed")))))))</f>
        <v/>
      </c>
      <c r="R115" s="12" t="str">
        <f aca="false">IF(AE115=0,"",IF(AQ115="None",IF(O115&gt;0,"No longer accruing","Not eligible - "&amp;IF(AND(OR(ISNUMBER(SEARCH("part",$C115)),UPPER(TRIM($C115))="PT",UPPER(TRIM($C115))="PTE"),$P115&lt;&gt;"",N($P115)&lt;PT_MinHours),"under "&amp;PT_MinHours&amp;" hrs",IF(IF($C115="","",IF(OR(ISNUMBER(SEARCH("full",$C115)),UPPER(TRIM($C115))="FT",UPPER(TRIM($C115))="FTE"),"Full-Time",IF(OR(ISNUMBER(SEARCH("part",$C115)),UPPER(TRIM($C115))="PT",UPPER(TRIM($C115))="PTE"),"Part-Time",IF(OR(ISNUMBER(SEARCH("cas",$C115)),UPPER(TRIM($C115))="CAS"),"Casual","Unknown"))))="Unknown","type not recognised",$C115))),IF(O115&gt;0,"Yes - accruing","Not yet - from "&amp;TEXT(S115,"dd/mm/yyyy"))))</f>
        <v/>
      </c>
      <c r="S115" s="10" t="str">
        <f aca="false">IF(AE115=0,"",IF(AQ115="None","",EDATE(AF115,AZ115)))</f>
        <v/>
      </c>
      <c r="T115" s="13" t="str">
        <f aca="false">IF(OR(AE115=0,W115=""),"",W115-U115+V115)</f>
        <v/>
      </c>
      <c r="U115" s="13" t="str">
        <f aca="false">IF(AE115=0,"",IF(NOT(LH_Ready),"",SUMIFS(INDEX(LH_Data,0,LH_ColAcc),INDEX(LH_Data,0,LH_ColFirst),$A115,INDEX(LH_Data,0,LH_ColSur),$B115,INDEX(LH_Data,0,LH_ColCat),BonusCat)*UnitFactor))</f>
        <v/>
      </c>
      <c r="V115" s="13" t="str">
        <f aca="false">IF(AE115=0,"",IF(NOT(LH_Ready),"",SUMIFS(INDEX(LH_Data,0,LH_ColTaken),INDEX(LH_Data,0,LH_ColFirst),$A115,INDEX(LH_Data,0,LH_ColSur),$B115,INDEX(LH_Data,0,LH_ColCat),BonusCat)*UnitFactor))</f>
        <v/>
      </c>
      <c r="W115" s="13" t="str">
        <f aca="false">IF(AE115=0,"",IF(NOT(LH_Ready),"",IF(BB115=0,0,INDEX(INDEX(LH_Data,0,LH_ColClose),BB115-1)*UnitFactor)))</f>
        <v/>
      </c>
      <c r="X115" s="13" t="str">
        <f aca="false">IF(AE115=0,"",(AX115-AY115)*HoursPerDay)</f>
        <v/>
      </c>
      <c r="Y115" s="13" t="str">
        <f aca="false">IF(AE115=0,"",IF(NOT(LH_Ready),"",IF(BA115=0,N115,X115-N(U115))))</f>
        <v/>
      </c>
      <c r="Z115" s="12" t="str">
        <f aca="false">IF(OR(AE115=0,Y115=""),"",IF(Y115&gt;0,"Yes","No"))</f>
        <v/>
      </c>
      <c r="AA115" s="12" t="str">
        <f aca="false">IF(AE115=0,IF(LEN($A115&amp;$B115)=0,"","FIX INPUT - StartDate missing"),IF(AD115&lt;&gt;"","FIX INPUT - "&amp;AD115,IF(NOT(LH_Ready),"Paste Leave History export (Settings must show YES)",IF(Y115&gt;0,"ACCRUE "&amp;ROUND(Y115,2)&amp;" hrs ("&amp;ROUND(Y115/HoursPerDay,2)&amp;" days)"&amp;IF(BA115=0," - no Bonus Leave in EH yet, full catch-up since start",""),IF(Y115&lt;0,"CHECK - EH accrued "&amp;ROUND(-Y115,2)&amp;""&amp;" hrs more than policy",IF(O115&gt;0,"OK - nothing to add",IF(AQ115="None",R115,"Not yet - first day on "&amp;TEXT(S115,"dd/mm/yyyy"))))))))</f>
        <v/>
      </c>
      <c r="AB115" s="13" t="str">
        <f aca="false">IF(OR(AE115=0,T115=""),"",AY115*HoursPerDay-T115)</f>
        <v/>
      </c>
      <c r="AC115" s="12" t="str">
        <f aca="false">IF(AE115=0,"",BA115)</f>
        <v/>
      </c>
      <c r="AD115" s="12" t="str">
        <f aca="false">IF(AE115=0,"",TRIM(IF(IF($C115="","",IF(OR(ISNUMBER(SEARCH("full",$C115)),UPPER(TRIM($C115))="FT",UPPER(TRIM($C115))="FTE"),"Full-Time",IF(OR(ISNUMBER(SEARCH("part",$C115)),UPPER(TRIM($C115))="PT",UPPER(TRIM($C115))="PTE"),"Part-Time",IF(OR(ISNUMBER(SEARCH("cas",$C115)),UPPER(TRIM($C115))="CAS"),"Casual","Unknown"))))="Unknown","EmploymentType not recognised - use Full-Time, Part-Time or Casual. ","")&amp;IF(AND(AG115&gt;=1,IF(AG115&gt;=3,AM115,IF(AG115=2,AL115,AK115))&lt;&gt;IF($C115="","",IF(OR(ISNUMBER(SEARCH("full",$C115)),UPPER(TRIM($C115))="FT",UPPER(TRIM($C115))="FTE"),"Full-Time",IF(OR(ISNUMBER(SEARCH("part",$C115)),UPPER(TRIM($C115))="PT",UPPER(TRIM($C115))="PTE"),"Part-Time",IF(OR(ISNUMBER(SEARCH("cas",$C115)),UPPER(TRIM($C115))="CAS"),"Casual","Unknown"))))),"EmploymentType does not match latest start date ("&amp;IF(AG115&gt;=3,AM115,IF(AG115=2,AL115,AK115))&amp;"). ","")&amp;IF(AND(AG115&gt;=1,AH115&lt;&gt;$F115),"Earliest type date should equal StartDate. ","")&amp;IF(AND(AG115&gt;=2,AH115=AI115),"Two types start on the same date. ","")&amp;IF(AND(OR(ISNUMBER(SEARCH("part",$C115)),UPPER(TRIM($C115))="PT",UPPER(TRIM($C115))="PTE"),$P115=""),"Part-time: enter PT Hrs/Week (blank = 24+). ","")))</f>
        <v/>
      </c>
      <c r="AE115" s="12" t="n">
        <f aca="false">IF(OR(LEN($A115&amp;$B115)=0,$F115=""),0,1)</f>
        <v>0</v>
      </c>
      <c r="AF115" s="10" t="str">
        <f aca="false">IF(AE115=0,"",IF($J115&lt;&gt;"",$J115,$F115))</f>
        <v/>
      </c>
      <c r="AG115" s="12" t="str">
        <f aca="false">IF(AE115=0,"",COUNT($G115:$I115))</f>
        <v/>
      </c>
      <c r="AH115" s="10" t="str">
        <f aca="false">IF(AE115=0,"",IFERROR(SMALL($G115:$I115,1),""))</f>
        <v/>
      </c>
      <c r="AI115" s="10" t="str">
        <f aca="false">IF(AE115=0,"",IFERROR(SMALL($G115:$I115,2),""))</f>
        <v/>
      </c>
      <c r="AJ115" s="10" t="str">
        <f aca="false">IF(AE115=0,"",IFERROR(SMALL($G115:$I115,3),""))</f>
        <v/>
      </c>
      <c r="AK115" s="12" t="str">
        <f aca="false">IF(AE115=0,"",IF(AH115="","",IF(AH115=$G115,"Part-Time",IF(AH115=$H115,"Full-Time","Casual"))))</f>
        <v/>
      </c>
      <c r="AL115" s="12" t="str">
        <f aca="false">IF(AE115=0,"",IF(AI115="","",IF(AI115=$G115,"Part-Time",IF(AI115=$H115,"Full-Time","Casual"))))</f>
        <v/>
      </c>
      <c r="AM115" s="12" t="str">
        <f aca="false">IF(AE115=0,"",IF(AJ115="","",IF(AJ115=$G115,"Part-Time",IF(AJ115=$H115,"Full-Time","Casual"))))</f>
        <v/>
      </c>
      <c r="AN115" s="12" t="str">
        <f aca="false">IF(AE115=0,"",IF(AG115=0,IF(OR(ISNUMBER(SEARCH("full",$C115)),UPPER(TRIM($C115))="FT",UPPER(TRIM($C115))="FTE"),"FT",IF(AND(OR(ISNUMBER(SEARCH("part",$C115)),UPPER(TRIM($C115))="PT",UPPER(TRIM($C115))="PTE"),OR($P115="",N($P115)&gt;=PT_MinHours)),"PT","None")),IF(OR(ISNUMBER(SEARCH("full",AK115)),UPPER(TRIM(AK115))="FT",UPPER(TRIM(AK115))="FTE"),"FT",IF(AND(OR(ISNUMBER(SEARCH("part",AK115)),UPPER(TRIM(AK115))="PT",UPPER(TRIM(AK115))="PTE"),OR($P115="",N($P115)&gt;=PT_MinHours)),"PT","None"))))</f>
        <v/>
      </c>
      <c r="AO115" s="12" t="str">
        <f aca="false">IF(AE115=0,"",IF(AG115&lt;2,"",IF(OR(ISNUMBER(SEARCH("full",AL115)),UPPER(TRIM(AL115))="FT",UPPER(TRIM(AL115))="FTE"),"FT",IF(AND(OR(ISNUMBER(SEARCH("part",AL115)),UPPER(TRIM(AL115))="PT",UPPER(TRIM(AL115))="PTE"),OR($P115="",N($P115)&gt;=PT_MinHours)),"PT","None"))))</f>
        <v/>
      </c>
      <c r="AP115" s="12" t="str">
        <f aca="false">IF(AE115=0,"",IF(AG115&lt;3,"",IF(OR(ISNUMBER(SEARCH("full",AM115)),UPPER(TRIM(AM115))="FT",UPPER(TRIM(AM115))="FTE"),"FT",IF(AND(OR(ISNUMBER(SEARCH("part",AM115)),UPPER(TRIM(AM115))="PT",UPPER(TRIM(AM115))="PTE"),OR($P115="",N($P115)&gt;=PT_MinHours)),"PT","None"))))</f>
        <v/>
      </c>
      <c r="AQ115" s="12" t="str">
        <f aca="false">IF(AE115=0,"",IF(AND(AG115&gt;=3,AJ115&lt;=AsOfDate),AP115,IF(AND(AG115&gt;=2,AI115&lt;=AsOfDate),AO115,AN115)))</f>
        <v/>
      </c>
      <c r="AR115" s="12" t="str">
        <f aca="false">IF(AE115=0,"",IF(AsOfDate&lt;AF115,-1,12*(YEAR(AsOfDate)-YEAR(AF115))+MONTH(AsOfDate)-MONTH(AF115)-IF(DAY(AsOfDate)&lt;MIN(DAY(AF115),DAY(EOMONTH(AsOfDate,0))),1,0)))</f>
        <v/>
      </c>
      <c r="AS115" s="12" t="str">
        <f aca="false">IF(AE115=0,"",IF(OR(AG115&lt;2,AI115&gt;AsOfDate),AR115,IF((AI115-1)&lt;AF115,-1,12*(YEAR((AI115-1))-YEAR(AF115))+MONTH((AI115-1))-MONTH(AF115)-IF(DAY((AI115-1))&lt;MIN(DAY(AF115),DAY(EOMONTH((AI115-1),0))),1,0))))</f>
        <v/>
      </c>
      <c r="AT115" s="12" t="str">
        <f aca="false">IF(AE115=0,"",IF(OR(AG115&lt;3,AJ115&gt;AsOfDate),AR115,IF((AJ115-1)&lt;AF115,-1,12*(YEAR((AJ115-1))-YEAR(AF115))+MONTH((AJ115-1))-MONTH(AF115)-IF(DAY((AJ115-1))&lt;MIN(DAY(AF115),DAY(EOMONTH((AJ115-1),0))),1,0))))</f>
        <v/>
      </c>
      <c r="AU115" s="12" t="str">
        <f aca="false">IF(AE115=0,"",IF(PFYDate&lt;AF115,-1,12*(YEAR(PFYDate)-YEAR(AF115))+MONTH(PFYDate)-MONTH(AF115)-IF(DAY(PFYDate)&lt;MIN(DAY(AF115),DAY(EOMONTH(PFYDate,0))),1,0)))</f>
        <v/>
      </c>
      <c r="AV115" s="12" t="str">
        <f aca="false">IF(AE115=0,"",IF(OR(AG115&lt;2,AI115&gt;PFYDate),AU115,IF((AI115-1)&lt;AF115,-1,12*(YEAR((AI115-1))-YEAR(AF115))+MONTH((AI115-1))-MONTH(AF115)-IF(DAY((AI115-1))&lt;MIN(DAY(AF115),DAY(EOMONTH((AI115-1),0))),1,0))))</f>
        <v/>
      </c>
      <c r="AW115" s="12" t="str">
        <f aca="false">IF(AE115=0,"",IF(OR(AG115&lt;3,AJ115&gt;PFYDate),AU115,IF((AJ115-1)&lt;AF115,-1,12*(YEAR((AJ115-1))-YEAR(AF115))+MONTH((AJ115-1))-MONTH(AF115)-IF(DAY((AJ115-1))&lt;MIN(DAY(AF115),DAY(EOMONTH((AJ115-1),0))),1,0))))</f>
        <v/>
      </c>
      <c r="AX115" s="12" t="str">
        <f aca="false">IF(AE115=0,"",IF(AN115="FT",IF(AS115&lt;FT_First,0,IF(AS115&lt;FT_Y5,1+INT((AS115-FT_First)/FT_Int1),FT_PreY5+FT_PerYear*INT((AS115-FT_Y5)/12)+FT_AnnivDays+INT(MOD(AS115-FT_Y5,12)/FT_Int2))),IF(AN115="PT",IF(AS115&lt;PT_First,0,1+INT((AS115-PT_First)/PT_Int)),0))+IF(AND(AG115&gt;=2,AI115&lt;=AsOfDate),IF(AO115="FT",IF(AT115&lt;FT_First,0,IF(AT115&lt;FT_Y5,1+INT((AT115-FT_First)/FT_Int1),FT_PreY5+FT_PerYear*INT((AT115-FT_Y5)/12)+FT_AnnivDays+INT(MOD(AT115-FT_Y5,12)/FT_Int2))),IF(AO115="PT",IF(AT115&lt;PT_First,0,1+INT((AT115-PT_First)/PT_Int)),0))-IF(AO115="FT",IF(AS115&lt;FT_First,0,IF(AS115&lt;FT_Y5,1+INT((AS115-FT_First)/FT_Int1),FT_PreY5+FT_PerYear*INT((AS115-FT_Y5)/12)+FT_AnnivDays+INT(MOD(AS115-FT_Y5,12)/FT_Int2))),IF(AO115="PT",IF(AS115&lt;PT_First,0,1+INT((AS115-PT_First)/PT_Int)),0)),0)+IF(AND(AG115&gt;=3,AJ115&lt;=AsOfDate),IF(AP115="FT",IF(AR115&lt;FT_First,0,IF(AR115&lt;FT_Y5,1+INT((AR115-FT_First)/FT_Int1),FT_PreY5+FT_PerYear*INT((AR115-FT_Y5)/12)+FT_AnnivDays+INT(MOD(AR115-FT_Y5,12)/FT_Int2))),IF(AP115="PT",IF(AR115&lt;PT_First,0,1+INT((AR115-PT_First)/PT_Int)),0))-IF(AP115="FT",IF(AT115&lt;FT_First,0,IF(AT115&lt;FT_Y5,1+INT((AT115-FT_First)/FT_Int1),FT_PreY5+FT_PerYear*INT((AT115-FT_Y5)/12)+FT_AnnivDays+INT(MOD(AT115-FT_Y5,12)/FT_Int2))),IF(AP115="PT",IF(AT115&lt;PT_First,0,1+INT((AT115-PT_First)/PT_Int)),0)),0))</f>
        <v/>
      </c>
      <c r="AY115" s="12" t="str">
        <f aca="false">IF(AE115=0,"",IF(AN115="FT",IF(AV115&lt;FT_First,0,IF(AV115&lt;FT_Y5,1+INT((AV115-FT_First)/FT_Int1),FT_PreY5+FT_PerYear*INT((AV115-FT_Y5)/12)+FT_AnnivDays+INT(MOD(AV115-FT_Y5,12)/FT_Int2))),IF(AN115="PT",IF(AV115&lt;PT_First,0,1+INT((AV115-PT_First)/PT_Int)),0))+IF(AND(AG115&gt;=2,AI115&lt;=PFYDate),IF(AO115="FT",IF(AW115&lt;FT_First,0,IF(AW115&lt;FT_Y5,1+INT((AW115-FT_First)/FT_Int1),FT_PreY5+FT_PerYear*INT((AW115-FT_Y5)/12)+FT_AnnivDays+INT(MOD(AW115-FT_Y5,12)/FT_Int2))),IF(AO115="PT",IF(AW115&lt;PT_First,0,1+INT((AW115-PT_First)/PT_Int)),0))-IF(AO115="FT",IF(AV115&lt;FT_First,0,IF(AV115&lt;FT_Y5,1+INT((AV115-FT_First)/FT_Int1),FT_PreY5+FT_PerYear*INT((AV115-FT_Y5)/12)+FT_AnnivDays+INT(MOD(AV115-FT_Y5,12)/FT_Int2))),IF(AO115="PT",IF(AV115&lt;PT_First,0,1+INT((AV115-PT_First)/PT_Int)),0)),0)+IF(AND(AG115&gt;=3,AJ115&lt;=PFYDate),IF(AP115="FT",IF(AU115&lt;FT_First,0,IF(AU115&lt;FT_Y5,1+INT((AU115-FT_First)/FT_Int1),FT_PreY5+FT_PerYear*INT((AU115-FT_Y5)/12)+FT_AnnivDays+INT(MOD(AU115-FT_Y5,12)/FT_Int2))),IF(AP115="PT",IF(AU115&lt;PT_First,0,1+INT((AU115-PT_First)/PT_Int)),0))-IF(AP115="FT",IF(AW115&lt;FT_First,0,IF(AW115&lt;FT_Y5,1+INT((AW115-FT_First)/FT_Int1),FT_PreY5+FT_PerYear*INT((AW115-FT_Y5)/12)+FT_AnnivDays+INT(MOD(AW115-FT_Y5,12)/FT_Int2))),IF(AP115="PT",IF(AW115&lt;PT_First,0,1+INT((AW115-PT_First)/PT_Int)),0)),0))</f>
        <v/>
      </c>
      <c r="AZ115" s="12" t="str">
        <f aca="false">IF(AE115=0,"",IF(AQ115="FT",IF(AR115&lt;FT_First,FT_First,IF(AR115&lt;FT_Y5,MIN(FT_Y5,FT_First+FT_Int1*(INT((AR115-FT_First)/FT_Int1)+1)),FT_Y5+12*INT((AR115-FT_Y5)/12)+FT_Int2*(INT(MOD(AR115-FT_Y5,12)/FT_Int2)+1))),IF(AQ115="PT",IF(AR115&lt;PT_First,PT_First,PT_First+PT_Int*(INT((AR115-PT_First)/PT_Int)+1)),"")))</f>
        <v/>
      </c>
      <c r="BA115" s="12" t="str">
        <f aca="false">IF(AE115=0,"",IF(NOT(LH_Ready),0,COUNTIFS(INDEX(LH_Data,0,LH_ColFirst),$A115,INDEX(LH_Data,0,LH_ColSur),$B115,INDEX(LH_Data,0,LH_ColCat),BonusCat)))</f>
        <v/>
      </c>
      <c r="BB115" s="12" t="str">
        <f aca="false">IF(AE115=0,"",IF(OR(NOT(LH_Ready),BA115=0),0,SUMPRODUCT(MAX((INDEX(LH_Data,0,LH_ColFirst)=$A115)*(INDEX(LH_Data,0,LH_ColSur)=$B115)*(INDEX(LH_Data,0,LH_ColCat)=BonusCat)*ROW(LH_Data)))))</f>
        <v/>
      </c>
    </row>
    <row r="116" customFormat="false" ht="15" hidden="false" customHeight="false" outlineLevel="0" collapsed="false">
      <c r="A116" s="15"/>
      <c r="B116" s="15"/>
      <c r="C116" s="15"/>
      <c r="D116" s="16"/>
      <c r="E116" s="10" t="str">
        <f aca="false">IF(OR(AE116=0,$D116=""),"",DATE(YEAR(AsOfDate)+IF(DATE(YEAR(AsOfDate),MONTH($D116),DAY($D116))&lt;=AsOfDate,1,0),MONTH($D116),DAY($D116)))</f>
        <v/>
      </c>
      <c r="F116" s="16"/>
      <c r="G116" s="16"/>
      <c r="H116" s="16"/>
      <c r="I116" s="16"/>
      <c r="J116" s="16"/>
      <c r="K116" s="10" t="str">
        <f aca="false">IF(AE116=0,"",DATE(YEAR(AsOfDate)+IF(DATE(YEAR(AsOfDate),MONTH($F116),DAY($F116))&lt;=AsOfDate,1,0),MONTH($F116),DAY($F116)))</f>
        <v/>
      </c>
      <c r="L116" s="11" t="str">
        <f aca="false">IF(AE116=0,"",ROUND((AsOfDate-$F116)/365.25,1))</f>
        <v/>
      </c>
      <c r="M116" s="12" t="str">
        <f aca="false">IF(AE116=0,"",IF(AsOfDate&lt;AF116,"-",DATEDIF(AF116,AsOfDate,"y")&amp;"y "&amp;DATEDIF(AF116,AsOfDate,"ym")&amp;"m "&amp;DATEDIF(AF116,AsOfDate,"md")&amp;"d"))</f>
        <v/>
      </c>
      <c r="N116" s="13" t="str">
        <f aca="false">IF(AE116=0,"",O116*HoursPerDay)</f>
        <v/>
      </c>
      <c r="O116" s="13" t="str">
        <f aca="false">IF(AE116=0,"",AX116)</f>
        <v/>
      </c>
      <c r="P116" s="17"/>
      <c r="Q116" s="12" t="str">
        <f aca="false">IF(AE116=0,"",IF(AG116&lt;2,"",AK116&amp;" to "&amp;AL116&amp;" on "&amp;TEXT(AI116,"dd/mm/yyyy")&amp;IF(AI116&gt;AsOfDate," (future)",IF(AN116=AO116,"",IF(AO116="None"," - STOPPED accruing",IF(AN116="None"," - now qualifying"," - pathway changed"))))&amp;IF(AG116&lt;3,"","; "&amp;AL116&amp;" to "&amp;AM116&amp;" on "&amp;TEXT(AJ116,"dd/mm/yyyy")&amp;IF(AJ116&gt;AsOfDate," (future)",IF(AO116=AP116,"",IF(AP116="None"," - STOPPED accruing",IF(AO116="None"," - now qualifying"," - pathway changed")))))))</f>
        <v/>
      </c>
      <c r="R116" s="12" t="str">
        <f aca="false">IF(AE116=0,"",IF(AQ116="None",IF(O116&gt;0,"No longer accruing","Not eligible - "&amp;IF(AND(OR(ISNUMBER(SEARCH("part",$C116)),UPPER(TRIM($C116))="PT",UPPER(TRIM($C116))="PTE"),$P116&lt;&gt;"",N($P116)&lt;PT_MinHours),"under "&amp;PT_MinHours&amp;" hrs",IF(IF($C116="","",IF(OR(ISNUMBER(SEARCH("full",$C116)),UPPER(TRIM($C116))="FT",UPPER(TRIM($C116))="FTE"),"Full-Time",IF(OR(ISNUMBER(SEARCH("part",$C116)),UPPER(TRIM($C116))="PT",UPPER(TRIM($C116))="PTE"),"Part-Time",IF(OR(ISNUMBER(SEARCH("cas",$C116)),UPPER(TRIM($C116))="CAS"),"Casual","Unknown"))))="Unknown","type not recognised",$C116))),IF(O116&gt;0,"Yes - accruing","Not yet - from "&amp;TEXT(S116,"dd/mm/yyyy"))))</f>
        <v/>
      </c>
      <c r="S116" s="10" t="str">
        <f aca="false">IF(AE116=0,"",IF(AQ116="None","",EDATE(AF116,AZ116)))</f>
        <v/>
      </c>
      <c r="T116" s="13" t="str">
        <f aca="false">IF(OR(AE116=0,W116=""),"",W116-U116+V116)</f>
        <v/>
      </c>
      <c r="U116" s="13" t="str">
        <f aca="false">IF(AE116=0,"",IF(NOT(LH_Ready),"",SUMIFS(INDEX(LH_Data,0,LH_ColAcc),INDEX(LH_Data,0,LH_ColFirst),$A116,INDEX(LH_Data,0,LH_ColSur),$B116,INDEX(LH_Data,0,LH_ColCat),BonusCat)*UnitFactor))</f>
        <v/>
      </c>
      <c r="V116" s="13" t="str">
        <f aca="false">IF(AE116=0,"",IF(NOT(LH_Ready),"",SUMIFS(INDEX(LH_Data,0,LH_ColTaken),INDEX(LH_Data,0,LH_ColFirst),$A116,INDEX(LH_Data,0,LH_ColSur),$B116,INDEX(LH_Data,0,LH_ColCat),BonusCat)*UnitFactor))</f>
        <v/>
      </c>
      <c r="W116" s="13" t="str">
        <f aca="false">IF(AE116=0,"",IF(NOT(LH_Ready),"",IF(BB116=0,0,INDEX(INDEX(LH_Data,0,LH_ColClose),BB116-1)*UnitFactor)))</f>
        <v/>
      </c>
      <c r="X116" s="13" t="str">
        <f aca="false">IF(AE116=0,"",(AX116-AY116)*HoursPerDay)</f>
        <v/>
      </c>
      <c r="Y116" s="13" t="str">
        <f aca="false">IF(AE116=0,"",IF(NOT(LH_Ready),"",IF(BA116=0,N116,X116-N(U116))))</f>
        <v/>
      </c>
      <c r="Z116" s="12" t="str">
        <f aca="false">IF(OR(AE116=0,Y116=""),"",IF(Y116&gt;0,"Yes","No"))</f>
        <v/>
      </c>
      <c r="AA116" s="12" t="str">
        <f aca="false">IF(AE116=0,IF(LEN($A116&amp;$B116)=0,"","FIX INPUT - StartDate missing"),IF(AD116&lt;&gt;"","FIX INPUT - "&amp;AD116,IF(NOT(LH_Ready),"Paste Leave History export (Settings must show YES)",IF(Y116&gt;0,"ACCRUE "&amp;ROUND(Y116,2)&amp;" hrs ("&amp;ROUND(Y116/HoursPerDay,2)&amp;" days)"&amp;IF(BA116=0," - no Bonus Leave in EH yet, full catch-up since start",""),IF(Y116&lt;0,"CHECK - EH accrued "&amp;ROUND(-Y116,2)&amp;""&amp;" hrs more than policy",IF(O116&gt;0,"OK - nothing to add",IF(AQ116="None",R116,"Not yet - first day on "&amp;TEXT(S116,"dd/mm/yyyy"))))))))</f>
        <v/>
      </c>
      <c r="AB116" s="13" t="str">
        <f aca="false">IF(OR(AE116=0,T116=""),"",AY116*HoursPerDay-T116)</f>
        <v/>
      </c>
      <c r="AC116" s="12" t="str">
        <f aca="false">IF(AE116=0,"",BA116)</f>
        <v/>
      </c>
      <c r="AD116" s="12" t="str">
        <f aca="false">IF(AE116=0,"",TRIM(IF(IF($C116="","",IF(OR(ISNUMBER(SEARCH("full",$C116)),UPPER(TRIM($C116))="FT",UPPER(TRIM($C116))="FTE"),"Full-Time",IF(OR(ISNUMBER(SEARCH("part",$C116)),UPPER(TRIM($C116))="PT",UPPER(TRIM($C116))="PTE"),"Part-Time",IF(OR(ISNUMBER(SEARCH("cas",$C116)),UPPER(TRIM($C116))="CAS"),"Casual","Unknown"))))="Unknown","EmploymentType not recognised - use Full-Time, Part-Time or Casual. ","")&amp;IF(AND(AG116&gt;=1,IF(AG116&gt;=3,AM116,IF(AG116=2,AL116,AK116))&lt;&gt;IF($C116="","",IF(OR(ISNUMBER(SEARCH("full",$C116)),UPPER(TRIM($C116))="FT",UPPER(TRIM($C116))="FTE"),"Full-Time",IF(OR(ISNUMBER(SEARCH("part",$C116)),UPPER(TRIM($C116))="PT",UPPER(TRIM($C116))="PTE"),"Part-Time",IF(OR(ISNUMBER(SEARCH("cas",$C116)),UPPER(TRIM($C116))="CAS"),"Casual","Unknown"))))),"EmploymentType does not match latest start date ("&amp;IF(AG116&gt;=3,AM116,IF(AG116=2,AL116,AK116))&amp;"). ","")&amp;IF(AND(AG116&gt;=1,AH116&lt;&gt;$F116),"Earliest type date should equal StartDate. ","")&amp;IF(AND(AG116&gt;=2,AH116=AI116),"Two types start on the same date. ","")&amp;IF(AND(OR(ISNUMBER(SEARCH("part",$C116)),UPPER(TRIM($C116))="PT",UPPER(TRIM($C116))="PTE"),$P116=""),"Part-time: enter PT Hrs/Week (blank = 24+). ","")))</f>
        <v/>
      </c>
      <c r="AE116" s="12" t="n">
        <f aca="false">IF(OR(LEN($A116&amp;$B116)=0,$F116=""),0,1)</f>
        <v>0</v>
      </c>
      <c r="AF116" s="10" t="str">
        <f aca="false">IF(AE116=0,"",IF($J116&lt;&gt;"",$J116,$F116))</f>
        <v/>
      </c>
      <c r="AG116" s="12" t="str">
        <f aca="false">IF(AE116=0,"",COUNT($G116:$I116))</f>
        <v/>
      </c>
      <c r="AH116" s="10" t="str">
        <f aca="false">IF(AE116=0,"",IFERROR(SMALL($G116:$I116,1),""))</f>
        <v/>
      </c>
      <c r="AI116" s="10" t="str">
        <f aca="false">IF(AE116=0,"",IFERROR(SMALL($G116:$I116,2),""))</f>
        <v/>
      </c>
      <c r="AJ116" s="10" t="str">
        <f aca="false">IF(AE116=0,"",IFERROR(SMALL($G116:$I116,3),""))</f>
        <v/>
      </c>
      <c r="AK116" s="12" t="str">
        <f aca="false">IF(AE116=0,"",IF(AH116="","",IF(AH116=$G116,"Part-Time",IF(AH116=$H116,"Full-Time","Casual"))))</f>
        <v/>
      </c>
      <c r="AL116" s="12" t="str">
        <f aca="false">IF(AE116=0,"",IF(AI116="","",IF(AI116=$G116,"Part-Time",IF(AI116=$H116,"Full-Time","Casual"))))</f>
        <v/>
      </c>
      <c r="AM116" s="12" t="str">
        <f aca="false">IF(AE116=0,"",IF(AJ116="","",IF(AJ116=$G116,"Part-Time",IF(AJ116=$H116,"Full-Time","Casual"))))</f>
        <v/>
      </c>
      <c r="AN116" s="12" t="str">
        <f aca="false">IF(AE116=0,"",IF(AG116=0,IF(OR(ISNUMBER(SEARCH("full",$C116)),UPPER(TRIM($C116))="FT",UPPER(TRIM($C116))="FTE"),"FT",IF(AND(OR(ISNUMBER(SEARCH("part",$C116)),UPPER(TRIM($C116))="PT",UPPER(TRIM($C116))="PTE"),OR($P116="",N($P116)&gt;=PT_MinHours)),"PT","None")),IF(OR(ISNUMBER(SEARCH("full",AK116)),UPPER(TRIM(AK116))="FT",UPPER(TRIM(AK116))="FTE"),"FT",IF(AND(OR(ISNUMBER(SEARCH("part",AK116)),UPPER(TRIM(AK116))="PT",UPPER(TRIM(AK116))="PTE"),OR($P116="",N($P116)&gt;=PT_MinHours)),"PT","None"))))</f>
        <v/>
      </c>
      <c r="AO116" s="12" t="str">
        <f aca="false">IF(AE116=0,"",IF(AG116&lt;2,"",IF(OR(ISNUMBER(SEARCH("full",AL116)),UPPER(TRIM(AL116))="FT",UPPER(TRIM(AL116))="FTE"),"FT",IF(AND(OR(ISNUMBER(SEARCH("part",AL116)),UPPER(TRIM(AL116))="PT",UPPER(TRIM(AL116))="PTE"),OR($P116="",N($P116)&gt;=PT_MinHours)),"PT","None"))))</f>
        <v/>
      </c>
      <c r="AP116" s="12" t="str">
        <f aca="false">IF(AE116=0,"",IF(AG116&lt;3,"",IF(OR(ISNUMBER(SEARCH("full",AM116)),UPPER(TRIM(AM116))="FT",UPPER(TRIM(AM116))="FTE"),"FT",IF(AND(OR(ISNUMBER(SEARCH("part",AM116)),UPPER(TRIM(AM116))="PT",UPPER(TRIM(AM116))="PTE"),OR($P116="",N($P116)&gt;=PT_MinHours)),"PT","None"))))</f>
        <v/>
      </c>
      <c r="AQ116" s="12" t="str">
        <f aca="false">IF(AE116=0,"",IF(AND(AG116&gt;=3,AJ116&lt;=AsOfDate),AP116,IF(AND(AG116&gt;=2,AI116&lt;=AsOfDate),AO116,AN116)))</f>
        <v/>
      </c>
      <c r="AR116" s="12" t="str">
        <f aca="false">IF(AE116=0,"",IF(AsOfDate&lt;AF116,-1,12*(YEAR(AsOfDate)-YEAR(AF116))+MONTH(AsOfDate)-MONTH(AF116)-IF(DAY(AsOfDate)&lt;MIN(DAY(AF116),DAY(EOMONTH(AsOfDate,0))),1,0)))</f>
        <v/>
      </c>
      <c r="AS116" s="12" t="str">
        <f aca="false">IF(AE116=0,"",IF(OR(AG116&lt;2,AI116&gt;AsOfDate),AR116,IF((AI116-1)&lt;AF116,-1,12*(YEAR((AI116-1))-YEAR(AF116))+MONTH((AI116-1))-MONTH(AF116)-IF(DAY((AI116-1))&lt;MIN(DAY(AF116),DAY(EOMONTH((AI116-1),0))),1,0))))</f>
        <v/>
      </c>
      <c r="AT116" s="12" t="str">
        <f aca="false">IF(AE116=0,"",IF(OR(AG116&lt;3,AJ116&gt;AsOfDate),AR116,IF((AJ116-1)&lt;AF116,-1,12*(YEAR((AJ116-1))-YEAR(AF116))+MONTH((AJ116-1))-MONTH(AF116)-IF(DAY((AJ116-1))&lt;MIN(DAY(AF116),DAY(EOMONTH((AJ116-1),0))),1,0))))</f>
        <v/>
      </c>
      <c r="AU116" s="12" t="str">
        <f aca="false">IF(AE116=0,"",IF(PFYDate&lt;AF116,-1,12*(YEAR(PFYDate)-YEAR(AF116))+MONTH(PFYDate)-MONTH(AF116)-IF(DAY(PFYDate)&lt;MIN(DAY(AF116),DAY(EOMONTH(PFYDate,0))),1,0)))</f>
        <v/>
      </c>
      <c r="AV116" s="12" t="str">
        <f aca="false">IF(AE116=0,"",IF(OR(AG116&lt;2,AI116&gt;PFYDate),AU116,IF((AI116-1)&lt;AF116,-1,12*(YEAR((AI116-1))-YEAR(AF116))+MONTH((AI116-1))-MONTH(AF116)-IF(DAY((AI116-1))&lt;MIN(DAY(AF116),DAY(EOMONTH((AI116-1),0))),1,0))))</f>
        <v/>
      </c>
      <c r="AW116" s="12" t="str">
        <f aca="false">IF(AE116=0,"",IF(OR(AG116&lt;3,AJ116&gt;PFYDate),AU116,IF((AJ116-1)&lt;AF116,-1,12*(YEAR((AJ116-1))-YEAR(AF116))+MONTH((AJ116-1))-MONTH(AF116)-IF(DAY((AJ116-1))&lt;MIN(DAY(AF116),DAY(EOMONTH((AJ116-1),0))),1,0))))</f>
        <v/>
      </c>
      <c r="AX116" s="12" t="str">
        <f aca="false">IF(AE116=0,"",IF(AN116="FT",IF(AS116&lt;FT_First,0,IF(AS116&lt;FT_Y5,1+INT((AS116-FT_First)/FT_Int1),FT_PreY5+FT_PerYear*INT((AS116-FT_Y5)/12)+FT_AnnivDays+INT(MOD(AS116-FT_Y5,12)/FT_Int2))),IF(AN116="PT",IF(AS116&lt;PT_First,0,1+INT((AS116-PT_First)/PT_Int)),0))+IF(AND(AG116&gt;=2,AI116&lt;=AsOfDate),IF(AO116="FT",IF(AT116&lt;FT_First,0,IF(AT116&lt;FT_Y5,1+INT((AT116-FT_First)/FT_Int1),FT_PreY5+FT_PerYear*INT((AT116-FT_Y5)/12)+FT_AnnivDays+INT(MOD(AT116-FT_Y5,12)/FT_Int2))),IF(AO116="PT",IF(AT116&lt;PT_First,0,1+INT((AT116-PT_First)/PT_Int)),0))-IF(AO116="FT",IF(AS116&lt;FT_First,0,IF(AS116&lt;FT_Y5,1+INT((AS116-FT_First)/FT_Int1),FT_PreY5+FT_PerYear*INT((AS116-FT_Y5)/12)+FT_AnnivDays+INT(MOD(AS116-FT_Y5,12)/FT_Int2))),IF(AO116="PT",IF(AS116&lt;PT_First,0,1+INT((AS116-PT_First)/PT_Int)),0)),0)+IF(AND(AG116&gt;=3,AJ116&lt;=AsOfDate),IF(AP116="FT",IF(AR116&lt;FT_First,0,IF(AR116&lt;FT_Y5,1+INT((AR116-FT_First)/FT_Int1),FT_PreY5+FT_PerYear*INT((AR116-FT_Y5)/12)+FT_AnnivDays+INT(MOD(AR116-FT_Y5,12)/FT_Int2))),IF(AP116="PT",IF(AR116&lt;PT_First,0,1+INT((AR116-PT_First)/PT_Int)),0))-IF(AP116="FT",IF(AT116&lt;FT_First,0,IF(AT116&lt;FT_Y5,1+INT((AT116-FT_First)/FT_Int1),FT_PreY5+FT_PerYear*INT((AT116-FT_Y5)/12)+FT_AnnivDays+INT(MOD(AT116-FT_Y5,12)/FT_Int2))),IF(AP116="PT",IF(AT116&lt;PT_First,0,1+INT((AT116-PT_First)/PT_Int)),0)),0))</f>
        <v/>
      </c>
      <c r="AY116" s="12" t="str">
        <f aca="false">IF(AE116=0,"",IF(AN116="FT",IF(AV116&lt;FT_First,0,IF(AV116&lt;FT_Y5,1+INT((AV116-FT_First)/FT_Int1),FT_PreY5+FT_PerYear*INT((AV116-FT_Y5)/12)+FT_AnnivDays+INT(MOD(AV116-FT_Y5,12)/FT_Int2))),IF(AN116="PT",IF(AV116&lt;PT_First,0,1+INT((AV116-PT_First)/PT_Int)),0))+IF(AND(AG116&gt;=2,AI116&lt;=PFYDate),IF(AO116="FT",IF(AW116&lt;FT_First,0,IF(AW116&lt;FT_Y5,1+INT((AW116-FT_First)/FT_Int1),FT_PreY5+FT_PerYear*INT((AW116-FT_Y5)/12)+FT_AnnivDays+INT(MOD(AW116-FT_Y5,12)/FT_Int2))),IF(AO116="PT",IF(AW116&lt;PT_First,0,1+INT((AW116-PT_First)/PT_Int)),0))-IF(AO116="FT",IF(AV116&lt;FT_First,0,IF(AV116&lt;FT_Y5,1+INT((AV116-FT_First)/FT_Int1),FT_PreY5+FT_PerYear*INT((AV116-FT_Y5)/12)+FT_AnnivDays+INT(MOD(AV116-FT_Y5,12)/FT_Int2))),IF(AO116="PT",IF(AV116&lt;PT_First,0,1+INT((AV116-PT_First)/PT_Int)),0)),0)+IF(AND(AG116&gt;=3,AJ116&lt;=PFYDate),IF(AP116="FT",IF(AU116&lt;FT_First,0,IF(AU116&lt;FT_Y5,1+INT((AU116-FT_First)/FT_Int1),FT_PreY5+FT_PerYear*INT((AU116-FT_Y5)/12)+FT_AnnivDays+INT(MOD(AU116-FT_Y5,12)/FT_Int2))),IF(AP116="PT",IF(AU116&lt;PT_First,0,1+INT((AU116-PT_First)/PT_Int)),0))-IF(AP116="FT",IF(AW116&lt;FT_First,0,IF(AW116&lt;FT_Y5,1+INT((AW116-FT_First)/FT_Int1),FT_PreY5+FT_PerYear*INT((AW116-FT_Y5)/12)+FT_AnnivDays+INT(MOD(AW116-FT_Y5,12)/FT_Int2))),IF(AP116="PT",IF(AW116&lt;PT_First,0,1+INT((AW116-PT_First)/PT_Int)),0)),0))</f>
        <v/>
      </c>
      <c r="AZ116" s="12" t="str">
        <f aca="false">IF(AE116=0,"",IF(AQ116="FT",IF(AR116&lt;FT_First,FT_First,IF(AR116&lt;FT_Y5,MIN(FT_Y5,FT_First+FT_Int1*(INT((AR116-FT_First)/FT_Int1)+1)),FT_Y5+12*INT((AR116-FT_Y5)/12)+FT_Int2*(INT(MOD(AR116-FT_Y5,12)/FT_Int2)+1))),IF(AQ116="PT",IF(AR116&lt;PT_First,PT_First,PT_First+PT_Int*(INT((AR116-PT_First)/PT_Int)+1)),"")))</f>
        <v/>
      </c>
      <c r="BA116" s="12" t="str">
        <f aca="false">IF(AE116=0,"",IF(NOT(LH_Ready),0,COUNTIFS(INDEX(LH_Data,0,LH_ColFirst),$A116,INDEX(LH_Data,0,LH_ColSur),$B116,INDEX(LH_Data,0,LH_ColCat),BonusCat)))</f>
        <v/>
      </c>
      <c r="BB116" s="12" t="str">
        <f aca="false">IF(AE116=0,"",IF(OR(NOT(LH_Ready),BA116=0),0,SUMPRODUCT(MAX((INDEX(LH_Data,0,LH_ColFirst)=$A116)*(INDEX(LH_Data,0,LH_ColSur)=$B116)*(INDEX(LH_Data,0,LH_ColCat)=BonusCat)*ROW(LH_Data)))))</f>
        <v/>
      </c>
    </row>
    <row r="117" customFormat="false" ht="15" hidden="false" customHeight="false" outlineLevel="0" collapsed="false">
      <c r="A117" s="15"/>
      <c r="B117" s="15"/>
      <c r="C117" s="15"/>
      <c r="D117" s="16"/>
      <c r="E117" s="10" t="str">
        <f aca="false">IF(OR(AE117=0,$D117=""),"",DATE(YEAR(AsOfDate)+IF(DATE(YEAR(AsOfDate),MONTH($D117),DAY($D117))&lt;=AsOfDate,1,0),MONTH($D117),DAY($D117)))</f>
        <v/>
      </c>
      <c r="F117" s="16"/>
      <c r="G117" s="16"/>
      <c r="H117" s="16"/>
      <c r="I117" s="16"/>
      <c r="J117" s="16"/>
      <c r="K117" s="10" t="str">
        <f aca="false">IF(AE117=0,"",DATE(YEAR(AsOfDate)+IF(DATE(YEAR(AsOfDate),MONTH($F117),DAY($F117))&lt;=AsOfDate,1,0),MONTH($F117),DAY($F117)))</f>
        <v/>
      </c>
      <c r="L117" s="11" t="str">
        <f aca="false">IF(AE117=0,"",ROUND((AsOfDate-$F117)/365.25,1))</f>
        <v/>
      </c>
      <c r="M117" s="12" t="str">
        <f aca="false">IF(AE117=0,"",IF(AsOfDate&lt;AF117,"-",DATEDIF(AF117,AsOfDate,"y")&amp;"y "&amp;DATEDIF(AF117,AsOfDate,"ym")&amp;"m "&amp;DATEDIF(AF117,AsOfDate,"md")&amp;"d"))</f>
        <v/>
      </c>
      <c r="N117" s="13" t="str">
        <f aca="false">IF(AE117=0,"",O117*HoursPerDay)</f>
        <v/>
      </c>
      <c r="O117" s="13" t="str">
        <f aca="false">IF(AE117=0,"",AX117)</f>
        <v/>
      </c>
      <c r="P117" s="17"/>
      <c r="Q117" s="12" t="str">
        <f aca="false">IF(AE117=0,"",IF(AG117&lt;2,"",AK117&amp;" to "&amp;AL117&amp;" on "&amp;TEXT(AI117,"dd/mm/yyyy")&amp;IF(AI117&gt;AsOfDate," (future)",IF(AN117=AO117,"",IF(AO117="None"," - STOPPED accruing",IF(AN117="None"," - now qualifying"," - pathway changed"))))&amp;IF(AG117&lt;3,"","; "&amp;AL117&amp;" to "&amp;AM117&amp;" on "&amp;TEXT(AJ117,"dd/mm/yyyy")&amp;IF(AJ117&gt;AsOfDate," (future)",IF(AO117=AP117,"",IF(AP117="None"," - STOPPED accruing",IF(AO117="None"," - now qualifying"," - pathway changed")))))))</f>
        <v/>
      </c>
      <c r="R117" s="12" t="str">
        <f aca="false">IF(AE117=0,"",IF(AQ117="None",IF(O117&gt;0,"No longer accruing","Not eligible - "&amp;IF(AND(OR(ISNUMBER(SEARCH("part",$C117)),UPPER(TRIM($C117))="PT",UPPER(TRIM($C117))="PTE"),$P117&lt;&gt;"",N($P117)&lt;PT_MinHours),"under "&amp;PT_MinHours&amp;" hrs",IF(IF($C117="","",IF(OR(ISNUMBER(SEARCH("full",$C117)),UPPER(TRIM($C117))="FT",UPPER(TRIM($C117))="FTE"),"Full-Time",IF(OR(ISNUMBER(SEARCH("part",$C117)),UPPER(TRIM($C117))="PT",UPPER(TRIM($C117))="PTE"),"Part-Time",IF(OR(ISNUMBER(SEARCH("cas",$C117)),UPPER(TRIM($C117))="CAS"),"Casual","Unknown"))))="Unknown","type not recognised",$C117))),IF(O117&gt;0,"Yes - accruing","Not yet - from "&amp;TEXT(S117,"dd/mm/yyyy"))))</f>
        <v/>
      </c>
      <c r="S117" s="10" t="str">
        <f aca="false">IF(AE117=0,"",IF(AQ117="None","",EDATE(AF117,AZ117)))</f>
        <v/>
      </c>
      <c r="T117" s="13" t="str">
        <f aca="false">IF(OR(AE117=0,W117=""),"",W117-U117+V117)</f>
        <v/>
      </c>
      <c r="U117" s="13" t="str">
        <f aca="false">IF(AE117=0,"",IF(NOT(LH_Ready),"",SUMIFS(INDEX(LH_Data,0,LH_ColAcc),INDEX(LH_Data,0,LH_ColFirst),$A117,INDEX(LH_Data,0,LH_ColSur),$B117,INDEX(LH_Data,0,LH_ColCat),BonusCat)*UnitFactor))</f>
        <v/>
      </c>
      <c r="V117" s="13" t="str">
        <f aca="false">IF(AE117=0,"",IF(NOT(LH_Ready),"",SUMIFS(INDEX(LH_Data,0,LH_ColTaken),INDEX(LH_Data,0,LH_ColFirst),$A117,INDEX(LH_Data,0,LH_ColSur),$B117,INDEX(LH_Data,0,LH_ColCat),BonusCat)*UnitFactor))</f>
        <v/>
      </c>
      <c r="W117" s="13" t="str">
        <f aca="false">IF(AE117=0,"",IF(NOT(LH_Ready),"",IF(BB117=0,0,INDEX(INDEX(LH_Data,0,LH_ColClose),BB117-1)*UnitFactor)))</f>
        <v/>
      </c>
      <c r="X117" s="13" t="str">
        <f aca="false">IF(AE117=0,"",(AX117-AY117)*HoursPerDay)</f>
        <v/>
      </c>
      <c r="Y117" s="13" t="str">
        <f aca="false">IF(AE117=0,"",IF(NOT(LH_Ready),"",IF(BA117=0,N117,X117-N(U117))))</f>
        <v/>
      </c>
      <c r="Z117" s="12" t="str">
        <f aca="false">IF(OR(AE117=0,Y117=""),"",IF(Y117&gt;0,"Yes","No"))</f>
        <v/>
      </c>
      <c r="AA117" s="12" t="str">
        <f aca="false">IF(AE117=0,IF(LEN($A117&amp;$B117)=0,"","FIX INPUT - StartDate missing"),IF(AD117&lt;&gt;"","FIX INPUT - "&amp;AD117,IF(NOT(LH_Ready),"Paste Leave History export (Settings must show YES)",IF(Y117&gt;0,"ACCRUE "&amp;ROUND(Y117,2)&amp;" hrs ("&amp;ROUND(Y117/HoursPerDay,2)&amp;" days)"&amp;IF(BA117=0," - no Bonus Leave in EH yet, full catch-up since start",""),IF(Y117&lt;0,"CHECK - EH accrued "&amp;ROUND(-Y117,2)&amp;""&amp;" hrs more than policy",IF(O117&gt;0,"OK - nothing to add",IF(AQ117="None",R117,"Not yet - first day on "&amp;TEXT(S117,"dd/mm/yyyy"))))))))</f>
        <v/>
      </c>
      <c r="AB117" s="13" t="str">
        <f aca="false">IF(OR(AE117=0,T117=""),"",AY117*HoursPerDay-T117)</f>
        <v/>
      </c>
      <c r="AC117" s="12" t="str">
        <f aca="false">IF(AE117=0,"",BA117)</f>
        <v/>
      </c>
      <c r="AD117" s="12" t="str">
        <f aca="false">IF(AE117=0,"",TRIM(IF(IF($C117="","",IF(OR(ISNUMBER(SEARCH("full",$C117)),UPPER(TRIM($C117))="FT",UPPER(TRIM($C117))="FTE"),"Full-Time",IF(OR(ISNUMBER(SEARCH("part",$C117)),UPPER(TRIM($C117))="PT",UPPER(TRIM($C117))="PTE"),"Part-Time",IF(OR(ISNUMBER(SEARCH("cas",$C117)),UPPER(TRIM($C117))="CAS"),"Casual","Unknown"))))="Unknown","EmploymentType not recognised - use Full-Time, Part-Time or Casual. ","")&amp;IF(AND(AG117&gt;=1,IF(AG117&gt;=3,AM117,IF(AG117=2,AL117,AK117))&lt;&gt;IF($C117="","",IF(OR(ISNUMBER(SEARCH("full",$C117)),UPPER(TRIM($C117))="FT",UPPER(TRIM($C117))="FTE"),"Full-Time",IF(OR(ISNUMBER(SEARCH("part",$C117)),UPPER(TRIM($C117))="PT",UPPER(TRIM($C117))="PTE"),"Part-Time",IF(OR(ISNUMBER(SEARCH("cas",$C117)),UPPER(TRIM($C117))="CAS"),"Casual","Unknown"))))),"EmploymentType does not match latest start date ("&amp;IF(AG117&gt;=3,AM117,IF(AG117=2,AL117,AK117))&amp;"). ","")&amp;IF(AND(AG117&gt;=1,AH117&lt;&gt;$F117),"Earliest type date should equal StartDate. ","")&amp;IF(AND(AG117&gt;=2,AH117=AI117),"Two types start on the same date. ","")&amp;IF(AND(OR(ISNUMBER(SEARCH("part",$C117)),UPPER(TRIM($C117))="PT",UPPER(TRIM($C117))="PTE"),$P117=""),"Part-time: enter PT Hrs/Week (blank = 24+). ","")))</f>
        <v/>
      </c>
      <c r="AE117" s="12" t="n">
        <f aca="false">IF(OR(LEN($A117&amp;$B117)=0,$F117=""),0,1)</f>
        <v>0</v>
      </c>
      <c r="AF117" s="10" t="str">
        <f aca="false">IF(AE117=0,"",IF($J117&lt;&gt;"",$J117,$F117))</f>
        <v/>
      </c>
      <c r="AG117" s="12" t="str">
        <f aca="false">IF(AE117=0,"",COUNT($G117:$I117))</f>
        <v/>
      </c>
      <c r="AH117" s="10" t="str">
        <f aca="false">IF(AE117=0,"",IFERROR(SMALL($G117:$I117,1),""))</f>
        <v/>
      </c>
      <c r="AI117" s="10" t="str">
        <f aca="false">IF(AE117=0,"",IFERROR(SMALL($G117:$I117,2),""))</f>
        <v/>
      </c>
      <c r="AJ117" s="10" t="str">
        <f aca="false">IF(AE117=0,"",IFERROR(SMALL($G117:$I117,3),""))</f>
        <v/>
      </c>
      <c r="AK117" s="12" t="str">
        <f aca="false">IF(AE117=0,"",IF(AH117="","",IF(AH117=$G117,"Part-Time",IF(AH117=$H117,"Full-Time","Casual"))))</f>
        <v/>
      </c>
      <c r="AL117" s="12" t="str">
        <f aca="false">IF(AE117=0,"",IF(AI117="","",IF(AI117=$G117,"Part-Time",IF(AI117=$H117,"Full-Time","Casual"))))</f>
        <v/>
      </c>
      <c r="AM117" s="12" t="str">
        <f aca="false">IF(AE117=0,"",IF(AJ117="","",IF(AJ117=$G117,"Part-Time",IF(AJ117=$H117,"Full-Time","Casual"))))</f>
        <v/>
      </c>
      <c r="AN117" s="12" t="str">
        <f aca="false">IF(AE117=0,"",IF(AG117=0,IF(OR(ISNUMBER(SEARCH("full",$C117)),UPPER(TRIM($C117))="FT",UPPER(TRIM($C117))="FTE"),"FT",IF(AND(OR(ISNUMBER(SEARCH("part",$C117)),UPPER(TRIM($C117))="PT",UPPER(TRIM($C117))="PTE"),OR($P117="",N($P117)&gt;=PT_MinHours)),"PT","None")),IF(OR(ISNUMBER(SEARCH("full",AK117)),UPPER(TRIM(AK117))="FT",UPPER(TRIM(AK117))="FTE"),"FT",IF(AND(OR(ISNUMBER(SEARCH("part",AK117)),UPPER(TRIM(AK117))="PT",UPPER(TRIM(AK117))="PTE"),OR($P117="",N($P117)&gt;=PT_MinHours)),"PT","None"))))</f>
        <v/>
      </c>
      <c r="AO117" s="12" t="str">
        <f aca="false">IF(AE117=0,"",IF(AG117&lt;2,"",IF(OR(ISNUMBER(SEARCH("full",AL117)),UPPER(TRIM(AL117))="FT",UPPER(TRIM(AL117))="FTE"),"FT",IF(AND(OR(ISNUMBER(SEARCH("part",AL117)),UPPER(TRIM(AL117))="PT",UPPER(TRIM(AL117))="PTE"),OR($P117="",N($P117)&gt;=PT_MinHours)),"PT","None"))))</f>
        <v/>
      </c>
      <c r="AP117" s="12" t="str">
        <f aca="false">IF(AE117=0,"",IF(AG117&lt;3,"",IF(OR(ISNUMBER(SEARCH("full",AM117)),UPPER(TRIM(AM117))="FT",UPPER(TRIM(AM117))="FTE"),"FT",IF(AND(OR(ISNUMBER(SEARCH("part",AM117)),UPPER(TRIM(AM117))="PT",UPPER(TRIM(AM117))="PTE"),OR($P117="",N($P117)&gt;=PT_MinHours)),"PT","None"))))</f>
        <v/>
      </c>
      <c r="AQ117" s="12" t="str">
        <f aca="false">IF(AE117=0,"",IF(AND(AG117&gt;=3,AJ117&lt;=AsOfDate),AP117,IF(AND(AG117&gt;=2,AI117&lt;=AsOfDate),AO117,AN117)))</f>
        <v/>
      </c>
      <c r="AR117" s="12" t="str">
        <f aca="false">IF(AE117=0,"",IF(AsOfDate&lt;AF117,-1,12*(YEAR(AsOfDate)-YEAR(AF117))+MONTH(AsOfDate)-MONTH(AF117)-IF(DAY(AsOfDate)&lt;MIN(DAY(AF117),DAY(EOMONTH(AsOfDate,0))),1,0)))</f>
        <v/>
      </c>
      <c r="AS117" s="12" t="str">
        <f aca="false">IF(AE117=0,"",IF(OR(AG117&lt;2,AI117&gt;AsOfDate),AR117,IF((AI117-1)&lt;AF117,-1,12*(YEAR((AI117-1))-YEAR(AF117))+MONTH((AI117-1))-MONTH(AF117)-IF(DAY((AI117-1))&lt;MIN(DAY(AF117),DAY(EOMONTH((AI117-1),0))),1,0))))</f>
        <v/>
      </c>
      <c r="AT117" s="12" t="str">
        <f aca="false">IF(AE117=0,"",IF(OR(AG117&lt;3,AJ117&gt;AsOfDate),AR117,IF((AJ117-1)&lt;AF117,-1,12*(YEAR((AJ117-1))-YEAR(AF117))+MONTH((AJ117-1))-MONTH(AF117)-IF(DAY((AJ117-1))&lt;MIN(DAY(AF117),DAY(EOMONTH((AJ117-1),0))),1,0))))</f>
        <v/>
      </c>
      <c r="AU117" s="12" t="str">
        <f aca="false">IF(AE117=0,"",IF(PFYDate&lt;AF117,-1,12*(YEAR(PFYDate)-YEAR(AF117))+MONTH(PFYDate)-MONTH(AF117)-IF(DAY(PFYDate)&lt;MIN(DAY(AF117),DAY(EOMONTH(PFYDate,0))),1,0)))</f>
        <v/>
      </c>
      <c r="AV117" s="12" t="str">
        <f aca="false">IF(AE117=0,"",IF(OR(AG117&lt;2,AI117&gt;PFYDate),AU117,IF((AI117-1)&lt;AF117,-1,12*(YEAR((AI117-1))-YEAR(AF117))+MONTH((AI117-1))-MONTH(AF117)-IF(DAY((AI117-1))&lt;MIN(DAY(AF117),DAY(EOMONTH((AI117-1),0))),1,0))))</f>
        <v/>
      </c>
      <c r="AW117" s="12" t="str">
        <f aca="false">IF(AE117=0,"",IF(OR(AG117&lt;3,AJ117&gt;PFYDate),AU117,IF((AJ117-1)&lt;AF117,-1,12*(YEAR((AJ117-1))-YEAR(AF117))+MONTH((AJ117-1))-MONTH(AF117)-IF(DAY((AJ117-1))&lt;MIN(DAY(AF117),DAY(EOMONTH((AJ117-1),0))),1,0))))</f>
        <v/>
      </c>
      <c r="AX117" s="12" t="str">
        <f aca="false">IF(AE117=0,"",IF(AN117="FT",IF(AS117&lt;FT_First,0,IF(AS117&lt;FT_Y5,1+INT((AS117-FT_First)/FT_Int1),FT_PreY5+FT_PerYear*INT((AS117-FT_Y5)/12)+FT_AnnivDays+INT(MOD(AS117-FT_Y5,12)/FT_Int2))),IF(AN117="PT",IF(AS117&lt;PT_First,0,1+INT((AS117-PT_First)/PT_Int)),0))+IF(AND(AG117&gt;=2,AI117&lt;=AsOfDate),IF(AO117="FT",IF(AT117&lt;FT_First,0,IF(AT117&lt;FT_Y5,1+INT((AT117-FT_First)/FT_Int1),FT_PreY5+FT_PerYear*INT((AT117-FT_Y5)/12)+FT_AnnivDays+INT(MOD(AT117-FT_Y5,12)/FT_Int2))),IF(AO117="PT",IF(AT117&lt;PT_First,0,1+INT((AT117-PT_First)/PT_Int)),0))-IF(AO117="FT",IF(AS117&lt;FT_First,0,IF(AS117&lt;FT_Y5,1+INT((AS117-FT_First)/FT_Int1),FT_PreY5+FT_PerYear*INT((AS117-FT_Y5)/12)+FT_AnnivDays+INT(MOD(AS117-FT_Y5,12)/FT_Int2))),IF(AO117="PT",IF(AS117&lt;PT_First,0,1+INT((AS117-PT_First)/PT_Int)),0)),0)+IF(AND(AG117&gt;=3,AJ117&lt;=AsOfDate),IF(AP117="FT",IF(AR117&lt;FT_First,0,IF(AR117&lt;FT_Y5,1+INT((AR117-FT_First)/FT_Int1),FT_PreY5+FT_PerYear*INT((AR117-FT_Y5)/12)+FT_AnnivDays+INT(MOD(AR117-FT_Y5,12)/FT_Int2))),IF(AP117="PT",IF(AR117&lt;PT_First,0,1+INT((AR117-PT_First)/PT_Int)),0))-IF(AP117="FT",IF(AT117&lt;FT_First,0,IF(AT117&lt;FT_Y5,1+INT((AT117-FT_First)/FT_Int1),FT_PreY5+FT_PerYear*INT((AT117-FT_Y5)/12)+FT_AnnivDays+INT(MOD(AT117-FT_Y5,12)/FT_Int2))),IF(AP117="PT",IF(AT117&lt;PT_First,0,1+INT((AT117-PT_First)/PT_Int)),0)),0))</f>
        <v/>
      </c>
      <c r="AY117" s="12" t="str">
        <f aca="false">IF(AE117=0,"",IF(AN117="FT",IF(AV117&lt;FT_First,0,IF(AV117&lt;FT_Y5,1+INT((AV117-FT_First)/FT_Int1),FT_PreY5+FT_PerYear*INT((AV117-FT_Y5)/12)+FT_AnnivDays+INT(MOD(AV117-FT_Y5,12)/FT_Int2))),IF(AN117="PT",IF(AV117&lt;PT_First,0,1+INT((AV117-PT_First)/PT_Int)),0))+IF(AND(AG117&gt;=2,AI117&lt;=PFYDate),IF(AO117="FT",IF(AW117&lt;FT_First,0,IF(AW117&lt;FT_Y5,1+INT((AW117-FT_First)/FT_Int1),FT_PreY5+FT_PerYear*INT((AW117-FT_Y5)/12)+FT_AnnivDays+INT(MOD(AW117-FT_Y5,12)/FT_Int2))),IF(AO117="PT",IF(AW117&lt;PT_First,0,1+INT((AW117-PT_First)/PT_Int)),0))-IF(AO117="FT",IF(AV117&lt;FT_First,0,IF(AV117&lt;FT_Y5,1+INT((AV117-FT_First)/FT_Int1),FT_PreY5+FT_PerYear*INT((AV117-FT_Y5)/12)+FT_AnnivDays+INT(MOD(AV117-FT_Y5,12)/FT_Int2))),IF(AO117="PT",IF(AV117&lt;PT_First,0,1+INT((AV117-PT_First)/PT_Int)),0)),0)+IF(AND(AG117&gt;=3,AJ117&lt;=PFYDate),IF(AP117="FT",IF(AU117&lt;FT_First,0,IF(AU117&lt;FT_Y5,1+INT((AU117-FT_First)/FT_Int1),FT_PreY5+FT_PerYear*INT((AU117-FT_Y5)/12)+FT_AnnivDays+INT(MOD(AU117-FT_Y5,12)/FT_Int2))),IF(AP117="PT",IF(AU117&lt;PT_First,0,1+INT((AU117-PT_First)/PT_Int)),0))-IF(AP117="FT",IF(AW117&lt;FT_First,0,IF(AW117&lt;FT_Y5,1+INT((AW117-FT_First)/FT_Int1),FT_PreY5+FT_PerYear*INT((AW117-FT_Y5)/12)+FT_AnnivDays+INT(MOD(AW117-FT_Y5,12)/FT_Int2))),IF(AP117="PT",IF(AW117&lt;PT_First,0,1+INT((AW117-PT_First)/PT_Int)),0)),0))</f>
        <v/>
      </c>
      <c r="AZ117" s="12" t="str">
        <f aca="false">IF(AE117=0,"",IF(AQ117="FT",IF(AR117&lt;FT_First,FT_First,IF(AR117&lt;FT_Y5,MIN(FT_Y5,FT_First+FT_Int1*(INT((AR117-FT_First)/FT_Int1)+1)),FT_Y5+12*INT((AR117-FT_Y5)/12)+FT_Int2*(INT(MOD(AR117-FT_Y5,12)/FT_Int2)+1))),IF(AQ117="PT",IF(AR117&lt;PT_First,PT_First,PT_First+PT_Int*(INT((AR117-PT_First)/PT_Int)+1)),"")))</f>
        <v/>
      </c>
      <c r="BA117" s="12" t="str">
        <f aca="false">IF(AE117=0,"",IF(NOT(LH_Ready),0,COUNTIFS(INDEX(LH_Data,0,LH_ColFirst),$A117,INDEX(LH_Data,0,LH_ColSur),$B117,INDEX(LH_Data,0,LH_ColCat),BonusCat)))</f>
        <v/>
      </c>
      <c r="BB117" s="12" t="str">
        <f aca="false">IF(AE117=0,"",IF(OR(NOT(LH_Ready),BA117=0),0,SUMPRODUCT(MAX((INDEX(LH_Data,0,LH_ColFirst)=$A117)*(INDEX(LH_Data,0,LH_ColSur)=$B117)*(INDEX(LH_Data,0,LH_ColCat)=BonusCat)*ROW(LH_Data)))))</f>
        <v/>
      </c>
    </row>
    <row r="118" customFormat="false" ht="15" hidden="false" customHeight="false" outlineLevel="0" collapsed="false">
      <c r="A118" s="15"/>
      <c r="B118" s="15"/>
      <c r="C118" s="15"/>
      <c r="D118" s="16"/>
      <c r="E118" s="10" t="str">
        <f aca="false">IF(OR(AE118=0,$D118=""),"",DATE(YEAR(AsOfDate)+IF(DATE(YEAR(AsOfDate),MONTH($D118),DAY($D118))&lt;=AsOfDate,1,0),MONTH($D118),DAY($D118)))</f>
        <v/>
      </c>
      <c r="F118" s="16"/>
      <c r="G118" s="16"/>
      <c r="H118" s="16"/>
      <c r="I118" s="16"/>
      <c r="J118" s="16"/>
      <c r="K118" s="10" t="str">
        <f aca="false">IF(AE118=0,"",DATE(YEAR(AsOfDate)+IF(DATE(YEAR(AsOfDate),MONTH($F118),DAY($F118))&lt;=AsOfDate,1,0),MONTH($F118),DAY($F118)))</f>
        <v/>
      </c>
      <c r="L118" s="11" t="str">
        <f aca="false">IF(AE118=0,"",ROUND((AsOfDate-$F118)/365.25,1))</f>
        <v/>
      </c>
      <c r="M118" s="12" t="str">
        <f aca="false">IF(AE118=0,"",IF(AsOfDate&lt;AF118,"-",DATEDIF(AF118,AsOfDate,"y")&amp;"y "&amp;DATEDIF(AF118,AsOfDate,"ym")&amp;"m "&amp;DATEDIF(AF118,AsOfDate,"md")&amp;"d"))</f>
        <v/>
      </c>
      <c r="N118" s="13" t="str">
        <f aca="false">IF(AE118=0,"",O118*HoursPerDay)</f>
        <v/>
      </c>
      <c r="O118" s="13" t="str">
        <f aca="false">IF(AE118=0,"",AX118)</f>
        <v/>
      </c>
      <c r="P118" s="17"/>
      <c r="Q118" s="12" t="str">
        <f aca="false">IF(AE118=0,"",IF(AG118&lt;2,"",AK118&amp;" to "&amp;AL118&amp;" on "&amp;TEXT(AI118,"dd/mm/yyyy")&amp;IF(AI118&gt;AsOfDate," (future)",IF(AN118=AO118,"",IF(AO118="None"," - STOPPED accruing",IF(AN118="None"," - now qualifying"," - pathway changed"))))&amp;IF(AG118&lt;3,"","; "&amp;AL118&amp;" to "&amp;AM118&amp;" on "&amp;TEXT(AJ118,"dd/mm/yyyy")&amp;IF(AJ118&gt;AsOfDate," (future)",IF(AO118=AP118,"",IF(AP118="None"," - STOPPED accruing",IF(AO118="None"," - now qualifying"," - pathway changed")))))))</f>
        <v/>
      </c>
      <c r="R118" s="12" t="str">
        <f aca="false">IF(AE118=0,"",IF(AQ118="None",IF(O118&gt;0,"No longer accruing","Not eligible - "&amp;IF(AND(OR(ISNUMBER(SEARCH("part",$C118)),UPPER(TRIM($C118))="PT",UPPER(TRIM($C118))="PTE"),$P118&lt;&gt;"",N($P118)&lt;PT_MinHours),"under "&amp;PT_MinHours&amp;" hrs",IF(IF($C118="","",IF(OR(ISNUMBER(SEARCH("full",$C118)),UPPER(TRIM($C118))="FT",UPPER(TRIM($C118))="FTE"),"Full-Time",IF(OR(ISNUMBER(SEARCH("part",$C118)),UPPER(TRIM($C118))="PT",UPPER(TRIM($C118))="PTE"),"Part-Time",IF(OR(ISNUMBER(SEARCH("cas",$C118)),UPPER(TRIM($C118))="CAS"),"Casual","Unknown"))))="Unknown","type not recognised",$C118))),IF(O118&gt;0,"Yes - accruing","Not yet - from "&amp;TEXT(S118,"dd/mm/yyyy"))))</f>
        <v/>
      </c>
      <c r="S118" s="10" t="str">
        <f aca="false">IF(AE118=0,"",IF(AQ118="None","",EDATE(AF118,AZ118)))</f>
        <v/>
      </c>
      <c r="T118" s="13" t="str">
        <f aca="false">IF(OR(AE118=0,W118=""),"",W118-U118+V118)</f>
        <v/>
      </c>
      <c r="U118" s="13" t="str">
        <f aca="false">IF(AE118=0,"",IF(NOT(LH_Ready),"",SUMIFS(INDEX(LH_Data,0,LH_ColAcc),INDEX(LH_Data,0,LH_ColFirst),$A118,INDEX(LH_Data,0,LH_ColSur),$B118,INDEX(LH_Data,0,LH_ColCat),BonusCat)*UnitFactor))</f>
        <v/>
      </c>
      <c r="V118" s="13" t="str">
        <f aca="false">IF(AE118=0,"",IF(NOT(LH_Ready),"",SUMIFS(INDEX(LH_Data,0,LH_ColTaken),INDEX(LH_Data,0,LH_ColFirst),$A118,INDEX(LH_Data,0,LH_ColSur),$B118,INDEX(LH_Data,0,LH_ColCat),BonusCat)*UnitFactor))</f>
        <v/>
      </c>
      <c r="W118" s="13" t="str">
        <f aca="false">IF(AE118=0,"",IF(NOT(LH_Ready),"",IF(BB118=0,0,INDEX(INDEX(LH_Data,0,LH_ColClose),BB118-1)*UnitFactor)))</f>
        <v/>
      </c>
      <c r="X118" s="13" t="str">
        <f aca="false">IF(AE118=0,"",(AX118-AY118)*HoursPerDay)</f>
        <v/>
      </c>
      <c r="Y118" s="13" t="str">
        <f aca="false">IF(AE118=0,"",IF(NOT(LH_Ready),"",IF(BA118=0,N118,X118-N(U118))))</f>
        <v/>
      </c>
      <c r="Z118" s="12" t="str">
        <f aca="false">IF(OR(AE118=0,Y118=""),"",IF(Y118&gt;0,"Yes","No"))</f>
        <v/>
      </c>
      <c r="AA118" s="12" t="str">
        <f aca="false">IF(AE118=0,IF(LEN($A118&amp;$B118)=0,"","FIX INPUT - StartDate missing"),IF(AD118&lt;&gt;"","FIX INPUT - "&amp;AD118,IF(NOT(LH_Ready),"Paste Leave History export (Settings must show YES)",IF(Y118&gt;0,"ACCRUE "&amp;ROUND(Y118,2)&amp;" hrs ("&amp;ROUND(Y118/HoursPerDay,2)&amp;" days)"&amp;IF(BA118=0," - no Bonus Leave in EH yet, full catch-up since start",""),IF(Y118&lt;0,"CHECK - EH accrued "&amp;ROUND(-Y118,2)&amp;""&amp;" hrs more than policy",IF(O118&gt;0,"OK - nothing to add",IF(AQ118="None",R118,"Not yet - first day on "&amp;TEXT(S118,"dd/mm/yyyy"))))))))</f>
        <v/>
      </c>
      <c r="AB118" s="13" t="str">
        <f aca="false">IF(OR(AE118=0,T118=""),"",AY118*HoursPerDay-T118)</f>
        <v/>
      </c>
      <c r="AC118" s="12" t="str">
        <f aca="false">IF(AE118=0,"",BA118)</f>
        <v/>
      </c>
      <c r="AD118" s="12" t="str">
        <f aca="false">IF(AE118=0,"",TRIM(IF(IF($C118="","",IF(OR(ISNUMBER(SEARCH("full",$C118)),UPPER(TRIM($C118))="FT",UPPER(TRIM($C118))="FTE"),"Full-Time",IF(OR(ISNUMBER(SEARCH("part",$C118)),UPPER(TRIM($C118))="PT",UPPER(TRIM($C118))="PTE"),"Part-Time",IF(OR(ISNUMBER(SEARCH("cas",$C118)),UPPER(TRIM($C118))="CAS"),"Casual","Unknown"))))="Unknown","EmploymentType not recognised - use Full-Time, Part-Time or Casual. ","")&amp;IF(AND(AG118&gt;=1,IF(AG118&gt;=3,AM118,IF(AG118=2,AL118,AK118))&lt;&gt;IF($C118="","",IF(OR(ISNUMBER(SEARCH("full",$C118)),UPPER(TRIM($C118))="FT",UPPER(TRIM($C118))="FTE"),"Full-Time",IF(OR(ISNUMBER(SEARCH("part",$C118)),UPPER(TRIM($C118))="PT",UPPER(TRIM($C118))="PTE"),"Part-Time",IF(OR(ISNUMBER(SEARCH("cas",$C118)),UPPER(TRIM($C118))="CAS"),"Casual","Unknown"))))),"EmploymentType does not match latest start date ("&amp;IF(AG118&gt;=3,AM118,IF(AG118=2,AL118,AK118))&amp;"). ","")&amp;IF(AND(AG118&gt;=1,AH118&lt;&gt;$F118),"Earliest type date should equal StartDate. ","")&amp;IF(AND(AG118&gt;=2,AH118=AI118),"Two types start on the same date. ","")&amp;IF(AND(OR(ISNUMBER(SEARCH("part",$C118)),UPPER(TRIM($C118))="PT",UPPER(TRIM($C118))="PTE"),$P118=""),"Part-time: enter PT Hrs/Week (blank = 24+). ","")))</f>
        <v/>
      </c>
      <c r="AE118" s="12" t="n">
        <f aca="false">IF(OR(LEN($A118&amp;$B118)=0,$F118=""),0,1)</f>
        <v>0</v>
      </c>
      <c r="AF118" s="10" t="str">
        <f aca="false">IF(AE118=0,"",IF($J118&lt;&gt;"",$J118,$F118))</f>
        <v/>
      </c>
      <c r="AG118" s="12" t="str">
        <f aca="false">IF(AE118=0,"",COUNT($G118:$I118))</f>
        <v/>
      </c>
      <c r="AH118" s="10" t="str">
        <f aca="false">IF(AE118=0,"",IFERROR(SMALL($G118:$I118,1),""))</f>
        <v/>
      </c>
      <c r="AI118" s="10" t="str">
        <f aca="false">IF(AE118=0,"",IFERROR(SMALL($G118:$I118,2),""))</f>
        <v/>
      </c>
      <c r="AJ118" s="10" t="str">
        <f aca="false">IF(AE118=0,"",IFERROR(SMALL($G118:$I118,3),""))</f>
        <v/>
      </c>
      <c r="AK118" s="12" t="str">
        <f aca="false">IF(AE118=0,"",IF(AH118="","",IF(AH118=$G118,"Part-Time",IF(AH118=$H118,"Full-Time","Casual"))))</f>
        <v/>
      </c>
      <c r="AL118" s="12" t="str">
        <f aca="false">IF(AE118=0,"",IF(AI118="","",IF(AI118=$G118,"Part-Time",IF(AI118=$H118,"Full-Time","Casual"))))</f>
        <v/>
      </c>
      <c r="AM118" s="12" t="str">
        <f aca="false">IF(AE118=0,"",IF(AJ118="","",IF(AJ118=$G118,"Part-Time",IF(AJ118=$H118,"Full-Time","Casual"))))</f>
        <v/>
      </c>
      <c r="AN118" s="12" t="str">
        <f aca="false">IF(AE118=0,"",IF(AG118=0,IF(OR(ISNUMBER(SEARCH("full",$C118)),UPPER(TRIM($C118))="FT",UPPER(TRIM($C118))="FTE"),"FT",IF(AND(OR(ISNUMBER(SEARCH("part",$C118)),UPPER(TRIM($C118))="PT",UPPER(TRIM($C118))="PTE"),OR($P118="",N($P118)&gt;=PT_MinHours)),"PT","None")),IF(OR(ISNUMBER(SEARCH("full",AK118)),UPPER(TRIM(AK118))="FT",UPPER(TRIM(AK118))="FTE"),"FT",IF(AND(OR(ISNUMBER(SEARCH("part",AK118)),UPPER(TRIM(AK118))="PT",UPPER(TRIM(AK118))="PTE"),OR($P118="",N($P118)&gt;=PT_MinHours)),"PT","None"))))</f>
        <v/>
      </c>
      <c r="AO118" s="12" t="str">
        <f aca="false">IF(AE118=0,"",IF(AG118&lt;2,"",IF(OR(ISNUMBER(SEARCH("full",AL118)),UPPER(TRIM(AL118))="FT",UPPER(TRIM(AL118))="FTE"),"FT",IF(AND(OR(ISNUMBER(SEARCH("part",AL118)),UPPER(TRIM(AL118))="PT",UPPER(TRIM(AL118))="PTE"),OR($P118="",N($P118)&gt;=PT_MinHours)),"PT","None"))))</f>
        <v/>
      </c>
      <c r="AP118" s="12" t="str">
        <f aca="false">IF(AE118=0,"",IF(AG118&lt;3,"",IF(OR(ISNUMBER(SEARCH("full",AM118)),UPPER(TRIM(AM118))="FT",UPPER(TRIM(AM118))="FTE"),"FT",IF(AND(OR(ISNUMBER(SEARCH("part",AM118)),UPPER(TRIM(AM118))="PT",UPPER(TRIM(AM118))="PTE"),OR($P118="",N($P118)&gt;=PT_MinHours)),"PT","None"))))</f>
        <v/>
      </c>
      <c r="AQ118" s="12" t="str">
        <f aca="false">IF(AE118=0,"",IF(AND(AG118&gt;=3,AJ118&lt;=AsOfDate),AP118,IF(AND(AG118&gt;=2,AI118&lt;=AsOfDate),AO118,AN118)))</f>
        <v/>
      </c>
      <c r="AR118" s="12" t="str">
        <f aca="false">IF(AE118=0,"",IF(AsOfDate&lt;AF118,-1,12*(YEAR(AsOfDate)-YEAR(AF118))+MONTH(AsOfDate)-MONTH(AF118)-IF(DAY(AsOfDate)&lt;MIN(DAY(AF118),DAY(EOMONTH(AsOfDate,0))),1,0)))</f>
        <v/>
      </c>
      <c r="AS118" s="12" t="str">
        <f aca="false">IF(AE118=0,"",IF(OR(AG118&lt;2,AI118&gt;AsOfDate),AR118,IF((AI118-1)&lt;AF118,-1,12*(YEAR((AI118-1))-YEAR(AF118))+MONTH((AI118-1))-MONTH(AF118)-IF(DAY((AI118-1))&lt;MIN(DAY(AF118),DAY(EOMONTH((AI118-1),0))),1,0))))</f>
        <v/>
      </c>
      <c r="AT118" s="12" t="str">
        <f aca="false">IF(AE118=0,"",IF(OR(AG118&lt;3,AJ118&gt;AsOfDate),AR118,IF((AJ118-1)&lt;AF118,-1,12*(YEAR((AJ118-1))-YEAR(AF118))+MONTH((AJ118-1))-MONTH(AF118)-IF(DAY((AJ118-1))&lt;MIN(DAY(AF118),DAY(EOMONTH((AJ118-1),0))),1,0))))</f>
        <v/>
      </c>
      <c r="AU118" s="12" t="str">
        <f aca="false">IF(AE118=0,"",IF(PFYDate&lt;AF118,-1,12*(YEAR(PFYDate)-YEAR(AF118))+MONTH(PFYDate)-MONTH(AF118)-IF(DAY(PFYDate)&lt;MIN(DAY(AF118),DAY(EOMONTH(PFYDate,0))),1,0)))</f>
        <v/>
      </c>
      <c r="AV118" s="12" t="str">
        <f aca="false">IF(AE118=0,"",IF(OR(AG118&lt;2,AI118&gt;PFYDate),AU118,IF((AI118-1)&lt;AF118,-1,12*(YEAR((AI118-1))-YEAR(AF118))+MONTH((AI118-1))-MONTH(AF118)-IF(DAY((AI118-1))&lt;MIN(DAY(AF118),DAY(EOMONTH((AI118-1),0))),1,0))))</f>
        <v/>
      </c>
      <c r="AW118" s="12" t="str">
        <f aca="false">IF(AE118=0,"",IF(OR(AG118&lt;3,AJ118&gt;PFYDate),AU118,IF((AJ118-1)&lt;AF118,-1,12*(YEAR((AJ118-1))-YEAR(AF118))+MONTH((AJ118-1))-MONTH(AF118)-IF(DAY((AJ118-1))&lt;MIN(DAY(AF118),DAY(EOMONTH((AJ118-1),0))),1,0))))</f>
        <v/>
      </c>
      <c r="AX118" s="12" t="str">
        <f aca="false">IF(AE118=0,"",IF(AN118="FT",IF(AS118&lt;FT_First,0,IF(AS118&lt;FT_Y5,1+INT((AS118-FT_First)/FT_Int1),FT_PreY5+FT_PerYear*INT((AS118-FT_Y5)/12)+FT_AnnivDays+INT(MOD(AS118-FT_Y5,12)/FT_Int2))),IF(AN118="PT",IF(AS118&lt;PT_First,0,1+INT((AS118-PT_First)/PT_Int)),0))+IF(AND(AG118&gt;=2,AI118&lt;=AsOfDate),IF(AO118="FT",IF(AT118&lt;FT_First,0,IF(AT118&lt;FT_Y5,1+INT((AT118-FT_First)/FT_Int1),FT_PreY5+FT_PerYear*INT((AT118-FT_Y5)/12)+FT_AnnivDays+INT(MOD(AT118-FT_Y5,12)/FT_Int2))),IF(AO118="PT",IF(AT118&lt;PT_First,0,1+INT((AT118-PT_First)/PT_Int)),0))-IF(AO118="FT",IF(AS118&lt;FT_First,0,IF(AS118&lt;FT_Y5,1+INT((AS118-FT_First)/FT_Int1),FT_PreY5+FT_PerYear*INT((AS118-FT_Y5)/12)+FT_AnnivDays+INT(MOD(AS118-FT_Y5,12)/FT_Int2))),IF(AO118="PT",IF(AS118&lt;PT_First,0,1+INT((AS118-PT_First)/PT_Int)),0)),0)+IF(AND(AG118&gt;=3,AJ118&lt;=AsOfDate),IF(AP118="FT",IF(AR118&lt;FT_First,0,IF(AR118&lt;FT_Y5,1+INT((AR118-FT_First)/FT_Int1),FT_PreY5+FT_PerYear*INT((AR118-FT_Y5)/12)+FT_AnnivDays+INT(MOD(AR118-FT_Y5,12)/FT_Int2))),IF(AP118="PT",IF(AR118&lt;PT_First,0,1+INT((AR118-PT_First)/PT_Int)),0))-IF(AP118="FT",IF(AT118&lt;FT_First,0,IF(AT118&lt;FT_Y5,1+INT((AT118-FT_First)/FT_Int1),FT_PreY5+FT_PerYear*INT((AT118-FT_Y5)/12)+FT_AnnivDays+INT(MOD(AT118-FT_Y5,12)/FT_Int2))),IF(AP118="PT",IF(AT118&lt;PT_First,0,1+INT((AT118-PT_First)/PT_Int)),0)),0))</f>
        <v/>
      </c>
      <c r="AY118" s="12" t="str">
        <f aca="false">IF(AE118=0,"",IF(AN118="FT",IF(AV118&lt;FT_First,0,IF(AV118&lt;FT_Y5,1+INT((AV118-FT_First)/FT_Int1),FT_PreY5+FT_PerYear*INT((AV118-FT_Y5)/12)+FT_AnnivDays+INT(MOD(AV118-FT_Y5,12)/FT_Int2))),IF(AN118="PT",IF(AV118&lt;PT_First,0,1+INT((AV118-PT_First)/PT_Int)),0))+IF(AND(AG118&gt;=2,AI118&lt;=PFYDate),IF(AO118="FT",IF(AW118&lt;FT_First,0,IF(AW118&lt;FT_Y5,1+INT((AW118-FT_First)/FT_Int1),FT_PreY5+FT_PerYear*INT((AW118-FT_Y5)/12)+FT_AnnivDays+INT(MOD(AW118-FT_Y5,12)/FT_Int2))),IF(AO118="PT",IF(AW118&lt;PT_First,0,1+INT((AW118-PT_First)/PT_Int)),0))-IF(AO118="FT",IF(AV118&lt;FT_First,0,IF(AV118&lt;FT_Y5,1+INT((AV118-FT_First)/FT_Int1),FT_PreY5+FT_PerYear*INT((AV118-FT_Y5)/12)+FT_AnnivDays+INT(MOD(AV118-FT_Y5,12)/FT_Int2))),IF(AO118="PT",IF(AV118&lt;PT_First,0,1+INT((AV118-PT_First)/PT_Int)),0)),0)+IF(AND(AG118&gt;=3,AJ118&lt;=PFYDate),IF(AP118="FT",IF(AU118&lt;FT_First,0,IF(AU118&lt;FT_Y5,1+INT((AU118-FT_First)/FT_Int1),FT_PreY5+FT_PerYear*INT((AU118-FT_Y5)/12)+FT_AnnivDays+INT(MOD(AU118-FT_Y5,12)/FT_Int2))),IF(AP118="PT",IF(AU118&lt;PT_First,0,1+INT((AU118-PT_First)/PT_Int)),0))-IF(AP118="FT",IF(AW118&lt;FT_First,0,IF(AW118&lt;FT_Y5,1+INT((AW118-FT_First)/FT_Int1),FT_PreY5+FT_PerYear*INT((AW118-FT_Y5)/12)+FT_AnnivDays+INT(MOD(AW118-FT_Y5,12)/FT_Int2))),IF(AP118="PT",IF(AW118&lt;PT_First,0,1+INT((AW118-PT_First)/PT_Int)),0)),0))</f>
        <v/>
      </c>
      <c r="AZ118" s="12" t="str">
        <f aca="false">IF(AE118=0,"",IF(AQ118="FT",IF(AR118&lt;FT_First,FT_First,IF(AR118&lt;FT_Y5,MIN(FT_Y5,FT_First+FT_Int1*(INT((AR118-FT_First)/FT_Int1)+1)),FT_Y5+12*INT((AR118-FT_Y5)/12)+FT_Int2*(INT(MOD(AR118-FT_Y5,12)/FT_Int2)+1))),IF(AQ118="PT",IF(AR118&lt;PT_First,PT_First,PT_First+PT_Int*(INT((AR118-PT_First)/PT_Int)+1)),"")))</f>
        <v/>
      </c>
      <c r="BA118" s="12" t="str">
        <f aca="false">IF(AE118=0,"",IF(NOT(LH_Ready),0,COUNTIFS(INDEX(LH_Data,0,LH_ColFirst),$A118,INDEX(LH_Data,0,LH_ColSur),$B118,INDEX(LH_Data,0,LH_ColCat),BonusCat)))</f>
        <v/>
      </c>
      <c r="BB118" s="12" t="str">
        <f aca="false">IF(AE118=0,"",IF(OR(NOT(LH_Ready),BA118=0),0,SUMPRODUCT(MAX((INDEX(LH_Data,0,LH_ColFirst)=$A118)*(INDEX(LH_Data,0,LH_ColSur)=$B118)*(INDEX(LH_Data,0,LH_ColCat)=BonusCat)*ROW(LH_Data)))))</f>
        <v/>
      </c>
    </row>
    <row r="119" customFormat="false" ht="15" hidden="false" customHeight="false" outlineLevel="0" collapsed="false">
      <c r="A119" s="15"/>
      <c r="B119" s="15"/>
      <c r="C119" s="15"/>
      <c r="D119" s="16"/>
      <c r="E119" s="10" t="str">
        <f aca="false">IF(OR(AE119=0,$D119=""),"",DATE(YEAR(AsOfDate)+IF(DATE(YEAR(AsOfDate),MONTH($D119),DAY($D119))&lt;=AsOfDate,1,0),MONTH($D119),DAY($D119)))</f>
        <v/>
      </c>
      <c r="F119" s="16"/>
      <c r="G119" s="16"/>
      <c r="H119" s="16"/>
      <c r="I119" s="16"/>
      <c r="J119" s="16"/>
      <c r="K119" s="10" t="str">
        <f aca="false">IF(AE119=0,"",DATE(YEAR(AsOfDate)+IF(DATE(YEAR(AsOfDate),MONTH($F119),DAY($F119))&lt;=AsOfDate,1,0),MONTH($F119),DAY($F119)))</f>
        <v/>
      </c>
      <c r="L119" s="11" t="str">
        <f aca="false">IF(AE119=0,"",ROUND((AsOfDate-$F119)/365.25,1))</f>
        <v/>
      </c>
      <c r="M119" s="12" t="str">
        <f aca="false">IF(AE119=0,"",IF(AsOfDate&lt;AF119,"-",DATEDIF(AF119,AsOfDate,"y")&amp;"y "&amp;DATEDIF(AF119,AsOfDate,"ym")&amp;"m "&amp;DATEDIF(AF119,AsOfDate,"md")&amp;"d"))</f>
        <v/>
      </c>
      <c r="N119" s="13" t="str">
        <f aca="false">IF(AE119=0,"",O119*HoursPerDay)</f>
        <v/>
      </c>
      <c r="O119" s="13" t="str">
        <f aca="false">IF(AE119=0,"",AX119)</f>
        <v/>
      </c>
      <c r="P119" s="17"/>
      <c r="Q119" s="12" t="str">
        <f aca="false">IF(AE119=0,"",IF(AG119&lt;2,"",AK119&amp;" to "&amp;AL119&amp;" on "&amp;TEXT(AI119,"dd/mm/yyyy")&amp;IF(AI119&gt;AsOfDate," (future)",IF(AN119=AO119,"",IF(AO119="None"," - STOPPED accruing",IF(AN119="None"," - now qualifying"," - pathway changed"))))&amp;IF(AG119&lt;3,"","; "&amp;AL119&amp;" to "&amp;AM119&amp;" on "&amp;TEXT(AJ119,"dd/mm/yyyy")&amp;IF(AJ119&gt;AsOfDate," (future)",IF(AO119=AP119,"",IF(AP119="None"," - STOPPED accruing",IF(AO119="None"," - now qualifying"," - pathway changed")))))))</f>
        <v/>
      </c>
      <c r="R119" s="12" t="str">
        <f aca="false">IF(AE119=0,"",IF(AQ119="None",IF(O119&gt;0,"No longer accruing","Not eligible - "&amp;IF(AND(OR(ISNUMBER(SEARCH("part",$C119)),UPPER(TRIM($C119))="PT",UPPER(TRIM($C119))="PTE"),$P119&lt;&gt;"",N($P119)&lt;PT_MinHours),"under "&amp;PT_MinHours&amp;" hrs",IF(IF($C119="","",IF(OR(ISNUMBER(SEARCH("full",$C119)),UPPER(TRIM($C119))="FT",UPPER(TRIM($C119))="FTE"),"Full-Time",IF(OR(ISNUMBER(SEARCH("part",$C119)),UPPER(TRIM($C119))="PT",UPPER(TRIM($C119))="PTE"),"Part-Time",IF(OR(ISNUMBER(SEARCH("cas",$C119)),UPPER(TRIM($C119))="CAS"),"Casual","Unknown"))))="Unknown","type not recognised",$C119))),IF(O119&gt;0,"Yes - accruing","Not yet - from "&amp;TEXT(S119,"dd/mm/yyyy"))))</f>
        <v/>
      </c>
      <c r="S119" s="10" t="str">
        <f aca="false">IF(AE119=0,"",IF(AQ119="None","",EDATE(AF119,AZ119)))</f>
        <v/>
      </c>
      <c r="T119" s="13" t="str">
        <f aca="false">IF(OR(AE119=0,W119=""),"",W119-U119+V119)</f>
        <v/>
      </c>
      <c r="U119" s="13" t="str">
        <f aca="false">IF(AE119=0,"",IF(NOT(LH_Ready),"",SUMIFS(INDEX(LH_Data,0,LH_ColAcc),INDEX(LH_Data,0,LH_ColFirst),$A119,INDEX(LH_Data,0,LH_ColSur),$B119,INDEX(LH_Data,0,LH_ColCat),BonusCat)*UnitFactor))</f>
        <v/>
      </c>
      <c r="V119" s="13" t="str">
        <f aca="false">IF(AE119=0,"",IF(NOT(LH_Ready),"",SUMIFS(INDEX(LH_Data,0,LH_ColTaken),INDEX(LH_Data,0,LH_ColFirst),$A119,INDEX(LH_Data,0,LH_ColSur),$B119,INDEX(LH_Data,0,LH_ColCat),BonusCat)*UnitFactor))</f>
        <v/>
      </c>
      <c r="W119" s="13" t="str">
        <f aca="false">IF(AE119=0,"",IF(NOT(LH_Ready),"",IF(BB119=0,0,INDEX(INDEX(LH_Data,0,LH_ColClose),BB119-1)*UnitFactor)))</f>
        <v/>
      </c>
      <c r="X119" s="13" t="str">
        <f aca="false">IF(AE119=0,"",(AX119-AY119)*HoursPerDay)</f>
        <v/>
      </c>
      <c r="Y119" s="13" t="str">
        <f aca="false">IF(AE119=0,"",IF(NOT(LH_Ready),"",IF(BA119=0,N119,X119-N(U119))))</f>
        <v/>
      </c>
      <c r="Z119" s="12" t="str">
        <f aca="false">IF(OR(AE119=0,Y119=""),"",IF(Y119&gt;0,"Yes","No"))</f>
        <v/>
      </c>
      <c r="AA119" s="12" t="str">
        <f aca="false">IF(AE119=0,IF(LEN($A119&amp;$B119)=0,"","FIX INPUT - StartDate missing"),IF(AD119&lt;&gt;"","FIX INPUT - "&amp;AD119,IF(NOT(LH_Ready),"Paste Leave History export (Settings must show YES)",IF(Y119&gt;0,"ACCRUE "&amp;ROUND(Y119,2)&amp;" hrs ("&amp;ROUND(Y119/HoursPerDay,2)&amp;" days)"&amp;IF(BA119=0," - no Bonus Leave in EH yet, full catch-up since start",""),IF(Y119&lt;0,"CHECK - EH accrued "&amp;ROUND(-Y119,2)&amp;""&amp;" hrs more than policy",IF(O119&gt;0,"OK - nothing to add",IF(AQ119="None",R119,"Not yet - first day on "&amp;TEXT(S119,"dd/mm/yyyy"))))))))</f>
        <v/>
      </c>
      <c r="AB119" s="13" t="str">
        <f aca="false">IF(OR(AE119=0,T119=""),"",AY119*HoursPerDay-T119)</f>
        <v/>
      </c>
      <c r="AC119" s="12" t="str">
        <f aca="false">IF(AE119=0,"",BA119)</f>
        <v/>
      </c>
      <c r="AD119" s="12" t="str">
        <f aca="false">IF(AE119=0,"",TRIM(IF(IF($C119="","",IF(OR(ISNUMBER(SEARCH("full",$C119)),UPPER(TRIM($C119))="FT",UPPER(TRIM($C119))="FTE"),"Full-Time",IF(OR(ISNUMBER(SEARCH("part",$C119)),UPPER(TRIM($C119))="PT",UPPER(TRIM($C119))="PTE"),"Part-Time",IF(OR(ISNUMBER(SEARCH("cas",$C119)),UPPER(TRIM($C119))="CAS"),"Casual","Unknown"))))="Unknown","EmploymentType not recognised - use Full-Time, Part-Time or Casual. ","")&amp;IF(AND(AG119&gt;=1,IF(AG119&gt;=3,AM119,IF(AG119=2,AL119,AK119))&lt;&gt;IF($C119="","",IF(OR(ISNUMBER(SEARCH("full",$C119)),UPPER(TRIM($C119))="FT",UPPER(TRIM($C119))="FTE"),"Full-Time",IF(OR(ISNUMBER(SEARCH("part",$C119)),UPPER(TRIM($C119))="PT",UPPER(TRIM($C119))="PTE"),"Part-Time",IF(OR(ISNUMBER(SEARCH("cas",$C119)),UPPER(TRIM($C119))="CAS"),"Casual","Unknown"))))),"EmploymentType does not match latest start date ("&amp;IF(AG119&gt;=3,AM119,IF(AG119=2,AL119,AK119))&amp;"). ","")&amp;IF(AND(AG119&gt;=1,AH119&lt;&gt;$F119),"Earliest type date should equal StartDate. ","")&amp;IF(AND(AG119&gt;=2,AH119=AI119),"Two types start on the same date. ","")&amp;IF(AND(OR(ISNUMBER(SEARCH("part",$C119)),UPPER(TRIM($C119))="PT",UPPER(TRIM($C119))="PTE"),$P119=""),"Part-time: enter PT Hrs/Week (blank = 24+). ","")))</f>
        <v/>
      </c>
      <c r="AE119" s="12" t="n">
        <f aca="false">IF(OR(LEN($A119&amp;$B119)=0,$F119=""),0,1)</f>
        <v>0</v>
      </c>
      <c r="AF119" s="10" t="str">
        <f aca="false">IF(AE119=0,"",IF($J119&lt;&gt;"",$J119,$F119))</f>
        <v/>
      </c>
      <c r="AG119" s="12" t="str">
        <f aca="false">IF(AE119=0,"",COUNT($G119:$I119))</f>
        <v/>
      </c>
      <c r="AH119" s="10" t="str">
        <f aca="false">IF(AE119=0,"",IFERROR(SMALL($G119:$I119,1),""))</f>
        <v/>
      </c>
      <c r="AI119" s="10" t="str">
        <f aca="false">IF(AE119=0,"",IFERROR(SMALL($G119:$I119,2),""))</f>
        <v/>
      </c>
      <c r="AJ119" s="10" t="str">
        <f aca="false">IF(AE119=0,"",IFERROR(SMALL($G119:$I119,3),""))</f>
        <v/>
      </c>
      <c r="AK119" s="12" t="str">
        <f aca="false">IF(AE119=0,"",IF(AH119="","",IF(AH119=$G119,"Part-Time",IF(AH119=$H119,"Full-Time","Casual"))))</f>
        <v/>
      </c>
      <c r="AL119" s="12" t="str">
        <f aca="false">IF(AE119=0,"",IF(AI119="","",IF(AI119=$G119,"Part-Time",IF(AI119=$H119,"Full-Time","Casual"))))</f>
        <v/>
      </c>
      <c r="AM119" s="12" t="str">
        <f aca="false">IF(AE119=0,"",IF(AJ119="","",IF(AJ119=$G119,"Part-Time",IF(AJ119=$H119,"Full-Time","Casual"))))</f>
        <v/>
      </c>
      <c r="AN119" s="12" t="str">
        <f aca="false">IF(AE119=0,"",IF(AG119=0,IF(OR(ISNUMBER(SEARCH("full",$C119)),UPPER(TRIM($C119))="FT",UPPER(TRIM($C119))="FTE"),"FT",IF(AND(OR(ISNUMBER(SEARCH("part",$C119)),UPPER(TRIM($C119))="PT",UPPER(TRIM($C119))="PTE"),OR($P119="",N($P119)&gt;=PT_MinHours)),"PT","None")),IF(OR(ISNUMBER(SEARCH("full",AK119)),UPPER(TRIM(AK119))="FT",UPPER(TRIM(AK119))="FTE"),"FT",IF(AND(OR(ISNUMBER(SEARCH("part",AK119)),UPPER(TRIM(AK119))="PT",UPPER(TRIM(AK119))="PTE"),OR($P119="",N($P119)&gt;=PT_MinHours)),"PT","None"))))</f>
        <v/>
      </c>
      <c r="AO119" s="12" t="str">
        <f aca="false">IF(AE119=0,"",IF(AG119&lt;2,"",IF(OR(ISNUMBER(SEARCH("full",AL119)),UPPER(TRIM(AL119))="FT",UPPER(TRIM(AL119))="FTE"),"FT",IF(AND(OR(ISNUMBER(SEARCH("part",AL119)),UPPER(TRIM(AL119))="PT",UPPER(TRIM(AL119))="PTE"),OR($P119="",N($P119)&gt;=PT_MinHours)),"PT","None"))))</f>
        <v/>
      </c>
      <c r="AP119" s="12" t="str">
        <f aca="false">IF(AE119=0,"",IF(AG119&lt;3,"",IF(OR(ISNUMBER(SEARCH("full",AM119)),UPPER(TRIM(AM119))="FT",UPPER(TRIM(AM119))="FTE"),"FT",IF(AND(OR(ISNUMBER(SEARCH("part",AM119)),UPPER(TRIM(AM119))="PT",UPPER(TRIM(AM119))="PTE"),OR($P119="",N($P119)&gt;=PT_MinHours)),"PT","None"))))</f>
        <v/>
      </c>
      <c r="AQ119" s="12" t="str">
        <f aca="false">IF(AE119=0,"",IF(AND(AG119&gt;=3,AJ119&lt;=AsOfDate),AP119,IF(AND(AG119&gt;=2,AI119&lt;=AsOfDate),AO119,AN119)))</f>
        <v/>
      </c>
      <c r="AR119" s="12" t="str">
        <f aca="false">IF(AE119=0,"",IF(AsOfDate&lt;AF119,-1,12*(YEAR(AsOfDate)-YEAR(AF119))+MONTH(AsOfDate)-MONTH(AF119)-IF(DAY(AsOfDate)&lt;MIN(DAY(AF119),DAY(EOMONTH(AsOfDate,0))),1,0)))</f>
        <v/>
      </c>
      <c r="AS119" s="12" t="str">
        <f aca="false">IF(AE119=0,"",IF(OR(AG119&lt;2,AI119&gt;AsOfDate),AR119,IF((AI119-1)&lt;AF119,-1,12*(YEAR((AI119-1))-YEAR(AF119))+MONTH((AI119-1))-MONTH(AF119)-IF(DAY((AI119-1))&lt;MIN(DAY(AF119),DAY(EOMONTH((AI119-1),0))),1,0))))</f>
        <v/>
      </c>
      <c r="AT119" s="12" t="str">
        <f aca="false">IF(AE119=0,"",IF(OR(AG119&lt;3,AJ119&gt;AsOfDate),AR119,IF((AJ119-1)&lt;AF119,-1,12*(YEAR((AJ119-1))-YEAR(AF119))+MONTH((AJ119-1))-MONTH(AF119)-IF(DAY((AJ119-1))&lt;MIN(DAY(AF119),DAY(EOMONTH((AJ119-1),0))),1,0))))</f>
        <v/>
      </c>
      <c r="AU119" s="12" t="str">
        <f aca="false">IF(AE119=0,"",IF(PFYDate&lt;AF119,-1,12*(YEAR(PFYDate)-YEAR(AF119))+MONTH(PFYDate)-MONTH(AF119)-IF(DAY(PFYDate)&lt;MIN(DAY(AF119),DAY(EOMONTH(PFYDate,0))),1,0)))</f>
        <v/>
      </c>
      <c r="AV119" s="12" t="str">
        <f aca="false">IF(AE119=0,"",IF(OR(AG119&lt;2,AI119&gt;PFYDate),AU119,IF((AI119-1)&lt;AF119,-1,12*(YEAR((AI119-1))-YEAR(AF119))+MONTH((AI119-1))-MONTH(AF119)-IF(DAY((AI119-1))&lt;MIN(DAY(AF119),DAY(EOMONTH((AI119-1),0))),1,0))))</f>
        <v/>
      </c>
      <c r="AW119" s="12" t="str">
        <f aca="false">IF(AE119=0,"",IF(OR(AG119&lt;3,AJ119&gt;PFYDate),AU119,IF((AJ119-1)&lt;AF119,-1,12*(YEAR((AJ119-1))-YEAR(AF119))+MONTH((AJ119-1))-MONTH(AF119)-IF(DAY((AJ119-1))&lt;MIN(DAY(AF119),DAY(EOMONTH((AJ119-1),0))),1,0))))</f>
        <v/>
      </c>
      <c r="AX119" s="12" t="str">
        <f aca="false">IF(AE119=0,"",IF(AN119="FT",IF(AS119&lt;FT_First,0,IF(AS119&lt;FT_Y5,1+INT((AS119-FT_First)/FT_Int1),FT_PreY5+FT_PerYear*INT((AS119-FT_Y5)/12)+FT_AnnivDays+INT(MOD(AS119-FT_Y5,12)/FT_Int2))),IF(AN119="PT",IF(AS119&lt;PT_First,0,1+INT((AS119-PT_First)/PT_Int)),0))+IF(AND(AG119&gt;=2,AI119&lt;=AsOfDate),IF(AO119="FT",IF(AT119&lt;FT_First,0,IF(AT119&lt;FT_Y5,1+INT((AT119-FT_First)/FT_Int1),FT_PreY5+FT_PerYear*INT((AT119-FT_Y5)/12)+FT_AnnivDays+INT(MOD(AT119-FT_Y5,12)/FT_Int2))),IF(AO119="PT",IF(AT119&lt;PT_First,0,1+INT((AT119-PT_First)/PT_Int)),0))-IF(AO119="FT",IF(AS119&lt;FT_First,0,IF(AS119&lt;FT_Y5,1+INT((AS119-FT_First)/FT_Int1),FT_PreY5+FT_PerYear*INT((AS119-FT_Y5)/12)+FT_AnnivDays+INT(MOD(AS119-FT_Y5,12)/FT_Int2))),IF(AO119="PT",IF(AS119&lt;PT_First,0,1+INT((AS119-PT_First)/PT_Int)),0)),0)+IF(AND(AG119&gt;=3,AJ119&lt;=AsOfDate),IF(AP119="FT",IF(AR119&lt;FT_First,0,IF(AR119&lt;FT_Y5,1+INT((AR119-FT_First)/FT_Int1),FT_PreY5+FT_PerYear*INT((AR119-FT_Y5)/12)+FT_AnnivDays+INT(MOD(AR119-FT_Y5,12)/FT_Int2))),IF(AP119="PT",IF(AR119&lt;PT_First,0,1+INT((AR119-PT_First)/PT_Int)),0))-IF(AP119="FT",IF(AT119&lt;FT_First,0,IF(AT119&lt;FT_Y5,1+INT((AT119-FT_First)/FT_Int1),FT_PreY5+FT_PerYear*INT((AT119-FT_Y5)/12)+FT_AnnivDays+INT(MOD(AT119-FT_Y5,12)/FT_Int2))),IF(AP119="PT",IF(AT119&lt;PT_First,0,1+INT((AT119-PT_First)/PT_Int)),0)),0))</f>
        <v/>
      </c>
      <c r="AY119" s="12" t="str">
        <f aca="false">IF(AE119=0,"",IF(AN119="FT",IF(AV119&lt;FT_First,0,IF(AV119&lt;FT_Y5,1+INT((AV119-FT_First)/FT_Int1),FT_PreY5+FT_PerYear*INT((AV119-FT_Y5)/12)+FT_AnnivDays+INT(MOD(AV119-FT_Y5,12)/FT_Int2))),IF(AN119="PT",IF(AV119&lt;PT_First,0,1+INT((AV119-PT_First)/PT_Int)),0))+IF(AND(AG119&gt;=2,AI119&lt;=PFYDate),IF(AO119="FT",IF(AW119&lt;FT_First,0,IF(AW119&lt;FT_Y5,1+INT((AW119-FT_First)/FT_Int1),FT_PreY5+FT_PerYear*INT((AW119-FT_Y5)/12)+FT_AnnivDays+INT(MOD(AW119-FT_Y5,12)/FT_Int2))),IF(AO119="PT",IF(AW119&lt;PT_First,0,1+INT((AW119-PT_First)/PT_Int)),0))-IF(AO119="FT",IF(AV119&lt;FT_First,0,IF(AV119&lt;FT_Y5,1+INT((AV119-FT_First)/FT_Int1),FT_PreY5+FT_PerYear*INT((AV119-FT_Y5)/12)+FT_AnnivDays+INT(MOD(AV119-FT_Y5,12)/FT_Int2))),IF(AO119="PT",IF(AV119&lt;PT_First,0,1+INT((AV119-PT_First)/PT_Int)),0)),0)+IF(AND(AG119&gt;=3,AJ119&lt;=PFYDate),IF(AP119="FT",IF(AU119&lt;FT_First,0,IF(AU119&lt;FT_Y5,1+INT((AU119-FT_First)/FT_Int1),FT_PreY5+FT_PerYear*INT((AU119-FT_Y5)/12)+FT_AnnivDays+INT(MOD(AU119-FT_Y5,12)/FT_Int2))),IF(AP119="PT",IF(AU119&lt;PT_First,0,1+INT((AU119-PT_First)/PT_Int)),0))-IF(AP119="FT",IF(AW119&lt;FT_First,0,IF(AW119&lt;FT_Y5,1+INT((AW119-FT_First)/FT_Int1),FT_PreY5+FT_PerYear*INT((AW119-FT_Y5)/12)+FT_AnnivDays+INT(MOD(AW119-FT_Y5,12)/FT_Int2))),IF(AP119="PT",IF(AW119&lt;PT_First,0,1+INT((AW119-PT_First)/PT_Int)),0)),0))</f>
        <v/>
      </c>
      <c r="AZ119" s="12" t="str">
        <f aca="false">IF(AE119=0,"",IF(AQ119="FT",IF(AR119&lt;FT_First,FT_First,IF(AR119&lt;FT_Y5,MIN(FT_Y5,FT_First+FT_Int1*(INT((AR119-FT_First)/FT_Int1)+1)),FT_Y5+12*INT((AR119-FT_Y5)/12)+FT_Int2*(INT(MOD(AR119-FT_Y5,12)/FT_Int2)+1))),IF(AQ119="PT",IF(AR119&lt;PT_First,PT_First,PT_First+PT_Int*(INT((AR119-PT_First)/PT_Int)+1)),"")))</f>
        <v/>
      </c>
      <c r="BA119" s="12" t="str">
        <f aca="false">IF(AE119=0,"",IF(NOT(LH_Ready),0,COUNTIFS(INDEX(LH_Data,0,LH_ColFirst),$A119,INDEX(LH_Data,0,LH_ColSur),$B119,INDEX(LH_Data,0,LH_ColCat),BonusCat)))</f>
        <v/>
      </c>
      <c r="BB119" s="12" t="str">
        <f aca="false">IF(AE119=0,"",IF(OR(NOT(LH_Ready),BA119=0),0,SUMPRODUCT(MAX((INDEX(LH_Data,0,LH_ColFirst)=$A119)*(INDEX(LH_Data,0,LH_ColSur)=$B119)*(INDEX(LH_Data,0,LH_ColCat)=BonusCat)*ROW(LH_Data)))))</f>
        <v/>
      </c>
    </row>
    <row r="120" customFormat="false" ht="15" hidden="false" customHeight="false" outlineLevel="0" collapsed="false">
      <c r="A120" s="15"/>
      <c r="B120" s="15"/>
      <c r="C120" s="15"/>
      <c r="D120" s="16"/>
      <c r="E120" s="10" t="str">
        <f aca="false">IF(OR(AE120=0,$D120=""),"",DATE(YEAR(AsOfDate)+IF(DATE(YEAR(AsOfDate),MONTH($D120),DAY($D120))&lt;=AsOfDate,1,0),MONTH($D120),DAY($D120)))</f>
        <v/>
      </c>
      <c r="F120" s="16"/>
      <c r="G120" s="16"/>
      <c r="H120" s="16"/>
      <c r="I120" s="16"/>
      <c r="J120" s="16"/>
      <c r="K120" s="10" t="str">
        <f aca="false">IF(AE120=0,"",DATE(YEAR(AsOfDate)+IF(DATE(YEAR(AsOfDate),MONTH($F120),DAY($F120))&lt;=AsOfDate,1,0),MONTH($F120),DAY($F120)))</f>
        <v/>
      </c>
      <c r="L120" s="11" t="str">
        <f aca="false">IF(AE120=0,"",ROUND((AsOfDate-$F120)/365.25,1))</f>
        <v/>
      </c>
      <c r="M120" s="12" t="str">
        <f aca="false">IF(AE120=0,"",IF(AsOfDate&lt;AF120,"-",DATEDIF(AF120,AsOfDate,"y")&amp;"y "&amp;DATEDIF(AF120,AsOfDate,"ym")&amp;"m "&amp;DATEDIF(AF120,AsOfDate,"md")&amp;"d"))</f>
        <v/>
      </c>
      <c r="N120" s="13" t="str">
        <f aca="false">IF(AE120=0,"",O120*HoursPerDay)</f>
        <v/>
      </c>
      <c r="O120" s="13" t="str">
        <f aca="false">IF(AE120=0,"",AX120)</f>
        <v/>
      </c>
      <c r="P120" s="17"/>
      <c r="Q120" s="12" t="str">
        <f aca="false">IF(AE120=0,"",IF(AG120&lt;2,"",AK120&amp;" to "&amp;AL120&amp;" on "&amp;TEXT(AI120,"dd/mm/yyyy")&amp;IF(AI120&gt;AsOfDate," (future)",IF(AN120=AO120,"",IF(AO120="None"," - STOPPED accruing",IF(AN120="None"," - now qualifying"," - pathway changed"))))&amp;IF(AG120&lt;3,"","; "&amp;AL120&amp;" to "&amp;AM120&amp;" on "&amp;TEXT(AJ120,"dd/mm/yyyy")&amp;IF(AJ120&gt;AsOfDate," (future)",IF(AO120=AP120,"",IF(AP120="None"," - STOPPED accruing",IF(AO120="None"," - now qualifying"," - pathway changed")))))))</f>
        <v/>
      </c>
      <c r="R120" s="12" t="str">
        <f aca="false">IF(AE120=0,"",IF(AQ120="None",IF(O120&gt;0,"No longer accruing","Not eligible - "&amp;IF(AND(OR(ISNUMBER(SEARCH("part",$C120)),UPPER(TRIM($C120))="PT",UPPER(TRIM($C120))="PTE"),$P120&lt;&gt;"",N($P120)&lt;PT_MinHours),"under "&amp;PT_MinHours&amp;" hrs",IF(IF($C120="","",IF(OR(ISNUMBER(SEARCH("full",$C120)),UPPER(TRIM($C120))="FT",UPPER(TRIM($C120))="FTE"),"Full-Time",IF(OR(ISNUMBER(SEARCH("part",$C120)),UPPER(TRIM($C120))="PT",UPPER(TRIM($C120))="PTE"),"Part-Time",IF(OR(ISNUMBER(SEARCH("cas",$C120)),UPPER(TRIM($C120))="CAS"),"Casual","Unknown"))))="Unknown","type not recognised",$C120))),IF(O120&gt;0,"Yes - accruing","Not yet - from "&amp;TEXT(S120,"dd/mm/yyyy"))))</f>
        <v/>
      </c>
      <c r="S120" s="10" t="str">
        <f aca="false">IF(AE120=0,"",IF(AQ120="None","",EDATE(AF120,AZ120)))</f>
        <v/>
      </c>
      <c r="T120" s="13" t="str">
        <f aca="false">IF(OR(AE120=0,W120=""),"",W120-U120+V120)</f>
        <v/>
      </c>
      <c r="U120" s="13" t="str">
        <f aca="false">IF(AE120=0,"",IF(NOT(LH_Ready),"",SUMIFS(INDEX(LH_Data,0,LH_ColAcc),INDEX(LH_Data,0,LH_ColFirst),$A120,INDEX(LH_Data,0,LH_ColSur),$B120,INDEX(LH_Data,0,LH_ColCat),BonusCat)*UnitFactor))</f>
        <v/>
      </c>
      <c r="V120" s="13" t="str">
        <f aca="false">IF(AE120=0,"",IF(NOT(LH_Ready),"",SUMIFS(INDEX(LH_Data,0,LH_ColTaken),INDEX(LH_Data,0,LH_ColFirst),$A120,INDEX(LH_Data,0,LH_ColSur),$B120,INDEX(LH_Data,0,LH_ColCat),BonusCat)*UnitFactor))</f>
        <v/>
      </c>
      <c r="W120" s="13" t="str">
        <f aca="false">IF(AE120=0,"",IF(NOT(LH_Ready),"",IF(BB120=0,0,INDEX(INDEX(LH_Data,0,LH_ColClose),BB120-1)*UnitFactor)))</f>
        <v/>
      </c>
      <c r="X120" s="13" t="str">
        <f aca="false">IF(AE120=0,"",(AX120-AY120)*HoursPerDay)</f>
        <v/>
      </c>
      <c r="Y120" s="13" t="str">
        <f aca="false">IF(AE120=0,"",IF(NOT(LH_Ready),"",IF(BA120=0,N120,X120-N(U120))))</f>
        <v/>
      </c>
      <c r="Z120" s="12" t="str">
        <f aca="false">IF(OR(AE120=0,Y120=""),"",IF(Y120&gt;0,"Yes","No"))</f>
        <v/>
      </c>
      <c r="AA120" s="12" t="str">
        <f aca="false">IF(AE120=0,IF(LEN($A120&amp;$B120)=0,"","FIX INPUT - StartDate missing"),IF(AD120&lt;&gt;"","FIX INPUT - "&amp;AD120,IF(NOT(LH_Ready),"Paste Leave History export (Settings must show YES)",IF(Y120&gt;0,"ACCRUE "&amp;ROUND(Y120,2)&amp;" hrs ("&amp;ROUND(Y120/HoursPerDay,2)&amp;" days)"&amp;IF(BA120=0," - no Bonus Leave in EH yet, full catch-up since start",""),IF(Y120&lt;0,"CHECK - EH accrued "&amp;ROUND(-Y120,2)&amp;""&amp;" hrs more than policy",IF(O120&gt;0,"OK - nothing to add",IF(AQ120="None",R120,"Not yet - first day on "&amp;TEXT(S120,"dd/mm/yyyy"))))))))</f>
        <v/>
      </c>
      <c r="AB120" s="13" t="str">
        <f aca="false">IF(OR(AE120=0,T120=""),"",AY120*HoursPerDay-T120)</f>
        <v/>
      </c>
      <c r="AC120" s="12" t="str">
        <f aca="false">IF(AE120=0,"",BA120)</f>
        <v/>
      </c>
      <c r="AD120" s="12" t="str">
        <f aca="false">IF(AE120=0,"",TRIM(IF(IF($C120="","",IF(OR(ISNUMBER(SEARCH("full",$C120)),UPPER(TRIM($C120))="FT",UPPER(TRIM($C120))="FTE"),"Full-Time",IF(OR(ISNUMBER(SEARCH("part",$C120)),UPPER(TRIM($C120))="PT",UPPER(TRIM($C120))="PTE"),"Part-Time",IF(OR(ISNUMBER(SEARCH("cas",$C120)),UPPER(TRIM($C120))="CAS"),"Casual","Unknown"))))="Unknown","EmploymentType not recognised - use Full-Time, Part-Time or Casual. ","")&amp;IF(AND(AG120&gt;=1,IF(AG120&gt;=3,AM120,IF(AG120=2,AL120,AK120))&lt;&gt;IF($C120="","",IF(OR(ISNUMBER(SEARCH("full",$C120)),UPPER(TRIM($C120))="FT",UPPER(TRIM($C120))="FTE"),"Full-Time",IF(OR(ISNUMBER(SEARCH("part",$C120)),UPPER(TRIM($C120))="PT",UPPER(TRIM($C120))="PTE"),"Part-Time",IF(OR(ISNUMBER(SEARCH("cas",$C120)),UPPER(TRIM($C120))="CAS"),"Casual","Unknown"))))),"EmploymentType does not match latest start date ("&amp;IF(AG120&gt;=3,AM120,IF(AG120=2,AL120,AK120))&amp;"). ","")&amp;IF(AND(AG120&gt;=1,AH120&lt;&gt;$F120),"Earliest type date should equal StartDate. ","")&amp;IF(AND(AG120&gt;=2,AH120=AI120),"Two types start on the same date. ","")&amp;IF(AND(OR(ISNUMBER(SEARCH("part",$C120)),UPPER(TRIM($C120))="PT",UPPER(TRIM($C120))="PTE"),$P120=""),"Part-time: enter PT Hrs/Week (blank = 24+). ","")))</f>
        <v/>
      </c>
      <c r="AE120" s="12" t="n">
        <f aca="false">IF(OR(LEN($A120&amp;$B120)=0,$F120=""),0,1)</f>
        <v>0</v>
      </c>
      <c r="AF120" s="10" t="str">
        <f aca="false">IF(AE120=0,"",IF($J120&lt;&gt;"",$J120,$F120))</f>
        <v/>
      </c>
      <c r="AG120" s="12" t="str">
        <f aca="false">IF(AE120=0,"",COUNT($G120:$I120))</f>
        <v/>
      </c>
      <c r="AH120" s="10" t="str">
        <f aca="false">IF(AE120=0,"",IFERROR(SMALL($G120:$I120,1),""))</f>
        <v/>
      </c>
      <c r="AI120" s="10" t="str">
        <f aca="false">IF(AE120=0,"",IFERROR(SMALL($G120:$I120,2),""))</f>
        <v/>
      </c>
      <c r="AJ120" s="10" t="str">
        <f aca="false">IF(AE120=0,"",IFERROR(SMALL($G120:$I120,3),""))</f>
        <v/>
      </c>
      <c r="AK120" s="12" t="str">
        <f aca="false">IF(AE120=0,"",IF(AH120="","",IF(AH120=$G120,"Part-Time",IF(AH120=$H120,"Full-Time","Casual"))))</f>
        <v/>
      </c>
      <c r="AL120" s="12" t="str">
        <f aca="false">IF(AE120=0,"",IF(AI120="","",IF(AI120=$G120,"Part-Time",IF(AI120=$H120,"Full-Time","Casual"))))</f>
        <v/>
      </c>
      <c r="AM120" s="12" t="str">
        <f aca="false">IF(AE120=0,"",IF(AJ120="","",IF(AJ120=$G120,"Part-Time",IF(AJ120=$H120,"Full-Time","Casual"))))</f>
        <v/>
      </c>
      <c r="AN120" s="12" t="str">
        <f aca="false">IF(AE120=0,"",IF(AG120=0,IF(OR(ISNUMBER(SEARCH("full",$C120)),UPPER(TRIM($C120))="FT",UPPER(TRIM($C120))="FTE"),"FT",IF(AND(OR(ISNUMBER(SEARCH("part",$C120)),UPPER(TRIM($C120))="PT",UPPER(TRIM($C120))="PTE"),OR($P120="",N($P120)&gt;=PT_MinHours)),"PT","None")),IF(OR(ISNUMBER(SEARCH("full",AK120)),UPPER(TRIM(AK120))="FT",UPPER(TRIM(AK120))="FTE"),"FT",IF(AND(OR(ISNUMBER(SEARCH("part",AK120)),UPPER(TRIM(AK120))="PT",UPPER(TRIM(AK120))="PTE"),OR($P120="",N($P120)&gt;=PT_MinHours)),"PT","None"))))</f>
        <v/>
      </c>
      <c r="AO120" s="12" t="str">
        <f aca="false">IF(AE120=0,"",IF(AG120&lt;2,"",IF(OR(ISNUMBER(SEARCH("full",AL120)),UPPER(TRIM(AL120))="FT",UPPER(TRIM(AL120))="FTE"),"FT",IF(AND(OR(ISNUMBER(SEARCH("part",AL120)),UPPER(TRIM(AL120))="PT",UPPER(TRIM(AL120))="PTE"),OR($P120="",N($P120)&gt;=PT_MinHours)),"PT","None"))))</f>
        <v/>
      </c>
      <c r="AP120" s="12" t="str">
        <f aca="false">IF(AE120=0,"",IF(AG120&lt;3,"",IF(OR(ISNUMBER(SEARCH("full",AM120)),UPPER(TRIM(AM120))="FT",UPPER(TRIM(AM120))="FTE"),"FT",IF(AND(OR(ISNUMBER(SEARCH("part",AM120)),UPPER(TRIM(AM120))="PT",UPPER(TRIM(AM120))="PTE"),OR($P120="",N($P120)&gt;=PT_MinHours)),"PT","None"))))</f>
        <v/>
      </c>
      <c r="AQ120" s="12" t="str">
        <f aca="false">IF(AE120=0,"",IF(AND(AG120&gt;=3,AJ120&lt;=AsOfDate),AP120,IF(AND(AG120&gt;=2,AI120&lt;=AsOfDate),AO120,AN120)))</f>
        <v/>
      </c>
      <c r="AR120" s="12" t="str">
        <f aca="false">IF(AE120=0,"",IF(AsOfDate&lt;AF120,-1,12*(YEAR(AsOfDate)-YEAR(AF120))+MONTH(AsOfDate)-MONTH(AF120)-IF(DAY(AsOfDate)&lt;MIN(DAY(AF120),DAY(EOMONTH(AsOfDate,0))),1,0)))</f>
        <v/>
      </c>
      <c r="AS120" s="12" t="str">
        <f aca="false">IF(AE120=0,"",IF(OR(AG120&lt;2,AI120&gt;AsOfDate),AR120,IF((AI120-1)&lt;AF120,-1,12*(YEAR((AI120-1))-YEAR(AF120))+MONTH((AI120-1))-MONTH(AF120)-IF(DAY((AI120-1))&lt;MIN(DAY(AF120),DAY(EOMONTH((AI120-1),0))),1,0))))</f>
        <v/>
      </c>
      <c r="AT120" s="12" t="str">
        <f aca="false">IF(AE120=0,"",IF(OR(AG120&lt;3,AJ120&gt;AsOfDate),AR120,IF((AJ120-1)&lt;AF120,-1,12*(YEAR((AJ120-1))-YEAR(AF120))+MONTH((AJ120-1))-MONTH(AF120)-IF(DAY((AJ120-1))&lt;MIN(DAY(AF120),DAY(EOMONTH((AJ120-1),0))),1,0))))</f>
        <v/>
      </c>
      <c r="AU120" s="12" t="str">
        <f aca="false">IF(AE120=0,"",IF(PFYDate&lt;AF120,-1,12*(YEAR(PFYDate)-YEAR(AF120))+MONTH(PFYDate)-MONTH(AF120)-IF(DAY(PFYDate)&lt;MIN(DAY(AF120),DAY(EOMONTH(PFYDate,0))),1,0)))</f>
        <v/>
      </c>
      <c r="AV120" s="12" t="str">
        <f aca="false">IF(AE120=0,"",IF(OR(AG120&lt;2,AI120&gt;PFYDate),AU120,IF((AI120-1)&lt;AF120,-1,12*(YEAR((AI120-1))-YEAR(AF120))+MONTH((AI120-1))-MONTH(AF120)-IF(DAY((AI120-1))&lt;MIN(DAY(AF120),DAY(EOMONTH((AI120-1),0))),1,0))))</f>
        <v/>
      </c>
      <c r="AW120" s="12" t="str">
        <f aca="false">IF(AE120=0,"",IF(OR(AG120&lt;3,AJ120&gt;PFYDate),AU120,IF((AJ120-1)&lt;AF120,-1,12*(YEAR((AJ120-1))-YEAR(AF120))+MONTH((AJ120-1))-MONTH(AF120)-IF(DAY((AJ120-1))&lt;MIN(DAY(AF120),DAY(EOMONTH((AJ120-1),0))),1,0))))</f>
        <v/>
      </c>
      <c r="AX120" s="12" t="str">
        <f aca="false">IF(AE120=0,"",IF(AN120="FT",IF(AS120&lt;FT_First,0,IF(AS120&lt;FT_Y5,1+INT((AS120-FT_First)/FT_Int1),FT_PreY5+FT_PerYear*INT((AS120-FT_Y5)/12)+FT_AnnivDays+INT(MOD(AS120-FT_Y5,12)/FT_Int2))),IF(AN120="PT",IF(AS120&lt;PT_First,0,1+INT((AS120-PT_First)/PT_Int)),0))+IF(AND(AG120&gt;=2,AI120&lt;=AsOfDate),IF(AO120="FT",IF(AT120&lt;FT_First,0,IF(AT120&lt;FT_Y5,1+INT((AT120-FT_First)/FT_Int1),FT_PreY5+FT_PerYear*INT((AT120-FT_Y5)/12)+FT_AnnivDays+INT(MOD(AT120-FT_Y5,12)/FT_Int2))),IF(AO120="PT",IF(AT120&lt;PT_First,0,1+INT((AT120-PT_First)/PT_Int)),0))-IF(AO120="FT",IF(AS120&lt;FT_First,0,IF(AS120&lt;FT_Y5,1+INT((AS120-FT_First)/FT_Int1),FT_PreY5+FT_PerYear*INT((AS120-FT_Y5)/12)+FT_AnnivDays+INT(MOD(AS120-FT_Y5,12)/FT_Int2))),IF(AO120="PT",IF(AS120&lt;PT_First,0,1+INT((AS120-PT_First)/PT_Int)),0)),0)+IF(AND(AG120&gt;=3,AJ120&lt;=AsOfDate),IF(AP120="FT",IF(AR120&lt;FT_First,0,IF(AR120&lt;FT_Y5,1+INT((AR120-FT_First)/FT_Int1),FT_PreY5+FT_PerYear*INT((AR120-FT_Y5)/12)+FT_AnnivDays+INT(MOD(AR120-FT_Y5,12)/FT_Int2))),IF(AP120="PT",IF(AR120&lt;PT_First,0,1+INT((AR120-PT_First)/PT_Int)),0))-IF(AP120="FT",IF(AT120&lt;FT_First,0,IF(AT120&lt;FT_Y5,1+INT((AT120-FT_First)/FT_Int1),FT_PreY5+FT_PerYear*INT((AT120-FT_Y5)/12)+FT_AnnivDays+INT(MOD(AT120-FT_Y5,12)/FT_Int2))),IF(AP120="PT",IF(AT120&lt;PT_First,0,1+INT((AT120-PT_First)/PT_Int)),0)),0))</f>
        <v/>
      </c>
      <c r="AY120" s="12" t="str">
        <f aca="false">IF(AE120=0,"",IF(AN120="FT",IF(AV120&lt;FT_First,0,IF(AV120&lt;FT_Y5,1+INT((AV120-FT_First)/FT_Int1),FT_PreY5+FT_PerYear*INT((AV120-FT_Y5)/12)+FT_AnnivDays+INT(MOD(AV120-FT_Y5,12)/FT_Int2))),IF(AN120="PT",IF(AV120&lt;PT_First,0,1+INT((AV120-PT_First)/PT_Int)),0))+IF(AND(AG120&gt;=2,AI120&lt;=PFYDate),IF(AO120="FT",IF(AW120&lt;FT_First,0,IF(AW120&lt;FT_Y5,1+INT((AW120-FT_First)/FT_Int1),FT_PreY5+FT_PerYear*INT((AW120-FT_Y5)/12)+FT_AnnivDays+INT(MOD(AW120-FT_Y5,12)/FT_Int2))),IF(AO120="PT",IF(AW120&lt;PT_First,0,1+INT((AW120-PT_First)/PT_Int)),0))-IF(AO120="FT",IF(AV120&lt;FT_First,0,IF(AV120&lt;FT_Y5,1+INT((AV120-FT_First)/FT_Int1),FT_PreY5+FT_PerYear*INT((AV120-FT_Y5)/12)+FT_AnnivDays+INT(MOD(AV120-FT_Y5,12)/FT_Int2))),IF(AO120="PT",IF(AV120&lt;PT_First,0,1+INT((AV120-PT_First)/PT_Int)),0)),0)+IF(AND(AG120&gt;=3,AJ120&lt;=PFYDate),IF(AP120="FT",IF(AU120&lt;FT_First,0,IF(AU120&lt;FT_Y5,1+INT((AU120-FT_First)/FT_Int1),FT_PreY5+FT_PerYear*INT((AU120-FT_Y5)/12)+FT_AnnivDays+INT(MOD(AU120-FT_Y5,12)/FT_Int2))),IF(AP120="PT",IF(AU120&lt;PT_First,0,1+INT((AU120-PT_First)/PT_Int)),0))-IF(AP120="FT",IF(AW120&lt;FT_First,0,IF(AW120&lt;FT_Y5,1+INT((AW120-FT_First)/FT_Int1),FT_PreY5+FT_PerYear*INT((AW120-FT_Y5)/12)+FT_AnnivDays+INT(MOD(AW120-FT_Y5,12)/FT_Int2))),IF(AP120="PT",IF(AW120&lt;PT_First,0,1+INT((AW120-PT_First)/PT_Int)),0)),0))</f>
        <v/>
      </c>
      <c r="AZ120" s="12" t="str">
        <f aca="false">IF(AE120=0,"",IF(AQ120="FT",IF(AR120&lt;FT_First,FT_First,IF(AR120&lt;FT_Y5,MIN(FT_Y5,FT_First+FT_Int1*(INT((AR120-FT_First)/FT_Int1)+1)),FT_Y5+12*INT((AR120-FT_Y5)/12)+FT_Int2*(INT(MOD(AR120-FT_Y5,12)/FT_Int2)+1))),IF(AQ120="PT",IF(AR120&lt;PT_First,PT_First,PT_First+PT_Int*(INT((AR120-PT_First)/PT_Int)+1)),"")))</f>
        <v/>
      </c>
      <c r="BA120" s="12" t="str">
        <f aca="false">IF(AE120=0,"",IF(NOT(LH_Ready),0,COUNTIFS(INDEX(LH_Data,0,LH_ColFirst),$A120,INDEX(LH_Data,0,LH_ColSur),$B120,INDEX(LH_Data,0,LH_ColCat),BonusCat)))</f>
        <v/>
      </c>
      <c r="BB120" s="12" t="str">
        <f aca="false">IF(AE120=0,"",IF(OR(NOT(LH_Ready),BA120=0),0,SUMPRODUCT(MAX((INDEX(LH_Data,0,LH_ColFirst)=$A120)*(INDEX(LH_Data,0,LH_ColSur)=$B120)*(INDEX(LH_Data,0,LH_ColCat)=BonusCat)*ROW(LH_Data)))))</f>
        <v/>
      </c>
    </row>
    <row r="121" customFormat="false" ht="15" hidden="false" customHeight="false" outlineLevel="0" collapsed="false">
      <c r="A121" s="15"/>
      <c r="B121" s="15"/>
      <c r="C121" s="15"/>
      <c r="D121" s="16"/>
      <c r="E121" s="10" t="str">
        <f aca="false">IF(OR(AE121=0,$D121=""),"",DATE(YEAR(AsOfDate)+IF(DATE(YEAR(AsOfDate),MONTH($D121),DAY($D121))&lt;=AsOfDate,1,0),MONTH($D121),DAY($D121)))</f>
        <v/>
      </c>
      <c r="F121" s="16"/>
      <c r="G121" s="16"/>
      <c r="H121" s="16"/>
      <c r="I121" s="16"/>
      <c r="J121" s="16"/>
      <c r="K121" s="10" t="str">
        <f aca="false">IF(AE121=0,"",DATE(YEAR(AsOfDate)+IF(DATE(YEAR(AsOfDate),MONTH($F121),DAY($F121))&lt;=AsOfDate,1,0),MONTH($F121),DAY($F121)))</f>
        <v/>
      </c>
      <c r="L121" s="11" t="str">
        <f aca="false">IF(AE121=0,"",ROUND((AsOfDate-$F121)/365.25,1))</f>
        <v/>
      </c>
      <c r="M121" s="12" t="str">
        <f aca="false">IF(AE121=0,"",IF(AsOfDate&lt;AF121,"-",DATEDIF(AF121,AsOfDate,"y")&amp;"y "&amp;DATEDIF(AF121,AsOfDate,"ym")&amp;"m "&amp;DATEDIF(AF121,AsOfDate,"md")&amp;"d"))</f>
        <v/>
      </c>
      <c r="N121" s="13" t="str">
        <f aca="false">IF(AE121=0,"",O121*HoursPerDay)</f>
        <v/>
      </c>
      <c r="O121" s="13" t="str">
        <f aca="false">IF(AE121=0,"",AX121)</f>
        <v/>
      </c>
      <c r="P121" s="17"/>
      <c r="Q121" s="12" t="str">
        <f aca="false">IF(AE121=0,"",IF(AG121&lt;2,"",AK121&amp;" to "&amp;AL121&amp;" on "&amp;TEXT(AI121,"dd/mm/yyyy")&amp;IF(AI121&gt;AsOfDate," (future)",IF(AN121=AO121,"",IF(AO121="None"," - STOPPED accruing",IF(AN121="None"," - now qualifying"," - pathway changed"))))&amp;IF(AG121&lt;3,"","; "&amp;AL121&amp;" to "&amp;AM121&amp;" on "&amp;TEXT(AJ121,"dd/mm/yyyy")&amp;IF(AJ121&gt;AsOfDate," (future)",IF(AO121=AP121,"",IF(AP121="None"," - STOPPED accruing",IF(AO121="None"," - now qualifying"," - pathway changed")))))))</f>
        <v/>
      </c>
      <c r="R121" s="12" t="str">
        <f aca="false">IF(AE121=0,"",IF(AQ121="None",IF(O121&gt;0,"No longer accruing","Not eligible - "&amp;IF(AND(OR(ISNUMBER(SEARCH("part",$C121)),UPPER(TRIM($C121))="PT",UPPER(TRIM($C121))="PTE"),$P121&lt;&gt;"",N($P121)&lt;PT_MinHours),"under "&amp;PT_MinHours&amp;" hrs",IF(IF($C121="","",IF(OR(ISNUMBER(SEARCH("full",$C121)),UPPER(TRIM($C121))="FT",UPPER(TRIM($C121))="FTE"),"Full-Time",IF(OR(ISNUMBER(SEARCH("part",$C121)),UPPER(TRIM($C121))="PT",UPPER(TRIM($C121))="PTE"),"Part-Time",IF(OR(ISNUMBER(SEARCH("cas",$C121)),UPPER(TRIM($C121))="CAS"),"Casual","Unknown"))))="Unknown","type not recognised",$C121))),IF(O121&gt;0,"Yes - accruing","Not yet - from "&amp;TEXT(S121,"dd/mm/yyyy"))))</f>
        <v/>
      </c>
      <c r="S121" s="10" t="str">
        <f aca="false">IF(AE121=0,"",IF(AQ121="None","",EDATE(AF121,AZ121)))</f>
        <v/>
      </c>
      <c r="T121" s="13" t="str">
        <f aca="false">IF(OR(AE121=0,W121=""),"",W121-U121+V121)</f>
        <v/>
      </c>
      <c r="U121" s="13" t="str">
        <f aca="false">IF(AE121=0,"",IF(NOT(LH_Ready),"",SUMIFS(INDEX(LH_Data,0,LH_ColAcc),INDEX(LH_Data,0,LH_ColFirst),$A121,INDEX(LH_Data,0,LH_ColSur),$B121,INDEX(LH_Data,0,LH_ColCat),BonusCat)*UnitFactor))</f>
        <v/>
      </c>
      <c r="V121" s="13" t="str">
        <f aca="false">IF(AE121=0,"",IF(NOT(LH_Ready),"",SUMIFS(INDEX(LH_Data,0,LH_ColTaken),INDEX(LH_Data,0,LH_ColFirst),$A121,INDEX(LH_Data,0,LH_ColSur),$B121,INDEX(LH_Data,0,LH_ColCat),BonusCat)*UnitFactor))</f>
        <v/>
      </c>
      <c r="W121" s="13" t="str">
        <f aca="false">IF(AE121=0,"",IF(NOT(LH_Ready),"",IF(BB121=0,0,INDEX(INDEX(LH_Data,0,LH_ColClose),BB121-1)*UnitFactor)))</f>
        <v/>
      </c>
      <c r="X121" s="13" t="str">
        <f aca="false">IF(AE121=0,"",(AX121-AY121)*HoursPerDay)</f>
        <v/>
      </c>
      <c r="Y121" s="13" t="str">
        <f aca="false">IF(AE121=0,"",IF(NOT(LH_Ready),"",IF(BA121=0,N121,X121-N(U121))))</f>
        <v/>
      </c>
      <c r="Z121" s="12" t="str">
        <f aca="false">IF(OR(AE121=0,Y121=""),"",IF(Y121&gt;0,"Yes","No"))</f>
        <v/>
      </c>
      <c r="AA121" s="12" t="str">
        <f aca="false">IF(AE121=0,IF(LEN($A121&amp;$B121)=0,"","FIX INPUT - StartDate missing"),IF(AD121&lt;&gt;"","FIX INPUT - "&amp;AD121,IF(NOT(LH_Ready),"Paste Leave History export (Settings must show YES)",IF(Y121&gt;0,"ACCRUE "&amp;ROUND(Y121,2)&amp;" hrs ("&amp;ROUND(Y121/HoursPerDay,2)&amp;" days)"&amp;IF(BA121=0," - no Bonus Leave in EH yet, full catch-up since start",""),IF(Y121&lt;0,"CHECK - EH accrued "&amp;ROUND(-Y121,2)&amp;""&amp;" hrs more than policy",IF(O121&gt;0,"OK - nothing to add",IF(AQ121="None",R121,"Not yet - first day on "&amp;TEXT(S121,"dd/mm/yyyy"))))))))</f>
        <v/>
      </c>
      <c r="AB121" s="13" t="str">
        <f aca="false">IF(OR(AE121=0,T121=""),"",AY121*HoursPerDay-T121)</f>
        <v/>
      </c>
      <c r="AC121" s="12" t="str">
        <f aca="false">IF(AE121=0,"",BA121)</f>
        <v/>
      </c>
      <c r="AD121" s="12" t="str">
        <f aca="false">IF(AE121=0,"",TRIM(IF(IF($C121="","",IF(OR(ISNUMBER(SEARCH("full",$C121)),UPPER(TRIM($C121))="FT",UPPER(TRIM($C121))="FTE"),"Full-Time",IF(OR(ISNUMBER(SEARCH("part",$C121)),UPPER(TRIM($C121))="PT",UPPER(TRIM($C121))="PTE"),"Part-Time",IF(OR(ISNUMBER(SEARCH("cas",$C121)),UPPER(TRIM($C121))="CAS"),"Casual","Unknown"))))="Unknown","EmploymentType not recognised - use Full-Time, Part-Time or Casual. ","")&amp;IF(AND(AG121&gt;=1,IF(AG121&gt;=3,AM121,IF(AG121=2,AL121,AK121))&lt;&gt;IF($C121="","",IF(OR(ISNUMBER(SEARCH("full",$C121)),UPPER(TRIM($C121))="FT",UPPER(TRIM($C121))="FTE"),"Full-Time",IF(OR(ISNUMBER(SEARCH("part",$C121)),UPPER(TRIM($C121))="PT",UPPER(TRIM($C121))="PTE"),"Part-Time",IF(OR(ISNUMBER(SEARCH("cas",$C121)),UPPER(TRIM($C121))="CAS"),"Casual","Unknown"))))),"EmploymentType does not match latest start date ("&amp;IF(AG121&gt;=3,AM121,IF(AG121=2,AL121,AK121))&amp;"). ","")&amp;IF(AND(AG121&gt;=1,AH121&lt;&gt;$F121),"Earliest type date should equal StartDate. ","")&amp;IF(AND(AG121&gt;=2,AH121=AI121),"Two types start on the same date. ","")&amp;IF(AND(OR(ISNUMBER(SEARCH("part",$C121)),UPPER(TRIM($C121))="PT",UPPER(TRIM($C121))="PTE"),$P121=""),"Part-time: enter PT Hrs/Week (blank = 24+). ","")))</f>
        <v/>
      </c>
      <c r="AE121" s="12" t="n">
        <f aca="false">IF(OR(LEN($A121&amp;$B121)=0,$F121=""),0,1)</f>
        <v>0</v>
      </c>
      <c r="AF121" s="10" t="str">
        <f aca="false">IF(AE121=0,"",IF($J121&lt;&gt;"",$J121,$F121))</f>
        <v/>
      </c>
      <c r="AG121" s="12" t="str">
        <f aca="false">IF(AE121=0,"",COUNT($G121:$I121))</f>
        <v/>
      </c>
      <c r="AH121" s="10" t="str">
        <f aca="false">IF(AE121=0,"",IFERROR(SMALL($G121:$I121,1),""))</f>
        <v/>
      </c>
      <c r="AI121" s="10" t="str">
        <f aca="false">IF(AE121=0,"",IFERROR(SMALL($G121:$I121,2),""))</f>
        <v/>
      </c>
      <c r="AJ121" s="10" t="str">
        <f aca="false">IF(AE121=0,"",IFERROR(SMALL($G121:$I121,3),""))</f>
        <v/>
      </c>
      <c r="AK121" s="12" t="str">
        <f aca="false">IF(AE121=0,"",IF(AH121="","",IF(AH121=$G121,"Part-Time",IF(AH121=$H121,"Full-Time","Casual"))))</f>
        <v/>
      </c>
      <c r="AL121" s="12" t="str">
        <f aca="false">IF(AE121=0,"",IF(AI121="","",IF(AI121=$G121,"Part-Time",IF(AI121=$H121,"Full-Time","Casual"))))</f>
        <v/>
      </c>
      <c r="AM121" s="12" t="str">
        <f aca="false">IF(AE121=0,"",IF(AJ121="","",IF(AJ121=$G121,"Part-Time",IF(AJ121=$H121,"Full-Time","Casual"))))</f>
        <v/>
      </c>
      <c r="AN121" s="12" t="str">
        <f aca="false">IF(AE121=0,"",IF(AG121=0,IF(OR(ISNUMBER(SEARCH("full",$C121)),UPPER(TRIM($C121))="FT",UPPER(TRIM($C121))="FTE"),"FT",IF(AND(OR(ISNUMBER(SEARCH("part",$C121)),UPPER(TRIM($C121))="PT",UPPER(TRIM($C121))="PTE"),OR($P121="",N($P121)&gt;=PT_MinHours)),"PT","None")),IF(OR(ISNUMBER(SEARCH("full",AK121)),UPPER(TRIM(AK121))="FT",UPPER(TRIM(AK121))="FTE"),"FT",IF(AND(OR(ISNUMBER(SEARCH("part",AK121)),UPPER(TRIM(AK121))="PT",UPPER(TRIM(AK121))="PTE"),OR($P121="",N($P121)&gt;=PT_MinHours)),"PT","None"))))</f>
        <v/>
      </c>
      <c r="AO121" s="12" t="str">
        <f aca="false">IF(AE121=0,"",IF(AG121&lt;2,"",IF(OR(ISNUMBER(SEARCH("full",AL121)),UPPER(TRIM(AL121))="FT",UPPER(TRIM(AL121))="FTE"),"FT",IF(AND(OR(ISNUMBER(SEARCH("part",AL121)),UPPER(TRIM(AL121))="PT",UPPER(TRIM(AL121))="PTE"),OR($P121="",N($P121)&gt;=PT_MinHours)),"PT","None"))))</f>
        <v/>
      </c>
      <c r="AP121" s="12" t="str">
        <f aca="false">IF(AE121=0,"",IF(AG121&lt;3,"",IF(OR(ISNUMBER(SEARCH("full",AM121)),UPPER(TRIM(AM121))="FT",UPPER(TRIM(AM121))="FTE"),"FT",IF(AND(OR(ISNUMBER(SEARCH("part",AM121)),UPPER(TRIM(AM121))="PT",UPPER(TRIM(AM121))="PTE"),OR($P121="",N($P121)&gt;=PT_MinHours)),"PT","None"))))</f>
        <v/>
      </c>
      <c r="AQ121" s="12" t="str">
        <f aca="false">IF(AE121=0,"",IF(AND(AG121&gt;=3,AJ121&lt;=AsOfDate),AP121,IF(AND(AG121&gt;=2,AI121&lt;=AsOfDate),AO121,AN121)))</f>
        <v/>
      </c>
      <c r="AR121" s="12" t="str">
        <f aca="false">IF(AE121=0,"",IF(AsOfDate&lt;AF121,-1,12*(YEAR(AsOfDate)-YEAR(AF121))+MONTH(AsOfDate)-MONTH(AF121)-IF(DAY(AsOfDate)&lt;MIN(DAY(AF121),DAY(EOMONTH(AsOfDate,0))),1,0)))</f>
        <v/>
      </c>
      <c r="AS121" s="12" t="str">
        <f aca="false">IF(AE121=0,"",IF(OR(AG121&lt;2,AI121&gt;AsOfDate),AR121,IF((AI121-1)&lt;AF121,-1,12*(YEAR((AI121-1))-YEAR(AF121))+MONTH((AI121-1))-MONTH(AF121)-IF(DAY((AI121-1))&lt;MIN(DAY(AF121),DAY(EOMONTH((AI121-1),0))),1,0))))</f>
        <v/>
      </c>
      <c r="AT121" s="12" t="str">
        <f aca="false">IF(AE121=0,"",IF(OR(AG121&lt;3,AJ121&gt;AsOfDate),AR121,IF((AJ121-1)&lt;AF121,-1,12*(YEAR((AJ121-1))-YEAR(AF121))+MONTH((AJ121-1))-MONTH(AF121)-IF(DAY((AJ121-1))&lt;MIN(DAY(AF121),DAY(EOMONTH((AJ121-1),0))),1,0))))</f>
        <v/>
      </c>
      <c r="AU121" s="12" t="str">
        <f aca="false">IF(AE121=0,"",IF(PFYDate&lt;AF121,-1,12*(YEAR(PFYDate)-YEAR(AF121))+MONTH(PFYDate)-MONTH(AF121)-IF(DAY(PFYDate)&lt;MIN(DAY(AF121),DAY(EOMONTH(PFYDate,0))),1,0)))</f>
        <v/>
      </c>
      <c r="AV121" s="12" t="str">
        <f aca="false">IF(AE121=0,"",IF(OR(AG121&lt;2,AI121&gt;PFYDate),AU121,IF((AI121-1)&lt;AF121,-1,12*(YEAR((AI121-1))-YEAR(AF121))+MONTH((AI121-1))-MONTH(AF121)-IF(DAY((AI121-1))&lt;MIN(DAY(AF121),DAY(EOMONTH((AI121-1),0))),1,0))))</f>
        <v/>
      </c>
      <c r="AW121" s="12" t="str">
        <f aca="false">IF(AE121=0,"",IF(OR(AG121&lt;3,AJ121&gt;PFYDate),AU121,IF((AJ121-1)&lt;AF121,-1,12*(YEAR((AJ121-1))-YEAR(AF121))+MONTH((AJ121-1))-MONTH(AF121)-IF(DAY((AJ121-1))&lt;MIN(DAY(AF121),DAY(EOMONTH((AJ121-1),0))),1,0))))</f>
        <v/>
      </c>
      <c r="AX121" s="12" t="str">
        <f aca="false">IF(AE121=0,"",IF(AN121="FT",IF(AS121&lt;FT_First,0,IF(AS121&lt;FT_Y5,1+INT((AS121-FT_First)/FT_Int1),FT_PreY5+FT_PerYear*INT((AS121-FT_Y5)/12)+FT_AnnivDays+INT(MOD(AS121-FT_Y5,12)/FT_Int2))),IF(AN121="PT",IF(AS121&lt;PT_First,0,1+INT((AS121-PT_First)/PT_Int)),0))+IF(AND(AG121&gt;=2,AI121&lt;=AsOfDate),IF(AO121="FT",IF(AT121&lt;FT_First,0,IF(AT121&lt;FT_Y5,1+INT((AT121-FT_First)/FT_Int1),FT_PreY5+FT_PerYear*INT((AT121-FT_Y5)/12)+FT_AnnivDays+INT(MOD(AT121-FT_Y5,12)/FT_Int2))),IF(AO121="PT",IF(AT121&lt;PT_First,0,1+INT((AT121-PT_First)/PT_Int)),0))-IF(AO121="FT",IF(AS121&lt;FT_First,0,IF(AS121&lt;FT_Y5,1+INT((AS121-FT_First)/FT_Int1),FT_PreY5+FT_PerYear*INT((AS121-FT_Y5)/12)+FT_AnnivDays+INT(MOD(AS121-FT_Y5,12)/FT_Int2))),IF(AO121="PT",IF(AS121&lt;PT_First,0,1+INT((AS121-PT_First)/PT_Int)),0)),0)+IF(AND(AG121&gt;=3,AJ121&lt;=AsOfDate),IF(AP121="FT",IF(AR121&lt;FT_First,0,IF(AR121&lt;FT_Y5,1+INT((AR121-FT_First)/FT_Int1),FT_PreY5+FT_PerYear*INT((AR121-FT_Y5)/12)+FT_AnnivDays+INT(MOD(AR121-FT_Y5,12)/FT_Int2))),IF(AP121="PT",IF(AR121&lt;PT_First,0,1+INT((AR121-PT_First)/PT_Int)),0))-IF(AP121="FT",IF(AT121&lt;FT_First,0,IF(AT121&lt;FT_Y5,1+INT((AT121-FT_First)/FT_Int1),FT_PreY5+FT_PerYear*INT((AT121-FT_Y5)/12)+FT_AnnivDays+INT(MOD(AT121-FT_Y5,12)/FT_Int2))),IF(AP121="PT",IF(AT121&lt;PT_First,0,1+INT((AT121-PT_First)/PT_Int)),0)),0))</f>
        <v/>
      </c>
      <c r="AY121" s="12" t="str">
        <f aca="false">IF(AE121=0,"",IF(AN121="FT",IF(AV121&lt;FT_First,0,IF(AV121&lt;FT_Y5,1+INT((AV121-FT_First)/FT_Int1),FT_PreY5+FT_PerYear*INT((AV121-FT_Y5)/12)+FT_AnnivDays+INT(MOD(AV121-FT_Y5,12)/FT_Int2))),IF(AN121="PT",IF(AV121&lt;PT_First,0,1+INT((AV121-PT_First)/PT_Int)),0))+IF(AND(AG121&gt;=2,AI121&lt;=PFYDate),IF(AO121="FT",IF(AW121&lt;FT_First,0,IF(AW121&lt;FT_Y5,1+INT((AW121-FT_First)/FT_Int1),FT_PreY5+FT_PerYear*INT((AW121-FT_Y5)/12)+FT_AnnivDays+INT(MOD(AW121-FT_Y5,12)/FT_Int2))),IF(AO121="PT",IF(AW121&lt;PT_First,0,1+INT((AW121-PT_First)/PT_Int)),0))-IF(AO121="FT",IF(AV121&lt;FT_First,0,IF(AV121&lt;FT_Y5,1+INT((AV121-FT_First)/FT_Int1),FT_PreY5+FT_PerYear*INT((AV121-FT_Y5)/12)+FT_AnnivDays+INT(MOD(AV121-FT_Y5,12)/FT_Int2))),IF(AO121="PT",IF(AV121&lt;PT_First,0,1+INT((AV121-PT_First)/PT_Int)),0)),0)+IF(AND(AG121&gt;=3,AJ121&lt;=PFYDate),IF(AP121="FT",IF(AU121&lt;FT_First,0,IF(AU121&lt;FT_Y5,1+INT((AU121-FT_First)/FT_Int1),FT_PreY5+FT_PerYear*INT((AU121-FT_Y5)/12)+FT_AnnivDays+INT(MOD(AU121-FT_Y5,12)/FT_Int2))),IF(AP121="PT",IF(AU121&lt;PT_First,0,1+INT((AU121-PT_First)/PT_Int)),0))-IF(AP121="FT",IF(AW121&lt;FT_First,0,IF(AW121&lt;FT_Y5,1+INT((AW121-FT_First)/FT_Int1),FT_PreY5+FT_PerYear*INT((AW121-FT_Y5)/12)+FT_AnnivDays+INT(MOD(AW121-FT_Y5,12)/FT_Int2))),IF(AP121="PT",IF(AW121&lt;PT_First,0,1+INT((AW121-PT_First)/PT_Int)),0)),0))</f>
        <v/>
      </c>
      <c r="AZ121" s="12" t="str">
        <f aca="false">IF(AE121=0,"",IF(AQ121="FT",IF(AR121&lt;FT_First,FT_First,IF(AR121&lt;FT_Y5,MIN(FT_Y5,FT_First+FT_Int1*(INT((AR121-FT_First)/FT_Int1)+1)),FT_Y5+12*INT((AR121-FT_Y5)/12)+FT_Int2*(INT(MOD(AR121-FT_Y5,12)/FT_Int2)+1))),IF(AQ121="PT",IF(AR121&lt;PT_First,PT_First,PT_First+PT_Int*(INT((AR121-PT_First)/PT_Int)+1)),"")))</f>
        <v/>
      </c>
      <c r="BA121" s="12" t="str">
        <f aca="false">IF(AE121=0,"",IF(NOT(LH_Ready),0,COUNTIFS(INDEX(LH_Data,0,LH_ColFirst),$A121,INDEX(LH_Data,0,LH_ColSur),$B121,INDEX(LH_Data,0,LH_ColCat),BonusCat)))</f>
        <v/>
      </c>
      <c r="BB121" s="12" t="str">
        <f aca="false">IF(AE121=0,"",IF(OR(NOT(LH_Ready),BA121=0),0,SUMPRODUCT(MAX((INDEX(LH_Data,0,LH_ColFirst)=$A121)*(INDEX(LH_Data,0,LH_ColSur)=$B121)*(INDEX(LH_Data,0,LH_ColCat)=BonusCat)*ROW(LH_Data)))))</f>
        <v/>
      </c>
    </row>
    <row r="122" customFormat="false" ht="15" hidden="false" customHeight="false" outlineLevel="0" collapsed="false">
      <c r="A122" s="15"/>
      <c r="B122" s="15"/>
      <c r="C122" s="15"/>
      <c r="D122" s="16"/>
      <c r="E122" s="10" t="str">
        <f aca="false">IF(OR(AE122=0,$D122=""),"",DATE(YEAR(AsOfDate)+IF(DATE(YEAR(AsOfDate),MONTH($D122),DAY($D122))&lt;=AsOfDate,1,0),MONTH($D122),DAY($D122)))</f>
        <v/>
      </c>
      <c r="F122" s="16"/>
      <c r="G122" s="16"/>
      <c r="H122" s="16"/>
      <c r="I122" s="16"/>
      <c r="J122" s="16"/>
      <c r="K122" s="10" t="str">
        <f aca="false">IF(AE122=0,"",DATE(YEAR(AsOfDate)+IF(DATE(YEAR(AsOfDate),MONTH($F122),DAY($F122))&lt;=AsOfDate,1,0),MONTH($F122),DAY($F122)))</f>
        <v/>
      </c>
      <c r="L122" s="11" t="str">
        <f aca="false">IF(AE122=0,"",ROUND((AsOfDate-$F122)/365.25,1))</f>
        <v/>
      </c>
      <c r="M122" s="12" t="str">
        <f aca="false">IF(AE122=0,"",IF(AsOfDate&lt;AF122,"-",DATEDIF(AF122,AsOfDate,"y")&amp;"y "&amp;DATEDIF(AF122,AsOfDate,"ym")&amp;"m "&amp;DATEDIF(AF122,AsOfDate,"md")&amp;"d"))</f>
        <v/>
      </c>
      <c r="N122" s="13" t="str">
        <f aca="false">IF(AE122=0,"",O122*HoursPerDay)</f>
        <v/>
      </c>
      <c r="O122" s="13" t="str">
        <f aca="false">IF(AE122=0,"",AX122)</f>
        <v/>
      </c>
      <c r="P122" s="17"/>
      <c r="Q122" s="12" t="str">
        <f aca="false">IF(AE122=0,"",IF(AG122&lt;2,"",AK122&amp;" to "&amp;AL122&amp;" on "&amp;TEXT(AI122,"dd/mm/yyyy")&amp;IF(AI122&gt;AsOfDate," (future)",IF(AN122=AO122,"",IF(AO122="None"," - STOPPED accruing",IF(AN122="None"," - now qualifying"," - pathway changed"))))&amp;IF(AG122&lt;3,"","; "&amp;AL122&amp;" to "&amp;AM122&amp;" on "&amp;TEXT(AJ122,"dd/mm/yyyy")&amp;IF(AJ122&gt;AsOfDate," (future)",IF(AO122=AP122,"",IF(AP122="None"," - STOPPED accruing",IF(AO122="None"," - now qualifying"," - pathway changed")))))))</f>
        <v/>
      </c>
      <c r="R122" s="12" t="str">
        <f aca="false">IF(AE122=0,"",IF(AQ122="None",IF(O122&gt;0,"No longer accruing","Not eligible - "&amp;IF(AND(OR(ISNUMBER(SEARCH("part",$C122)),UPPER(TRIM($C122))="PT",UPPER(TRIM($C122))="PTE"),$P122&lt;&gt;"",N($P122)&lt;PT_MinHours),"under "&amp;PT_MinHours&amp;" hrs",IF(IF($C122="","",IF(OR(ISNUMBER(SEARCH("full",$C122)),UPPER(TRIM($C122))="FT",UPPER(TRIM($C122))="FTE"),"Full-Time",IF(OR(ISNUMBER(SEARCH("part",$C122)),UPPER(TRIM($C122))="PT",UPPER(TRIM($C122))="PTE"),"Part-Time",IF(OR(ISNUMBER(SEARCH("cas",$C122)),UPPER(TRIM($C122))="CAS"),"Casual","Unknown"))))="Unknown","type not recognised",$C122))),IF(O122&gt;0,"Yes - accruing","Not yet - from "&amp;TEXT(S122,"dd/mm/yyyy"))))</f>
        <v/>
      </c>
      <c r="S122" s="10" t="str">
        <f aca="false">IF(AE122=0,"",IF(AQ122="None","",EDATE(AF122,AZ122)))</f>
        <v/>
      </c>
      <c r="T122" s="13" t="str">
        <f aca="false">IF(OR(AE122=0,W122=""),"",W122-U122+V122)</f>
        <v/>
      </c>
      <c r="U122" s="13" t="str">
        <f aca="false">IF(AE122=0,"",IF(NOT(LH_Ready),"",SUMIFS(INDEX(LH_Data,0,LH_ColAcc),INDEX(LH_Data,0,LH_ColFirst),$A122,INDEX(LH_Data,0,LH_ColSur),$B122,INDEX(LH_Data,0,LH_ColCat),BonusCat)*UnitFactor))</f>
        <v/>
      </c>
      <c r="V122" s="13" t="str">
        <f aca="false">IF(AE122=0,"",IF(NOT(LH_Ready),"",SUMIFS(INDEX(LH_Data,0,LH_ColTaken),INDEX(LH_Data,0,LH_ColFirst),$A122,INDEX(LH_Data,0,LH_ColSur),$B122,INDEX(LH_Data,0,LH_ColCat),BonusCat)*UnitFactor))</f>
        <v/>
      </c>
      <c r="W122" s="13" t="str">
        <f aca="false">IF(AE122=0,"",IF(NOT(LH_Ready),"",IF(BB122=0,0,INDEX(INDEX(LH_Data,0,LH_ColClose),BB122-1)*UnitFactor)))</f>
        <v/>
      </c>
      <c r="X122" s="13" t="str">
        <f aca="false">IF(AE122=0,"",(AX122-AY122)*HoursPerDay)</f>
        <v/>
      </c>
      <c r="Y122" s="13" t="str">
        <f aca="false">IF(AE122=0,"",IF(NOT(LH_Ready),"",IF(BA122=0,N122,X122-N(U122))))</f>
        <v/>
      </c>
      <c r="Z122" s="12" t="str">
        <f aca="false">IF(OR(AE122=0,Y122=""),"",IF(Y122&gt;0,"Yes","No"))</f>
        <v/>
      </c>
      <c r="AA122" s="12" t="str">
        <f aca="false">IF(AE122=0,IF(LEN($A122&amp;$B122)=0,"","FIX INPUT - StartDate missing"),IF(AD122&lt;&gt;"","FIX INPUT - "&amp;AD122,IF(NOT(LH_Ready),"Paste Leave History export (Settings must show YES)",IF(Y122&gt;0,"ACCRUE "&amp;ROUND(Y122,2)&amp;" hrs ("&amp;ROUND(Y122/HoursPerDay,2)&amp;" days)"&amp;IF(BA122=0," - no Bonus Leave in EH yet, full catch-up since start",""),IF(Y122&lt;0,"CHECK - EH accrued "&amp;ROUND(-Y122,2)&amp;""&amp;" hrs more than policy",IF(O122&gt;0,"OK - nothing to add",IF(AQ122="None",R122,"Not yet - first day on "&amp;TEXT(S122,"dd/mm/yyyy"))))))))</f>
        <v/>
      </c>
      <c r="AB122" s="13" t="str">
        <f aca="false">IF(OR(AE122=0,T122=""),"",AY122*HoursPerDay-T122)</f>
        <v/>
      </c>
      <c r="AC122" s="12" t="str">
        <f aca="false">IF(AE122=0,"",BA122)</f>
        <v/>
      </c>
      <c r="AD122" s="12" t="str">
        <f aca="false">IF(AE122=0,"",TRIM(IF(IF($C122="","",IF(OR(ISNUMBER(SEARCH("full",$C122)),UPPER(TRIM($C122))="FT",UPPER(TRIM($C122))="FTE"),"Full-Time",IF(OR(ISNUMBER(SEARCH("part",$C122)),UPPER(TRIM($C122))="PT",UPPER(TRIM($C122))="PTE"),"Part-Time",IF(OR(ISNUMBER(SEARCH("cas",$C122)),UPPER(TRIM($C122))="CAS"),"Casual","Unknown"))))="Unknown","EmploymentType not recognised - use Full-Time, Part-Time or Casual. ","")&amp;IF(AND(AG122&gt;=1,IF(AG122&gt;=3,AM122,IF(AG122=2,AL122,AK122))&lt;&gt;IF($C122="","",IF(OR(ISNUMBER(SEARCH("full",$C122)),UPPER(TRIM($C122))="FT",UPPER(TRIM($C122))="FTE"),"Full-Time",IF(OR(ISNUMBER(SEARCH("part",$C122)),UPPER(TRIM($C122))="PT",UPPER(TRIM($C122))="PTE"),"Part-Time",IF(OR(ISNUMBER(SEARCH("cas",$C122)),UPPER(TRIM($C122))="CAS"),"Casual","Unknown"))))),"EmploymentType does not match latest start date ("&amp;IF(AG122&gt;=3,AM122,IF(AG122=2,AL122,AK122))&amp;"). ","")&amp;IF(AND(AG122&gt;=1,AH122&lt;&gt;$F122),"Earliest type date should equal StartDate. ","")&amp;IF(AND(AG122&gt;=2,AH122=AI122),"Two types start on the same date. ","")&amp;IF(AND(OR(ISNUMBER(SEARCH("part",$C122)),UPPER(TRIM($C122))="PT",UPPER(TRIM($C122))="PTE"),$P122=""),"Part-time: enter PT Hrs/Week (blank = 24+). ","")))</f>
        <v/>
      </c>
      <c r="AE122" s="12" t="n">
        <f aca="false">IF(OR(LEN($A122&amp;$B122)=0,$F122=""),0,1)</f>
        <v>0</v>
      </c>
      <c r="AF122" s="10" t="str">
        <f aca="false">IF(AE122=0,"",IF($J122&lt;&gt;"",$J122,$F122))</f>
        <v/>
      </c>
      <c r="AG122" s="12" t="str">
        <f aca="false">IF(AE122=0,"",COUNT($G122:$I122))</f>
        <v/>
      </c>
      <c r="AH122" s="10" t="str">
        <f aca="false">IF(AE122=0,"",IFERROR(SMALL($G122:$I122,1),""))</f>
        <v/>
      </c>
      <c r="AI122" s="10" t="str">
        <f aca="false">IF(AE122=0,"",IFERROR(SMALL($G122:$I122,2),""))</f>
        <v/>
      </c>
      <c r="AJ122" s="10" t="str">
        <f aca="false">IF(AE122=0,"",IFERROR(SMALL($G122:$I122,3),""))</f>
        <v/>
      </c>
      <c r="AK122" s="12" t="str">
        <f aca="false">IF(AE122=0,"",IF(AH122="","",IF(AH122=$G122,"Part-Time",IF(AH122=$H122,"Full-Time","Casual"))))</f>
        <v/>
      </c>
      <c r="AL122" s="12" t="str">
        <f aca="false">IF(AE122=0,"",IF(AI122="","",IF(AI122=$G122,"Part-Time",IF(AI122=$H122,"Full-Time","Casual"))))</f>
        <v/>
      </c>
      <c r="AM122" s="12" t="str">
        <f aca="false">IF(AE122=0,"",IF(AJ122="","",IF(AJ122=$G122,"Part-Time",IF(AJ122=$H122,"Full-Time","Casual"))))</f>
        <v/>
      </c>
      <c r="AN122" s="12" t="str">
        <f aca="false">IF(AE122=0,"",IF(AG122=0,IF(OR(ISNUMBER(SEARCH("full",$C122)),UPPER(TRIM($C122))="FT",UPPER(TRIM($C122))="FTE"),"FT",IF(AND(OR(ISNUMBER(SEARCH("part",$C122)),UPPER(TRIM($C122))="PT",UPPER(TRIM($C122))="PTE"),OR($P122="",N($P122)&gt;=PT_MinHours)),"PT","None")),IF(OR(ISNUMBER(SEARCH("full",AK122)),UPPER(TRIM(AK122))="FT",UPPER(TRIM(AK122))="FTE"),"FT",IF(AND(OR(ISNUMBER(SEARCH("part",AK122)),UPPER(TRIM(AK122))="PT",UPPER(TRIM(AK122))="PTE"),OR($P122="",N($P122)&gt;=PT_MinHours)),"PT","None"))))</f>
        <v/>
      </c>
      <c r="AO122" s="12" t="str">
        <f aca="false">IF(AE122=0,"",IF(AG122&lt;2,"",IF(OR(ISNUMBER(SEARCH("full",AL122)),UPPER(TRIM(AL122))="FT",UPPER(TRIM(AL122))="FTE"),"FT",IF(AND(OR(ISNUMBER(SEARCH("part",AL122)),UPPER(TRIM(AL122))="PT",UPPER(TRIM(AL122))="PTE"),OR($P122="",N($P122)&gt;=PT_MinHours)),"PT","None"))))</f>
        <v/>
      </c>
      <c r="AP122" s="12" t="str">
        <f aca="false">IF(AE122=0,"",IF(AG122&lt;3,"",IF(OR(ISNUMBER(SEARCH("full",AM122)),UPPER(TRIM(AM122))="FT",UPPER(TRIM(AM122))="FTE"),"FT",IF(AND(OR(ISNUMBER(SEARCH("part",AM122)),UPPER(TRIM(AM122))="PT",UPPER(TRIM(AM122))="PTE"),OR($P122="",N($P122)&gt;=PT_MinHours)),"PT","None"))))</f>
        <v/>
      </c>
      <c r="AQ122" s="12" t="str">
        <f aca="false">IF(AE122=0,"",IF(AND(AG122&gt;=3,AJ122&lt;=AsOfDate),AP122,IF(AND(AG122&gt;=2,AI122&lt;=AsOfDate),AO122,AN122)))</f>
        <v/>
      </c>
      <c r="AR122" s="12" t="str">
        <f aca="false">IF(AE122=0,"",IF(AsOfDate&lt;AF122,-1,12*(YEAR(AsOfDate)-YEAR(AF122))+MONTH(AsOfDate)-MONTH(AF122)-IF(DAY(AsOfDate)&lt;MIN(DAY(AF122),DAY(EOMONTH(AsOfDate,0))),1,0)))</f>
        <v/>
      </c>
      <c r="AS122" s="12" t="str">
        <f aca="false">IF(AE122=0,"",IF(OR(AG122&lt;2,AI122&gt;AsOfDate),AR122,IF((AI122-1)&lt;AF122,-1,12*(YEAR((AI122-1))-YEAR(AF122))+MONTH((AI122-1))-MONTH(AF122)-IF(DAY((AI122-1))&lt;MIN(DAY(AF122),DAY(EOMONTH((AI122-1),0))),1,0))))</f>
        <v/>
      </c>
      <c r="AT122" s="12" t="str">
        <f aca="false">IF(AE122=0,"",IF(OR(AG122&lt;3,AJ122&gt;AsOfDate),AR122,IF((AJ122-1)&lt;AF122,-1,12*(YEAR((AJ122-1))-YEAR(AF122))+MONTH((AJ122-1))-MONTH(AF122)-IF(DAY((AJ122-1))&lt;MIN(DAY(AF122),DAY(EOMONTH((AJ122-1),0))),1,0))))</f>
        <v/>
      </c>
      <c r="AU122" s="12" t="str">
        <f aca="false">IF(AE122=0,"",IF(PFYDate&lt;AF122,-1,12*(YEAR(PFYDate)-YEAR(AF122))+MONTH(PFYDate)-MONTH(AF122)-IF(DAY(PFYDate)&lt;MIN(DAY(AF122),DAY(EOMONTH(PFYDate,0))),1,0)))</f>
        <v/>
      </c>
      <c r="AV122" s="12" t="str">
        <f aca="false">IF(AE122=0,"",IF(OR(AG122&lt;2,AI122&gt;PFYDate),AU122,IF((AI122-1)&lt;AF122,-1,12*(YEAR((AI122-1))-YEAR(AF122))+MONTH((AI122-1))-MONTH(AF122)-IF(DAY((AI122-1))&lt;MIN(DAY(AF122),DAY(EOMONTH((AI122-1),0))),1,0))))</f>
        <v/>
      </c>
      <c r="AW122" s="12" t="str">
        <f aca="false">IF(AE122=0,"",IF(OR(AG122&lt;3,AJ122&gt;PFYDate),AU122,IF((AJ122-1)&lt;AF122,-1,12*(YEAR((AJ122-1))-YEAR(AF122))+MONTH((AJ122-1))-MONTH(AF122)-IF(DAY((AJ122-1))&lt;MIN(DAY(AF122),DAY(EOMONTH((AJ122-1),0))),1,0))))</f>
        <v/>
      </c>
      <c r="AX122" s="12" t="str">
        <f aca="false">IF(AE122=0,"",IF(AN122="FT",IF(AS122&lt;FT_First,0,IF(AS122&lt;FT_Y5,1+INT((AS122-FT_First)/FT_Int1),FT_PreY5+FT_PerYear*INT((AS122-FT_Y5)/12)+FT_AnnivDays+INT(MOD(AS122-FT_Y5,12)/FT_Int2))),IF(AN122="PT",IF(AS122&lt;PT_First,0,1+INT((AS122-PT_First)/PT_Int)),0))+IF(AND(AG122&gt;=2,AI122&lt;=AsOfDate),IF(AO122="FT",IF(AT122&lt;FT_First,0,IF(AT122&lt;FT_Y5,1+INT((AT122-FT_First)/FT_Int1),FT_PreY5+FT_PerYear*INT((AT122-FT_Y5)/12)+FT_AnnivDays+INT(MOD(AT122-FT_Y5,12)/FT_Int2))),IF(AO122="PT",IF(AT122&lt;PT_First,0,1+INT((AT122-PT_First)/PT_Int)),0))-IF(AO122="FT",IF(AS122&lt;FT_First,0,IF(AS122&lt;FT_Y5,1+INT((AS122-FT_First)/FT_Int1),FT_PreY5+FT_PerYear*INT((AS122-FT_Y5)/12)+FT_AnnivDays+INT(MOD(AS122-FT_Y5,12)/FT_Int2))),IF(AO122="PT",IF(AS122&lt;PT_First,0,1+INT((AS122-PT_First)/PT_Int)),0)),0)+IF(AND(AG122&gt;=3,AJ122&lt;=AsOfDate),IF(AP122="FT",IF(AR122&lt;FT_First,0,IF(AR122&lt;FT_Y5,1+INT((AR122-FT_First)/FT_Int1),FT_PreY5+FT_PerYear*INT((AR122-FT_Y5)/12)+FT_AnnivDays+INT(MOD(AR122-FT_Y5,12)/FT_Int2))),IF(AP122="PT",IF(AR122&lt;PT_First,0,1+INT((AR122-PT_First)/PT_Int)),0))-IF(AP122="FT",IF(AT122&lt;FT_First,0,IF(AT122&lt;FT_Y5,1+INT((AT122-FT_First)/FT_Int1),FT_PreY5+FT_PerYear*INT((AT122-FT_Y5)/12)+FT_AnnivDays+INT(MOD(AT122-FT_Y5,12)/FT_Int2))),IF(AP122="PT",IF(AT122&lt;PT_First,0,1+INT((AT122-PT_First)/PT_Int)),0)),0))</f>
        <v/>
      </c>
      <c r="AY122" s="12" t="str">
        <f aca="false">IF(AE122=0,"",IF(AN122="FT",IF(AV122&lt;FT_First,0,IF(AV122&lt;FT_Y5,1+INT((AV122-FT_First)/FT_Int1),FT_PreY5+FT_PerYear*INT((AV122-FT_Y5)/12)+FT_AnnivDays+INT(MOD(AV122-FT_Y5,12)/FT_Int2))),IF(AN122="PT",IF(AV122&lt;PT_First,0,1+INT((AV122-PT_First)/PT_Int)),0))+IF(AND(AG122&gt;=2,AI122&lt;=PFYDate),IF(AO122="FT",IF(AW122&lt;FT_First,0,IF(AW122&lt;FT_Y5,1+INT((AW122-FT_First)/FT_Int1),FT_PreY5+FT_PerYear*INT((AW122-FT_Y5)/12)+FT_AnnivDays+INT(MOD(AW122-FT_Y5,12)/FT_Int2))),IF(AO122="PT",IF(AW122&lt;PT_First,0,1+INT((AW122-PT_First)/PT_Int)),0))-IF(AO122="FT",IF(AV122&lt;FT_First,0,IF(AV122&lt;FT_Y5,1+INT((AV122-FT_First)/FT_Int1),FT_PreY5+FT_PerYear*INT((AV122-FT_Y5)/12)+FT_AnnivDays+INT(MOD(AV122-FT_Y5,12)/FT_Int2))),IF(AO122="PT",IF(AV122&lt;PT_First,0,1+INT((AV122-PT_First)/PT_Int)),0)),0)+IF(AND(AG122&gt;=3,AJ122&lt;=PFYDate),IF(AP122="FT",IF(AU122&lt;FT_First,0,IF(AU122&lt;FT_Y5,1+INT((AU122-FT_First)/FT_Int1),FT_PreY5+FT_PerYear*INT((AU122-FT_Y5)/12)+FT_AnnivDays+INT(MOD(AU122-FT_Y5,12)/FT_Int2))),IF(AP122="PT",IF(AU122&lt;PT_First,0,1+INT((AU122-PT_First)/PT_Int)),0))-IF(AP122="FT",IF(AW122&lt;FT_First,0,IF(AW122&lt;FT_Y5,1+INT((AW122-FT_First)/FT_Int1),FT_PreY5+FT_PerYear*INT((AW122-FT_Y5)/12)+FT_AnnivDays+INT(MOD(AW122-FT_Y5,12)/FT_Int2))),IF(AP122="PT",IF(AW122&lt;PT_First,0,1+INT((AW122-PT_First)/PT_Int)),0)),0))</f>
        <v/>
      </c>
      <c r="AZ122" s="12" t="str">
        <f aca="false">IF(AE122=0,"",IF(AQ122="FT",IF(AR122&lt;FT_First,FT_First,IF(AR122&lt;FT_Y5,MIN(FT_Y5,FT_First+FT_Int1*(INT((AR122-FT_First)/FT_Int1)+1)),FT_Y5+12*INT((AR122-FT_Y5)/12)+FT_Int2*(INT(MOD(AR122-FT_Y5,12)/FT_Int2)+1))),IF(AQ122="PT",IF(AR122&lt;PT_First,PT_First,PT_First+PT_Int*(INT((AR122-PT_First)/PT_Int)+1)),"")))</f>
        <v/>
      </c>
      <c r="BA122" s="12" t="str">
        <f aca="false">IF(AE122=0,"",IF(NOT(LH_Ready),0,COUNTIFS(INDEX(LH_Data,0,LH_ColFirst),$A122,INDEX(LH_Data,0,LH_ColSur),$B122,INDEX(LH_Data,0,LH_ColCat),BonusCat)))</f>
        <v/>
      </c>
      <c r="BB122" s="12" t="str">
        <f aca="false">IF(AE122=0,"",IF(OR(NOT(LH_Ready),BA122=0),0,SUMPRODUCT(MAX((INDEX(LH_Data,0,LH_ColFirst)=$A122)*(INDEX(LH_Data,0,LH_ColSur)=$B122)*(INDEX(LH_Data,0,LH_ColCat)=BonusCat)*ROW(LH_Data)))))</f>
        <v/>
      </c>
    </row>
    <row r="123" customFormat="false" ht="15" hidden="false" customHeight="false" outlineLevel="0" collapsed="false">
      <c r="A123" s="15"/>
      <c r="B123" s="15"/>
      <c r="C123" s="15"/>
      <c r="D123" s="16"/>
      <c r="E123" s="10" t="str">
        <f aca="false">IF(OR(AE123=0,$D123=""),"",DATE(YEAR(AsOfDate)+IF(DATE(YEAR(AsOfDate),MONTH($D123),DAY($D123))&lt;=AsOfDate,1,0),MONTH($D123),DAY($D123)))</f>
        <v/>
      </c>
      <c r="F123" s="16"/>
      <c r="G123" s="16"/>
      <c r="H123" s="16"/>
      <c r="I123" s="16"/>
      <c r="J123" s="16"/>
      <c r="K123" s="10" t="str">
        <f aca="false">IF(AE123=0,"",DATE(YEAR(AsOfDate)+IF(DATE(YEAR(AsOfDate),MONTH($F123),DAY($F123))&lt;=AsOfDate,1,0),MONTH($F123),DAY($F123)))</f>
        <v/>
      </c>
      <c r="L123" s="11" t="str">
        <f aca="false">IF(AE123=0,"",ROUND((AsOfDate-$F123)/365.25,1))</f>
        <v/>
      </c>
      <c r="M123" s="12" t="str">
        <f aca="false">IF(AE123=0,"",IF(AsOfDate&lt;AF123,"-",DATEDIF(AF123,AsOfDate,"y")&amp;"y "&amp;DATEDIF(AF123,AsOfDate,"ym")&amp;"m "&amp;DATEDIF(AF123,AsOfDate,"md")&amp;"d"))</f>
        <v/>
      </c>
      <c r="N123" s="13" t="str">
        <f aca="false">IF(AE123=0,"",O123*HoursPerDay)</f>
        <v/>
      </c>
      <c r="O123" s="13" t="str">
        <f aca="false">IF(AE123=0,"",AX123)</f>
        <v/>
      </c>
      <c r="P123" s="17"/>
      <c r="Q123" s="12" t="str">
        <f aca="false">IF(AE123=0,"",IF(AG123&lt;2,"",AK123&amp;" to "&amp;AL123&amp;" on "&amp;TEXT(AI123,"dd/mm/yyyy")&amp;IF(AI123&gt;AsOfDate," (future)",IF(AN123=AO123,"",IF(AO123="None"," - STOPPED accruing",IF(AN123="None"," - now qualifying"," - pathway changed"))))&amp;IF(AG123&lt;3,"","; "&amp;AL123&amp;" to "&amp;AM123&amp;" on "&amp;TEXT(AJ123,"dd/mm/yyyy")&amp;IF(AJ123&gt;AsOfDate," (future)",IF(AO123=AP123,"",IF(AP123="None"," - STOPPED accruing",IF(AO123="None"," - now qualifying"," - pathway changed")))))))</f>
        <v/>
      </c>
      <c r="R123" s="12" t="str">
        <f aca="false">IF(AE123=0,"",IF(AQ123="None",IF(O123&gt;0,"No longer accruing","Not eligible - "&amp;IF(AND(OR(ISNUMBER(SEARCH("part",$C123)),UPPER(TRIM($C123))="PT",UPPER(TRIM($C123))="PTE"),$P123&lt;&gt;"",N($P123)&lt;PT_MinHours),"under "&amp;PT_MinHours&amp;" hrs",IF(IF($C123="","",IF(OR(ISNUMBER(SEARCH("full",$C123)),UPPER(TRIM($C123))="FT",UPPER(TRIM($C123))="FTE"),"Full-Time",IF(OR(ISNUMBER(SEARCH("part",$C123)),UPPER(TRIM($C123))="PT",UPPER(TRIM($C123))="PTE"),"Part-Time",IF(OR(ISNUMBER(SEARCH("cas",$C123)),UPPER(TRIM($C123))="CAS"),"Casual","Unknown"))))="Unknown","type not recognised",$C123))),IF(O123&gt;0,"Yes - accruing","Not yet - from "&amp;TEXT(S123,"dd/mm/yyyy"))))</f>
        <v/>
      </c>
      <c r="S123" s="10" t="str">
        <f aca="false">IF(AE123=0,"",IF(AQ123="None","",EDATE(AF123,AZ123)))</f>
        <v/>
      </c>
      <c r="T123" s="13" t="str">
        <f aca="false">IF(OR(AE123=0,W123=""),"",W123-U123+V123)</f>
        <v/>
      </c>
      <c r="U123" s="13" t="str">
        <f aca="false">IF(AE123=0,"",IF(NOT(LH_Ready),"",SUMIFS(INDEX(LH_Data,0,LH_ColAcc),INDEX(LH_Data,0,LH_ColFirst),$A123,INDEX(LH_Data,0,LH_ColSur),$B123,INDEX(LH_Data,0,LH_ColCat),BonusCat)*UnitFactor))</f>
        <v/>
      </c>
      <c r="V123" s="13" t="str">
        <f aca="false">IF(AE123=0,"",IF(NOT(LH_Ready),"",SUMIFS(INDEX(LH_Data,0,LH_ColTaken),INDEX(LH_Data,0,LH_ColFirst),$A123,INDEX(LH_Data,0,LH_ColSur),$B123,INDEX(LH_Data,0,LH_ColCat),BonusCat)*UnitFactor))</f>
        <v/>
      </c>
      <c r="W123" s="13" t="str">
        <f aca="false">IF(AE123=0,"",IF(NOT(LH_Ready),"",IF(BB123=0,0,INDEX(INDEX(LH_Data,0,LH_ColClose),BB123-1)*UnitFactor)))</f>
        <v/>
      </c>
      <c r="X123" s="13" t="str">
        <f aca="false">IF(AE123=0,"",(AX123-AY123)*HoursPerDay)</f>
        <v/>
      </c>
      <c r="Y123" s="13" t="str">
        <f aca="false">IF(AE123=0,"",IF(NOT(LH_Ready),"",IF(BA123=0,N123,X123-N(U123))))</f>
        <v/>
      </c>
      <c r="Z123" s="12" t="str">
        <f aca="false">IF(OR(AE123=0,Y123=""),"",IF(Y123&gt;0,"Yes","No"))</f>
        <v/>
      </c>
      <c r="AA123" s="12" t="str">
        <f aca="false">IF(AE123=0,IF(LEN($A123&amp;$B123)=0,"","FIX INPUT - StartDate missing"),IF(AD123&lt;&gt;"","FIX INPUT - "&amp;AD123,IF(NOT(LH_Ready),"Paste Leave History export (Settings must show YES)",IF(Y123&gt;0,"ACCRUE "&amp;ROUND(Y123,2)&amp;" hrs ("&amp;ROUND(Y123/HoursPerDay,2)&amp;" days)"&amp;IF(BA123=0," - no Bonus Leave in EH yet, full catch-up since start",""),IF(Y123&lt;0,"CHECK - EH accrued "&amp;ROUND(-Y123,2)&amp;""&amp;" hrs more than policy",IF(O123&gt;0,"OK - nothing to add",IF(AQ123="None",R123,"Not yet - first day on "&amp;TEXT(S123,"dd/mm/yyyy"))))))))</f>
        <v/>
      </c>
      <c r="AB123" s="13" t="str">
        <f aca="false">IF(OR(AE123=0,T123=""),"",AY123*HoursPerDay-T123)</f>
        <v/>
      </c>
      <c r="AC123" s="12" t="str">
        <f aca="false">IF(AE123=0,"",BA123)</f>
        <v/>
      </c>
      <c r="AD123" s="12" t="str">
        <f aca="false">IF(AE123=0,"",TRIM(IF(IF($C123="","",IF(OR(ISNUMBER(SEARCH("full",$C123)),UPPER(TRIM($C123))="FT",UPPER(TRIM($C123))="FTE"),"Full-Time",IF(OR(ISNUMBER(SEARCH("part",$C123)),UPPER(TRIM($C123))="PT",UPPER(TRIM($C123))="PTE"),"Part-Time",IF(OR(ISNUMBER(SEARCH("cas",$C123)),UPPER(TRIM($C123))="CAS"),"Casual","Unknown"))))="Unknown","EmploymentType not recognised - use Full-Time, Part-Time or Casual. ","")&amp;IF(AND(AG123&gt;=1,IF(AG123&gt;=3,AM123,IF(AG123=2,AL123,AK123))&lt;&gt;IF($C123="","",IF(OR(ISNUMBER(SEARCH("full",$C123)),UPPER(TRIM($C123))="FT",UPPER(TRIM($C123))="FTE"),"Full-Time",IF(OR(ISNUMBER(SEARCH("part",$C123)),UPPER(TRIM($C123))="PT",UPPER(TRIM($C123))="PTE"),"Part-Time",IF(OR(ISNUMBER(SEARCH("cas",$C123)),UPPER(TRIM($C123))="CAS"),"Casual","Unknown"))))),"EmploymentType does not match latest start date ("&amp;IF(AG123&gt;=3,AM123,IF(AG123=2,AL123,AK123))&amp;"). ","")&amp;IF(AND(AG123&gt;=1,AH123&lt;&gt;$F123),"Earliest type date should equal StartDate. ","")&amp;IF(AND(AG123&gt;=2,AH123=AI123),"Two types start on the same date. ","")&amp;IF(AND(OR(ISNUMBER(SEARCH("part",$C123)),UPPER(TRIM($C123))="PT",UPPER(TRIM($C123))="PTE"),$P123=""),"Part-time: enter PT Hrs/Week (blank = 24+). ","")))</f>
        <v/>
      </c>
      <c r="AE123" s="12" t="n">
        <f aca="false">IF(OR(LEN($A123&amp;$B123)=0,$F123=""),0,1)</f>
        <v>0</v>
      </c>
      <c r="AF123" s="10" t="str">
        <f aca="false">IF(AE123=0,"",IF($J123&lt;&gt;"",$J123,$F123))</f>
        <v/>
      </c>
      <c r="AG123" s="12" t="str">
        <f aca="false">IF(AE123=0,"",COUNT($G123:$I123))</f>
        <v/>
      </c>
      <c r="AH123" s="10" t="str">
        <f aca="false">IF(AE123=0,"",IFERROR(SMALL($G123:$I123,1),""))</f>
        <v/>
      </c>
      <c r="AI123" s="10" t="str">
        <f aca="false">IF(AE123=0,"",IFERROR(SMALL($G123:$I123,2),""))</f>
        <v/>
      </c>
      <c r="AJ123" s="10" t="str">
        <f aca="false">IF(AE123=0,"",IFERROR(SMALL($G123:$I123,3),""))</f>
        <v/>
      </c>
      <c r="AK123" s="12" t="str">
        <f aca="false">IF(AE123=0,"",IF(AH123="","",IF(AH123=$G123,"Part-Time",IF(AH123=$H123,"Full-Time","Casual"))))</f>
        <v/>
      </c>
      <c r="AL123" s="12" t="str">
        <f aca="false">IF(AE123=0,"",IF(AI123="","",IF(AI123=$G123,"Part-Time",IF(AI123=$H123,"Full-Time","Casual"))))</f>
        <v/>
      </c>
      <c r="AM123" s="12" t="str">
        <f aca="false">IF(AE123=0,"",IF(AJ123="","",IF(AJ123=$G123,"Part-Time",IF(AJ123=$H123,"Full-Time","Casual"))))</f>
        <v/>
      </c>
      <c r="AN123" s="12" t="str">
        <f aca="false">IF(AE123=0,"",IF(AG123=0,IF(OR(ISNUMBER(SEARCH("full",$C123)),UPPER(TRIM($C123))="FT",UPPER(TRIM($C123))="FTE"),"FT",IF(AND(OR(ISNUMBER(SEARCH("part",$C123)),UPPER(TRIM($C123))="PT",UPPER(TRIM($C123))="PTE"),OR($P123="",N($P123)&gt;=PT_MinHours)),"PT","None")),IF(OR(ISNUMBER(SEARCH("full",AK123)),UPPER(TRIM(AK123))="FT",UPPER(TRIM(AK123))="FTE"),"FT",IF(AND(OR(ISNUMBER(SEARCH("part",AK123)),UPPER(TRIM(AK123))="PT",UPPER(TRIM(AK123))="PTE"),OR($P123="",N($P123)&gt;=PT_MinHours)),"PT","None"))))</f>
        <v/>
      </c>
      <c r="AO123" s="12" t="str">
        <f aca="false">IF(AE123=0,"",IF(AG123&lt;2,"",IF(OR(ISNUMBER(SEARCH("full",AL123)),UPPER(TRIM(AL123))="FT",UPPER(TRIM(AL123))="FTE"),"FT",IF(AND(OR(ISNUMBER(SEARCH("part",AL123)),UPPER(TRIM(AL123))="PT",UPPER(TRIM(AL123))="PTE"),OR($P123="",N($P123)&gt;=PT_MinHours)),"PT","None"))))</f>
        <v/>
      </c>
      <c r="AP123" s="12" t="str">
        <f aca="false">IF(AE123=0,"",IF(AG123&lt;3,"",IF(OR(ISNUMBER(SEARCH("full",AM123)),UPPER(TRIM(AM123))="FT",UPPER(TRIM(AM123))="FTE"),"FT",IF(AND(OR(ISNUMBER(SEARCH("part",AM123)),UPPER(TRIM(AM123))="PT",UPPER(TRIM(AM123))="PTE"),OR($P123="",N($P123)&gt;=PT_MinHours)),"PT","None"))))</f>
        <v/>
      </c>
      <c r="AQ123" s="12" t="str">
        <f aca="false">IF(AE123=0,"",IF(AND(AG123&gt;=3,AJ123&lt;=AsOfDate),AP123,IF(AND(AG123&gt;=2,AI123&lt;=AsOfDate),AO123,AN123)))</f>
        <v/>
      </c>
      <c r="AR123" s="12" t="str">
        <f aca="false">IF(AE123=0,"",IF(AsOfDate&lt;AF123,-1,12*(YEAR(AsOfDate)-YEAR(AF123))+MONTH(AsOfDate)-MONTH(AF123)-IF(DAY(AsOfDate)&lt;MIN(DAY(AF123),DAY(EOMONTH(AsOfDate,0))),1,0)))</f>
        <v/>
      </c>
      <c r="AS123" s="12" t="str">
        <f aca="false">IF(AE123=0,"",IF(OR(AG123&lt;2,AI123&gt;AsOfDate),AR123,IF((AI123-1)&lt;AF123,-1,12*(YEAR((AI123-1))-YEAR(AF123))+MONTH((AI123-1))-MONTH(AF123)-IF(DAY((AI123-1))&lt;MIN(DAY(AF123),DAY(EOMONTH((AI123-1),0))),1,0))))</f>
        <v/>
      </c>
      <c r="AT123" s="12" t="str">
        <f aca="false">IF(AE123=0,"",IF(OR(AG123&lt;3,AJ123&gt;AsOfDate),AR123,IF((AJ123-1)&lt;AF123,-1,12*(YEAR((AJ123-1))-YEAR(AF123))+MONTH((AJ123-1))-MONTH(AF123)-IF(DAY((AJ123-1))&lt;MIN(DAY(AF123),DAY(EOMONTH((AJ123-1),0))),1,0))))</f>
        <v/>
      </c>
      <c r="AU123" s="12" t="str">
        <f aca="false">IF(AE123=0,"",IF(PFYDate&lt;AF123,-1,12*(YEAR(PFYDate)-YEAR(AF123))+MONTH(PFYDate)-MONTH(AF123)-IF(DAY(PFYDate)&lt;MIN(DAY(AF123),DAY(EOMONTH(PFYDate,0))),1,0)))</f>
        <v/>
      </c>
      <c r="AV123" s="12" t="str">
        <f aca="false">IF(AE123=0,"",IF(OR(AG123&lt;2,AI123&gt;PFYDate),AU123,IF((AI123-1)&lt;AF123,-1,12*(YEAR((AI123-1))-YEAR(AF123))+MONTH((AI123-1))-MONTH(AF123)-IF(DAY((AI123-1))&lt;MIN(DAY(AF123),DAY(EOMONTH((AI123-1),0))),1,0))))</f>
        <v/>
      </c>
      <c r="AW123" s="12" t="str">
        <f aca="false">IF(AE123=0,"",IF(OR(AG123&lt;3,AJ123&gt;PFYDate),AU123,IF((AJ123-1)&lt;AF123,-1,12*(YEAR((AJ123-1))-YEAR(AF123))+MONTH((AJ123-1))-MONTH(AF123)-IF(DAY((AJ123-1))&lt;MIN(DAY(AF123),DAY(EOMONTH((AJ123-1),0))),1,0))))</f>
        <v/>
      </c>
      <c r="AX123" s="12" t="str">
        <f aca="false">IF(AE123=0,"",IF(AN123="FT",IF(AS123&lt;FT_First,0,IF(AS123&lt;FT_Y5,1+INT((AS123-FT_First)/FT_Int1),FT_PreY5+FT_PerYear*INT((AS123-FT_Y5)/12)+FT_AnnivDays+INT(MOD(AS123-FT_Y5,12)/FT_Int2))),IF(AN123="PT",IF(AS123&lt;PT_First,0,1+INT((AS123-PT_First)/PT_Int)),0))+IF(AND(AG123&gt;=2,AI123&lt;=AsOfDate),IF(AO123="FT",IF(AT123&lt;FT_First,0,IF(AT123&lt;FT_Y5,1+INT((AT123-FT_First)/FT_Int1),FT_PreY5+FT_PerYear*INT((AT123-FT_Y5)/12)+FT_AnnivDays+INT(MOD(AT123-FT_Y5,12)/FT_Int2))),IF(AO123="PT",IF(AT123&lt;PT_First,0,1+INT((AT123-PT_First)/PT_Int)),0))-IF(AO123="FT",IF(AS123&lt;FT_First,0,IF(AS123&lt;FT_Y5,1+INT((AS123-FT_First)/FT_Int1),FT_PreY5+FT_PerYear*INT((AS123-FT_Y5)/12)+FT_AnnivDays+INT(MOD(AS123-FT_Y5,12)/FT_Int2))),IF(AO123="PT",IF(AS123&lt;PT_First,0,1+INT((AS123-PT_First)/PT_Int)),0)),0)+IF(AND(AG123&gt;=3,AJ123&lt;=AsOfDate),IF(AP123="FT",IF(AR123&lt;FT_First,0,IF(AR123&lt;FT_Y5,1+INT((AR123-FT_First)/FT_Int1),FT_PreY5+FT_PerYear*INT((AR123-FT_Y5)/12)+FT_AnnivDays+INT(MOD(AR123-FT_Y5,12)/FT_Int2))),IF(AP123="PT",IF(AR123&lt;PT_First,0,1+INT((AR123-PT_First)/PT_Int)),0))-IF(AP123="FT",IF(AT123&lt;FT_First,0,IF(AT123&lt;FT_Y5,1+INT((AT123-FT_First)/FT_Int1),FT_PreY5+FT_PerYear*INT((AT123-FT_Y5)/12)+FT_AnnivDays+INT(MOD(AT123-FT_Y5,12)/FT_Int2))),IF(AP123="PT",IF(AT123&lt;PT_First,0,1+INT((AT123-PT_First)/PT_Int)),0)),0))</f>
        <v/>
      </c>
      <c r="AY123" s="12" t="str">
        <f aca="false">IF(AE123=0,"",IF(AN123="FT",IF(AV123&lt;FT_First,0,IF(AV123&lt;FT_Y5,1+INT((AV123-FT_First)/FT_Int1),FT_PreY5+FT_PerYear*INT((AV123-FT_Y5)/12)+FT_AnnivDays+INT(MOD(AV123-FT_Y5,12)/FT_Int2))),IF(AN123="PT",IF(AV123&lt;PT_First,0,1+INT((AV123-PT_First)/PT_Int)),0))+IF(AND(AG123&gt;=2,AI123&lt;=PFYDate),IF(AO123="FT",IF(AW123&lt;FT_First,0,IF(AW123&lt;FT_Y5,1+INT((AW123-FT_First)/FT_Int1),FT_PreY5+FT_PerYear*INT((AW123-FT_Y5)/12)+FT_AnnivDays+INT(MOD(AW123-FT_Y5,12)/FT_Int2))),IF(AO123="PT",IF(AW123&lt;PT_First,0,1+INT((AW123-PT_First)/PT_Int)),0))-IF(AO123="FT",IF(AV123&lt;FT_First,0,IF(AV123&lt;FT_Y5,1+INT((AV123-FT_First)/FT_Int1),FT_PreY5+FT_PerYear*INT((AV123-FT_Y5)/12)+FT_AnnivDays+INT(MOD(AV123-FT_Y5,12)/FT_Int2))),IF(AO123="PT",IF(AV123&lt;PT_First,0,1+INT((AV123-PT_First)/PT_Int)),0)),0)+IF(AND(AG123&gt;=3,AJ123&lt;=PFYDate),IF(AP123="FT",IF(AU123&lt;FT_First,0,IF(AU123&lt;FT_Y5,1+INT((AU123-FT_First)/FT_Int1),FT_PreY5+FT_PerYear*INT((AU123-FT_Y5)/12)+FT_AnnivDays+INT(MOD(AU123-FT_Y5,12)/FT_Int2))),IF(AP123="PT",IF(AU123&lt;PT_First,0,1+INT((AU123-PT_First)/PT_Int)),0))-IF(AP123="FT",IF(AW123&lt;FT_First,0,IF(AW123&lt;FT_Y5,1+INT((AW123-FT_First)/FT_Int1),FT_PreY5+FT_PerYear*INT((AW123-FT_Y5)/12)+FT_AnnivDays+INT(MOD(AW123-FT_Y5,12)/FT_Int2))),IF(AP123="PT",IF(AW123&lt;PT_First,0,1+INT((AW123-PT_First)/PT_Int)),0)),0))</f>
        <v/>
      </c>
      <c r="AZ123" s="12" t="str">
        <f aca="false">IF(AE123=0,"",IF(AQ123="FT",IF(AR123&lt;FT_First,FT_First,IF(AR123&lt;FT_Y5,MIN(FT_Y5,FT_First+FT_Int1*(INT((AR123-FT_First)/FT_Int1)+1)),FT_Y5+12*INT((AR123-FT_Y5)/12)+FT_Int2*(INT(MOD(AR123-FT_Y5,12)/FT_Int2)+1))),IF(AQ123="PT",IF(AR123&lt;PT_First,PT_First,PT_First+PT_Int*(INT((AR123-PT_First)/PT_Int)+1)),"")))</f>
        <v/>
      </c>
      <c r="BA123" s="12" t="str">
        <f aca="false">IF(AE123=0,"",IF(NOT(LH_Ready),0,COUNTIFS(INDEX(LH_Data,0,LH_ColFirst),$A123,INDEX(LH_Data,0,LH_ColSur),$B123,INDEX(LH_Data,0,LH_ColCat),BonusCat)))</f>
        <v/>
      </c>
      <c r="BB123" s="12" t="str">
        <f aca="false">IF(AE123=0,"",IF(OR(NOT(LH_Ready),BA123=0),0,SUMPRODUCT(MAX((INDEX(LH_Data,0,LH_ColFirst)=$A123)*(INDEX(LH_Data,0,LH_ColSur)=$B123)*(INDEX(LH_Data,0,LH_ColCat)=BonusCat)*ROW(LH_Data)))))</f>
        <v/>
      </c>
    </row>
    <row r="124" customFormat="false" ht="15" hidden="false" customHeight="false" outlineLevel="0" collapsed="false">
      <c r="A124" s="15"/>
      <c r="B124" s="15"/>
      <c r="C124" s="15"/>
      <c r="D124" s="16"/>
      <c r="E124" s="10" t="str">
        <f aca="false">IF(OR(AE124=0,$D124=""),"",DATE(YEAR(AsOfDate)+IF(DATE(YEAR(AsOfDate),MONTH($D124),DAY($D124))&lt;=AsOfDate,1,0),MONTH($D124),DAY($D124)))</f>
        <v/>
      </c>
      <c r="F124" s="16"/>
      <c r="G124" s="16"/>
      <c r="H124" s="16"/>
      <c r="I124" s="16"/>
      <c r="J124" s="16"/>
      <c r="K124" s="10" t="str">
        <f aca="false">IF(AE124=0,"",DATE(YEAR(AsOfDate)+IF(DATE(YEAR(AsOfDate),MONTH($F124),DAY($F124))&lt;=AsOfDate,1,0),MONTH($F124),DAY($F124)))</f>
        <v/>
      </c>
      <c r="L124" s="11" t="str">
        <f aca="false">IF(AE124=0,"",ROUND((AsOfDate-$F124)/365.25,1))</f>
        <v/>
      </c>
      <c r="M124" s="12" t="str">
        <f aca="false">IF(AE124=0,"",IF(AsOfDate&lt;AF124,"-",DATEDIF(AF124,AsOfDate,"y")&amp;"y "&amp;DATEDIF(AF124,AsOfDate,"ym")&amp;"m "&amp;DATEDIF(AF124,AsOfDate,"md")&amp;"d"))</f>
        <v/>
      </c>
      <c r="N124" s="13" t="str">
        <f aca="false">IF(AE124=0,"",O124*HoursPerDay)</f>
        <v/>
      </c>
      <c r="O124" s="13" t="str">
        <f aca="false">IF(AE124=0,"",AX124)</f>
        <v/>
      </c>
      <c r="P124" s="17"/>
      <c r="Q124" s="12" t="str">
        <f aca="false">IF(AE124=0,"",IF(AG124&lt;2,"",AK124&amp;" to "&amp;AL124&amp;" on "&amp;TEXT(AI124,"dd/mm/yyyy")&amp;IF(AI124&gt;AsOfDate," (future)",IF(AN124=AO124,"",IF(AO124="None"," - STOPPED accruing",IF(AN124="None"," - now qualifying"," - pathway changed"))))&amp;IF(AG124&lt;3,"","; "&amp;AL124&amp;" to "&amp;AM124&amp;" on "&amp;TEXT(AJ124,"dd/mm/yyyy")&amp;IF(AJ124&gt;AsOfDate," (future)",IF(AO124=AP124,"",IF(AP124="None"," - STOPPED accruing",IF(AO124="None"," - now qualifying"," - pathway changed")))))))</f>
        <v/>
      </c>
      <c r="R124" s="12" t="str">
        <f aca="false">IF(AE124=0,"",IF(AQ124="None",IF(O124&gt;0,"No longer accruing","Not eligible - "&amp;IF(AND(OR(ISNUMBER(SEARCH("part",$C124)),UPPER(TRIM($C124))="PT",UPPER(TRIM($C124))="PTE"),$P124&lt;&gt;"",N($P124)&lt;PT_MinHours),"under "&amp;PT_MinHours&amp;" hrs",IF(IF($C124="","",IF(OR(ISNUMBER(SEARCH("full",$C124)),UPPER(TRIM($C124))="FT",UPPER(TRIM($C124))="FTE"),"Full-Time",IF(OR(ISNUMBER(SEARCH("part",$C124)),UPPER(TRIM($C124))="PT",UPPER(TRIM($C124))="PTE"),"Part-Time",IF(OR(ISNUMBER(SEARCH("cas",$C124)),UPPER(TRIM($C124))="CAS"),"Casual","Unknown"))))="Unknown","type not recognised",$C124))),IF(O124&gt;0,"Yes - accruing","Not yet - from "&amp;TEXT(S124,"dd/mm/yyyy"))))</f>
        <v/>
      </c>
      <c r="S124" s="10" t="str">
        <f aca="false">IF(AE124=0,"",IF(AQ124="None","",EDATE(AF124,AZ124)))</f>
        <v/>
      </c>
      <c r="T124" s="13" t="str">
        <f aca="false">IF(OR(AE124=0,W124=""),"",W124-U124+V124)</f>
        <v/>
      </c>
      <c r="U124" s="13" t="str">
        <f aca="false">IF(AE124=0,"",IF(NOT(LH_Ready),"",SUMIFS(INDEX(LH_Data,0,LH_ColAcc),INDEX(LH_Data,0,LH_ColFirst),$A124,INDEX(LH_Data,0,LH_ColSur),$B124,INDEX(LH_Data,0,LH_ColCat),BonusCat)*UnitFactor))</f>
        <v/>
      </c>
      <c r="V124" s="13" t="str">
        <f aca="false">IF(AE124=0,"",IF(NOT(LH_Ready),"",SUMIFS(INDEX(LH_Data,0,LH_ColTaken),INDEX(LH_Data,0,LH_ColFirst),$A124,INDEX(LH_Data,0,LH_ColSur),$B124,INDEX(LH_Data,0,LH_ColCat),BonusCat)*UnitFactor))</f>
        <v/>
      </c>
      <c r="W124" s="13" t="str">
        <f aca="false">IF(AE124=0,"",IF(NOT(LH_Ready),"",IF(BB124=0,0,INDEX(INDEX(LH_Data,0,LH_ColClose),BB124-1)*UnitFactor)))</f>
        <v/>
      </c>
      <c r="X124" s="13" t="str">
        <f aca="false">IF(AE124=0,"",(AX124-AY124)*HoursPerDay)</f>
        <v/>
      </c>
      <c r="Y124" s="13" t="str">
        <f aca="false">IF(AE124=0,"",IF(NOT(LH_Ready),"",IF(BA124=0,N124,X124-N(U124))))</f>
        <v/>
      </c>
      <c r="Z124" s="12" t="str">
        <f aca="false">IF(OR(AE124=0,Y124=""),"",IF(Y124&gt;0,"Yes","No"))</f>
        <v/>
      </c>
      <c r="AA124" s="12" t="str">
        <f aca="false">IF(AE124=0,IF(LEN($A124&amp;$B124)=0,"","FIX INPUT - StartDate missing"),IF(AD124&lt;&gt;"","FIX INPUT - "&amp;AD124,IF(NOT(LH_Ready),"Paste Leave History export (Settings must show YES)",IF(Y124&gt;0,"ACCRUE "&amp;ROUND(Y124,2)&amp;" hrs ("&amp;ROUND(Y124/HoursPerDay,2)&amp;" days)"&amp;IF(BA124=0," - no Bonus Leave in EH yet, full catch-up since start",""),IF(Y124&lt;0,"CHECK - EH accrued "&amp;ROUND(-Y124,2)&amp;""&amp;" hrs more than policy",IF(O124&gt;0,"OK - nothing to add",IF(AQ124="None",R124,"Not yet - first day on "&amp;TEXT(S124,"dd/mm/yyyy"))))))))</f>
        <v/>
      </c>
      <c r="AB124" s="13" t="str">
        <f aca="false">IF(OR(AE124=0,T124=""),"",AY124*HoursPerDay-T124)</f>
        <v/>
      </c>
      <c r="AC124" s="12" t="str">
        <f aca="false">IF(AE124=0,"",BA124)</f>
        <v/>
      </c>
      <c r="AD124" s="12" t="str">
        <f aca="false">IF(AE124=0,"",TRIM(IF(IF($C124="","",IF(OR(ISNUMBER(SEARCH("full",$C124)),UPPER(TRIM($C124))="FT",UPPER(TRIM($C124))="FTE"),"Full-Time",IF(OR(ISNUMBER(SEARCH("part",$C124)),UPPER(TRIM($C124))="PT",UPPER(TRIM($C124))="PTE"),"Part-Time",IF(OR(ISNUMBER(SEARCH("cas",$C124)),UPPER(TRIM($C124))="CAS"),"Casual","Unknown"))))="Unknown","EmploymentType not recognised - use Full-Time, Part-Time or Casual. ","")&amp;IF(AND(AG124&gt;=1,IF(AG124&gt;=3,AM124,IF(AG124=2,AL124,AK124))&lt;&gt;IF($C124="","",IF(OR(ISNUMBER(SEARCH("full",$C124)),UPPER(TRIM($C124))="FT",UPPER(TRIM($C124))="FTE"),"Full-Time",IF(OR(ISNUMBER(SEARCH("part",$C124)),UPPER(TRIM($C124))="PT",UPPER(TRIM($C124))="PTE"),"Part-Time",IF(OR(ISNUMBER(SEARCH("cas",$C124)),UPPER(TRIM($C124))="CAS"),"Casual","Unknown"))))),"EmploymentType does not match latest start date ("&amp;IF(AG124&gt;=3,AM124,IF(AG124=2,AL124,AK124))&amp;"). ","")&amp;IF(AND(AG124&gt;=1,AH124&lt;&gt;$F124),"Earliest type date should equal StartDate. ","")&amp;IF(AND(AG124&gt;=2,AH124=AI124),"Two types start on the same date. ","")&amp;IF(AND(OR(ISNUMBER(SEARCH("part",$C124)),UPPER(TRIM($C124))="PT",UPPER(TRIM($C124))="PTE"),$P124=""),"Part-time: enter PT Hrs/Week (blank = 24+). ","")))</f>
        <v/>
      </c>
      <c r="AE124" s="12" t="n">
        <f aca="false">IF(OR(LEN($A124&amp;$B124)=0,$F124=""),0,1)</f>
        <v>0</v>
      </c>
      <c r="AF124" s="10" t="str">
        <f aca="false">IF(AE124=0,"",IF($J124&lt;&gt;"",$J124,$F124))</f>
        <v/>
      </c>
      <c r="AG124" s="12" t="str">
        <f aca="false">IF(AE124=0,"",COUNT($G124:$I124))</f>
        <v/>
      </c>
      <c r="AH124" s="10" t="str">
        <f aca="false">IF(AE124=0,"",IFERROR(SMALL($G124:$I124,1),""))</f>
        <v/>
      </c>
      <c r="AI124" s="10" t="str">
        <f aca="false">IF(AE124=0,"",IFERROR(SMALL($G124:$I124,2),""))</f>
        <v/>
      </c>
      <c r="AJ124" s="10" t="str">
        <f aca="false">IF(AE124=0,"",IFERROR(SMALL($G124:$I124,3),""))</f>
        <v/>
      </c>
      <c r="AK124" s="12" t="str">
        <f aca="false">IF(AE124=0,"",IF(AH124="","",IF(AH124=$G124,"Part-Time",IF(AH124=$H124,"Full-Time","Casual"))))</f>
        <v/>
      </c>
      <c r="AL124" s="12" t="str">
        <f aca="false">IF(AE124=0,"",IF(AI124="","",IF(AI124=$G124,"Part-Time",IF(AI124=$H124,"Full-Time","Casual"))))</f>
        <v/>
      </c>
      <c r="AM124" s="12" t="str">
        <f aca="false">IF(AE124=0,"",IF(AJ124="","",IF(AJ124=$G124,"Part-Time",IF(AJ124=$H124,"Full-Time","Casual"))))</f>
        <v/>
      </c>
      <c r="AN124" s="12" t="str">
        <f aca="false">IF(AE124=0,"",IF(AG124=0,IF(OR(ISNUMBER(SEARCH("full",$C124)),UPPER(TRIM($C124))="FT",UPPER(TRIM($C124))="FTE"),"FT",IF(AND(OR(ISNUMBER(SEARCH("part",$C124)),UPPER(TRIM($C124))="PT",UPPER(TRIM($C124))="PTE"),OR($P124="",N($P124)&gt;=PT_MinHours)),"PT","None")),IF(OR(ISNUMBER(SEARCH("full",AK124)),UPPER(TRIM(AK124))="FT",UPPER(TRIM(AK124))="FTE"),"FT",IF(AND(OR(ISNUMBER(SEARCH("part",AK124)),UPPER(TRIM(AK124))="PT",UPPER(TRIM(AK124))="PTE"),OR($P124="",N($P124)&gt;=PT_MinHours)),"PT","None"))))</f>
        <v/>
      </c>
      <c r="AO124" s="12" t="str">
        <f aca="false">IF(AE124=0,"",IF(AG124&lt;2,"",IF(OR(ISNUMBER(SEARCH("full",AL124)),UPPER(TRIM(AL124))="FT",UPPER(TRIM(AL124))="FTE"),"FT",IF(AND(OR(ISNUMBER(SEARCH("part",AL124)),UPPER(TRIM(AL124))="PT",UPPER(TRIM(AL124))="PTE"),OR($P124="",N($P124)&gt;=PT_MinHours)),"PT","None"))))</f>
        <v/>
      </c>
      <c r="AP124" s="12" t="str">
        <f aca="false">IF(AE124=0,"",IF(AG124&lt;3,"",IF(OR(ISNUMBER(SEARCH("full",AM124)),UPPER(TRIM(AM124))="FT",UPPER(TRIM(AM124))="FTE"),"FT",IF(AND(OR(ISNUMBER(SEARCH("part",AM124)),UPPER(TRIM(AM124))="PT",UPPER(TRIM(AM124))="PTE"),OR($P124="",N($P124)&gt;=PT_MinHours)),"PT","None"))))</f>
        <v/>
      </c>
      <c r="AQ124" s="12" t="str">
        <f aca="false">IF(AE124=0,"",IF(AND(AG124&gt;=3,AJ124&lt;=AsOfDate),AP124,IF(AND(AG124&gt;=2,AI124&lt;=AsOfDate),AO124,AN124)))</f>
        <v/>
      </c>
      <c r="AR124" s="12" t="str">
        <f aca="false">IF(AE124=0,"",IF(AsOfDate&lt;AF124,-1,12*(YEAR(AsOfDate)-YEAR(AF124))+MONTH(AsOfDate)-MONTH(AF124)-IF(DAY(AsOfDate)&lt;MIN(DAY(AF124),DAY(EOMONTH(AsOfDate,0))),1,0)))</f>
        <v/>
      </c>
      <c r="AS124" s="12" t="str">
        <f aca="false">IF(AE124=0,"",IF(OR(AG124&lt;2,AI124&gt;AsOfDate),AR124,IF((AI124-1)&lt;AF124,-1,12*(YEAR((AI124-1))-YEAR(AF124))+MONTH((AI124-1))-MONTH(AF124)-IF(DAY((AI124-1))&lt;MIN(DAY(AF124),DAY(EOMONTH((AI124-1),0))),1,0))))</f>
        <v/>
      </c>
      <c r="AT124" s="12" t="str">
        <f aca="false">IF(AE124=0,"",IF(OR(AG124&lt;3,AJ124&gt;AsOfDate),AR124,IF((AJ124-1)&lt;AF124,-1,12*(YEAR((AJ124-1))-YEAR(AF124))+MONTH((AJ124-1))-MONTH(AF124)-IF(DAY((AJ124-1))&lt;MIN(DAY(AF124),DAY(EOMONTH((AJ124-1),0))),1,0))))</f>
        <v/>
      </c>
      <c r="AU124" s="12" t="str">
        <f aca="false">IF(AE124=0,"",IF(PFYDate&lt;AF124,-1,12*(YEAR(PFYDate)-YEAR(AF124))+MONTH(PFYDate)-MONTH(AF124)-IF(DAY(PFYDate)&lt;MIN(DAY(AF124),DAY(EOMONTH(PFYDate,0))),1,0)))</f>
        <v/>
      </c>
      <c r="AV124" s="12" t="str">
        <f aca="false">IF(AE124=0,"",IF(OR(AG124&lt;2,AI124&gt;PFYDate),AU124,IF((AI124-1)&lt;AF124,-1,12*(YEAR((AI124-1))-YEAR(AF124))+MONTH((AI124-1))-MONTH(AF124)-IF(DAY((AI124-1))&lt;MIN(DAY(AF124),DAY(EOMONTH((AI124-1),0))),1,0))))</f>
        <v/>
      </c>
      <c r="AW124" s="12" t="str">
        <f aca="false">IF(AE124=0,"",IF(OR(AG124&lt;3,AJ124&gt;PFYDate),AU124,IF((AJ124-1)&lt;AF124,-1,12*(YEAR((AJ124-1))-YEAR(AF124))+MONTH((AJ124-1))-MONTH(AF124)-IF(DAY((AJ124-1))&lt;MIN(DAY(AF124),DAY(EOMONTH((AJ124-1),0))),1,0))))</f>
        <v/>
      </c>
      <c r="AX124" s="12" t="str">
        <f aca="false">IF(AE124=0,"",IF(AN124="FT",IF(AS124&lt;FT_First,0,IF(AS124&lt;FT_Y5,1+INT((AS124-FT_First)/FT_Int1),FT_PreY5+FT_PerYear*INT((AS124-FT_Y5)/12)+FT_AnnivDays+INT(MOD(AS124-FT_Y5,12)/FT_Int2))),IF(AN124="PT",IF(AS124&lt;PT_First,0,1+INT((AS124-PT_First)/PT_Int)),0))+IF(AND(AG124&gt;=2,AI124&lt;=AsOfDate),IF(AO124="FT",IF(AT124&lt;FT_First,0,IF(AT124&lt;FT_Y5,1+INT((AT124-FT_First)/FT_Int1),FT_PreY5+FT_PerYear*INT((AT124-FT_Y5)/12)+FT_AnnivDays+INT(MOD(AT124-FT_Y5,12)/FT_Int2))),IF(AO124="PT",IF(AT124&lt;PT_First,0,1+INT((AT124-PT_First)/PT_Int)),0))-IF(AO124="FT",IF(AS124&lt;FT_First,0,IF(AS124&lt;FT_Y5,1+INT((AS124-FT_First)/FT_Int1),FT_PreY5+FT_PerYear*INT((AS124-FT_Y5)/12)+FT_AnnivDays+INT(MOD(AS124-FT_Y5,12)/FT_Int2))),IF(AO124="PT",IF(AS124&lt;PT_First,0,1+INT((AS124-PT_First)/PT_Int)),0)),0)+IF(AND(AG124&gt;=3,AJ124&lt;=AsOfDate),IF(AP124="FT",IF(AR124&lt;FT_First,0,IF(AR124&lt;FT_Y5,1+INT((AR124-FT_First)/FT_Int1),FT_PreY5+FT_PerYear*INT((AR124-FT_Y5)/12)+FT_AnnivDays+INT(MOD(AR124-FT_Y5,12)/FT_Int2))),IF(AP124="PT",IF(AR124&lt;PT_First,0,1+INT((AR124-PT_First)/PT_Int)),0))-IF(AP124="FT",IF(AT124&lt;FT_First,0,IF(AT124&lt;FT_Y5,1+INT((AT124-FT_First)/FT_Int1),FT_PreY5+FT_PerYear*INT((AT124-FT_Y5)/12)+FT_AnnivDays+INT(MOD(AT124-FT_Y5,12)/FT_Int2))),IF(AP124="PT",IF(AT124&lt;PT_First,0,1+INT((AT124-PT_First)/PT_Int)),0)),0))</f>
        <v/>
      </c>
      <c r="AY124" s="12" t="str">
        <f aca="false">IF(AE124=0,"",IF(AN124="FT",IF(AV124&lt;FT_First,0,IF(AV124&lt;FT_Y5,1+INT((AV124-FT_First)/FT_Int1),FT_PreY5+FT_PerYear*INT((AV124-FT_Y5)/12)+FT_AnnivDays+INT(MOD(AV124-FT_Y5,12)/FT_Int2))),IF(AN124="PT",IF(AV124&lt;PT_First,0,1+INT((AV124-PT_First)/PT_Int)),0))+IF(AND(AG124&gt;=2,AI124&lt;=PFYDate),IF(AO124="FT",IF(AW124&lt;FT_First,0,IF(AW124&lt;FT_Y5,1+INT((AW124-FT_First)/FT_Int1),FT_PreY5+FT_PerYear*INT((AW124-FT_Y5)/12)+FT_AnnivDays+INT(MOD(AW124-FT_Y5,12)/FT_Int2))),IF(AO124="PT",IF(AW124&lt;PT_First,0,1+INT((AW124-PT_First)/PT_Int)),0))-IF(AO124="FT",IF(AV124&lt;FT_First,0,IF(AV124&lt;FT_Y5,1+INT((AV124-FT_First)/FT_Int1),FT_PreY5+FT_PerYear*INT((AV124-FT_Y5)/12)+FT_AnnivDays+INT(MOD(AV124-FT_Y5,12)/FT_Int2))),IF(AO124="PT",IF(AV124&lt;PT_First,0,1+INT((AV124-PT_First)/PT_Int)),0)),0)+IF(AND(AG124&gt;=3,AJ124&lt;=PFYDate),IF(AP124="FT",IF(AU124&lt;FT_First,0,IF(AU124&lt;FT_Y5,1+INT((AU124-FT_First)/FT_Int1),FT_PreY5+FT_PerYear*INT((AU124-FT_Y5)/12)+FT_AnnivDays+INT(MOD(AU124-FT_Y5,12)/FT_Int2))),IF(AP124="PT",IF(AU124&lt;PT_First,0,1+INT((AU124-PT_First)/PT_Int)),0))-IF(AP124="FT",IF(AW124&lt;FT_First,0,IF(AW124&lt;FT_Y5,1+INT((AW124-FT_First)/FT_Int1),FT_PreY5+FT_PerYear*INT((AW124-FT_Y5)/12)+FT_AnnivDays+INT(MOD(AW124-FT_Y5,12)/FT_Int2))),IF(AP124="PT",IF(AW124&lt;PT_First,0,1+INT((AW124-PT_First)/PT_Int)),0)),0))</f>
        <v/>
      </c>
      <c r="AZ124" s="12" t="str">
        <f aca="false">IF(AE124=0,"",IF(AQ124="FT",IF(AR124&lt;FT_First,FT_First,IF(AR124&lt;FT_Y5,MIN(FT_Y5,FT_First+FT_Int1*(INT((AR124-FT_First)/FT_Int1)+1)),FT_Y5+12*INT((AR124-FT_Y5)/12)+FT_Int2*(INT(MOD(AR124-FT_Y5,12)/FT_Int2)+1))),IF(AQ124="PT",IF(AR124&lt;PT_First,PT_First,PT_First+PT_Int*(INT((AR124-PT_First)/PT_Int)+1)),"")))</f>
        <v/>
      </c>
      <c r="BA124" s="12" t="str">
        <f aca="false">IF(AE124=0,"",IF(NOT(LH_Ready),0,COUNTIFS(INDEX(LH_Data,0,LH_ColFirst),$A124,INDEX(LH_Data,0,LH_ColSur),$B124,INDEX(LH_Data,0,LH_ColCat),BonusCat)))</f>
        <v/>
      </c>
      <c r="BB124" s="12" t="str">
        <f aca="false">IF(AE124=0,"",IF(OR(NOT(LH_Ready),BA124=0),0,SUMPRODUCT(MAX((INDEX(LH_Data,0,LH_ColFirst)=$A124)*(INDEX(LH_Data,0,LH_ColSur)=$B124)*(INDEX(LH_Data,0,LH_ColCat)=BonusCat)*ROW(LH_Data)))))</f>
        <v/>
      </c>
    </row>
    <row r="125" customFormat="false" ht="15" hidden="false" customHeight="false" outlineLevel="0" collapsed="false">
      <c r="A125" s="15"/>
      <c r="B125" s="15"/>
      <c r="C125" s="15"/>
      <c r="D125" s="16"/>
      <c r="E125" s="10" t="str">
        <f aca="false">IF(OR(AE125=0,$D125=""),"",DATE(YEAR(AsOfDate)+IF(DATE(YEAR(AsOfDate),MONTH($D125),DAY($D125))&lt;=AsOfDate,1,0),MONTH($D125),DAY($D125)))</f>
        <v/>
      </c>
      <c r="F125" s="16"/>
      <c r="G125" s="16"/>
      <c r="H125" s="16"/>
      <c r="I125" s="16"/>
      <c r="J125" s="16"/>
      <c r="K125" s="10" t="str">
        <f aca="false">IF(AE125=0,"",DATE(YEAR(AsOfDate)+IF(DATE(YEAR(AsOfDate),MONTH($F125),DAY($F125))&lt;=AsOfDate,1,0),MONTH($F125),DAY($F125)))</f>
        <v/>
      </c>
      <c r="L125" s="11" t="str">
        <f aca="false">IF(AE125=0,"",ROUND((AsOfDate-$F125)/365.25,1))</f>
        <v/>
      </c>
      <c r="M125" s="12" t="str">
        <f aca="false">IF(AE125=0,"",IF(AsOfDate&lt;AF125,"-",DATEDIF(AF125,AsOfDate,"y")&amp;"y "&amp;DATEDIF(AF125,AsOfDate,"ym")&amp;"m "&amp;DATEDIF(AF125,AsOfDate,"md")&amp;"d"))</f>
        <v/>
      </c>
      <c r="N125" s="13" t="str">
        <f aca="false">IF(AE125=0,"",O125*HoursPerDay)</f>
        <v/>
      </c>
      <c r="O125" s="13" t="str">
        <f aca="false">IF(AE125=0,"",AX125)</f>
        <v/>
      </c>
      <c r="P125" s="17"/>
      <c r="Q125" s="12" t="str">
        <f aca="false">IF(AE125=0,"",IF(AG125&lt;2,"",AK125&amp;" to "&amp;AL125&amp;" on "&amp;TEXT(AI125,"dd/mm/yyyy")&amp;IF(AI125&gt;AsOfDate," (future)",IF(AN125=AO125,"",IF(AO125="None"," - STOPPED accruing",IF(AN125="None"," - now qualifying"," - pathway changed"))))&amp;IF(AG125&lt;3,"","; "&amp;AL125&amp;" to "&amp;AM125&amp;" on "&amp;TEXT(AJ125,"dd/mm/yyyy")&amp;IF(AJ125&gt;AsOfDate," (future)",IF(AO125=AP125,"",IF(AP125="None"," - STOPPED accruing",IF(AO125="None"," - now qualifying"," - pathway changed")))))))</f>
        <v/>
      </c>
      <c r="R125" s="12" t="str">
        <f aca="false">IF(AE125=0,"",IF(AQ125="None",IF(O125&gt;0,"No longer accruing","Not eligible - "&amp;IF(AND(OR(ISNUMBER(SEARCH("part",$C125)),UPPER(TRIM($C125))="PT",UPPER(TRIM($C125))="PTE"),$P125&lt;&gt;"",N($P125)&lt;PT_MinHours),"under "&amp;PT_MinHours&amp;" hrs",IF(IF($C125="","",IF(OR(ISNUMBER(SEARCH("full",$C125)),UPPER(TRIM($C125))="FT",UPPER(TRIM($C125))="FTE"),"Full-Time",IF(OR(ISNUMBER(SEARCH("part",$C125)),UPPER(TRIM($C125))="PT",UPPER(TRIM($C125))="PTE"),"Part-Time",IF(OR(ISNUMBER(SEARCH("cas",$C125)),UPPER(TRIM($C125))="CAS"),"Casual","Unknown"))))="Unknown","type not recognised",$C125))),IF(O125&gt;0,"Yes - accruing","Not yet - from "&amp;TEXT(S125,"dd/mm/yyyy"))))</f>
        <v/>
      </c>
      <c r="S125" s="10" t="str">
        <f aca="false">IF(AE125=0,"",IF(AQ125="None","",EDATE(AF125,AZ125)))</f>
        <v/>
      </c>
      <c r="T125" s="13" t="str">
        <f aca="false">IF(OR(AE125=0,W125=""),"",W125-U125+V125)</f>
        <v/>
      </c>
      <c r="U125" s="13" t="str">
        <f aca="false">IF(AE125=0,"",IF(NOT(LH_Ready),"",SUMIFS(INDEX(LH_Data,0,LH_ColAcc),INDEX(LH_Data,0,LH_ColFirst),$A125,INDEX(LH_Data,0,LH_ColSur),$B125,INDEX(LH_Data,0,LH_ColCat),BonusCat)*UnitFactor))</f>
        <v/>
      </c>
      <c r="V125" s="13" t="str">
        <f aca="false">IF(AE125=0,"",IF(NOT(LH_Ready),"",SUMIFS(INDEX(LH_Data,0,LH_ColTaken),INDEX(LH_Data,0,LH_ColFirst),$A125,INDEX(LH_Data,0,LH_ColSur),$B125,INDEX(LH_Data,0,LH_ColCat),BonusCat)*UnitFactor))</f>
        <v/>
      </c>
      <c r="W125" s="13" t="str">
        <f aca="false">IF(AE125=0,"",IF(NOT(LH_Ready),"",IF(BB125=0,0,INDEX(INDEX(LH_Data,0,LH_ColClose),BB125-1)*UnitFactor)))</f>
        <v/>
      </c>
      <c r="X125" s="13" t="str">
        <f aca="false">IF(AE125=0,"",(AX125-AY125)*HoursPerDay)</f>
        <v/>
      </c>
      <c r="Y125" s="13" t="str">
        <f aca="false">IF(AE125=0,"",IF(NOT(LH_Ready),"",IF(BA125=0,N125,X125-N(U125))))</f>
        <v/>
      </c>
      <c r="Z125" s="12" t="str">
        <f aca="false">IF(OR(AE125=0,Y125=""),"",IF(Y125&gt;0,"Yes","No"))</f>
        <v/>
      </c>
      <c r="AA125" s="12" t="str">
        <f aca="false">IF(AE125=0,IF(LEN($A125&amp;$B125)=0,"","FIX INPUT - StartDate missing"),IF(AD125&lt;&gt;"","FIX INPUT - "&amp;AD125,IF(NOT(LH_Ready),"Paste Leave History export (Settings must show YES)",IF(Y125&gt;0,"ACCRUE "&amp;ROUND(Y125,2)&amp;" hrs ("&amp;ROUND(Y125/HoursPerDay,2)&amp;" days)"&amp;IF(BA125=0," - no Bonus Leave in EH yet, full catch-up since start",""),IF(Y125&lt;0,"CHECK - EH accrued "&amp;ROUND(-Y125,2)&amp;""&amp;" hrs more than policy",IF(O125&gt;0,"OK - nothing to add",IF(AQ125="None",R125,"Not yet - first day on "&amp;TEXT(S125,"dd/mm/yyyy"))))))))</f>
        <v/>
      </c>
      <c r="AB125" s="13" t="str">
        <f aca="false">IF(OR(AE125=0,T125=""),"",AY125*HoursPerDay-T125)</f>
        <v/>
      </c>
      <c r="AC125" s="12" t="str">
        <f aca="false">IF(AE125=0,"",BA125)</f>
        <v/>
      </c>
      <c r="AD125" s="12" t="str">
        <f aca="false">IF(AE125=0,"",TRIM(IF(IF($C125="","",IF(OR(ISNUMBER(SEARCH("full",$C125)),UPPER(TRIM($C125))="FT",UPPER(TRIM($C125))="FTE"),"Full-Time",IF(OR(ISNUMBER(SEARCH("part",$C125)),UPPER(TRIM($C125))="PT",UPPER(TRIM($C125))="PTE"),"Part-Time",IF(OR(ISNUMBER(SEARCH("cas",$C125)),UPPER(TRIM($C125))="CAS"),"Casual","Unknown"))))="Unknown","EmploymentType not recognised - use Full-Time, Part-Time or Casual. ","")&amp;IF(AND(AG125&gt;=1,IF(AG125&gt;=3,AM125,IF(AG125=2,AL125,AK125))&lt;&gt;IF($C125="","",IF(OR(ISNUMBER(SEARCH("full",$C125)),UPPER(TRIM($C125))="FT",UPPER(TRIM($C125))="FTE"),"Full-Time",IF(OR(ISNUMBER(SEARCH("part",$C125)),UPPER(TRIM($C125))="PT",UPPER(TRIM($C125))="PTE"),"Part-Time",IF(OR(ISNUMBER(SEARCH("cas",$C125)),UPPER(TRIM($C125))="CAS"),"Casual","Unknown"))))),"EmploymentType does not match latest start date ("&amp;IF(AG125&gt;=3,AM125,IF(AG125=2,AL125,AK125))&amp;"). ","")&amp;IF(AND(AG125&gt;=1,AH125&lt;&gt;$F125),"Earliest type date should equal StartDate. ","")&amp;IF(AND(AG125&gt;=2,AH125=AI125),"Two types start on the same date. ","")&amp;IF(AND(OR(ISNUMBER(SEARCH("part",$C125)),UPPER(TRIM($C125))="PT",UPPER(TRIM($C125))="PTE"),$P125=""),"Part-time: enter PT Hrs/Week (blank = 24+). ","")))</f>
        <v/>
      </c>
      <c r="AE125" s="12" t="n">
        <f aca="false">IF(OR(LEN($A125&amp;$B125)=0,$F125=""),0,1)</f>
        <v>0</v>
      </c>
      <c r="AF125" s="10" t="str">
        <f aca="false">IF(AE125=0,"",IF($J125&lt;&gt;"",$J125,$F125))</f>
        <v/>
      </c>
      <c r="AG125" s="12" t="str">
        <f aca="false">IF(AE125=0,"",COUNT($G125:$I125))</f>
        <v/>
      </c>
      <c r="AH125" s="10" t="str">
        <f aca="false">IF(AE125=0,"",IFERROR(SMALL($G125:$I125,1),""))</f>
        <v/>
      </c>
      <c r="AI125" s="10" t="str">
        <f aca="false">IF(AE125=0,"",IFERROR(SMALL($G125:$I125,2),""))</f>
        <v/>
      </c>
      <c r="AJ125" s="10" t="str">
        <f aca="false">IF(AE125=0,"",IFERROR(SMALL($G125:$I125,3),""))</f>
        <v/>
      </c>
      <c r="AK125" s="12" t="str">
        <f aca="false">IF(AE125=0,"",IF(AH125="","",IF(AH125=$G125,"Part-Time",IF(AH125=$H125,"Full-Time","Casual"))))</f>
        <v/>
      </c>
      <c r="AL125" s="12" t="str">
        <f aca="false">IF(AE125=0,"",IF(AI125="","",IF(AI125=$G125,"Part-Time",IF(AI125=$H125,"Full-Time","Casual"))))</f>
        <v/>
      </c>
      <c r="AM125" s="12" t="str">
        <f aca="false">IF(AE125=0,"",IF(AJ125="","",IF(AJ125=$G125,"Part-Time",IF(AJ125=$H125,"Full-Time","Casual"))))</f>
        <v/>
      </c>
      <c r="AN125" s="12" t="str">
        <f aca="false">IF(AE125=0,"",IF(AG125=0,IF(OR(ISNUMBER(SEARCH("full",$C125)),UPPER(TRIM($C125))="FT",UPPER(TRIM($C125))="FTE"),"FT",IF(AND(OR(ISNUMBER(SEARCH("part",$C125)),UPPER(TRIM($C125))="PT",UPPER(TRIM($C125))="PTE"),OR($P125="",N($P125)&gt;=PT_MinHours)),"PT","None")),IF(OR(ISNUMBER(SEARCH("full",AK125)),UPPER(TRIM(AK125))="FT",UPPER(TRIM(AK125))="FTE"),"FT",IF(AND(OR(ISNUMBER(SEARCH("part",AK125)),UPPER(TRIM(AK125))="PT",UPPER(TRIM(AK125))="PTE"),OR($P125="",N($P125)&gt;=PT_MinHours)),"PT","None"))))</f>
        <v/>
      </c>
      <c r="AO125" s="12" t="str">
        <f aca="false">IF(AE125=0,"",IF(AG125&lt;2,"",IF(OR(ISNUMBER(SEARCH("full",AL125)),UPPER(TRIM(AL125))="FT",UPPER(TRIM(AL125))="FTE"),"FT",IF(AND(OR(ISNUMBER(SEARCH("part",AL125)),UPPER(TRIM(AL125))="PT",UPPER(TRIM(AL125))="PTE"),OR($P125="",N($P125)&gt;=PT_MinHours)),"PT","None"))))</f>
        <v/>
      </c>
      <c r="AP125" s="12" t="str">
        <f aca="false">IF(AE125=0,"",IF(AG125&lt;3,"",IF(OR(ISNUMBER(SEARCH("full",AM125)),UPPER(TRIM(AM125))="FT",UPPER(TRIM(AM125))="FTE"),"FT",IF(AND(OR(ISNUMBER(SEARCH("part",AM125)),UPPER(TRIM(AM125))="PT",UPPER(TRIM(AM125))="PTE"),OR($P125="",N($P125)&gt;=PT_MinHours)),"PT","None"))))</f>
        <v/>
      </c>
      <c r="AQ125" s="12" t="str">
        <f aca="false">IF(AE125=0,"",IF(AND(AG125&gt;=3,AJ125&lt;=AsOfDate),AP125,IF(AND(AG125&gt;=2,AI125&lt;=AsOfDate),AO125,AN125)))</f>
        <v/>
      </c>
      <c r="AR125" s="12" t="str">
        <f aca="false">IF(AE125=0,"",IF(AsOfDate&lt;AF125,-1,12*(YEAR(AsOfDate)-YEAR(AF125))+MONTH(AsOfDate)-MONTH(AF125)-IF(DAY(AsOfDate)&lt;MIN(DAY(AF125),DAY(EOMONTH(AsOfDate,0))),1,0)))</f>
        <v/>
      </c>
      <c r="AS125" s="12" t="str">
        <f aca="false">IF(AE125=0,"",IF(OR(AG125&lt;2,AI125&gt;AsOfDate),AR125,IF((AI125-1)&lt;AF125,-1,12*(YEAR((AI125-1))-YEAR(AF125))+MONTH((AI125-1))-MONTH(AF125)-IF(DAY((AI125-1))&lt;MIN(DAY(AF125),DAY(EOMONTH((AI125-1),0))),1,0))))</f>
        <v/>
      </c>
      <c r="AT125" s="12" t="str">
        <f aca="false">IF(AE125=0,"",IF(OR(AG125&lt;3,AJ125&gt;AsOfDate),AR125,IF((AJ125-1)&lt;AF125,-1,12*(YEAR((AJ125-1))-YEAR(AF125))+MONTH((AJ125-1))-MONTH(AF125)-IF(DAY((AJ125-1))&lt;MIN(DAY(AF125),DAY(EOMONTH((AJ125-1),0))),1,0))))</f>
        <v/>
      </c>
      <c r="AU125" s="12" t="str">
        <f aca="false">IF(AE125=0,"",IF(PFYDate&lt;AF125,-1,12*(YEAR(PFYDate)-YEAR(AF125))+MONTH(PFYDate)-MONTH(AF125)-IF(DAY(PFYDate)&lt;MIN(DAY(AF125),DAY(EOMONTH(PFYDate,0))),1,0)))</f>
        <v/>
      </c>
      <c r="AV125" s="12" t="str">
        <f aca="false">IF(AE125=0,"",IF(OR(AG125&lt;2,AI125&gt;PFYDate),AU125,IF((AI125-1)&lt;AF125,-1,12*(YEAR((AI125-1))-YEAR(AF125))+MONTH((AI125-1))-MONTH(AF125)-IF(DAY((AI125-1))&lt;MIN(DAY(AF125),DAY(EOMONTH((AI125-1),0))),1,0))))</f>
        <v/>
      </c>
      <c r="AW125" s="12" t="str">
        <f aca="false">IF(AE125=0,"",IF(OR(AG125&lt;3,AJ125&gt;PFYDate),AU125,IF((AJ125-1)&lt;AF125,-1,12*(YEAR((AJ125-1))-YEAR(AF125))+MONTH((AJ125-1))-MONTH(AF125)-IF(DAY((AJ125-1))&lt;MIN(DAY(AF125),DAY(EOMONTH((AJ125-1),0))),1,0))))</f>
        <v/>
      </c>
      <c r="AX125" s="12" t="str">
        <f aca="false">IF(AE125=0,"",IF(AN125="FT",IF(AS125&lt;FT_First,0,IF(AS125&lt;FT_Y5,1+INT((AS125-FT_First)/FT_Int1),FT_PreY5+FT_PerYear*INT((AS125-FT_Y5)/12)+FT_AnnivDays+INT(MOD(AS125-FT_Y5,12)/FT_Int2))),IF(AN125="PT",IF(AS125&lt;PT_First,0,1+INT((AS125-PT_First)/PT_Int)),0))+IF(AND(AG125&gt;=2,AI125&lt;=AsOfDate),IF(AO125="FT",IF(AT125&lt;FT_First,0,IF(AT125&lt;FT_Y5,1+INT((AT125-FT_First)/FT_Int1),FT_PreY5+FT_PerYear*INT((AT125-FT_Y5)/12)+FT_AnnivDays+INT(MOD(AT125-FT_Y5,12)/FT_Int2))),IF(AO125="PT",IF(AT125&lt;PT_First,0,1+INT((AT125-PT_First)/PT_Int)),0))-IF(AO125="FT",IF(AS125&lt;FT_First,0,IF(AS125&lt;FT_Y5,1+INT((AS125-FT_First)/FT_Int1),FT_PreY5+FT_PerYear*INT((AS125-FT_Y5)/12)+FT_AnnivDays+INT(MOD(AS125-FT_Y5,12)/FT_Int2))),IF(AO125="PT",IF(AS125&lt;PT_First,0,1+INT((AS125-PT_First)/PT_Int)),0)),0)+IF(AND(AG125&gt;=3,AJ125&lt;=AsOfDate),IF(AP125="FT",IF(AR125&lt;FT_First,0,IF(AR125&lt;FT_Y5,1+INT((AR125-FT_First)/FT_Int1),FT_PreY5+FT_PerYear*INT((AR125-FT_Y5)/12)+FT_AnnivDays+INT(MOD(AR125-FT_Y5,12)/FT_Int2))),IF(AP125="PT",IF(AR125&lt;PT_First,0,1+INT((AR125-PT_First)/PT_Int)),0))-IF(AP125="FT",IF(AT125&lt;FT_First,0,IF(AT125&lt;FT_Y5,1+INT((AT125-FT_First)/FT_Int1),FT_PreY5+FT_PerYear*INT((AT125-FT_Y5)/12)+FT_AnnivDays+INT(MOD(AT125-FT_Y5,12)/FT_Int2))),IF(AP125="PT",IF(AT125&lt;PT_First,0,1+INT((AT125-PT_First)/PT_Int)),0)),0))</f>
        <v/>
      </c>
      <c r="AY125" s="12" t="str">
        <f aca="false">IF(AE125=0,"",IF(AN125="FT",IF(AV125&lt;FT_First,0,IF(AV125&lt;FT_Y5,1+INT((AV125-FT_First)/FT_Int1),FT_PreY5+FT_PerYear*INT((AV125-FT_Y5)/12)+FT_AnnivDays+INT(MOD(AV125-FT_Y5,12)/FT_Int2))),IF(AN125="PT",IF(AV125&lt;PT_First,0,1+INT((AV125-PT_First)/PT_Int)),0))+IF(AND(AG125&gt;=2,AI125&lt;=PFYDate),IF(AO125="FT",IF(AW125&lt;FT_First,0,IF(AW125&lt;FT_Y5,1+INT((AW125-FT_First)/FT_Int1),FT_PreY5+FT_PerYear*INT((AW125-FT_Y5)/12)+FT_AnnivDays+INT(MOD(AW125-FT_Y5,12)/FT_Int2))),IF(AO125="PT",IF(AW125&lt;PT_First,0,1+INT((AW125-PT_First)/PT_Int)),0))-IF(AO125="FT",IF(AV125&lt;FT_First,0,IF(AV125&lt;FT_Y5,1+INT((AV125-FT_First)/FT_Int1),FT_PreY5+FT_PerYear*INT((AV125-FT_Y5)/12)+FT_AnnivDays+INT(MOD(AV125-FT_Y5,12)/FT_Int2))),IF(AO125="PT",IF(AV125&lt;PT_First,0,1+INT((AV125-PT_First)/PT_Int)),0)),0)+IF(AND(AG125&gt;=3,AJ125&lt;=PFYDate),IF(AP125="FT",IF(AU125&lt;FT_First,0,IF(AU125&lt;FT_Y5,1+INT((AU125-FT_First)/FT_Int1),FT_PreY5+FT_PerYear*INT((AU125-FT_Y5)/12)+FT_AnnivDays+INT(MOD(AU125-FT_Y5,12)/FT_Int2))),IF(AP125="PT",IF(AU125&lt;PT_First,0,1+INT((AU125-PT_First)/PT_Int)),0))-IF(AP125="FT",IF(AW125&lt;FT_First,0,IF(AW125&lt;FT_Y5,1+INT((AW125-FT_First)/FT_Int1),FT_PreY5+FT_PerYear*INT((AW125-FT_Y5)/12)+FT_AnnivDays+INT(MOD(AW125-FT_Y5,12)/FT_Int2))),IF(AP125="PT",IF(AW125&lt;PT_First,0,1+INT((AW125-PT_First)/PT_Int)),0)),0))</f>
        <v/>
      </c>
      <c r="AZ125" s="12" t="str">
        <f aca="false">IF(AE125=0,"",IF(AQ125="FT",IF(AR125&lt;FT_First,FT_First,IF(AR125&lt;FT_Y5,MIN(FT_Y5,FT_First+FT_Int1*(INT((AR125-FT_First)/FT_Int1)+1)),FT_Y5+12*INT((AR125-FT_Y5)/12)+FT_Int2*(INT(MOD(AR125-FT_Y5,12)/FT_Int2)+1))),IF(AQ125="PT",IF(AR125&lt;PT_First,PT_First,PT_First+PT_Int*(INT((AR125-PT_First)/PT_Int)+1)),"")))</f>
        <v/>
      </c>
      <c r="BA125" s="12" t="str">
        <f aca="false">IF(AE125=0,"",IF(NOT(LH_Ready),0,COUNTIFS(INDEX(LH_Data,0,LH_ColFirst),$A125,INDEX(LH_Data,0,LH_ColSur),$B125,INDEX(LH_Data,0,LH_ColCat),BonusCat)))</f>
        <v/>
      </c>
      <c r="BB125" s="12" t="str">
        <f aca="false">IF(AE125=0,"",IF(OR(NOT(LH_Ready),BA125=0),0,SUMPRODUCT(MAX((INDEX(LH_Data,0,LH_ColFirst)=$A125)*(INDEX(LH_Data,0,LH_ColSur)=$B125)*(INDEX(LH_Data,0,LH_ColCat)=BonusCat)*ROW(LH_Data)))))</f>
        <v/>
      </c>
    </row>
    <row r="126" customFormat="false" ht="15" hidden="false" customHeight="false" outlineLevel="0" collapsed="false">
      <c r="A126" s="15"/>
      <c r="B126" s="15"/>
      <c r="C126" s="15"/>
      <c r="D126" s="16"/>
      <c r="E126" s="10" t="str">
        <f aca="false">IF(OR(AE126=0,$D126=""),"",DATE(YEAR(AsOfDate)+IF(DATE(YEAR(AsOfDate),MONTH($D126),DAY($D126))&lt;=AsOfDate,1,0),MONTH($D126),DAY($D126)))</f>
        <v/>
      </c>
      <c r="F126" s="16"/>
      <c r="G126" s="16"/>
      <c r="H126" s="16"/>
      <c r="I126" s="16"/>
      <c r="J126" s="16"/>
      <c r="K126" s="10" t="str">
        <f aca="false">IF(AE126=0,"",DATE(YEAR(AsOfDate)+IF(DATE(YEAR(AsOfDate),MONTH($F126),DAY($F126))&lt;=AsOfDate,1,0),MONTH($F126),DAY($F126)))</f>
        <v/>
      </c>
      <c r="L126" s="11" t="str">
        <f aca="false">IF(AE126=0,"",ROUND((AsOfDate-$F126)/365.25,1))</f>
        <v/>
      </c>
      <c r="M126" s="12" t="str">
        <f aca="false">IF(AE126=0,"",IF(AsOfDate&lt;AF126,"-",DATEDIF(AF126,AsOfDate,"y")&amp;"y "&amp;DATEDIF(AF126,AsOfDate,"ym")&amp;"m "&amp;DATEDIF(AF126,AsOfDate,"md")&amp;"d"))</f>
        <v/>
      </c>
      <c r="N126" s="13" t="str">
        <f aca="false">IF(AE126=0,"",O126*HoursPerDay)</f>
        <v/>
      </c>
      <c r="O126" s="13" t="str">
        <f aca="false">IF(AE126=0,"",AX126)</f>
        <v/>
      </c>
      <c r="P126" s="17"/>
      <c r="Q126" s="12" t="str">
        <f aca="false">IF(AE126=0,"",IF(AG126&lt;2,"",AK126&amp;" to "&amp;AL126&amp;" on "&amp;TEXT(AI126,"dd/mm/yyyy")&amp;IF(AI126&gt;AsOfDate," (future)",IF(AN126=AO126,"",IF(AO126="None"," - STOPPED accruing",IF(AN126="None"," - now qualifying"," - pathway changed"))))&amp;IF(AG126&lt;3,"","; "&amp;AL126&amp;" to "&amp;AM126&amp;" on "&amp;TEXT(AJ126,"dd/mm/yyyy")&amp;IF(AJ126&gt;AsOfDate," (future)",IF(AO126=AP126,"",IF(AP126="None"," - STOPPED accruing",IF(AO126="None"," - now qualifying"," - pathway changed")))))))</f>
        <v/>
      </c>
      <c r="R126" s="12" t="str">
        <f aca="false">IF(AE126=0,"",IF(AQ126="None",IF(O126&gt;0,"No longer accruing","Not eligible - "&amp;IF(AND(OR(ISNUMBER(SEARCH("part",$C126)),UPPER(TRIM($C126))="PT",UPPER(TRIM($C126))="PTE"),$P126&lt;&gt;"",N($P126)&lt;PT_MinHours),"under "&amp;PT_MinHours&amp;" hrs",IF(IF($C126="","",IF(OR(ISNUMBER(SEARCH("full",$C126)),UPPER(TRIM($C126))="FT",UPPER(TRIM($C126))="FTE"),"Full-Time",IF(OR(ISNUMBER(SEARCH("part",$C126)),UPPER(TRIM($C126))="PT",UPPER(TRIM($C126))="PTE"),"Part-Time",IF(OR(ISNUMBER(SEARCH("cas",$C126)),UPPER(TRIM($C126))="CAS"),"Casual","Unknown"))))="Unknown","type not recognised",$C126))),IF(O126&gt;0,"Yes - accruing","Not yet - from "&amp;TEXT(S126,"dd/mm/yyyy"))))</f>
        <v/>
      </c>
      <c r="S126" s="10" t="str">
        <f aca="false">IF(AE126=0,"",IF(AQ126="None","",EDATE(AF126,AZ126)))</f>
        <v/>
      </c>
      <c r="T126" s="13" t="str">
        <f aca="false">IF(OR(AE126=0,W126=""),"",W126-U126+V126)</f>
        <v/>
      </c>
      <c r="U126" s="13" t="str">
        <f aca="false">IF(AE126=0,"",IF(NOT(LH_Ready),"",SUMIFS(INDEX(LH_Data,0,LH_ColAcc),INDEX(LH_Data,0,LH_ColFirst),$A126,INDEX(LH_Data,0,LH_ColSur),$B126,INDEX(LH_Data,0,LH_ColCat),BonusCat)*UnitFactor))</f>
        <v/>
      </c>
      <c r="V126" s="13" t="str">
        <f aca="false">IF(AE126=0,"",IF(NOT(LH_Ready),"",SUMIFS(INDEX(LH_Data,0,LH_ColTaken),INDEX(LH_Data,0,LH_ColFirst),$A126,INDEX(LH_Data,0,LH_ColSur),$B126,INDEX(LH_Data,0,LH_ColCat),BonusCat)*UnitFactor))</f>
        <v/>
      </c>
      <c r="W126" s="13" t="str">
        <f aca="false">IF(AE126=0,"",IF(NOT(LH_Ready),"",IF(BB126=0,0,INDEX(INDEX(LH_Data,0,LH_ColClose),BB126-1)*UnitFactor)))</f>
        <v/>
      </c>
      <c r="X126" s="13" t="str">
        <f aca="false">IF(AE126=0,"",(AX126-AY126)*HoursPerDay)</f>
        <v/>
      </c>
      <c r="Y126" s="13" t="str">
        <f aca="false">IF(AE126=0,"",IF(NOT(LH_Ready),"",IF(BA126=0,N126,X126-N(U126))))</f>
        <v/>
      </c>
      <c r="Z126" s="12" t="str">
        <f aca="false">IF(OR(AE126=0,Y126=""),"",IF(Y126&gt;0,"Yes","No"))</f>
        <v/>
      </c>
      <c r="AA126" s="12" t="str">
        <f aca="false">IF(AE126=0,IF(LEN($A126&amp;$B126)=0,"","FIX INPUT - StartDate missing"),IF(AD126&lt;&gt;"","FIX INPUT - "&amp;AD126,IF(NOT(LH_Ready),"Paste Leave History export (Settings must show YES)",IF(Y126&gt;0,"ACCRUE "&amp;ROUND(Y126,2)&amp;" hrs ("&amp;ROUND(Y126/HoursPerDay,2)&amp;" days)"&amp;IF(BA126=0," - no Bonus Leave in EH yet, full catch-up since start",""),IF(Y126&lt;0,"CHECK - EH accrued "&amp;ROUND(-Y126,2)&amp;""&amp;" hrs more than policy",IF(O126&gt;0,"OK - nothing to add",IF(AQ126="None",R126,"Not yet - first day on "&amp;TEXT(S126,"dd/mm/yyyy"))))))))</f>
        <v/>
      </c>
      <c r="AB126" s="13" t="str">
        <f aca="false">IF(OR(AE126=0,T126=""),"",AY126*HoursPerDay-T126)</f>
        <v/>
      </c>
      <c r="AC126" s="12" t="str">
        <f aca="false">IF(AE126=0,"",BA126)</f>
        <v/>
      </c>
      <c r="AD126" s="12" t="str">
        <f aca="false">IF(AE126=0,"",TRIM(IF(IF($C126="","",IF(OR(ISNUMBER(SEARCH("full",$C126)),UPPER(TRIM($C126))="FT",UPPER(TRIM($C126))="FTE"),"Full-Time",IF(OR(ISNUMBER(SEARCH("part",$C126)),UPPER(TRIM($C126))="PT",UPPER(TRIM($C126))="PTE"),"Part-Time",IF(OR(ISNUMBER(SEARCH("cas",$C126)),UPPER(TRIM($C126))="CAS"),"Casual","Unknown"))))="Unknown","EmploymentType not recognised - use Full-Time, Part-Time or Casual. ","")&amp;IF(AND(AG126&gt;=1,IF(AG126&gt;=3,AM126,IF(AG126=2,AL126,AK126))&lt;&gt;IF($C126="","",IF(OR(ISNUMBER(SEARCH("full",$C126)),UPPER(TRIM($C126))="FT",UPPER(TRIM($C126))="FTE"),"Full-Time",IF(OR(ISNUMBER(SEARCH("part",$C126)),UPPER(TRIM($C126))="PT",UPPER(TRIM($C126))="PTE"),"Part-Time",IF(OR(ISNUMBER(SEARCH("cas",$C126)),UPPER(TRIM($C126))="CAS"),"Casual","Unknown"))))),"EmploymentType does not match latest start date ("&amp;IF(AG126&gt;=3,AM126,IF(AG126=2,AL126,AK126))&amp;"). ","")&amp;IF(AND(AG126&gt;=1,AH126&lt;&gt;$F126),"Earliest type date should equal StartDate. ","")&amp;IF(AND(AG126&gt;=2,AH126=AI126),"Two types start on the same date. ","")&amp;IF(AND(OR(ISNUMBER(SEARCH("part",$C126)),UPPER(TRIM($C126))="PT",UPPER(TRIM($C126))="PTE"),$P126=""),"Part-time: enter PT Hrs/Week (blank = 24+). ","")))</f>
        <v/>
      </c>
      <c r="AE126" s="12" t="n">
        <f aca="false">IF(OR(LEN($A126&amp;$B126)=0,$F126=""),0,1)</f>
        <v>0</v>
      </c>
      <c r="AF126" s="10" t="str">
        <f aca="false">IF(AE126=0,"",IF($J126&lt;&gt;"",$J126,$F126))</f>
        <v/>
      </c>
      <c r="AG126" s="12" t="str">
        <f aca="false">IF(AE126=0,"",COUNT($G126:$I126))</f>
        <v/>
      </c>
      <c r="AH126" s="10" t="str">
        <f aca="false">IF(AE126=0,"",IFERROR(SMALL($G126:$I126,1),""))</f>
        <v/>
      </c>
      <c r="AI126" s="10" t="str">
        <f aca="false">IF(AE126=0,"",IFERROR(SMALL($G126:$I126,2),""))</f>
        <v/>
      </c>
      <c r="AJ126" s="10" t="str">
        <f aca="false">IF(AE126=0,"",IFERROR(SMALL($G126:$I126,3),""))</f>
        <v/>
      </c>
      <c r="AK126" s="12" t="str">
        <f aca="false">IF(AE126=0,"",IF(AH126="","",IF(AH126=$G126,"Part-Time",IF(AH126=$H126,"Full-Time","Casual"))))</f>
        <v/>
      </c>
      <c r="AL126" s="12" t="str">
        <f aca="false">IF(AE126=0,"",IF(AI126="","",IF(AI126=$G126,"Part-Time",IF(AI126=$H126,"Full-Time","Casual"))))</f>
        <v/>
      </c>
      <c r="AM126" s="12" t="str">
        <f aca="false">IF(AE126=0,"",IF(AJ126="","",IF(AJ126=$G126,"Part-Time",IF(AJ126=$H126,"Full-Time","Casual"))))</f>
        <v/>
      </c>
      <c r="AN126" s="12" t="str">
        <f aca="false">IF(AE126=0,"",IF(AG126=0,IF(OR(ISNUMBER(SEARCH("full",$C126)),UPPER(TRIM($C126))="FT",UPPER(TRIM($C126))="FTE"),"FT",IF(AND(OR(ISNUMBER(SEARCH("part",$C126)),UPPER(TRIM($C126))="PT",UPPER(TRIM($C126))="PTE"),OR($P126="",N($P126)&gt;=PT_MinHours)),"PT","None")),IF(OR(ISNUMBER(SEARCH("full",AK126)),UPPER(TRIM(AK126))="FT",UPPER(TRIM(AK126))="FTE"),"FT",IF(AND(OR(ISNUMBER(SEARCH("part",AK126)),UPPER(TRIM(AK126))="PT",UPPER(TRIM(AK126))="PTE"),OR($P126="",N($P126)&gt;=PT_MinHours)),"PT","None"))))</f>
        <v/>
      </c>
      <c r="AO126" s="12" t="str">
        <f aca="false">IF(AE126=0,"",IF(AG126&lt;2,"",IF(OR(ISNUMBER(SEARCH("full",AL126)),UPPER(TRIM(AL126))="FT",UPPER(TRIM(AL126))="FTE"),"FT",IF(AND(OR(ISNUMBER(SEARCH("part",AL126)),UPPER(TRIM(AL126))="PT",UPPER(TRIM(AL126))="PTE"),OR($P126="",N($P126)&gt;=PT_MinHours)),"PT","None"))))</f>
        <v/>
      </c>
      <c r="AP126" s="12" t="str">
        <f aca="false">IF(AE126=0,"",IF(AG126&lt;3,"",IF(OR(ISNUMBER(SEARCH("full",AM126)),UPPER(TRIM(AM126))="FT",UPPER(TRIM(AM126))="FTE"),"FT",IF(AND(OR(ISNUMBER(SEARCH("part",AM126)),UPPER(TRIM(AM126))="PT",UPPER(TRIM(AM126))="PTE"),OR($P126="",N($P126)&gt;=PT_MinHours)),"PT","None"))))</f>
        <v/>
      </c>
      <c r="AQ126" s="12" t="str">
        <f aca="false">IF(AE126=0,"",IF(AND(AG126&gt;=3,AJ126&lt;=AsOfDate),AP126,IF(AND(AG126&gt;=2,AI126&lt;=AsOfDate),AO126,AN126)))</f>
        <v/>
      </c>
      <c r="AR126" s="12" t="str">
        <f aca="false">IF(AE126=0,"",IF(AsOfDate&lt;AF126,-1,12*(YEAR(AsOfDate)-YEAR(AF126))+MONTH(AsOfDate)-MONTH(AF126)-IF(DAY(AsOfDate)&lt;MIN(DAY(AF126),DAY(EOMONTH(AsOfDate,0))),1,0)))</f>
        <v/>
      </c>
      <c r="AS126" s="12" t="str">
        <f aca="false">IF(AE126=0,"",IF(OR(AG126&lt;2,AI126&gt;AsOfDate),AR126,IF((AI126-1)&lt;AF126,-1,12*(YEAR((AI126-1))-YEAR(AF126))+MONTH((AI126-1))-MONTH(AF126)-IF(DAY((AI126-1))&lt;MIN(DAY(AF126),DAY(EOMONTH((AI126-1),0))),1,0))))</f>
        <v/>
      </c>
      <c r="AT126" s="12" t="str">
        <f aca="false">IF(AE126=0,"",IF(OR(AG126&lt;3,AJ126&gt;AsOfDate),AR126,IF((AJ126-1)&lt;AF126,-1,12*(YEAR((AJ126-1))-YEAR(AF126))+MONTH((AJ126-1))-MONTH(AF126)-IF(DAY((AJ126-1))&lt;MIN(DAY(AF126),DAY(EOMONTH((AJ126-1),0))),1,0))))</f>
        <v/>
      </c>
      <c r="AU126" s="12" t="str">
        <f aca="false">IF(AE126=0,"",IF(PFYDate&lt;AF126,-1,12*(YEAR(PFYDate)-YEAR(AF126))+MONTH(PFYDate)-MONTH(AF126)-IF(DAY(PFYDate)&lt;MIN(DAY(AF126),DAY(EOMONTH(PFYDate,0))),1,0)))</f>
        <v/>
      </c>
      <c r="AV126" s="12" t="str">
        <f aca="false">IF(AE126=0,"",IF(OR(AG126&lt;2,AI126&gt;PFYDate),AU126,IF((AI126-1)&lt;AF126,-1,12*(YEAR((AI126-1))-YEAR(AF126))+MONTH((AI126-1))-MONTH(AF126)-IF(DAY((AI126-1))&lt;MIN(DAY(AF126),DAY(EOMONTH((AI126-1),0))),1,0))))</f>
        <v/>
      </c>
      <c r="AW126" s="12" t="str">
        <f aca="false">IF(AE126=0,"",IF(OR(AG126&lt;3,AJ126&gt;PFYDate),AU126,IF((AJ126-1)&lt;AF126,-1,12*(YEAR((AJ126-1))-YEAR(AF126))+MONTH((AJ126-1))-MONTH(AF126)-IF(DAY((AJ126-1))&lt;MIN(DAY(AF126),DAY(EOMONTH((AJ126-1),0))),1,0))))</f>
        <v/>
      </c>
      <c r="AX126" s="12" t="str">
        <f aca="false">IF(AE126=0,"",IF(AN126="FT",IF(AS126&lt;FT_First,0,IF(AS126&lt;FT_Y5,1+INT((AS126-FT_First)/FT_Int1),FT_PreY5+FT_PerYear*INT((AS126-FT_Y5)/12)+FT_AnnivDays+INT(MOD(AS126-FT_Y5,12)/FT_Int2))),IF(AN126="PT",IF(AS126&lt;PT_First,0,1+INT((AS126-PT_First)/PT_Int)),0))+IF(AND(AG126&gt;=2,AI126&lt;=AsOfDate),IF(AO126="FT",IF(AT126&lt;FT_First,0,IF(AT126&lt;FT_Y5,1+INT((AT126-FT_First)/FT_Int1),FT_PreY5+FT_PerYear*INT((AT126-FT_Y5)/12)+FT_AnnivDays+INT(MOD(AT126-FT_Y5,12)/FT_Int2))),IF(AO126="PT",IF(AT126&lt;PT_First,0,1+INT((AT126-PT_First)/PT_Int)),0))-IF(AO126="FT",IF(AS126&lt;FT_First,0,IF(AS126&lt;FT_Y5,1+INT((AS126-FT_First)/FT_Int1),FT_PreY5+FT_PerYear*INT((AS126-FT_Y5)/12)+FT_AnnivDays+INT(MOD(AS126-FT_Y5,12)/FT_Int2))),IF(AO126="PT",IF(AS126&lt;PT_First,0,1+INT((AS126-PT_First)/PT_Int)),0)),0)+IF(AND(AG126&gt;=3,AJ126&lt;=AsOfDate),IF(AP126="FT",IF(AR126&lt;FT_First,0,IF(AR126&lt;FT_Y5,1+INT((AR126-FT_First)/FT_Int1),FT_PreY5+FT_PerYear*INT((AR126-FT_Y5)/12)+FT_AnnivDays+INT(MOD(AR126-FT_Y5,12)/FT_Int2))),IF(AP126="PT",IF(AR126&lt;PT_First,0,1+INT((AR126-PT_First)/PT_Int)),0))-IF(AP126="FT",IF(AT126&lt;FT_First,0,IF(AT126&lt;FT_Y5,1+INT((AT126-FT_First)/FT_Int1),FT_PreY5+FT_PerYear*INT((AT126-FT_Y5)/12)+FT_AnnivDays+INT(MOD(AT126-FT_Y5,12)/FT_Int2))),IF(AP126="PT",IF(AT126&lt;PT_First,0,1+INT((AT126-PT_First)/PT_Int)),0)),0))</f>
        <v/>
      </c>
      <c r="AY126" s="12" t="str">
        <f aca="false">IF(AE126=0,"",IF(AN126="FT",IF(AV126&lt;FT_First,0,IF(AV126&lt;FT_Y5,1+INT((AV126-FT_First)/FT_Int1),FT_PreY5+FT_PerYear*INT((AV126-FT_Y5)/12)+FT_AnnivDays+INT(MOD(AV126-FT_Y5,12)/FT_Int2))),IF(AN126="PT",IF(AV126&lt;PT_First,0,1+INT((AV126-PT_First)/PT_Int)),0))+IF(AND(AG126&gt;=2,AI126&lt;=PFYDate),IF(AO126="FT",IF(AW126&lt;FT_First,0,IF(AW126&lt;FT_Y5,1+INT((AW126-FT_First)/FT_Int1),FT_PreY5+FT_PerYear*INT((AW126-FT_Y5)/12)+FT_AnnivDays+INT(MOD(AW126-FT_Y5,12)/FT_Int2))),IF(AO126="PT",IF(AW126&lt;PT_First,0,1+INT((AW126-PT_First)/PT_Int)),0))-IF(AO126="FT",IF(AV126&lt;FT_First,0,IF(AV126&lt;FT_Y5,1+INT((AV126-FT_First)/FT_Int1),FT_PreY5+FT_PerYear*INT((AV126-FT_Y5)/12)+FT_AnnivDays+INT(MOD(AV126-FT_Y5,12)/FT_Int2))),IF(AO126="PT",IF(AV126&lt;PT_First,0,1+INT((AV126-PT_First)/PT_Int)),0)),0)+IF(AND(AG126&gt;=3,AJ126&lt;=PFYDate),IF(AP126="FT",IF(AU126&lt;FT_First,0,IF(AU126&lt;FT_Y5,1+INT((AU126-FT_First)/FT_Int1),FT_PreY5+FT_PerYear*INT((AU126-FT_Y5)/12)+FT_AnnivDays+INT(MOD(AU126-FT_Y5,12)/FT_Int2))),IF(AP126="PT",IF(AU126&lt;PT_First,0,1+INT((AU126-PT_First)/PT_Int)),0))-IF(AP126="FT",IF(AW126&lt;FT_First,0,IF(AW126&lt;FT_Y5,1+INT((AW126-FT_First)/FT_Int1),FT_PreY5+FT_PerYear*INT((AW126-FT_Y5)/12)+FT_AnnivDays+INT(MOD(AW126-FT_Y5,12)/FT_Int2))),IF(AP126="PT",IF(AW126&lt;PT_First,0,1+INT((AW126-PT_First)/PT_Int)),0)),0))</f>
        <v/>
      </c>
      <c r="AZ126" s="12" t="str">
        <f aca="false">IF(AE126=0,"",IF(AQ126="FT",IF(AR126&lt;FT_First,FT_First,IF(AR126&lt;FT_Y5,MIN(FT_Y5,FT_First+FT_Int1*(INT((AR126-FT_First)/FT_Int1)+1)),FT_Y5+12*INT((AR126-FT_Y5)/12)+FT_Int2*(INT(MOD(AR126-FT_Y5,12)/FT_Int2)+1))),IF(AQ126="PT",IF(AR126&lt;PT_First,PT_First,PT_First+PT_Int*(INT((AR126-PT_First)/PT_Int)+1)),"")))</f>
        <v/>
      </c>
      <c r="BA126" s="12" t="str">
        <f aca="false">IF(AE126=0,"",IF(NOT(LH_Ready),0,COUNTIFS(INDEX(LH_Data,0,LH_ColFirst),$A126,INDEX(LH_Data,0,LH_ColSur),$B126,INDEX(LH_Data,0,LH_ColCat),BonusCat)))</f>
        <v/>
      </c>
      <c r="BB126" s="12" t="str">
        <f aca="false">IF(AE126=0,"",IF(OR(NOT(LH_Ready),BA126=0),0,SUMPRODUCT(MAX((INDEX(LH_Data,0,LH_ColFirst)=$A126)*(INDEX(LH_Data,0,LH_ColSur)=$B126)*(INDEX(LH_Data,0,LH_ColCat)=BonusCat)*ROW(LH_Data)))))</f>
        <v/>
      </c>
    </row>
    <row r="127" customFormat="false" ht="15" hidden="false" customHeight="false" outlineLevel="0" collapsed="false">
      <c r="A127" s="15"/>
      <c r="B127" s="15"/>
      <c r="C127" s="15"/>
      <c r="D127" s="16"/>
      <c r="E127" s="10" t="str">
        <f aca="false">IF(OR(AE127=0,$D127=""),"",DATE(YEAR(AsOfDate)+IF(DATE(YEAR(AsOfDate),MONTH($D127),DAY($D127))&lt;=AsOfDate,1,0),MONTH($D127),DAY($D127)))</f>
        <v/>
      </c>
      <c r="F127" s="16"/>
      <c r="G127" s="16"/>
      <c r="H127" s="16"/>
      <c r="I127" s="16"/>
      <c r="J127" s="16"/>
      <c r="K127" s="10" t="str">
        <f aca="false">IF(AE127=0,"",DATE(YEAR(AsOfDate)+IF(DATE(YEAR(AsOfDate),MONTH($F127),DAY($F127))&lt;=AsOfDate,1,0),MONTH($F127),DAY($F127)))</f>
        <v/>
      </c>
      <c r="L127" s="11" t="str">
        <f aca="false">IF(AE127=0,"",ROUND((AsOfDate-$F127)/365.25,1))</f>
        <v/>
      </c>
      <c r="M127" s="12" t="str">
        <f aca="false">IF(AE127=0,"",IF(AsOfDate&lt;AF127,"-",DATEDIF(AF127,AsOfDate,"y")&amp;"y "&amp;DATEDIF(AF127,AsOfDate,"ym")&amp;"m "&amp;DATEDIF(AF127,AsOfDate,"md")&amp;"d"))</f>
        <v/>
      </c>
      <c r="N127" s="13" t="str">
        <f aca="false">IF(AE127=0,"",O127*HoursPerDay)</f>
        <v/>
      </c>
      <c r="O127" s="13" t="str">
        <f aca="false">IF(AE127=0,"",AX127)</f>
        <v/>
      </c>
      <c r="P127" s="17"/>
      <c r="Q127" s="12" t="str">
        <f aca="false">IF(AE127=0,"",IF(AG127&lt;2,"",AK127&amp;" to "&amp;AL127&amp;" on "&amp;TEXT(AI127,"dd/mm/yyyy")&amp;IF(AI127&gt;AsOfDate," (future)",IF(AN127=AO127,"",IF(AO127="None"," - STOPPED accruing",IF(AN127="None"," - now qualifying"," - pathway changed"))))&amp;IF(AG127&lt;3,"","; "&amp;AL127&amp;" to "&amp;AM127&amp;" on "&amp;TEXT(AJ127,"dd/mm/yyyy")&amp;IF(AJ127&gt;AsOfDate," (future)",IF(AO127=AP127,"",IF(AP127="None"," - STOPPED accruing",IF(AO127="None"," - now qualifying"," - pathway changed")))))))</f>
        <v/>
      </c>
      <c r="R127" s="12" t="str">
        <f aca="false">IF(AE127=0,"",IF(AQ127="None",IF(O127&gt;0,"No longer accruing","Not eligible - "&amp;IF(AND(OR(ISNUMBER(SEARCH("part",$C127)),UPPER(TRIM($C127))="PT",UPPER(TRIM($C127))="PTE"),$P127&lt;&gt;"",N($P127)&lt;PT_MinHours),"under "&amp;PT_MinHours&amp;" hrs",IF(IF($C127="","",IF(OR(ISNUMBER(SEARCH("full",$C127)),UPPER(TRIM($C127))="FT",UPPER(TRIM($C127))="FTE"),"Full-Time",IF(OR(ISNUMBER(SEARCH("part",$C127)),UPPER(TRIM($C127))="PT",UPPER(TRIM($C127))="PTE"),"Part-Time",IF(OR(ISNUMBER(SEARCH("cas",$C127)),UPPER(TRIM($C127))="CAS"),"Casual","Unknown"))))="Unknown","type not recognised",$C127))),IF(O127&gt;0,"Yes - accruing","Not yet - from "&amp;TEXT(S127,"dd/mm/yyyy"))))</f>
        <v/>
      </c>
      <c r="S127" s="10" t="str">
        <f aca="false">IF(AE127=0,"",IF(AQ127="None","",EDATE(AF127,AZ127)))</f>
        <v/>
      </c>
      <c r="T127" s="13" t="str">
        <f aca="false">IF(OR(AE127=0,W127=""),"",W127-U127+V127)</f>
        <v/>
      </c>
      <c r="U127" s="13" t="str">
        <f aca="false">IF(AE127=0,"",IF(NOT(LH_Ready),"",SUMIFS(INDEX(LH_Data,0,LH_ColAcc),INDEX(LH_Data,0,LH_ColFirst),$A127,INDEX(LH_Data,0,LH_ColSur),$B127,INDEX(LH_Data,0,LH_ColCat),BonusCat)*UnitFactor))</f>
        <v/>
      </c>
      <c r="V127" s="13" t="str">
        <f aca="false">IF(AE127=0,"",IF(NOT(LH_Ready),"",SUMIFS(INDEX(LH_Data,0,LH_ColTaken),INDEX(LH_Data,0,LH_ColFirst),$A127,INDEX(LH_Data,0,LH_ColSur),$B127,INDEX(LH_Data,0,LH_ColCat),BonusCat)*UnitFactor))</f>
        <v/>
      </c>
      <c r="W127" s="13" t="str">
        <f aca="false">IF(AE127=0,"",IF(NOT(LH_Ready),"",IF(BB127=0,0,INDEX(INDEX(LH_Data,0,LH_ColClose),BB127-1)*UnitFactor)))</f>
        <v/>
      </c>
      <c r="X127" s="13" t="str">
        <f aca="false">IF(AE127=0,"",(AX127-AY127)*HoursPerDay)</f>
        <v/>
      </c>
      <c r="Y127" s="13" t="str">
        <f aca="false">IF(AE127=0,"",IF(NOT(LH_Ready),"",IF(BA127=0,N127,X127-N(U127))))</f>
        <v/>
      </c>
      <c r="Z127" s="12" t="str">
        <f aca="false">IF(OR(AE127=0,Y127=""),"",IF(Y127&gt;0,"Yes","No"))</f>
        <v/>
      </c>
      <c r="AA127" s="12" t="str">
        <f aca="false">IF(AE127=0,IF(LEN($A127&amp;$B127)=0,"","FIX INPUT - StartDate missing"),IF(AD127&lt;&gt;"","FIX INPUT - "&amp;AD127,IF(NOT(LH_Ready),"Paste Leave History export (Settings must show YES)",IF(Y127&gt;0,"ACCRUE "&amp;ROUND(Y127,2)&amp;" hrs ("&amp;ROUND(Y127/HoursPerDay,2)&amp;" days)"&amp;IF(BA127=0," - no Bonus Leave in EH yet, full catch-up since start",""),IF(Y127&lt;0,"CHECK - EH accrued "&amp;ROUND(-Y127,2)&amp;""&amp;" hrs more than policy",IF(O127&gt;0,"OK - nothing to add",IF(AQ127="None",R127,"Not yet - first day on "&amp;TEXT(S127,"dd/mm/yyyy"))))))))</f>
        <v/>
      </c>
      <c r="AB127" s="13" t="str">
        <f aca="false">IF(OR(AE127=0,T127=""),"",AY127*HoursPerDay-T127)</f>
        <v/>
      </c>
      <c r="AC127" s="12" t="str">
        <f aca="false">IF(AE127=0,"",BA127)</f>
        <v/>
      </c>
      <c r="AD127" s="12" t="str">
        <f aca="false">IF(AE127=0,"",TRIM(IF(IF($C127="","",IF(OR(ISNUMBER(SEARCH("full",$C127)),UPPER(TRIM($C127))="FT",UPPER(TRIM($C127))="FTE"),"Full-Time",IF(OR(ISNUMBER(SEARCH("part",$C127)),UPPER(TRIM($C127))="PT",UPPER(TRIM($C127))="PTE"),"Part-Time",IF(OR(ISNUMBER(SEARCH("cas",$C127)),UPPER(TRIM($C127))="CAS"),"Casual","Unknown"))))="Unknown","EmploymentType not recognised - use Full-Time, Part-Time or Casual. ","")&amp;IF(AND(AG127&gt;=1,IF(AG127&gt;=3,AM127,IF(AG127=2,AL127,AK127))&lt;&gt;IF($C127="","",IF(OR(ISNUMBER(SEARCH("full",$C127)),UPPER(TRIM($C127))="FT",UPPER(TRIM($C127))="FTE"),"Full-Time",IF(OR(ISNUMBER(SEARCH("part",$C127)),UPPER(TRIM($C127))="PT",UPPER(TRIM($C127))="PTE"),"Part-Time",IF(OR(ISNUMBER(SEARCH("cas",$C127)),UPPER(TRIM($C127))="CAS"),"Casual","Unknown"))))),"EmploymentType does not match latest start date ("&amp;IF(AG127&gt;=3,AM127,IF(AG127=2,AL127,AK127))&amp;"). ","")&amp;IF(AND(AG127&gt;=1,AH127&lt;&gt;$F127),"Earliest type date should equal StartDate. ","")&amp;IF(AND(AG127&gt;=2,AH127=AI127),"Two types start on the same date. ","")&amp;IF(AND(OR(ISNUMBER(SEARCH("part",$C127)),UPPER(TRIM($C127))="PT",UPPER(TRIM($C127))="PTE"),$P127=""),"Part-time: enter PT Hrs/Week (blank = 24+). ","")))</f>
        <v/>
      </c>
      <c r="AE127" s="12" t="n">
        <f aca="false">IF(OR(LEN($A127&amp;$B127)=0,$F127=""),0,1)</f>
        <v>0</v>
      </c>
      <c r="AF127" s="10" t="str">
        <f aca="false">IF(AE127=0,"",IF($J127&lt;&gt;"",$J127,$F127))</f>
        <v/>
      </c>
      <c r="AG127" s="12" t="str">
        <f aca="false">IF(AE127=0,"",COUNT($G127:$I127))</f>
        <v/>
      </c>
      <c r="AH127" s="10" t="str">
        <f aca="false">IF(AE127=0,"",IFERROR(SMALL($G127:$I127,1),""))</f>
        <v/>
      </c>
      <c r="AI127" s="10" t="str">
        <f aca="false">IF(AE127=0,"",IFERROR(SMALL($G127:$I127,2),""))</f>
        <v/>
      </c>
      <c r="AJ127" s="10" t="str">
        <f aca="false">IF(AE127=0,"",IFERROR(SMALL($G127:$I127,3),""))</f>
        <v/>
      </c>
      <c r="AK127" s="12" t="str">
        <f aca="false">IF(AE127=0,"",IF(AH127="","",IF(AH127=$G127,"Part-Time",IF(AH127=$H127,"Full-Time","Casual"))))</f>
        <v/>
      </c>
      <c r="AL127" s="12" t="str">
        <f aca="false">IF(AE127=0,"",IF(AI127="","",IF(AI127=$G127,"Part-Time",IF(AI127=$H127,"Full-Time","Casual"))))</f>
        <v/>
      </c>
      <c r="AM127" s="12" t="str">
        <f aca="false">IF(AE127=0,"",IF(AJ127="","",IF(AJ127=$G127,"Part-Time",IF(AJ127=$H127,"Full-Time","Casual"))))</f>
        <v/>
      </c>
      <c r="AN127" s="12" t="str">
        <f aca="false">IF(AE127=0,"",IF(AG127=0,IF(OR(ISNUMBER(SEARCH("full",$C127)),UPPER(TRIM($C127))="FT",UPPER(TRIM($C127))="FTE"),"FT",IF(AND(OR(ISNUMBER(SEARCH("part",$C127)),UPPER(TRIM($C127))="PT",UPPER(TRIM($C127))="PTE"),OR($P127="",N($P127)&gt;=PT_MinHours)),"PT","None")),IF(OR(ISNUMBER(SEARCH("full",AK127)),UPPER(TRIM(AK127))="FT",UPPER(TRIM(AK127))="FTE"),"FT",IF(AND(OR(ISNUMBER(SEARCH("part",AK127)),UPPER(TRIM(AK127))="PT",UPPER(TRIM(AK127))="PTE"),OR($P127="",N($P127)&gt;=PT_MinHours)),"PT","None"))))</f>
        <v/>
      </c>
      <c r="AO127" s="12" t="str">
        <f aca="false">IF(AE127=0,"",IF(AG127&lt;2,"",IF(OR(ISNUMBER(SEARCH("full",AL127)),UPPER(TRIM(AL127))="FT",UPPER(TRIM(AL127))="FTE"),"FT",IF(AND(OR(ISNUMBER(SEARCH("part",AL127)),UPPER(TRIM(AL127))="PT",UPPER(TRIM(AL127))="PTE"),OR($P127="",N($P127)&gt;=PT_MinHours)),"PT","None"))))</f>
        <v/>
      </c>
      <c r="AP127" s="12" t="str">
        <f aca="false">IF(AE127=0,"",IF(AG127&lt;3,"",IF(OR(ISNUMBER(SEARCH("full",AM127)),UPPER(TRIM(AM127))="FT",UPPER(TRIM(AM127))="FTE"),"FT",IF(AND(OR(ISNUMBER(SEARCH("part",AM127)),UPPER(TRIM(AM127))="PT",UPPER(TRIM(AM127))="PTE"),OR($P127="",N($P127)&gt;=PT_MinHours)),"PT","None"))))</f>
        <v/>
      </c>
      <c r="AQ127" s="12" t="str">
        <f aca="false">IF(AE127=0,"",IF(AND(AG127&gt;=3,AJ127&lt;=AsOfDate),AP127,IF(AND(AG127&gt;=2,AI127&lt;=AsOfDate),AO127,AN127)))</f>
        <v/>
      </c>
      <c r="AR127" s="12" t="str">
        <f aca="false">IF(AE127=0,"",IF(AsOfDate&lt;AF127,-1,12*(YEAR(AsOfDate)-YEAR(AF127))+MONTH(AsOfDate)-MONTH(AF127)-IF(DAY(AsOfDate)&lt;MIN(DAY(AF127),DAY(EOMONTH(AsOfDate,0))),1,0)))</f>
        <v/>
      </c>
      <c r="AS127" s="12" t="str">
        <f aca="false">IF(AE127=0,"",IF(OR(AG127&lt;2,AI127&gt;AsOfDate),AR127,IF((AI127-1)&lt;AF127,-1,12*(YEAR((AI127-1))-YEAR(AF127))+MONTH((AI127-1))-MONTH(AF127)-IF(DAY((AI127-1))&lt;MIN(DAY(AF127),DAY(EOMONTH((AI127-1),0))),1,0))))</f>
        <v/>
      </c>
      <c r="AT127" s="12" t="str">
        <f aca="false">IF(AE127=0,"",IF(OR(AG127&lt;3,AJ127&gt;AsOfDate),AR127,IF((AJ127-1)&lt;AF127,-1,12*(YEAR((AJ127-1))-YEAR(AF127))+MONTH((AJ127-1))-MONTH(AF127)-IF(DAY((AJ127-1))&lt;MIN(DAY(AF127),DAY(EOMONTH((AJ127-1),0))),1,0))))</f>
        <v/>
      </c>
      <c r="AU127" s="12" t="str">
        <f aca="false">IF(AE127=0,"",IF(PFYDate&lt;AF127,-1,12*(YEAR(PFYDate)-YEAR(AF127))+MONTH(PFYDate)-MONTH(AF127)-IF(DAY(PFYDate)&lt;MIN(DAY(AF127),DAY(EOMONTH(PFYDate,0))),1,0)))</f>
        <v/>
      </c>
      <c r="AV127" s="12" t="str">
        <f aca="false">IF(AE127=0,"",IF(OR(AG127&lt;2,AI127&gt;PFYDate),AU127,IF((AI127-1)&lt;AF127,-1,12*(YEAR((AI127-1))-YEAR(AF127))+MONTH((AI127-1))-MONTH(AF127)-IF(DAY((AI127-1))&lt;MIN(DAY(AF127),DAY(EOMONTH((AI127-1),0))),1,0))))</f>
        <v/>
      </c>
      <c r="AW127" s="12" t="str">
        <f aca="false">IF(AE127=0,"",IF(OR(AG127&lt;3,AJ127&gt;PFYDate),AU127,IF((AJ127-1)&lt;AF127,-1,12*(YEAR((AJ127-1))-YEAR(AF127))+MONTH((AJ127-1))-MONTH(AF127)-IF(DAY((AJ127-1))&lt;MIN(DAY(AF127),DAY(EOMONTH((AJ127-1),0))),1,0))))</f>
        <v/>
      </c>
      <c r="AX127" s="12" t="str">
        <f aca="false">IF(AE127=0,"",IF(AN127="FT",IF(AS127&lt;FT_First,0,IF(AS127&lt;FT_Y5,1+INT((AS127-FT_First)/FT_Int1),FT_PreY5+FT_PerYear*INT((AS127-FT_Y5)/12)+FT_AnnivDays+INT(MOD(AS127-FT_Y5,12)/FT_Int2))),IF(AN127="PT",IF(AS127&lt;PT_First,0,1+INT((AS127-PT_First)/PT_Int)),0))+IF(AND(AG127&gt;=2,AI127&lt;=AsOfDate),IF(AO127="FT",IF(AT127&lt;FT_First,0,IF(AT127&lt;FT_Y5,1+INT((AT127-FT_First)/FT_Int1),FT_PreY5+FT_PerYear*INT((AT127-FT_Y5)/12)+FT_AnnivDays+INT(MOD(AT127-FT_Y5,12)/FT_Int2))),IF(AO127="PT",IF(AT127&lt;PT_First,0,1+INT((AT127-PT_First)/PT_Int)),0))-IF(AO127="FT",IF(AS127&lt;FT_First,0,IF(AS127&lt;FT_Y5,1+INT((AS127-FT_First)/FT_Int1),FT_PreY5+FT_PerYear*INT((AS127-FT_Y5)/12)+FT_AnnivDays+INT(MOD(AS127-FT_Y5,12)/FT_Int2))),IF(AO127="PT",IF(AS127&lt;PT_First,0,1+INT((AS127-PT_First)/PT_Int)),0)),0)+IF(AND(AG127&gt;=3,AJ127&lt;=AsOfDate),IF(AP127="FT",IF(AR127&lt;FT_First,0,IF(AR127&lt;FT_Y5,1+INT((AR127-FT_First)/FT_Int1),FT_PreY5+FT_PerYear*INT((AR127-FT_Y5)/12)+FT_AnnivDays+INT(MOD(AR127-FT_Y5,12)/FT_Int2))),IF(AP127="PT",IF(AR127&lt;PT_First,0,1+INT((AR127-PT_First)/PT_Int)),0))-IF(AP127="FT",IF(AT127&lt;FT_First,0,IF(AT127&lt;FT_Y5,1+INT((AT127-FT_First)/FT_Int1),FT_PreY5+FT_PerYear*INT((AT127-FT_Y5)/12)+FT_AnnivDays+INT(MOD(AT127-FT_Y5,12)/FT_Int2))),IF(AP127="PT",IF(AT127&lt;PT_First,0,1+INT((AT127-PT_First)/PT_Int)),0)),0))</f>
        <v/>
      </c>
      <c r="AY127" s="12" t="str">
        <f aca="false">IF(AE127=0,"",IF(AN127="FT",IF(AV127&lt;FT_First,0,IF(AV127&lt;FT_Y5,1+INT((AV127-FT_First)/FT_Int1),FT_PreY5+FT_PerYear*INT((AV127-FT_Y5)/12)+FT_AnnivDays+INT(MOD(AV127-FT_Y5,12)/FT_Int2))),IF(AN127="PT",IF(AV127&lt;PT_First,0,1+INT((AV127-PT_First)/PT_Int)),0))+IF(AND(AG127&gt;=2,AI127&lt;=PFYDate),IF(AO127="FT",IF(AW127&lt;FT_First,0,IF(AW127&lt;FT_Y5,1+INT((AW127-FT_First)/FT_Int1),FT_PreY5+FT_PerYear*INT((AW127-FT_Y5)/12)+FT_AnnivDays+INT(MOD(AW127-FT_Y5,12)/FT_Int2))),IF(AO127="PT",IF(AW127&lt;PT_First,0,1+INT((AW127-PT_First)/PT_Int)),0))-IF(AO127="FT",IF(AV127&lt;FT_First,0,IF(AV127&lt;FT_Y5,1+INT((AV127-FT_First)/FT_Int1),FT_PreY5+FT_PerYear*INT((AV127-FT_Y5)/12)+FT_AnnivDays+INT(MOD(AV127-FT_Y5,12)/FT_Int2))),IF(AO127="PT",IF(AV127&lt;PT_First,0,1+INT((AV127-PT_First)/PT_Int)),0)),0)+IF(AND(AG127&gt;=3,AJ127&lt;=PFYDate),IF(AP127="FT",IF(AU127&lt;FT_First,0,IF(AU127&lt;FT_Y5,1+INT((AU127-FT_First)/FT_Int1),FT_PreY5+FT_PerYear*INT((AU127-FT_Y5)/12)+FT_AnnivDays+INT(MOD(AU127-FT_Y5,12)/FT_Int2))),IF(AP127="PT",IF(AU127&lt;PT_First,0,1+INT((AU127-PT_First)/PT_Int)),0))-IF(AP127="FT",IF(AW127&lt;FT_First,0,IF(AW127&lt;FT_Y5,1+INT((AW127-FT_First)/FT_Int1),FT_PreY5+FT_PerYear*INT((AW127-FT_Y5)/12)+FT_AnnivDays+INT(MOD(AW127-FT_Y5,12)/FT_Int2))),IF(AP127="PT",IF(AW127&lt;PT_First,0,1+INT((AW127-PT_First)/PT_Int)),0)),0))</f>
        <v/>
      </c>
      <c r="AZ127" s="12" t="str">
        <f aca="false">IF(AE127=0,"",IF(AQ127="FT",IF(AR127&lt;FT_First,FT_First,IF(AR127&lt;FT_Y5,MIN(FT_Y5,FT_First+FT_Int1*(INT((AR127-FT_First)/FT_Int1)+1)),FT_Y5+12*INT((AR127-FT_Y5)/12)+FT_Int2*(INT(MOD(AR127-FT_Y5,12)/FT_Int2)+1))),IF(AQ127="PT",IF(AR127&lt;PT_First,PT_First,PT_First+PT_Int*(INT((AR127-PT_First)/PT_Int)+1)),"")))</f>
        <v/>
      </c>
      <c r="BA127" s="12" t="str">
        <f aca="false">IF(AE127=0,"",IF(NOT(LH_Ready),0,COUNTIFS(INDEX(LH_Data,0,LH_ColFirst),$A127,INDEX(LH_Data,0,LH_ColSur),$B127,INDEX(LH_Data,0,LH_ColCat),BonusCat)))</f>
        <v/>
      </c>
      <c r="BB127" s="12" t="str">
        <f aca="false">IF(AE127=0,"",IF(OR(NOT(LH_Ready),BA127=0),0,SUMPRODUCT(MAX((INDEX(LH_Data,0,LH_ColFirst)=$A127)*(INDEX(LH_Data,0,LH_ColSur)=$B127)*(INDEX(LH_Data,0,LH_ColCat)=BonusCat)*ROW(LH_Data)))))</f>
        <v/>
      </c>
    </row>
    <row r="128" customFormat="false" ht="15" hidden="false" customHeight="false" outlineLevel="0" collapsed="false">
      <c r="A128" s="15"/>
      <c r="B128" s="15"/>
      <c r="C128" s="15"/>
      <c r="D128" s="16"/>
      <c r="E128" s="10" t="str">
        <f aca="false">IF(OR(AE128=0,$D128=""),"",DATE(YEAR(AsOfDate)+IF(DATE(YEAR(AsOfDate),MONTH($D128),DAY($D128))&lt;=AsOfDate,1,0),MONTH($D128),DAY($D128)))</f>
        <v/>
      </c>
      <c r="F128" s="16"/>
      <c r="G128" s="16"/>
      <c r="H128" s="16"/>
      <c r="I128" s="16"/>
      <c r="J128" s="16"/>
      <c r="K128" s="10" t="str">
        <f aca="false">IF(AE128=0,"",DATE(YEAR(AsOfDate)+IF(DATE(YEAR(AsOfDate),MONTH($F128),DAY($F128))&lt;=AsOfDate,1,0),MONTH($F128),DAY($F128)))</f>
        <v/>
      </c>
      <c r="L128" s="11" t="str">
        <f aca="false">IF(AE128=0,"",ROUND((AsOfDate-$F128)/365.25,1))</f>
        <v/>
      </c>
      <c r="M128" s="12" t="str">
        <f aca="false">IF(AE128=0,"",IF(AsOfDate&lt;AF128,"-",DATEDIF(AF128,AsOfDate,"y")&amp;"y "&amp;DATEDIF(AF128,AsOfDate,"ym")&amp;"m "&amp;DATEDIF(AF128,AsOfDate,"md")&amp;"d"))</f>
        <v/>
      </c>
      <c r="N128" s="13" t="str">
        <f aca="false">IF(AE128=0,"",O128*HoursPerDay)</f>
        <v/>
      </c>
      <c r="O128" s="13" t="str">
        <f aca="false">IF(AE128=0,"",AX128)</f>
        <v/>
      </c>
      <c r="P128" s="17"/>
      <c r="Q128" s="12" t="str">
        <f aca="false">IF(AE128=0,"",IF(AG128&lt;2,"",AK128&amp;" to "&amp;AL128&amp;" on "&amp;TEXT(AI128,"dd/mm/yyyy")&amp;IF(AI128&gt;AsOfDate," (future)",IF(AN128=AO128,"",IF(AO128="None"," - STOPPED accruing",IF(AN128="None"," - now qualifying"," - pathway changed"))))&amp;IF(AG128&lt;3,"","; "&amp;AL128&amp;" to "&amp;AM128&amp;" on "&amp;TEXT(AJ128,"dd/mm/yyyy")&amp;IF(AJ128&gt;AsOfDate," (future)",IF(AO128=AP128,"",IF(AP128="None"," - STOPPED accruing",IF(AO128="None"," - now qualifying"," - pathway changed")))))))</f>
        <v/>
      </c>
      <c r="R128" s="12" t="str">
        <f aca="false">IF(AE128=0,"",IF(AQ128="None",IF(O128&gt;0,"No longer accruing","Not eligible - "&amp;IF(AND(OR(ISNUMBER(SEARCH("part",$C128)),UPPER(TRIM($C128))="PT",UPPER(TRIM($C128))="PTE"),$P128&lt;&gt;"",N($P128)&lt;PT_MinHours),"under "&amp;PT_MinHours&amp;" hrs",IF(IF($C128="","",IF(OR(ISNUMBER(SEARCH("full",$C128)),UPPER(TRIM($C128))="FT",UPPER(TRIM($C128))="FTE"),"Full-Time",IF(OR(ISNUMBER(SEARCH("part",$C128)),UPPER(TRIM($C128))="PT",UPPER(TRIM($C128))="PTE"),"Part-Time",IF(OR(ISNUMBER(SEARCH("cas",$C128)),UPPER(TRIM($C128))="CAS"),"Casual","Unknown"))))="Unknown","type not recognised",$C128))),IF(O128&gt;0,"Yes - accruing","Not yet - from "&amp;TEXT(S128,"dd/mm/yyyy"))))</f>
        <v/>
      </c>
      <c r="S128" s="10" t="str">
        <f aca="false">IF(AE128=0,"",IF(AQ128="None","",EDATE(AF128,AZ128)))</f>
        <v/>
      </c>
      <c r="T128" s="13" t="str">
        <f aca="false">IF(OR(AE128=0,W128=""),"",W128-U128+V128)</f>
        <v/>
      </c>
      <c r="U128" s="13" t="str">
        <f aca="false">IF(AE128=0,"",IF(NOT(LH_Ready),"",SUMIFS(INDEX(LH_Data,0,LH_ColAcc),INDEX(LH_Data,0,LH_ColFirst),$A128,INDEX(LH_Data,0,LH_ColSur),$B128,INDEX(LH_Data,0,LH_ColCat),BonusCat)*UnitFactor))</f>
        <v/>
      </c>
      <c r="V128" s="13" t="str">
        <f aca="false">IF(AE128=0,"",IF(NOT(LH_Ready),"",SUMIFS(INDEX(LH_Data,0,LH_ColTaken),INDEX(LH_Data,0,LH_ColFirst),$A128,INDEX(LH_Data,0,LH_ColSur),$B128,INDEX(LH_Data,0,LH_ColCat),BonusCat)*UnitFactor))</f>
        <v/>
      </c>
      <c r="W128" s="13" t="str">
        <f aca="false">IF(AE128=0,"",IF(NOT(LH_Ready),"",IF(BB128=0,0,INDEX(INDEX(LH_Data,0,LH_ColClose),BB128-1)*UnitFactor)))</f>
        <v/>
      </c>
      <c r="X128" s="13" t="str">
        <f aca="false">IF(AE128=0,"",(AX128-AY128)*HoursPerDay)</f>
        <v/>
      </c>
      <c r="Y128" s="13" t="str">
        <f aca="false">IF(AE128=0,"",IF(NOT(LH_Ready),"",IF(BA128=0,N128,X128-N(U128))))</f>
        <v/>
      </c>
      <c r="Z128" s="12" t="str">
        <f aca="false">IF(OR(AE128=0,Y128=""),"",IF(Y128&gt;0,"Yes","No"))</f>
        <v/>
      </c>
      <c r="AA128" s="12" t="str">
        <f aca="false">IF(AE128=0,IF(LEN($A128&amp;$B128)=0,"","FIX INPUT - StartDate missing"),IF(AD128&lt;&gt;"","FIX INPUT - "&amp;AD128,IF(NOT(LH_Ready),"Paste Leave History export (Settings must show YES)",IF(Y128&gt;0,"ACCRUE "&amp;ROUND(Y128,2)&amp;" hrs ("&amp;ROUND(Y128/HoursPerDay,2)&amp;" days)"&amp;IF(BA128=0," - no Bonus Leave in EH yet, full catch-up since start",""),IF(Y128&lt;0,"CHECK - EH accrued "&amp;ROUND(-Y128,2)&amp;""&amp;" hrs more than policy",IF(O128&gt;0,"OK - nothing to add",IF(AQ128="None",R128,"Not yet - first day on "&amp;TEXT(S128,"dd/mm/yyyy"))))))))</f>
        <v/>
      </c>
      <c r="AB128" s="13" t="str">
        <f aca="false">IF(OR(AE128=0,T128=""),"",AY128*HoursPerDay-T128)</f>
        <v/>
      </c>
      <c r="AC128" s="12" t="str">
        <f aca="false">IF(AE128=0,"",BA128)</f>
        <v/>
      </c>
      <c r="AD128" s="12" t="str">
        <f aca="false">IF(AE128=0,"",TRIM(IF(IF($C128="","",IF(OR(ISNUMBER(SEARCH("full",$C128)),UPPER(TRIM($C128))="FT",UPPER(TRIM($C128))="FTE"),"Full-Time",IF(OR(ISNUMBER(SEARCH("part",$C128)),UPPER(TRIM($C128))="PT",UPPER(TRIM($C128))="PTE"),"Part-Time",IF(OR(ISNUMBER(SEARCH("cas",$C128)),UPPER(TRIM($C128))="CAS"),"Casual","Unknown"))))="Unknown","EmploymentType not recognised - use Full-Time, Part-Time or Casual. ","")&amp;IF(AND(AG128&gt;=1,IF(AG128&gt;=3,AM128,IF(AG128=2,AL128,AK128))&lt;&gt;IF($C128="","",IF(OR(ISNUMBER(SEARCH("full",$C128)),UPPER(TRIM($C128))="FT",UPPER(TRIM($C128))="FTE"),"Full-Time",IF(OR(ISNUMBER(SEARCH("part",$C128)),UPPER(TRIM($C128))="PT",UPPER(TRIM($C128))="PTE"),"Part-Time",IF(OR(ISNUMBER(SEARCH("cas",$C128)),UPPER(TRIM($C128))="CAS"),"Casual","Unknown"))))),"EmploymentType does not match latest start date ("&amp;IF(AG128&gt;=3,AM128,IF(AG128=2,AL128,AK128))&amp;"). ","")&amp;IF(AND(AG128&gt;=1,AH128&lt;&gt;$F128),"Earliest type date should equal StartDate. ","")&amp;IF(AND(AG128&gt;=2,AH128=AI128),"Two types start on the same date. ","")&amp;IF(AND(OR(ISNUMBER(SEARCH("part",$C128)),UPPER(TRIM($C128))="PT",UPPER(TRIM($C128))="PTE"),$P128=""),"Part-time: enter PT Hrs/Week (blank = 24+). ","")))</f>
        <v/>
      </c>
      <c r="AE128" s="12" t="n">
        <f aca="false">IF(OR(LEN($A128&amp;$B128)=0,$F128=""),0,1)</f>
        <v>0</v>
      </c>
      <c r="AF128" s="10" t="str">
        <f aca="false">IF(AE128=0,"",IF($J128&lt;&gt;"",$J128,$F128))</f>
        <v/>
      </c>
      <c r="AG128" s="12" t="str">
        <f aca="false">IF(AE128=0,"",COUNT($G128:$I128))</f>
        <v/>
      </c>
      <c r="AH128" s="10" t="str">
        <f aca="false">IF(AE128=0,"",IFERROR(SMALL($G128:$I128,1),""))</f>
        <v/>
      </c>
      <c r="AI128" s="10" t="str">
        <f aca="false">IF(AE128=0,"",IFERROR(SMALL($G128:$I128,2),""))</f>
        <v/>
      </c>
      <c r="AJ128" s="10" t="str">
        <f aca="false">IF(AE128=0,"",IFERROR(SMALL($G128:$I128,3),""))</f>
        <v/>
      </c>
      <c r="AK128" s="12" t="str">
        <f aca="false">IF(AE128=0,"",IF(AH128="","",IF(AH128=$G128,"Part-Time",IF(AH128=$H128,"Full-Time","Casual"))))</f>
        <v/>
      </c>
      <c r="AL128" s="12" t="str">
        <f aca="false">IF(AE128=0,"",IF(AI128="","",IF(AI128=$G128,"Part-Time",IF(AI128=$H128,"Full-Time","Casual"))))</f>
        <v/>
      </c>
      <c r="AM128" s="12" t="str">
        <f aca="false">IF(AE128=0,"",IF(AJ128="","",IF(AJ128=$G128,"Part-Time",IF(AJ128=$H128,"Full-Time","Casual"))))</f>
        <v/>
      </c>
      <c r="AN128" s="12" t="str">
        <f aca="false">IF(AE128=0,"",IF(AG128=0,IF(OR(ISNUMBER(SEARCH("full",$C128)),UPPER(TRIM($C128))="FT",UPPER(TRIM($C128))="FTE"),"FT",IF(AND(OR(ISNUMBER(SEARCH("part",$C128)),UPPER(TRIM($C128))="PT",UPPER(TRIM($C128))="PTE"),OR($P128="",N($P128)&gt;=PT_MinHours)),"PT","None")),IF(OR(ISNUMBER(SEARCH("full",AK128)),UPPER(TRIM(AK128))="FT",UPPER(TRIM(AK128))="FTE"),"FT",IF(AND(OR(ISNUMBER(SEARCH("part",AK128)),UPPER(TRIM(AK128))="PT",UPPER(TRIM(AK128))="PTE"),OR($P128="",N($P128)&gt;=PT_MinHours)),"PT","None"))))</f>
        <v/>
      </c>
      <c r="AO128" s="12" t="str">
        <f aca="false">IF(AE128=0,"",IF(AG128&lt;2,"",IF(OR(ISNUMBER(SEARCH("full",AL128)),UPPER(TRIM(AL128))="FT",UPPER(TRIM(AL128))="FTE"),"FT",IF(AND(OR(ISNUMBER(SEARCH("part",AL128)),UPPER(TRIM(AL128))="PT",UPPER(TRIM(AL128))="PTE"),OR($P128="",N($P128)&gt;=PT_MinHours)),"PT","None"))))</f>
        <v/>
      </c>
      <c r="AP128" s="12" t="str">
        <f aca="false">IF(AE128=0,"",IF(AG128&lt;3,"",IF(OR(ISNUMBER(SEARCH("full",AM128)),UPPER(TRIM(AM128))="FT",UPPER(TRIM(AM128))="FTE"),"FT",IF(AND(OR(ISNUMBER(SEARCH("part",AM128)),UPPER(TRIM(AM128))="PT",UPPER(TRIM(AM128))="PTE"),OR($P128="",N($P128)&gt;=PT_MinHours)),"PT","None"))))</f>
        <v/>
      </c>
      <c r="AQ128" s="12" t="str">
        <f aca="false">IF(AE128=0,"",IF(AND(AG128&gt;=3,AJ128&lt;=AsOfDate),AP128,IF(AND(AG128&gt;=2,AI128&lt;=AsOfDate),AO128,AN128)))</f>
        <v/>
      </c>
      <c r="AR128" s="12" t="str">
        <f aca="false">IF(AE128=0,"",IF(AsOfDate&lt;AF128,-1,12*(YEAR(AsOfDate)-YEAR(AF128))+MONTH(AsOfDate)-MONTH(AF128)-IF(DAY(AsOfDate)&lt;MIN(DAY(AF128),DAY(EOMONTH(AsOfDate,0))),1,0)))</f>
        <v/>
      </c>
      <c r="AS128" s="12" t="str">
        <f aca="false">IF(AE128=0,"",IF(OR(AG128&lt;2,AI128&gt;AsOfDate),AR128,IF((AI128-1)&lt;AF128,-1,12*(YEAR((AI128-1))-YEAR(AF128))+MONTH((AI128-1))-MONTH(AF128)-IF(DAY((AI128-1))&lt;MIN(DAY(AF128),DAY(EOMONTH((AI128-1),0))),1,0))))</f>
        <v/>
      </c>
      <c r="AT128" s="12" t="str">
        <f aca="false">IF(AE128=0,"",IF(OR(AG128&lt;3,AJ128&gt;AsOfDate),AR128,IF((AJ128-1)&lt;AF128,-1,12*(YEAR((AJ128-1))-YEAR(AF128))+MONTH((AJ128-1))-MONTH(AF128)-IF(DAY((AJ128-1))&lt;MIN(DAY(AF128),DAY(EOMONTH((AJ128-1),0))),1,0))))</f>
        <v/>
      </c>
      <c r="AU128" s="12" t="str">
        <f aca="false">IF(AE128=0,"",IF(PFYDate&lt;AF128,-1,12*(YEAR(PFYDate)-YEAR(AF128))+MONTH(PFYDate)-MONTH(AF128)-IF(DAY(PFYDate)&lt;MIN(DAY(AF128),DAY(EOMONTH(PFYDate,0))),1,0)))</f>
        <v/>
      </c>
      <c r="AV128" s="12" t="str">
        <f aca="false">IF(AE128=0,"",IF(OR(AG128&lt;2,AI128&gt;PFYDate),AU128,IF((AI128-1)&lt;AF128,-1,12*(YEAR((AI128-1))-YEAR(AF128))+MONTH((AI128-1))-MONTH(AF128)-IF(DAY((AI128-1))&lt;MIN(DAY(AF128),DAY(EOMONTH((AI128-1),0))),1,0))))</f>
        <v/>
      </c>
      <c r="AW128" s="12" t="str">
        <f aca="false">IF(AE128=0,"",IF(OR(AG128&lt;3,AJ128&gt;PFYDate),AU128,IF((AJ128-1)&lt;AF128,-1,12*(YEAR((AJ128-1))-YEAR(AF128))+MONTH((AJ128-1))-MONTH(AF128)-IF(DAY((AJ128-1))&lt;MIN(DAY(AF128),DAY(EOMONTH((AJ128-1),0))),1,0))))</f>
        <v/>
      </c>
      <c r="AX128" s="12" t="str">
        <f aca="false">IF(AE128=0,"",IF(AN128="FT",IF(AS128&lt;FT_First,0,IF(AS128&lt;FT_Y5,1+INT((AS128-FT_First)/FT_Int1),FT_PreY5+FT_PerYear*INT((AS128-FT_Y5)/12)+FT_AnnivDays+INT(MOD(AS128-FT_Y5,12)/FT_Int2))),IF(AN128="PT",IF(AS128&lt;PT_First,0,1+INT((AS128-PT_First)/PT_Int)),0))+IF(AND(AG128&gt;=2,AI128&lt;=AsOfDate),IF(AO128="FT",IF(AT128&lt;FT_First,0,IF(AT128&lt;FT_Y5,1+INT((AT128-FT_First)/FT_Int1),FT_PreY5+FT_PerYear*INT((AT128-FT_Y5)/12)+FT_AnnivDays+INT(MOD(AT128-FT_Y5,12)/FT_Int2))),IF(AO128="PT",IF(AT128&lt;PT_First,0,1+INT((AT128-PT_First)/PT_Int)),0))-IF(AO128="FT",IF(AS128&lt;FT_First,0,IF(AS128&lt;FT_Y5,1+INT((AS128-FT_First)/FT_Int1),FT_PreY5+FT_PerYear*INT((AS128-FT_Y5)/12)+FT_AnnivDays+INT(MOD(AS128-FT_Y5,12)/FT_Int2))),IF(AO128="PT",IF(AS128&lt;PT_First,0,1+INT((AS128-PT_First)/PT_Int)),0)),0)+IF(AND(AG128&gt;=3,AJ128&lt;=AsOfDate),IF(AP128="FT",IF(AR128&lt;FT_First,0,IF(AR128&lt;FT_Y5,1+INT((AR128-FT_First)/FT_Int1),FT_PreY5+FT_PerYear*INT((AR128-FT_Y5)/12)+FT_AnnivDays+INT(MOD(AR128-FT_Y5,12)/FT_Int2))),IF(AP128="PT",IF(AR128&lt;PT_First,0,1+INT((AR128-PT_First)/PT_Int)),0))-IF(AP128="FT",IF(AT128&lt;FT_First,0,IF(AT128&lt;FT_Y5,1+INT((AT128-FT_First)/FT_Int1),FT_PreY5+FT_PerYear*INT((AT128-FT_Y5)/12)+FT_AnnivDays+INT(MOD(AT128-FT_Y5,12)/FT_Int2))),IF(AP128="PT",IF(AT128&lt;PT_First,0,1+INT((AT128-PT_First)/PT_Int)),0)),0))</f>
        <v/>
      </c>
      <c r="AY128" s="12" t="str">
        <f aca="false">IF(AE128=0,"",IF(AN128="FT",IF(AV128&lt;FT_First,0,IF(AV128&lt;FT_Y5,1+INT((AV128-FT_First)/FT_Int1),FT_PreY5+FT_PerYear*INT((AV128-FT_Y5)/12)+FT_AnnivDays+INT(MOD(AV128-FT_Y5,12)/FT_Int2))),IF(AN128="PT",IF(AV128&lt;PT_First,0,1+INT((AV128-PT_First)/PT_Int)),0))+IF(AND(AG128&gt;=2,AI128&lt;=PFYDate),IF(AO128="FT",IF(AW128&lt;FT_First,0,IF(AW128&lt;FT_Y5,1+INT((AW128-FT_First)/FT_Int1),FT_PreY5+FT_PerYear*INT((AW128-FT_Y5)/12)+FT_AnnivDays+INT(MOD(AW128-FT_Y5,12)/FT_Int2))),IF(AO128="PT",IF(AW128&lt;PT_First,0,1+INT((AW128-PT_First)/PT_Int)),0))-IF(AO128="FT",IF(AV128&lt;FT_First,0,IF(AV128&lt;FT_Y5,1+INT((AV128-FT_First)/FT_Int1),FT_PreY5+FT_PerYear*INT((AV128-FT_Y5)/12)+FT_AnnivDays+INT(MOD(AV128-FT_Y5,12)/FT_Int2))),IF(AO128="PT",IF(AV128&lt;PT_First,0,1+INT((AV128-PT_First)/PT_Int)),0)),0)+IF(AND(AG128&gt;=3,AJ128&lt;=PFYDate),IF(AP128="FT",IF(AU128&lt;FT_First,0,IF(AU128&lt;FT_Y5,1+INT((AU128-FT_First)/FT_Int1),FT_PreY5+FT_PerYear*INT((AU128-FT_Y5)/12)+FT_AnnivDays+INT(MOD(AU128-FT_Y5,12)/FT_Int2))),IF(AP128="PT",IF(AU128&lt;PT_First,0,1+INT((AU128-PT_First)/PT_Int)),0))-IF(AP128="FT",IF(AW128&lt;FT_First,0,IF(AW128&lt;FT_Y5,1+INT((AW128-FT_First)/FT_Int1),FT_PreY5+FT_PerYear*INT((AW128-FT_Y5)/12)+FT_AnnivDays+INT(MOD(AW128-FT_Y5,12)/FT_Int2))),IF(AP128="PT",IF(AW128&lt;PT_First,0,1+INT((AW128-PT_First)/PT_Int)),0)),0))</f>
        <v/>
      </c>
      <c r="AZ128" s="12" t="str">
        <f aca="false">IF(AE128=0,"",IF(AQ128="FT",IF(AR128&lt;FT_First,FT_First,IF(AR128&lt;FT_Y5,MIN(FT_Y5,FT_First+FT_Int1*(INT((AR128-FT_First)/FT_Int1)+1)),FT_Y5+12*INT((AR128-FT_Y5)/12)+FT_Int2*(INT(MOD(AR128-FT_Y5,12)/FT_Int2)+1))),IF(AQ128="PT",IF(AR128&lt;PT_First,PT_First,PT_First+PT_Int*(INT((AR128-PT_First)/PT_Int)+1)),"")))</f>
        <v/>
      </c>
      <c r="BA128" s="12" t="str">
        <f aca="false">IF(AE128=0,"",IF(NOT(LH_Ready),0,COUNTIFS(INDEX(LH_Data,0,LH_ColFirst),$A128,INDEX(LH_Data,0,LH_ColSur),$B128,INDEX(LH_Data,0,LH_ColCat),BonusCat)))</f>
        <v/>
      </c>
      <c r="BB128" s="12" t="str">
        <f aca="false">IF(AE128=0,"",IF(OR(NOT(LH_Ready),BA128=0),0,SUMPRODUCT(MAX((INDEX(LH_Data,0,LH_ColFirst)=$A128)*(INDEX(LH_Data,0,LH_ColSur)=$B128)*(INDEX(LH_Data,0,LH_ColCat)=BonusCat)*ROW(LH_Data)))))</f>
        <v/>
      </c>
    </row>
    <row r="129" customFormat="false" ht="15" hidden="false" customHeight="false" outlineLevel="0" collapsed="false">
      <c r="A129" s="15"/>
      <c r="B129" s="15"/>
      <c r="C129" s="15"/>
      <c r="D129" s="16"/>
      <c r="E129" s="10" t="str">
        <f aca="false">IF(OR(AE129=0,$D129=""),"",DATE(YEAR(AsOfDate)+IF(DATE(YEAR(AsOfDate),MONTH($D129),DAY($D129))&lt;=AsOfDate,1,0),MONTH($D129),DAY($D129)))</f>
        <v/>
      </c>
      <c r="F129" s="16"/>
      <c r="G129" s="16"/>
      <c r="H129" s="16"/>
      <c r="I129" s="16"/>
      <c r="J129" s="16"/>
      <c r="K129" s="10" t="str">
        <f aca="false">IF(AE129=0,"",DATE(YEAR(AsOfDate)+IF(DATE(YEAR(AsOfDate),MONTH($F129),DAY($F129))&lt;=AsOfDate,1,0),MONTH($F129),DAY($F129)))</f>
        <v/>
      </c>
      <c r="L129" s="11" t="str">
        <f aca="false">IF(AE129=0,"",ROUND((AsOfDate-$F129)/365.25,1))</f>
        <v/>
      </c>
      <c r="M129" s="12" t="str">
        <f aca="false">IF(AE129=0,"",IF(AsOfDate&lt;AF129,"-",DATEDIF(AF129,AsOfDate,"y")&amp;"y "&amp;DATEDIF(AF129,AsOfDate,"ym")&amp;"m "&amp;DATEDIF(AF129,AsOfDate,"md")&amp;"d"))</f>
        <v/>
      </c>
      <c r="N129" s="13" t="str">
        <f aca="false">IF(AE129=0,"",O129*HoursPerDay)</f>
        <v/>
      </c>
      <c r="O129" s="13" t="str">
        <f aca="false">IF(AE129=0,"",AX129)</f>
        <v/>
      </c>
      <c r="P129" s="17"/>
      <c r="Q129" s="12" t="str">
        <f aca="false">IF(AE129=0,"",IF(AG129&lt;2,"",AK129&amp;" to "&amp;AL129&amp;" on "&amp;TEXT(AI129,"dd/mm/yyyy")&amp;IF(AI129&gt;AsOfDate," (future)",IF(AN129=AO129,"",IF(AO129="None"," - STOPPED accruing",IF(AN129="None"," - now qualifying"," - pathway changed"))))&amp;IF(AG129&lt;3,"","; "&amp;AL129&amp;" to "&amp;AM129&amp;" on "&amp;TEXT(AJ129,"dd/mm/yyyy")&amp;IF(AJ129&gt;AsOfDate," (future)",IF(AO129=AP129,"",IF(AP129="None"," - STOPPED accruing",IF(AO129="None"," - now qualifying"," - pathway changed")))))))</f>
        <v/>
      </c>
      <c r="R129" s="12" t="str">
        <f aca="false">IF(AE129=0,"",IF(AQ129="None",IF(O129&gt;0,"No longer accruing","Not eligible - "&amp;IF(AND(OR(ISNUMBER(SEARCH("part",$C129)),UPPER(TRIM($C129))="PT",UPPER(TRIM($C129))="PTE"),$P129&lt;&gt;"",N($P129)&lt;PT_MinHours),"under "&amp;PT_MinHours&amp;" hrs",IF(IF($C129="","",IF(OR(ISNUMBER(SEARCH("full",$C129)),UPPER(TRIM($C129))="FT",UPPER(TRIM($C129))="FTE"),"Full-Time",IF(OR(ISNUMBER(SEARCH("part",$C129)),UPPER(TRIM($C129))="PT",UPPER(TRIM($C129))="PTE"),"Part-Time",IF(OR(ISNUMBER(SEARCH("cas",$C129)),UPPER(TRIM($C129))="CAS"),"Casual","Unknown"))))="Unknown","type not recognised",$C129))),IF(O129&gt;0,"Yes - accruing","Not yet - from "&amp;TEXT(S129,"dd/mm/yyyy"))))</f>
        <v/>
      </c>
      <c r="S129" s="10" t="str">
        <f aca="false">IF(AE129=0,"",IF(AQ129="None","",EDATE(AF129,AZ129)))</f>
        <v/>
      </c>
      <c r="T129" s="13" t="str">
        <f aca="false">IF(OR(AE129=0,W129=""),"",W129-U129+V129)</f>
        <v/>
      </c>
      <c r="U129" s="13" t="str">
        <f aca="false">IF(AE129=0,"",IF(NOT(LH_Ready),"",SUMIFS(INDEX(LH_Data,0,LH_ColAcc),INDEX(LH_Data,0,LH_ColFirst),$A129,INDEX(LH_Data,0,LH_ColSur),$B129,INDEX(LH_Data,0,LH_ColCat),BonusCat)*UnitFactor))</f>
        <v/>
      </c>
      <c r="V129" s="13" t="str">
        <f aca="false">IF(AE129=0,"",IF(NOT(LH_Ready),"",SUMIFS(INDEX(LH_Data,0,LH_ColTaken),INDEX(LH_Data,0,LH_ColFirst),$A129,INDEX(LH_Data,0,LH_ColSur),$B129,INDEX(LH_Data,0,LH_ColCat),BonusCat)*UnitFactor))</f>
        <v/>
      </c>
      <c r="W129" s="13" t="str">
        <f aca="false">IF(AE129=0,"",IF(NOT(LH_Ready),"",IF(BB129=0,0,INDEX(INDEX(LH_Data,0,LH_ColClose),BB129-1)*UnitFactor)))</f>
        <v/>
      </c>
      <c r="X129" s="13" t="str">
        <f aca="false">IF(AE129=0,"",(AX129-AY129)*HoursPerDay)</f>
        <v/>
      </c>
      <c r="Y129" s="13" t="str">
        <f aca="false">IF(AE129=0,"",IF(NOT(LH_Ready),"",IF(BA129=0,N129,X129-N(U129))))</f>
        <v/>
      </c>
      <c r="Z129" s="12" t="str">
        <f aca="false">IF(OR(AE129=0,Y129=""),"",IF(Y129&gt;0,"Yes","No"))</f>
        <v/>
      </c>
      <c r="AA129" s="12" t="str">
        <f aca="false">IF(AE129=0,IF(LEN($A129&amp;$B129)=0,"","FIX INPUT - StartDate missing"),IF(AD129&lt;&gt;"","FIX INPUT - "&amp;AD129,IF(NOT(LH_Ready),"Paste Leave History export (Settings must show YES)",IF(Y129&gt;0,"ACCRUE "&amp;ROUND(Y129,2)&amp;" hrs ("&amp;ROUND(Y129/HoursPerDay,2)&amp;" days)"&amp;IF(BA129=0," - no Bonus Leave in EH yet, full catch-up since start",""),IF(Y129&lt;0,"CHECK - EH accrued "&amp;ROUND(-Y129,2)&amp;""&amp;" hrs more than policy",IF(O129&gt;0,"OK - nothing to add",IF(AQ129="None",R129,"Not yet - first day on "&amp;TEXT(S129,"dd/mm/yyyy"))))))))</f>
        <v/>
      </c>
      <c r="AB129" s="13" t="str">
        <f aca="false">IF(OR(AE129=0,T129=""),"",AY129*HoursPerDay-T129)</f>
        <v/>
      </c>
      <c r="AC129" s="12" t="str">
        <f aca="false">IF(AE129=0,"",BA129)</f>
        <v/>
      </c>
      <c r="AD129" s="12" t="str">
        <f aca="false">IF(AE129=0,"",TRIM(IF(IF($C129="","",IF(OR(ISNUMBER(SEARCH("full",$C129)),UPPER(TRIM($C129))="FT",UPPER(TRIM($C129))="FTE"),"Full-Time",IF(OR(ISNUMBER(SEARCH("part",$C129)),UPPER(TRIM($C129))="PT",UPPER(TRIM($C129))="PTE"),"Part-Time",IF(OR(ISNUMBER(SEARCH("cas",$C129)),UPPER(TRIM($C129))="CAS"),"Casual","Unknown"))))="Unknown","EmploymentType not recognised - use Full-Time, Part-Time or Casual. ","")&amp;IF(AND(AG129&gt;=1,IF(AG129&gt;=3,AM129,IF(AG129=2,AL129,AK129))&lt;&gt;IF($C129="","",IF(OR(ISNUMBER(SEARCH("full",$C129)),UPPER(TRIM($C129))="FT",UPPER(TRIM($C129))="FTE"),"Full-Time",IF(OR(ISNUMBER(SEARCH("part",$C129)),UPPER(TRIM($C129))="PT",UPPER(TRIM($C129))="PTE"),"Part-Time",IF(OR(ISNUMBER(SEARCH("cas",$C129)),UPPER(TRIM($C129))="CAS"),"Casual","Unknown"))))),"EmploymentType does not match latest start date ("&amp;IF(AG129&gt;=3,AM129,IF(AG129=2,AL129,AK129))&amp;"). ","")&amp;IF(AND(AG129&gt;=1,AH129&lt;&gt;$F129),"Earliest type date should equal StartDate. ","")&amp;IF(AND(AG129&gt;=2,AH129=AI129),"Two types start on the same date. ","")&amp;IF(AND(OR(ISNUMBER(SEARCH("part",$C129)),UPPER(TRIM($C129))="PT",UPPER(TRIM($C129))="PTE"),$P129=""),"Part-time: enter PT Hrs/Week (blank = 24+). ","")))</f>
        <v/>
      </c>
      <c r="AE129" s="12" t="n">
        <f aca="false">IF(OR(LEN($A129&amp;$B129)=0,$F129=""),0,1)</f>
        <v>0</v>
      </c>
      <c r="AF129" s="10" t="str">
        <f aca="false">IF(AE129=0,"",IF($J129&lt;&gt;"",$J129,$F129))</f>
        <v/>
      </c>
      <c r="AG129" s="12" t="str">
        <f aca="false">IF(AE129=0,"",COUNT($G129:$I129))</f>
        <v/>
      </c>
      <c r="AH129" s="10" t="str">
        <f aca="false">IF(AE129=0,"",IFERROR(SMALL($G129:$I129,1),""))</f>
        <v/>
      </c>
      <c r="AI129" s="10" t="str">
        <f aca="false">IF(AE129=0,"",IFERROR(SMALL($G129:$I129,2),""))</f>
        <v/>
      </c>
      <c r="AJ129" s="10" t="str">
        <f aca="false">IF(AE129=0,"",IFERROR(SMALL($G129:$I129,3),""))</f>
        <v/>
      </c>
      <c r="AK129" s="12" t="str">
        <f aca="false">IF(AE129=0,"",IF(AH129="","",IF(AH129=$G129,"Part-Time",IF(AH129=$H129,"Full-Time","Casual"))))</f>
        <v/>
      </c>
      <c r="AL129" s="12" t="str">
        <f aca="false">IF(AE129=0,"",IF(AI129="","",IF(AI129=$G129,"Part-Time",IF(AI129=$H129,"Full-Time","Casual"))))</f>
        <v/>
      </c>
      <c r="AM129" s="12" t="str">
        <f aca="false">IF(AE129=0,"",IF(AJ129="","",IF(AJ129=$G129,"Part-Time",IF(AJ129=$H129,"Full-Time","Casual"))))</f>
        <v/>
      </c>
      <c r="AN129" s="12" t="str">
        <f aca="false">IF(AE129=0,"",IF(AG129=0,IF(OR(ISNUMBER(SEARCH("full",$C129)),UPPER(TRIM($C129))="FT",UPPER(TRIM($C129))="FTE"),"FT",IF(AND(OR(ISNUMBER(SEARCH("part",$C129)),UPPER(TRIM($C129))="PT",UPPER(TRIM($C129))="PTE"),OR($P129="",N($P129)&gt;=PT_MinHours)),"PT","None")),IF(OR(ISNUMBER(SEARCH("full",AK129)),UPPER(TRIM(AK129))="FT",UPPER(TRIM(AK129))="FTE"),"FT",IF(AND(OR(ISNUMBER(SEARCH("part",AK129)),UPPER(TRIM(AK129))="PT",UPPER(TRIM(AK129))="PTE"),OR($P129="",N($P129)&gt;=PT_MinHours)),"PT","None"))))</f>
        <v/>
      </c>
      <c r="AO129" s="12" t="str">
        <f aca="false">IF(AE129=0,"",IF(AG129&lt;2,"",IF(OR(ISNUMBER(SEARCH("full",AL129)),UPPER(TRIM(AL129))="FT",UPPER(TRIM(AL129))="FTE"),"FT",IF(AND(OR(ISNUMBER(SEARCH("part",AL129)),UPPER(TRIM(AL129))="PT",UPPER(TRIM(AL129))="PTE"),OR($P129="",N($P129)&gt;=PT_MinHours)),"PT","None"))))</f>
        <v/>
      </c>
      <c r="AP129" s="12" t="str">
        <f aca="false">IF(AE129=0,"",IF(AG129&lt;3,"",IF(OR(ISNUMBER(SEARCH("full",AM129)),UPPER(TRIM(AM129))="FT",UPPER(TRIM(AM129))="FTE"),"FT",IF(AND(OR(ISNUMBER(SEARCH("part",AM129)),UPPER(TRIM(AM129))="PT",UPPER(TRIM(AM129))="PTE"),OR($P129="",N($P129)&gt;=PT_MinHours)),"PT","None"))))</f>
        <v/>
      </c>
      <c r="AQ129" s="12" t="str">
        <f aca="false">IF(AE129=0,"",IF(AND(AG129&gt;=3,AJ129&lt;=AsOfDate),AP129,IF(AND(AG129&gt;=2,AI129&lt;=AsOfDate),AO129,AN129)))</f>
        <v/>
      </c>
      <c r="AR129" s="12" t="str">
        <f aca="false">IF(AE129=0,"",IF(AsOfDate&lt;AF129,-1,12*(YEAR(AsOfDate)-YEAR(AF129))+MONTH(AsOfDate)-MONTH(AF129)-IF(DAY(AsOfDate)&lt;MIN(DAY(AF129),DAY(EOMONTH(AsOfDate,0))),1,0)))</f>
        <v/>
      </c>
      <c r="AS129" s="12" t="str">
        <f aca="false">IF(AE129=0,"",IF(OR(AG129&lt;2,AI129&gt;AsOfDate),AR129,IF((AI129-1)&lt;AF129,-1,12*(YEAR((AI129-1))-YEAR(AF129))+MONTH((AI129-1))-MONTH(AF129)-IF(DAY((AI129-1))&lt;MIN(DAY(AF129),DAY(EOMONTH((AI129-1),0))),1,0))))</f>
        <v/>
      </c>
      <c r="AT129" s="12" t="str">
        <f aca="false">IF(AE129=0,"",IF(OR(AG129&lt;3,AJ129&gt;AsOfDate),AR129,IF((AJ129-1)&lt;AF129,-1,12*(YEAR((AJ129-1))-YEAR(AF129))+MONTH((AJ129-1))-MONTH(AF129)-IF(DAY((AJ129-1))&lt;MIN(DAY(AF129),DAY(EOMONTH((AJ129-1),0))),1,0))))</f>
        <v/>
      </c>
      <c r="AU129" s="12" t="str">
        <f aca="false">IF(AE129=0,"",IF(PFYDate&lt;AF129,-1,12*(YEAR(PFYDate)-YEAR(AF129))+MONTH(PFYDate)-MONTH(AF129)-IF(DAY(PFYDate)&lt;MIN(DAY(AF129),DAY(EOMONTH(PFYDate,0))),1,0)))</f>
        <v/>
      </c>
      <c r="AV129" s="12" t="str">
        <f aca="false">IF(AE129=0,"",IF(OR(AG129&lt;2,AI129&gt;PFYDate),AU129,IF((AI129-1)&lt;AF129,-1,12*(YEAR((AI129-1))-YEAR(AF129))+MONTH((AI129-1))-MONTH(AF129)-IF(DAY((AI129-1))&lt;MIN(DAY(AF129),DAY(EOMONTH((AI129-1),0))),1,0))))</f>
        <v/>
      </c>
      <c r="AW129" s="12" t="str">
        <f aca="false">IF(AE129=0,"",IF(OR(AG129&lt;3,AJ129&gt;PFYDate),AU129,IF((AJ129-1)&lt;AF129,-1,12*(YEAR((AJ129-1))-YEAR(AF129))+MONTH((AJ129-1))-MONTH(AF129)-IF(DAY((AJ129-1))&lt;MIN(DAY(AF129),DAY(EOMONTH((AJ129-1),0))),1,0))))</f>
        <v/>
      </c>
      <c r="AX129" s="12" t="str">
        <f aca="false">IF(AE129=0,"",IF(AN129="FT",IF(AS129&lt;FT_First,0,IF(AS129&lt;FT_Y5,1+INT((AS129-FT_First)/FT_Int1),FT_PreY5+FT_PerYear*INT((AS129-FT_Y5)/12)+FT_AnnivDays+INT(MOD(AS129-FT_Y5,12)/FT_Int2))),IF(AN129="PT",IF(AS129&lt;PT_First,0,1+INT((AS129-PT_First)/PT_Int)),0))+IF(AND(AG129&gt;=2,AI129&lt;=AsOfDate),IF(AO129="FT",IF(AT129&lt;FT_First,0,IF(AT129&lt;FT_Y5,1+INT((AT129-FT_First)/FT_Int1),FT_PreY5+FT_PerYear*INT((AT129-FT_Y5)/12)+FT_AnnivDays+INT(MOD(AT129-FT_Y5,12)/FT_Int2))),IF(AO129="PT",IF(AT129&lt;PT_First,0,1+INT((AT129-PT_First)/PT_Int)),0))-IF(AO129="FT",IF(AS129&lt;FT_First,0,IF(AS129&lt;FT_Y5,1+INT((AS129-FT_First)/FT_Int1),FT_PreY5+FT_PerYear*INT((AS129-FT_Y5)/12)+FT_AnnivDays+INT(MOD(AS129-FT_Y5,12)/FT_Int2))),IF(AO129="PT",IF(AS129&lt;PT_First,0,1+INT((AS129-PT_First)/PT_Int)),0)),0)+IF(AND(AG129&gt;=3,AJ129&lt;=AsOfDate),IF(AP129="FT",IF(AR129&lt;FT_First,0,IF(AR129&lt;FT_Y5,1+INT((AR129-FT_First)/FT_Int1),FT_PreY5+FT_PerYear*INT((AR129-FT_Y5)/12)+FT_AnnivDays+INT(MOD(AR129-FT_Y5,12)/FT_Int2))),IF(AP129="PT",IF(AR129&lt;PT_First,0,1+INT((AR129-PT_First)/PT_Int)),0))-IF(AP129="FT",IF(AT129&lt;FT_First,0,IF(AT129&lt;FT_Y5,1+INT((AT129-FT_First)/FT_Int1),FT_PreY5+FT_PerYear*INT((AT129-FT_Y5)/12)+FT_AnnivDays+INT(MOD(AT129-FT_Y5,12)/FT_Int2))),IF(AP129="PT",IF(AT129&lt;PT_First,0,1+INT((AT129-PT_First)/PT_Int)),0)),0))</f>
        <v/>
      </c>
      <c r="AY129" s="12" t="str">
        <f aca="false">IF(AE129=0,"",IF(AN129="FT",IF(AV129&lt;FT_First,0,IF(AV129&lt;FT_Y5,1+INT((AV129-FT_First)/FT_Int1),FT_PreY5+FT_PerYear*INT((AV129-FT_Y5)/12)+FT_AnnivDays+INT(MOD(AV129-FT_Y5,12)/FT_Int2))),IF(AN129="PT",IF(AV129&lt;PT_First,0,1+INT((AV129-PT_First)/PT_Int)),0))+IF(AND(AG129&gt;=2,AI129&lt;=PFYDate),IF(AO129="FT",IF(AW129&lt;FT_First,0,IF(AW129&lt;FT_Y5,1+INT((AW129-FT_First)/FT_Int1),FT_PreY5+FT_PerYear*INT((AW129-FT_Y5)/12)+FT_AnnivDays+INT(MOD(AW129-FT_Y5,12)/FT_Int2))),IF(AO129="PT",IF(AW129&lt;PT_First,0,1+INT((AW129-PT_First)/PT_Int)),0))-IF(AO129="FT",IF(AV129&lt;FT_First,0,IF(AV129&lt;FT_Y5,1+INT((AV129-FT_First)/FT_Int1),FT_PreY5+FT_PerYear*INT((AV129-FT_Y5)/12)+FT_AnnivDays+INT(MOD(AV129-FT_Y5,12)/FT_Int2))),IF(AO129="PT",IF(AV129&lt;PT_First,0,1+INT((AV129-PT_First)/PT_Int)),0)),0)+IF(AND(AG129&gt;=3,AJ129&lt;=PFYDate),IF(AP129="FT",IF(AU129&lt;FT_First,0,IF(AU129&lt;FT_Y5,1+INT((AU129-FT_First)/FT_Int1),FT_PreY5+FT_PerYear*INT((AU129-FT_Y5)/12)+FT_AnnivDays+INT(MOD(AU129-FT_Y5,12)/FT_Int2))),IF(AP129="PT",IF(AU129&lt;PT_First,0,1+INT((AU129-PT_First)/PT_Int)),0))-IF(AP129="FT",IF(AW129&lt;FT_First,0,IF(AW129&lt;FT_Y5,1+INT((AW129-FT_First)/FT_Int1),FT_PreY5+FT_PerYear*INT((AW129-FT_Y5)/12)+FT_AnnivDays+INT(MOD(AW129-FT_Y5,12)/FT_Int2))),IF(AP129="PT",IF(AW129&lt;PT_First,0,1+INT((AW129-PT_First)/PT_Int)),0)),0))</f>
        <v/>
      </c>
      <c r="AZ129" s="12" t="str">
        <f aca="false">IF(AE129=0,"",IF(AQ129="FT",IF(AR129&lt;FT_First,FT_First,IF(AR129&lt;FT_Y5,MIN(FT_Y5,FT_First+FT_Int1*(INT((AR129-FT_First)/FT_Int1)+1)),FT_Y5+12*INT((AR129-FT_Y5)/12)+FT_Int2*(INT(MOD(AR129-FT_Y5,12)/FT_Int2)+1))),IF(AQ129="PT",IF(AR129&lt;PT_First,PT_First,PT_First+PT_Int*(INT((AR129-PT_First)/PT_Int)+1)),"")))</f>
        <v/>
      </c>
      <c r="BA129" s="12" t="str">
        <f aca="false">IF(AE129=0,"",IF(NOT(LH_Ready),0,COUNTIFS(INDEX(LH_Data,0,LH_ColFirst),$A129,INDEX(LH_Data,0,LH_ColSur),$B129,INDEX(LH_Data,0,LH_ColCat),BonusCat)))</f>
        <v/>
      </c>
      <c r="BB129" s="12" t="str">
        <f aca="false">IF(AE129=0,"",IF(OR(NOT(LH_Ready),BA129=0),0,SUMPRODUCT(MAX((INDEX(LH_Data,0,LH_ColFirst)=$A129)*(INDEX(LH_Data,0,LH_ColSur)=$B129)*(INDEX(LH_Data,0,LH_ColCat)=BonusCat)*ROW(LH_Data)))))</f>
        <v/>
      </c>
    </row>
    <row r="130" customFormat="false" ht="15" hidden="false" customHeight="false" outlineLevel="0" collapsed="false">
      <c r="A130" s="15"/>
      <c r="B130" s="15"/>
      <c r="C130" s="15"/>
      <c r="D130" s="16"/>
      <c r="E130" s="10" t="str">
        <f aca="false">IF(OR(AE130=0,$D130=""),"",DATE(YEAR(AsOfDate)+IF(DATE(YEAR(AsOfDate),MONTH($D130),DAY($D130))&lt;=AsOfDate,1,0),MONTH($D130),DAY($D130)))</f>
        <v/>
      </c>
      <c r="F130" s="16"/>
      <c r="G130" s="16"/>
      <c r="H130" s="16"/>
      <c r="I130" s="16"/>
      <c r="J130" s="16"/>
      <c r="K130" s="10" t="str">
        <f aca="false">IF(AE130=0,"",DATE(YEAR(AsOfDate)+IF(DATE(YEAR(AsOfDate),MONTH($F130),DAY($F130))&lt;=AsOfDate,1,0),MONTH($F130),DAY($F130)))</f>
        <v/>
      </c>
      <c r="L130" s="11" t="str">
        <f aca="false">IF(AE130=0,"",ROUND((AsOfDate-$F130)/365.25,1))</f>
        <v/>
      </c>
      <c r="M130" s="12" t="str">
        <f aca="false">IF(AE130=0,"",IF(AsOfDate&lt;AF130,"-",DATEDIF(AF130,AsOfDate,"y")&amp;"y "&amp;DATEDIF(AF130,AsOfDate,"ym")&amp;"m "&amp;DATEDIF(AF130,AsOfDate,"md")&amp;"d"))</f>
        <v/>
      </c>
      <c r="N130" s="13" t="str">
        <f aca="false">IF(AE130=0,"",O130*HoursPerDay)</f>
        <v/>
      </c>
      <c r="O130" s="13" t="str">
        <f aca="false">IF(AE130=0,"",AX130)</f>
        <v/>
      </c>
      <c r="P130" s="17"/>
      <c r="Q130" s="12" t="str">
        <f aca="false">IF(AE130=0,"",IF(AG130&lt;2,"",AK130&amp;" to "&amp;AL130&amp;" on "&amp;TEXT(AI130,"dd/mm/yyyy")&amp;IF(AI130&gt;AsOfDate," (future)",IF(AN130=AO130,"",IF(AO130="None"," - STOPPED accruing",IF(AN130="None"," - now qualifying"," - pathway changed"))))&amp;IF(AG130&lt;3,"","; "&amp;AL130&amp;" to "&amp;AM130&amp;" on "&amp;TEXT(AJ130,"dd/mm/yyyy")&amp;IF(AJ130&gt;AsOfDate," (future)",IF(AO130=AP130,"",IF(AP130="None"," - STOPPED accruing",IF(AO130="None"," - now qualifying"," - pathway changed")))))))</f>
        <v/>
      </c>
      <c r="R130" s="12" t="str">
        <f aca="false">IF(AE130=0,"",IF(AQ130="None",IF(O130&gt;0,"No longer accruing","Not eligible - "&amp;IF(AND(OR(ISNUMBER(SEARCH("part",$C130)),UPPER(TRIM($C130))="PT",UPPER(TRIM($C130))="PTE"),$P130&lt;&gt;"",N($P130)&lt;PT_MinHours),"under "&amp;PT_MinHours&amp;" hrs",IF(IF($C130="","",IF(OR(ISNUMBER(SEARCH("full",$C130)),UPPER(TRIM($C130))="FT",UPPER(TRIM($C130))="FTE"),"Full-Time",IF(OR(ISNUMBER(SEARCH("part",$C130)),UPPER(TRIM($C130))="PT",UPPER(TRIM($C130))="PTE"),"Part-Time",IF(OR(ISNUMBER(SEARCH("cas",$C130)),UPPER(TRIM($C130))="CAS"),"Casual","Unknown"))))="Unknown","type not recognised",$C130))),IF(O130&gt;0,"Yes - accruing","Not yet - from "&amp;TEXT(S130,"dd/mm/yyyy"))))</f>
        <v/>
      </c>
      <c r="S130" s="10" t="str">
        <f aca="false">IF(AE130=0,"",IF(AQ130="None","",EDATE(AF130,AZ130)))</f>
        <v/>
      </c>
      <c r="T130" s="13" t="str">
        <f aca="false">IF(OR(AE130=0,W130=""),"",W130-U130+V130)</f>
        <v/>
      </c>
      <c r="U130" s="13" t="str">
        <f aca="false">IF(AE130=0,"",IF(NOT(LH_Ready),"",SUMIFS(INDEX(LH_Data,0,LH_ColAcc),INDEX(LH_Data,0,LH_ColFirst),$A130,INDEX(LH_Data,0,LH_ColSur),$B130,INDEX(LH_Data,0,LH_ColCat),BonusCat)*UnitFactor))</f>
        <v/>
      </c>
      <c r="V130" s="13" t="str">
        <f aca="false">IF(AE130=0,"",IF(NOT(LH_Ready),"",SUMIFS(INDEX(LH_Data,0,LH_ColTaken),INDEX(LH_Data,0,LH_ColFirst),$A130,INDEX(LH_Data,0,LH_ColSur),$B130,INDEX(LH_Data,0,LH_ColCat),BonusCat)*UnitFactor))</f>
        <v/>
      </c>
      <c r="W130" s="13" t="str">
        <f aca="false">IF(AE130=0,"",IF(NOT(LH_Ready),"",IF(BB130=0,0,INDEX(INDEX(LH_Data,0,LH_ColClose),BB130-1)*UnitFactor)))</f>
        <v/>
      </c>
      <c r="X130" s="13" t="str">
        <f aca="false">IF(AE130=0,"",(AX130-AY130)*HoursPerDay)</f>
        <v/>
      </c>
      <c r="Y130" s="13" t="str">
        <f aca="false">IF(AE130=0,"",IF(NOT(LH_Ready),"",IF(BA130=0,N130,X130-N(U130))))</f>
        <v/>
      </c>
      <c r="Z130" s="12" t="str">
        <f aca="false">IF(OR(AE130=0,Y130=""),"",IF(Y130&gt;0,"Yes","No"))</f>
        <v/>
      </c>
      <c r="AA130" s="12" t="str">
        <f aca="false">IF(AE130=0,IF(LEN($A130&amp;$B130)=0,"","FIX INPUT - StartDate missing"),IF(AD130&lt;&gt;"","FIX INPUT - "&amp;AD130,IF(NOT(LH_Ready),"Paste Leave History export (Settings must show YES)",IF(Y130&gt;0,"ACCRUE "&amp;ROUND(Y130,2)&amp;" hrs ("&amp;ROUND(Y130/HoursPerDay,2)&amp;" days)"&amp;IF(BA130=0," - no Bonus Leave in EH yet, full catch-up since start",""),IF(Y130&lt;0,"CHECK - EH accrued "&amp;ROUND(-Y130,2)&amp;""&amp;" hrs more than policy",IF(O130&gt;0,"OK - nothing to add",IF(AQ130="None",R130,"Not yet - first day on "&amp;TEXT(S130,"dd/mm/yyyy"))))))))</f>
        <v/>
      </c>
      <c r="AB130" s="13" t="str">
        <f aca="false">IF(OR(AE130=0,T130=""),"",AY130*HoursPerDay-T130)</f>
        <v/>
      </c>
      <c r="AC130" s="12" t="str">
        <f aca="false">IF(AE130=0,"",BA130)</f>
        <v/>
      </c>
      <c r="AD130" s="12" t="str">
        <f aca="false">IF(AE130=0,"",TRIM(IF(IF($C130="","",IF(OR(ISNUMBER(SEARCH("full",$C130)),UPPER(TRIM($C130))="FT",UPPER(TRIM($C130))="FTE"),"Full-Time",IF(OR(ISNUMBER(SEARCH("part",$C130)),UPPER(TRIM($C130))="PT",UPPER(TRIM($C130))="PTE"),"Part-Time",IF(OR(ISNUMBER(SEARCH("cas",$C130)),UPPER(TRIM($C130))="CAS"),"Casual","Unknown"))))="Unknown","EmploymentType not recognised - use Full-Time, Part-Time or Casual. ","")&amp;IF(AND(AG130&gt;=1,IF(AG130&gt;=3,AM130,IF(AG130=2,AL130,AK130))&lt;&gt;IF($C130="","",IF(OR(ISNUMBER(SEARCH("full",$C130)),UPPER(TRIM($C130))="FT",UPPER(TRIM($C130))="FTE"),"Full-Time",IF(OR(ISNUMBER(SEARCH("part",$C130)),UPPER(TRIM($C130))="PT",UPPER(TRIM($C130))="PTE"),"Part-Time",IF(OR(ISNUMBER(SEARCH("cas",$C130)),UPPER(TRIM($C130))="CAS"),"Casual","Unknown"))))),"EmploymentType does not match latest start date ("&amp;IF(AG130&gt;=3,AM130,IF(AG130=2,AL130,AK130))&amp;"). ","")&amp;IF(AND(AG130&gt;=1,AH130&lt;&gt;$F130),"Earliest type date should equal StartDate. ","")&amp;IF(AND(AG130&gt;=2,AH130=AI130),"Two types start on the same date. ","")&amp;IF(AND(OR(ISNUMBER(SEARCH("part",$C130)),UPPER(TRIM($C130))="PT",UPPER(TRIM($C130))="PTE"),$P130=""),"Part-time: enter PT Hrs/Week (blank = 24+). ","")))</f>
        <v/>
      </c>
      <c r="AE130" s="12" t="n">
        <f aca="false">IF(OR(LEN($A130&amp;$B130)=0,$F130=""),0,1)</f>
        <v>0</v>
      </c>
      <c r="AF130" s="10" t="str">
        <f aca="false">IF(AE130=0,"",IF($J130&lt;&gt;"",$J130,$F130))</f>
        <v/>
      </c>
      <c r="AG130" s="12" t="str">
        <f aca="false">IF(AE130=0,"",COUNT($G130:$I130))</f>
        <v/>
      </c>
      <c r="AH130" s="10" t="str">
        <f aca="false">IF(AE130=0,"",IFERROR(SMALL($G130:$I130,1),""))</f>
        <v/>
      </c>
      <c r="AI130" s="10" t="str">
        <f aca="false">IF(AE130=0,"",IFERROR(SMALL($G130:$I130,2),""))</f>
        <v/>
      </c>
      <c r="AJ130" s="10" t="str">
        <f aca="false">IF(AE130=0,"",IFERROR(SMALL($G130:$I130,3),""))</f>
        <v/>
      </c>
      <c r="AK130" s="12" t="str">
        <f aca="false">IF(AE130=0,"",IF(AH130="","",IF(AH130=$G130,"Part-Time",IF(AH130=$H130,"Full-Time","Casual"))))</f>
        <v/>
      </c>
      <c r="AL130" s="12" t="str">
        <f aca="false">IF(AE130=0,"",IF(AI130="","",IF(AI130=$G130,"Part-Time",IF(AI130=$H130,"Full-Time","Casual"))))</f>
        <v/>
      </c>
      <c r="AM130" s="12" t="str">
        <f aca="false">IF(AE130=0,"",IF(AJ130="","",IF(AJ130=$G130,"Part-Time",IF(AJ130=$H130,"Full-Time","Casual"))))</f>
        <v/>
      </c>
      <c r="AN130" s="12" t="str">
        <f aca="false">IF(AE130=0,"",IF(AG130=0,IF(OR(ISNUMBER(SEARCH("full",$C130)),UPPER(TRIM($C130))="FT",UPPER(TRIM($C130))="FTE"),"FT",IF(AND(OR(ISNUMBER(SEARCH("part",$C130)),UPPER(TRIM($C130))="PT",UPPER(TRIM($C130))="PTE"),OR($P130="",N($P130)&gt;=PT_MinHours)),"PT","None")),IF(OR(ISNUMBER(SEARCH("full",AK130)),UPPER(TRIM(AK130))="FT",UPPER(TRIM(AK130))="FTE"),"FT",IF(AND(OR(ISNUMBER(SEARCH("part",AK130)),UPPER(TRIM(AK130))="PT",UPPER(TRIM(AK130))="PTE"),OR($P130="",N($P130)&gt;=PT_MinHours)),"PT","None"))))</f>
        <v/>
      </c>
      <c r="AO130" s="12" t="str">
        <f aca="false">IF(AE130=0,"",IF(AG130&lt;2,"",IF(OR(ISNUMBER(SEARCH("full",AL130)),UPPER(TRIM(AL130))="FT",UPPER(TRIM(AL130))="FTE"),"FT",IF(AND(OR(ISNUMBER(SEARCH("part",AL130)),UPPER(TRIM(AL130))="PT",UPPER(TRIM(AL130))="PTE"),OR($P130="",N($P130)&gt;=PT_MinHours)),"PT","None"))))</f>
        <v/>
      </c>
      <c r="AP130" s="12" t="str">
        <f aca="false">IF(AE130=0,"",IF(AG130&lt;3,"",IF(OR(ISNUMBER(SEARCH("full",AM130)),UPPER(TRIM(AM130))="FT",UPPER(TRIM(AM130))="FTE"),"FT",IF(AND(OR(ISNUMBER(SEARCH("part",AM130)),UPPER(TRIM(AM130))="PT",UPPER(TRIM(AM130))="PTE"),OR($P130="",N($P130)&gt;=PT_MinHours)),"PT","None"))))</f>
        <v/>
      </c>
      <c r="AQ130" s="12" t="str">
        <f aca="false">IF(AE130=0,"",IF(AND(AG130&gt;=3,AJ130&lt;=AsOfDate),AP130,IF(AND(AG130&gt;=2,AI130&lt;=AsOfDate),AO130,AN130)))</f>
        <v/>
      </c>
      <c r="AR130" s="12" t="str">
        <f aca="false">IF(AE130=0,"",IF(AsOfDate&lt;AF130,-1,12*(YEAR(AsOfDate)-YEAR(AF130))+MONTH(AsOfDate)-MONTH(AF130)-IF(DAY(AsOfDate)&lt;MIN(DAY(AF130),DAY(EOMONTH(AsOfDate,0))),1,0)))</f>
        <v/>
      </c>
      <c r="AS130" s="12" t="str">
        <f aca="false">IF(AE130=0,"",IF(OR(AG130&lt;2,AI130&gt;AsOfDate),AR130,IF((AI130-1)&lt;AF130,-1,12*(YEAR((AI130-1))-YEAR(AF130))+MONTH((AI130-1))-MONTH(AF130)-IF(DAY((AI130-1))&lt;MIN(DAY(AF130),DAY(EOMONTH((AI130-1),0))),1,0))))</f>
        <v/>
      </c>
      <c r="AT130" s="12" t="str">
        <f aca="false">IF(AE130=0,"",IF(OR(AG130&lt;3,AJ130&gt;AsOfDate),AR130,IF((AJ130-1)&lt;AF130,-1,12*(YEAR((AJ130-1))-YEAR(AF130))+MONTH((AJ130-1))-MONTH(AF130)-IF(DAY((AJ130-1))&lt;MIN(DAY(AF130),DAY(EOMONTH((AJ130-1),0))),1,0))))</f>
        <v/>
      </c>
      <c r="AU130" s="12" t="str">
        <f aca="false">IF(AE130=0,"",IF(PFYDate&lt;AF130,-1,12*(YEAR(PFYDate)-YEAR(AF130))+MONTH(PFYDate)-MONTH(AF130)-IF(DAY(PFYDate)&lt;MIN(DAY(AF130),DAY(EOMONTH(PFYDate,0))),1,0)))</f>
        <v/>
      </c>
      <c r="AV130" s="12" t="str">
        <f aca="false">IF(AE130=0,"",IF(OR(AG130&lt;2,AI130&gt;PFYDate),AU130,IF((AI130-1)&lt;AF130,-1,12*(YEAR((AI130-1))-YEAR(AF130))+MONTH((AI130-1))-MONTH(AF130)-IF(DAY((AI130-1))&lt;MIN(DAY(AF130),DAY(EOMONTH((AI130-1),0))),1,0))))</f>
        <v/>
      </c>
      <c r="AW130" s="12" t="str">
        <f aca="false">IF(AE130=0,"",IF(OR(AG130&lt;3,AJ130&gt;PFYDate),AU130,IF((AJ130-1)&lt;AF130,-1,12*(YEAR((AJ130-1))-YEAR(AF130))+MONTH((AJ130-1))-MONTH(AF130)-IF(DAY((AJ130-1))&lt;MIN(DAY(AF130),DAY(EOMONTH((AJ130-1),0))),1,0))))</f>
        <v/>
      </c>
      <c r="AX130" s="12" t="str">
        <f aca="false">IF(AE130=0,"",IF(AN130="FT",IF(AS130&lt;FT_First,0,IF(AS130&lt;FT_Y5,1+INT((AS130-FT_First)/FT_Int1),FT_PreY5+FT_PerYear*INT((AS130-FT_Y5)/12)+FT_AnnivDays+INT(MOD(AS130-FT_Y5,12)/FT_Int2))),IF(AN130="PT",IF(AS130&lt;PT_First,0,1+INT((AS130-PT_First)/PT_Int)),0))+IF(AND(AG130&gt;=2,AI130&lt;=AsOfDate),IF(AO130="FT",IF(AT130&lt;FT_First,0,IF(AT130&lt;FT_Y5,1+INT((AT130-FT_First)/FT_Int1),FT_PreY5+FT_PerYear*INT((AT130-FT_Y5)/12)+FT_AnnivDays+INT(MOD(AT130-FT_Y5,12)/FT_Int2))),IF(AO130="PT",IF(AT130&lt;PT_First,0,1+INT((AT130-PT_First)/PT_Int)),0))-IF(AO130="FT",IF(AS130&lt;FT_First,0,IF(AS130&lt;FT_Y5,1+INT((AS130-FT_First)/FT_Int1),FT_PreY5+FT_PerYear*INT((AS130-FT_Y5)/12)+FT_AnnivDays+INT(MOD(AS130-FT_Y5,12)/FT_Int2))),IF(AO130="PT",IF(AS130&lt;PT_First,0,1+INT((AS130-PT_First)/PT_Int)),0)),0)+IF(AND(AG130&gt;=3,AJ130&lt;=AsOfDate),IF(AP130="FT",IF(AR130&lt;FT_First,0,IF(AR130&lt;FT_Y5,1+INT((AR130-FT_First)/FT_Int1),FT_PreY5+FT_PerYear*INT((AR130-FT_Y5)/12)+FT_AnnivDays+INT(MOD(AR130-FT_Y5,12)/FT_Int2))),IF(AP130="PT",IF(AR130&lt;PT_First,0,1+INT((AR130-PT_First)/PT_Int)),0))-IF(AP130="FT",IF(AT130&lt;FT_First,0,IF(AT130&lt;FT_Y5,1+INT((AT130-FT_First)/FT_Int1),FT_PreY5+FT_PerYear*INT((AT130-FT_Y5)/12)+FT_AnnivDays+INT(MOD(AT130-FT_Y5,12)/FT_Int2))),IF(AP130="PT",IF(AT130&lt;PT_First,0,1+INT((AT130-PT_First)/PT_Int)),0)),0))</f>
        <v/>
      </c>
      <c r="AY130" s="12" t="str">
        <f aca="false">IF(AE130=0,"",IF(AN130="FT",IF(AV130&lt;FT_First,0,IF(AV130&lt;FT_Y5,1+INT((AV130-FT_First)/FT_Int1),FT_PreY5+FT_PerYear*INT((AV130-FT_Y5)/12)+FT_AnnivDays+INT(MOD(AV130-FT_Y5,12)/FT_Int2))),IF(AN130="PT",IF(AV130&lt;PT_First,0,1+INT((AV130-PT_First)/PT_Int)),0))+IF(AND(AG130&gt;=2,AI130&lt;=PFYDate),IF(AO130="FT",IF(AW130&lt;FT_First,0,IF(AW130&lt;FT_Y5,1+INT((AW130-FT_First)/FT_Int1),FT_PreY5+FT_PerYear*INT((AW130-FT_Y5)/12)+FT_AnnivDays+INT(MOD(AW130-FT_Y5,12)/FT_Int2))),IF(AO130="PT",IF(AW130&lt;PT_First,0,1+INT((AW130-PT_First)/PT_Int)),0))-IF(AO130="FT",IF(AV130&lt;FT_First,0,IF(AV130&lt;FT_Y5,1+INT((AV130-FT_First)/FT_Int1),FT_PreY5+FT_PerYear*INT((AV130-FT_Y5)/12)+FT_AnnivDays+INT(MOD(AV130-FT_Y5,12)/FT_Int2))),IF(AO130="PT",IF(AV130&lt;PT_First,0,1+INT((AV130-PT_First)/PT_Int)),0)),0)+IF(AND(AG130&gt;=3,AJ130&lt;=PFYDate),IF(AP130="FT",IF(AU130&lt;FT_First,0,IF(AU130&lt;FT_Y5,1+INT((AU130-FT_First)/FT_Int1),FT_PreY5+FT_PerYear*INT((AU130-FT_Y5)/12)+FT_AnnivDays+INT(MOD(AU130-FT_Y5,12)/FT_Int2))),IF(AP130="PT",IF(AU130&lt;PT_First,0,1+INT((AU130-PT_First)/PT_Int)),0))-IF(AP130="FT",IF(AW130&lt;FT_First,0,IF(AW130&lt;FT_Y5,1+INT((AW130-FT_First)/FT_Int1),FT_PreY5+FT_PerYear*INT((AW130-FT_Y5)/12)+FT_AnnivDays+INT(MOD(AW130-FT_Y5,12)/FT_Int2))),IF(AP130="PT",IF(AW130&lt;PT_First,0,1+INT((AW130-PT_First)/PT_Int)),0)),0))</f>
        <v/>
      </c>
      <c r="AZ130" s="12" t="str">
        <f aca="false">IF(AE130=0,"",IF(AQ130="FT",IF(AR130&lt;FT_First,FT_First,IF(AR130&lt;FT_Y5,MIN(FT_Y5,FT_First+FT_Int1*(INT((AR130-FT_First)/FT_Int1)+1)),FT_Y5+12*INT((AR130-FT_Y5)/12)+FT_Int2*(INT(MOD(AR130-FT_Y5,12)/FT_Int2)+1))),IF(AQ130="PT",IF(AR130&lt;PT_First,PT_First,PT_First+PT_Int*(INT((AR130-PT_First)/PT_Int)+1)),"")))</f>
        <v/>
      </c>
      <c r="BA130" s="12" t="str">
        <f aca="false">IF(AE130=0,"",IF(NOT(LH_Ready),0,COUNTIFS(INDEX(LH_Data,0,LH_ColFirst),$A130,INDEX(LH_Data,0,LH_ColSur),$B130,INDEX(LH_Data,0,LH_ColCat),BonusCat)))</f>
        <v/>
      </c>
      <c r="BB130" s="12" t="str">
        <f aca="false">IF(AE130=0,"",IF(OR(NOT(LH_Ready),BA130=0),0,SUMPRODUCT(MAX((INDEX(LH_Data,0,LH_ColFirst)=$A130)*(INDEX(LH_Data,0,LH_ColSur)=$B130)*(INDEX(LH_Data,0,LH_ColCat)=BonusCat)*ROW(LH_Data)))))</f>
        <v/>
      </c>
    </row>
    <row r="131" customFormat="false" ht="15" hidden="false" customHeight="false" outlineLevel="0" collapsed="false">
      <c r="A131" s="15"/>
      <c r="B131" s="15"/>
      <c r="C131" s="15"/>
      <c r="D131" s="16"/>
      <c r="E131" s="10" t="str">
        <f aca="false">IF(OR(AE131=0,$D131=""),"",DATE(YEAR(AsOfDate)+IF(DATE(YEAR(AsOfDate),MONTH($D131),DAY($D131))&lt;=AsOfDate,1,0),MONTH($D131),DAY($D131)))</f>
        <v/>
      </c>
      <c r="F131" s="16"/>
      <c r="G131" s="16"/>
      <c r="H131" s="16"/>
      <c r="I131" s="16"/>
      <c r="J131" s="16"/>
      <c r="K131" s="10" t="str">
        <f aca="false">IF(AE131=0,"",DATE(YEAR(AsOfDate)+IF(DATE(YEAR(AsOfDate),MONTH($F131),DAY($F131))&lt;=AsOfDate,1,0),MONTH($F131),DAY($F131)))</f>
        <v/>
      </c>
      <c r="L131" s="11" t="str">
        <f aca="false">IF(AE131=0,"",ROUND((AsOfDate-$F131)/365.25,1))</f>
        <v/>
      </c>
      <c r="M131" s="12" t="str">
        <f aca="false">IF(AE131=0,"",IF(AsOfDate&lt;AF131,"-",DATEDIF(AF131,AsOfDate,"y")&amp;"y "&amp;DATEDIF(AF131,AsOfDate,"ym")&amp;"m "&amp;DATEDIF(AF131,AsOfDate,"md")&amp;"d"))</f>
        <v/>
      </c>
      <c r="N131" s="13" t="str">
        <f aca="false">IF(AE131=0,"",O131*HoursPerDay)</f>
        <v/>
      </c>
      <c r="O131" s="13" t="str">
        <f aca="false">IF(AE131=0,"",AX131)</f>
        <v/>
      </c>
      <c r="P131" s="17"/>
      <c r="Q131" s="12" t="str">
        <f aca="false">IF(AE131=0,"",IF(AG131&lt;2,"",AK131&amp;" to "&amp;AL131&amp;" on "&amp;TEXT(AI131,"dd/mm/yyyy")&amp;IF(AI131&gt;AsOfDate," (future)",IF(AN131=AO131,"",IF(AO131="None"," - STOPPED accruing",IF(AN131="None"," - now qualifying"," - pathway changed"))))&amp;IF(AG131&lt;3,"","; "&amp;AL131&amp;" to "&amp;AM131&amp;" on "&amp;TEXT(AJ131,"dd/mm/yyyy")&amp;IF(AJ131&gt;AsOfDate," (future)",IF(AO131=AP131,"",IF(AP131="None"," - STOPPED accruing",IF(AO131="None"," - now qualifying"," - pathway changed")))))))</f>
        <v/>
      </c>
      <c r="R131" s="12" t="str">
        <f aca="false">IF(AE131=0,"",IF(AQ131="None",IF(O131&gt;0,"No longer accruing","Not eligible - "&amp;IF(AND(OR(ISNUMBER(SEARCH("part",$C131)),UPPER(TRIM($C131))="PT",UPPER(TRIM($C131))="PTE"),$P131&lt;&gt;"",N($P131)&lt;PT_MinHours),"under "&amp;PT_MinHours&amp;" hrs",IF(IF($C131="","",IF(OR(ISNUMBER(SEARCH("full",$C131)),UPPER(TRIM($C131))="FT",UPPER(TRIM($C131))="FTE"),"Full-Time",IF(OR(ISNUMBER(SEARCH("part",$C131)),UPPER(TRIM($C131))="PT",UPPER(TRIM($C131))="PTE"),"Part-Time",IF(OR(ISNUMBER(SEARCH("cas",$C131)),UPPER(TRIM($C131))="CAS"),"Casual","Unknown"))))="Unknown","type not recognised",$C131))),IF(O131&gt;0,"Yes - accruing","Not yet - from "&amp;TEXT(S131,"dd/mm/yyyy"))))</f>
        <v/>
      </c>
      <c r="S131" s="10" t="str">
        <f aca="false">IF(AE131=0,"",IF(AQ131="None","",EDATE(AF131,AZ131)))</f>
        <v/>
      </c>
      <c r="T131" s="13" t="str">
        <f aca="false">IF(OR(AE131=0,W131=""),"",W131-U131+V131)</f>
        <v/>
      </c>
      <c r="U131" s="13" t="str">
        <f aca="false">IF(AE131=0,"",IF(NOT(LH_Ready),"",SUMIFS(INDEX(LH_Data,0,LH_ColAcc),INDEX(LH_Data,0,LH_ColFirst),$A131,INDEX(LH_Data,0,LH_ColSur),$B131,INDEX(LH_Data,0,LH_ColCat),BonusCat)*UnitFactor))</f>
        <v/>
      </c>
      <c r="V131" s="13" t="str">
        <f aca="false">IF(AE131=0,"",IF(NOT(LH_Ready),"",SUMIFS(INDEX(LH_Data,0,LH_ColTaken),INDEX(LH_Data,0,LH_ColFirst),$A131,INDEX(LH_Data,0,LH_ColSur),$B131,INDEX(LH_Data,0,LH_ColCat),BonusCat)*UnitFactor))</f>
        <v/>
      </c>
      <c r="W131" s="13" t="str">
        <f aca="false">IF(AE131=0,"",IF(NOT(LH_Ready),"",IF(BB131=0,0,INDEX(INDEX(LH_Data,0,LH_ColClose),BB131-1)*UnitFactor)))</f>
        <v/>
      </c>
      <c r="X131" s="13" t="str">
        <f aca="false">IF(AE131=0,"",(AX131-AY131)*HoursPerDay)</f>
        <v/>
      </c>
      <c r="Y131" s="13" t="str">
        <f aca="false">IF(AE131=0,"",IF(NOT(LH_Ready),"",IF(BA131=0,N131,X131-N(U131))))</f>
        <v/>
      </c>
      <c r="Z131" s="12" t="str">
        <f aca="false">IF(OR(AE131=0,Y131=""),"",IF(Y131&gt;0,"Yes","No"))</f>
        <v/>
      </c>
      <c r="AA131" s="12" t="str">
        <f aca="false">IF(AE131=0,IF(LEN($A131&amp;$B131)=0,"","FIX INPUT - StartDate missing"),IF(AD131&lt;&gt;"","FIX INPUT - "&amp;AD131,IF(NOT(LH_Ready),"Paste Leave History export (Settings must show YES)",IF(Y131&gt;0,"ACCRUE "&amp;ROUND(Y131,2)&amp;" hrs ("&amp;ROUND(Y131/HoursPerDay,2)&amp;" days)"&amp;IF(BA131=0," - no Bonus Leave in EH yet, full catch-up since start",""),IF(Y131&lt;0,"CHECK - EH accrued "&amp;ROUND(-Y131,2)&amp;""&amp;" hrs more than policy",IF(O131&gt;0,"OK - nothing to add",IF(AQ131="None",R131,"Not yet - first day on "&amp;TEXT(S131,"dd/mm/yyyy"))))))))</f>
        <v/>
      </c>
      <c r="AB131" s="13" t="str">
        <f aca="false">IF(OR(AE131=0,T131=""),"",AY131*HoursPerDay-T131)</f>
        <v/>
      </c>
      <c r="AC131" s="12" t="str">
        <f aca="false">IF(AE131=0,"",BA131)</f>
        <v/>
      </c>
      <c r="AD131" s="12" t="str">
        <f aca="false">IF(AE131=0,"",TRIM(IF(IF($C131="","",IF(OR(ISNUMBER(SEARCH("full",$C131)),UPPER(TRIM($C131))="FT",UPPER(TRIM($C131))="FTE"),"Full-Time",IF(OR(ISNUMBER(SEARCH("part",$C131)),UPPER(TRIM($C131))="PT",UPPER(TRIM($C131))="PTE"),"Part-Time",IF(OR(ISNUMBER(SEARCH("cas",$C131)),UPPER(TRIM($C131))="CAS"),"Casual","Unknown"))))="Unknown","EmploymentType not recognised - use Full-Time, Part-Time or Casual. ","")&amp;IF(AND(AG131&gt;=1,IF(AG131&gt;=3,AM131,IF(AG131=2,AL131,AK131))&lt;&gt;IF($C131="","",IF(OR(ISNUMBER(SEARCH("full",$C131)),UPPER(TRIM($C131))="FT",UPPER(TRIM($C131))="FTE"),"Full-Time",IF(OR(ISNUMBER(SEARCH("part",$C131)),UPPER(TRIM($C131))="PT",UPPER(TRIM($C131))="PTE"),"Part-Time",IF(OR(ISNUMBER(SEARCH("cas",$C131)),UPPER(TRIM($C131))="CAS"),"Casual","Unknown"))))),"EmploymentType does not match latest start date ("&amp;IF(AG131&gt;=3,AM131,IF(AG131=2,AL131,AK131))&amp;"). ","")&amp;IF(AND(AG131&gt;=1,AH131&lt;&gt;$F131),"Earliest type date should equal StartDate. ","")&amp;IF(AND(AG131&gt;=2,AH131=AI131),"Two types start on the same date. ","")&amp;IF(AND(OR(ISNUMBER(SEARCH("part",$C131)),UPPER(TRIM($C131))="PT",UPPER(TRIM($C131))="PTE"),$P131=""),"Part-time: enter PT Hrs/Week (blank = 24+). ","")))</f>
        <v/>
      </c>
      <c r="AE131" s="12" t="n">
        <f aca="false">IF(OR(LEN($A131&amp;$B131)=0,$F131=""),0,1)</f>
        <v>0</v>
      </c>
      <c r="AF131" s="10" t="str">
        <f aca="false">IF(AE131=0,"",IF($J131&lt;&gt;"",$J131,$F131))</f>
        <v/>
      </c>
      <c r="AG131" s="12" t="str">
        <f aca="false">IF(AE131=0,"",COUNT($G131:$I131))</f>
        <v/>
      </c>
      <c r="AH131" s="10" t="str">
        <f aca="false">IF(AE131=0,"",IFERROR(SMALL($G131:$I131,1),""))</f>
        <v/>
      </c>
      <c r="AI131" s="10" t="str">
        <f aca="false">IF(AE131=0,"",IFERROR(SMALL($G131:$I131,2),""))</f>
        <v/>
      </c>
      <c r="AJ131" s="10" t="str">
        <f aca="false">IF(AE131=0,"",IFERROR(SMALL($G131:$I131,3),""))</f>
        <v/>
      </c>
      <c r="AK131" s="12" t="str">
        <f aca="false">IF(AE131=0,"",IF(AH131="","",IF(AH131=$G131,"Part-Time",IF(AH131=$H131,"Full-Time","Casual"))))</f>
        <v/>
      </c>
      <c r="AL131" s="12" t="str">
        <f aca="false">IF(AE131=0,"",IF(AI131="","",IF(AI131=$G131,"Part-Time",IF(AI131=$H131,"Full-Time","Casual"))))</f>
        <v/>
      </c>
      <c r="AM131" s="12" t="str">
        <f aca="false">IF(AE131=0,"",IF(AJ131="","",IF(AJ131=$G131,"Part-Time",IF(AJ131=$H131,"Full-Time","Casual"))))</f>
        <v/>
      </c>
      <c r="AN131" s="12" t="str">
        <f aca="false">IF(AE131=0,"",IF(AG131=0,IF(OR(ISNUMBER(SEARCH("full",$C131)),UPPER(TRIM($C131))="FT",UPPER(TRIM($C131))="FTE"),"FT",IF(AND(OR(ISNUMBER(SEARCH("part",$C131)),UPPER(TRIM($C131))="PT",UPPER(TRIM($C131))="PTE"),OR($P131="",N($P131)&gt;=PT_MinHours)),"PT","None")),IF(OR(ISNUMBER(SEARCH("full",AK131)),UPPER(TRIM(AK131))="FT",UPPER(TRIM(AK131))="FTE"),"FT",IF(AND(OR(ISNUMBER(SEARCH("part",AK131)),UPPER(TRIM(AK131))="PT",UPPER(TRIM(AK131))="PTE"),OR($P131="",N($P131)&gt;=PT_MinHours)),"PT","None"))))</f>
        <v/>
      </c>
      <c r="AO131" s="12" t="str">
        <f aca="false">IF(AE131=0,"",IF(AG131&lt;2,"",IF(OR(ISNUMBER(SEARCH("full",AL131)),UPPER(TRIM(AL131))="FT",UPPER(TRIM(AL131))="FTE"),"FT",IF(AND(OR(ISNUMBER(SEARCH("part",AL131)),UPPER(TRIM(AL131))="PT",UPPER(TRIM(AL131))="PTE"),OR($P131="",N($P131)&gt;=PT_MinHours)),"PT","None"))))</f>
        <v/>
      </c>
      <c r="AP131" s="12" t="str">
        <f aca="false">IF(AE131=0,"",IF(AG131&lt;3,"",IF(OR(ISNUMBER(SEARCH("full",AM131)),UPPER(TRIM(AM131))="FT",UPPER(TRIM(AM131))="FTE"),"FT",IF(AND(OR(ISNUMBER(SEARCH("part",AM131)),UPPER(TRIM(AM131))="PT",UPPER(TRIM(AM131))="PTE"),OR($P131="",N($P131)&gt;=PT_MinHours)),"PT","None"))))</f>
        <v/>
      </c>
      <c r="AQ131" s="12" t="str">
        <f aca="false">IF(AE131=0,"",IF(AND(AG131&gt;=3,AJ131&lt;=AsOfDate),AP131,IF(AND(AG131&gt;=2,AI131&lt;=AsOfDate),AO131,AN131)))</f>
        <v/>
      </c>
      <c r="AR131" s="12" t="str">
        <f aca="false">IF(AE131=0,"",IF(AsOfDate&lt;AF131,-1,12*(YEAR(AsOfDate)-YEAR(AF131))+MONTH(AsOfDate)-MONTH(AF131)-IF(DAY(AsOfDate)&lt;MIN(DAY(AF131),DAY(EOMONTH(AsOfDate,0))),1,0)))</f>
        <v/>
      </c>
      <c r="AS131" s="12" t="str">
        <f aca="false">IF(AE131=0,"",IF(OR(AG131&lt;2,AI131&gt;AsOfDate),AR131,IF((AI131-1)&lt;AF131,-1,12*(YEAR((AI131-1))-YEAR(AF131))+MONTH((AI131-1))-MONTH(AF131)-IF(DAY((AI131-1))&lt;MIN(DAY(AF131),DAY(EOMONTH((AI131-1),0))),1,0))))</f>
        <v/>
      </c>
      <c r="AT131" s="12" t="str">
        <f aca="false">IF(AE131=0,"",IF(OR(AG131&lt;3,AJ131&gt;AsOfDate),AR131,IF((AJ131-1)&lt;AF131,-1,12*(YEAR((AJ131-1))-YEAR(AF131))+MONTH((AJ131-1))-MONTH(AF131)-IF(DAY((AJ131-1))&lt;MIN(DAY(AF131),DAY(EOMONTH((AJ131-1),0))),1,0))))</f>
        <v/>
      </c>
      <c r="AU131" s="12" t="str">
        <f aca="false">IF(AE131=0,"",IF(PFYDate&lt;AF131,-1,12*(YEAR(PFYDate)-YEAR(AF131))+MONTH(PFYDate)-MONTH(AF131)-IF(DAY(PFYDate)&lt;MIN(DAY(AF131),DAY(EOMONTH(PFYDate,0))),1,0)))</f>
        <v/>
      </c>
      <c r="AV131" s="12" t="str">
        <f aca="false">IF(AE131=0,"",IF(OR(AG131&lt;2,AI131&gt;PFYDate),AU131,IF((AI131-1)&lt;AF131,-1,12*(YEAR((AI131-1))-YEAR(AF131))+MONTH((AI131-1))-MONTH(AF131)-IF(DAY((AI131-1))&lt;MIN(DAY(AF131),DAY(EOMONTH((AI131-1),0))),1,0))))</f>
        <v/>
      </c>
      <c r="AW131" s="12" t="str">
        <f aca="false">IF(AE131=0,"",IF(OR(AG131&lt;3,AJ131&gt;PFYDate),AU131,IF((AJ131-1)&lt;AF131,-1,12*(YEAR((AJ131-1))-YEAR(AF131))+MONTH((AJ131-1))-MONTH(AF131)-IF(DAY((AJ131-1))&lt;MIN(DAY(AF131),DAY(EOMONTH((AJ131-1),0))),1,0))))</f>
        <v/>
      </c>
      <c r="AX131" s="12" t="str">
        <f aca="false">IF(AE131=0,"",IF(AN131="FT",IF(AS131&lt;FT_First,0,IF(AS131&lt;FT_Y5,1+INT((AS131-FT_First)/FT_Int1),FT_PreY5+FT_PerYear*INT((AS131-FT_Y5)/12)+FT_AnnivDays+INT(MOD(AS131-FT_Y5,12)/FT_Int2))),IF(AN131="PT",IF(AS131&lt;PT_First,0,1+INT((AS131-PT_First)/PT_Int)),0))+IF(AND(AG131&gt;=2,AI131&lt;=AsOfDate),IF(AO131="FT",IF(AT131&lt;FT_First,0,IF(AT131&lt;FT_Y5,1+INT((AT131-FT_First)/FT_Int1),FT_PreY5+FT_PerYear*INT((AT131-FT_Y5)/12)+FT_AnnivDays+INT(MOD(AT131-FT_Y5,12)/FT_Int2))),IF(AO131="PT",IF(AT131&lt;PT_First,0,1+INT((AT131-PT_First)/PT_Int)),0))-IF(AO131="FT",IF(AS131&lt;FT_First,0,IF(AS131&lt;FT_Y5,1+INT((AS131-FT_First)/FT_Int1),FT_PreY5+FT_PerYear*INT((AS131-FT_Y5)/12)+FT_AnnivDays+INT(MOD(AS131-FT_Y5,12)/FT_Int2))),IF(AO131="PT",IF(AS131&lt;PT_First,0,1+INT((AS131-PT_First)/PT_Int)),0)),0)+IF(AND(AG131&gt;=3,AJ131&lt;=AsOfDate),IF(AP131="FT",IF(AR131&lt;FT_First,0,IF(AR131&lt;FT_Y5,1+INT((AR131-FT_First)/FT_Int1),FT_PreY5+FT_PerYear*INT((AR131-FT_Y5)/12)+FT_AnnivDays+INT(MOD(AR131-FT_Y5,12)/FT_Int2))),IF(AP131="PT",IF(AR131&lt;PT_First,0,1+INT((AR131-PT_First)/PT_Int)),0))-IF(AP131="FT",IF(AT131&lt;FT_First,0,IF(AT131&lt;FT_Y5,1+INT((AT131-FT_First)/FT_Int1),FT_PreY5+FT_PerYear*INT((AT131-FT_Y5)/12)+FT_AnnivDays+INT(MOD(AT131-FT_Y5,12)/FT_Int2))),IF(AP131="PT",IF(AT131&lt;PT_First,0,1+INT((AT131-PT_First)/PT_Int)),0)),0))</f>
        <v/>
      </c>
      <c r="AY131" s="12" t="str">
        <f aca="false">IF(AE131=0,"",IF(AN131="FT",IF(AV131&lt;FT_First,0,IF(AV131&lt;FT_Y5,1+INT((AV131-FT_First)/FT_Int1),FT_PreY5+FT_PerYear*INT((AV131-FT_Y5)/12)+FT_AnnivDays+INT(MOD(AV131-FT_Y5,12)/FT_Int2))),IF(AN131="PT",IF(AV131&lt;PT_First,0,1+INT((AV131-PT_First)/PT_Int)),0))+IF(AND(AG131&gt;=2,AI131&lt;=PFYDate),IF(AO131="FT",IF(AW131&lt;FT_First,0,IF(AW131&lt;FT_Y5,1+INT((AW131-FT_First)/FT_Int1),FT_PreY5+FT_PerYear*INT((AW131-FT_Y5)/12)+FT_AnnivDays+INT(MOD(AW131-FT_Y5,12)/FT_Int2))),IF(AO131="PT",IF(AW131&lt;PT_First,0,1+INT((AW131-PT_First)/PT_Int)),0))-IF(AO131="FT",IF(AV131&lt;FT_First,0,IF(AV131&lt;FT_Y5,1+INT((AV131-FT_First)/FT_Int1),FT_PreY5+FT_PerYear*INT((AV131-FT_Y5)/12)+FT_AnnivDays+INT(MOD(AV131-FT_Y5,12)/FT_Int2))),IF(AO131="PT",IF(AV131&lt;PT_First,0,1+INT((AV131-PT_First)/PT_Int)),0)),0)+IF(AND(AG131&gt;=3,AJ131&lt;=PFYDate),IF(AP131="FT",IF(AU131&lt;FT_First,0,IF(AU131&lt;FT_Y5,1+INT((AU131-FT_First)/FT_Int1),FT_PreY5+FT_PerYear*INT((AU131-FT_Y5)/12)+FT_AnnivDays+INT(MOD(AU131-FT_Y5,12)/FT_Int2))),IF(AP131="PT",IF(AU131&lt;PT_First,0,1+INT((AU131-PT_First)/PT_Int)),0))-IF(AP131="FT",IF(AW131&lt;FT_First,0,IF(AW131&lt;FT_Y5,1+INT((AW131-FT_First)/FT_Int1),FT_PreY5+FT_PerYear*INT((AW131-FT_Y5)/12)+FT_AnnivDays+INT(MOD(AW131-FT_Y5,12)/FT_Int2))),IF(AP131="PT",IF(AW131&lt;PT_First,0,1+INT((AW131-PT_First)/PT_Int)),0)),0))</f>
        <v/>
      </c>
      <c r="AZ131" s="12" t="str">
        <f aca="false">IF(AE131=0,"",IF(AQ131="FT",IF(AR131&lt;FT_First,FT_First,IF(AR131&lt;FT_Y5,MIN(FT_Y5,FT_First+FT_Int1*(INT((AR131-FT_First)/FT_Int1)+1)),FT_Y5+12*INT((AR131-FT_Y5)/12)+FT_Int2*(INT(MOD(AR131-FT_Y5,12)/FT_Int2)+1))),IF(AQ131="PT",IF(AR131&lt;PT_First,PT_First,PT_First+PT_Int*(INT((AR131-PT_First)/PT_Int)+1)),"")))</f>
        <v/>
      </c>
      <c r="BA131" s="12" t="str">
        <f aca="false">IF(AE131=0,"",IF(NOT(LH_Ready),0,COUNTIFS(INDEX(LH_Data,0,LH_ColFirst),$A131,INDEX(LH_Data,0,LH_ColSur),$B131,INDEX(LH_Data,0,LH_ColCat),BonusCat)))</f>
        <v/>
      </c>
      <c r="BB131" s="12" t="str">
        <f aca="false">IF(AE131=0,"",IF(OR(NOT(LH_Ready),BA131=0),0,SUMPRODUCT(MAX((INDEX(LH_Data,0,LH_ColFirst)=$A131)*(INDEX(LH_Data,0,LH_ColSur)=$B131)*(INDEX(LH_Data,0,LH_ColCat)=BonusCat)*ROW(LH_Data)))))</f>
        <v/>
      </c>
    </row>
    <row r="132" customFormat="false" ht="15" hidden="false" customHeight="false" outlineLevel="0" collapsed="false">
      <c r="A132" s="15"/>
      <c r="B132" s="15"/>
      <c r="C132" s="15"/>
      <c r="D132" s="16"/>
      <c r="E132" s="10" t="str">
        <f aca="false">IF(OR(AE132=0,$D132=""),"",DATE(YEAR(AsOfDate)+IF(DATE(YEAR(AsOfDate),MONTH($D132),DAY($D132))&lt;=AsOfDate,1,0),MONTH($D132),DAY($D132)))</f>
        <v/>
      </c>
      <c r="F132" s="16"/>
      <c r="G132" s="16"/>
      <c r="H132" s="16"/>
      <c r="I132" s="16"/>
      <c r="J132" s="16"/>
      <c r="K132" s="10" t="str">
        <f aca="false">IF(AE132=0,"",DATE(YEAR(AsOfDate)+IF(DATE(YEAR(AsOfDate),MONTH($F132),DAY($F132))&lt;=AsOfDate,1,0),MONTH($F132),DAY($F132)))</f>
        <v/>
      </c>
      <c r="L132" s="11" t="str">
        <f aca="false">IF(AE132=0,"",ROUND((AsOfDate-$F132)/365.25,1))</f>
        <v/>
      </c>
      <c r="M132" s="12" t="str">
        <f aca="false">IF(AE132=0,"",IF(AsOfDate&lt;AF132,"-",DATEDIF(AF132,AsOfDate,"y")&amp;"y "&amp;DATEDIF(AF132,AsOfDate,"ym")&amp;"m "&amp;DATEDIF(AF132,AsOfDate,"md")&amp;"d"))</f>
        <v/>
      </c>
      <c r="N132" s="13" t="str">
        <f aca="false">IF(AE132=0,"",O132*HoursPerDay)</f>
        <v/>
      </c>
      <c r="O132" s="13" t="str">
        <f aca="false">IF(AE132=0,"",AX132)</f>
        <v/>
      </c>
      <c r="P132" s="17"/>
      <c r="Q132" s="12" t="str">
        <f aca="false">IF(AE132=0,"",IF(AG132&lt;2,"",AK132&amp;" to "&amp;AL132&amp;" on "&amp;TEXT(AI132,"dd/mm/yyyy")&amp;IF(AI132&gt;AsOfDate," (future)",IF(AN132=AO132,"",IF(AO132="None"," - STOPPED accruing",IF(AN132="None"," - now qualifying"," - pathway changed"))))&amp;IF(AG132&lt;3,"","; "&amp;AL132&amp;" to "&amp;AM132&amp;" on "&amp;TEXT(AJ132,"dd/mm/yyyy")&amp;IF(AJ132&gt;AsOfDate," (future)",IF(AO132=AP132,"",IF(AP132="None"," - STOPPED accruing",IF(AO132="None"," - now qualifying"," - pathway changed")))))))</f>
        <v/>
      </c>
      <c r="R132" s="12" t="str">
        <f aca="false">IF(AE132=0,"",IF(AQ132="None",IF(O132&gt;0,"No longer accruing","Not eligible - "&amp;IF(AND(OR(ISNUMBER(SEARCH("part",$C132)),UPPER(TRIM($C132))="PT",UPPER(TRIM($C132))="PTE"),$P132&lt;&gt;"",N($P132)&lt;PT_MinHours),"under "&amp;PT_MinHours&amp;" hrs",IF(IF($C132="","",IF(OR(ISNUMBER(SEARCH("full",$C132)),UPPER(TRIM($C132))="FT",UPPER(TRIM($C132))="FTE"),"Full-Time",IF(OR(ISNUMBER(SEARCH("part",$C132)),UPPER(TRIM($C132))="PT",UPPER(TRIM($C132))="PTE"),"Part-Time",IF(OR(ISNUMBER(SEARCH("cas",$C132)),UPPER(TRIM($C132))="CAS"),"Casual","Unknown"))))="Unknown","type not recognised",$C132))),IF(O132&gt;0,"Yes - accruing","Not yet - from "&amp;TEXT(S132,"dd/mm/yyyy"))))</f>
        <v/>
      </c>
      <c r="S132" s="10" t="str">
        <f aca="false">IF(AE132=0,"",IF(AQ132="None","",EDATE(AF132,AZ132)))</f>
        <v/>
      </c>
      <c r="T132" s="13" t="str">
        <f aca="false">IF(OR(AE132=0,W132=""),"",W132-U132+V132)</f>
        <v/>
      </c>
      <c r="U132" s="13" t="str">
        <f aca="false">IF(AE132=0,"",IF(NOT(LH_Ready),"",SUMIFS(INDEX(LH_Data,0,LH_ColAcc),INDEX(LH_Data,0,LH_ColFirst),$A132,INDEX(LH_Data,0,LH_ColSur),$B132,INDEX(LH_Data,0,LH_ColCat),BonusCat)*UnitFactor))</f>
        <v/>
      </c>
      <c r="V132" s="13" t="str">
        <f aca="false">IF(AE132=0,"",IF(NOT(LH_Ready),"",SUMIFS(INDEX(LH_Data,0,LH_ColTaken),INDEX(LH_Data,0,LH_ColFirst),$A132,INDEX(LH_Data,0,LH_ColSur),$B132,INDEX(LH_Data,0,LH_ColCat),BonusCat)*UnitFactor))</f>
        <v/>
      </c>
      <c r="W132" s="13" t="str">
        <f aca="false">IF(AE132=0,"",IF(NOT(LH_Ready),"",IF(BB132=0,0,INDEX(INDEX(LH_Data,0,LH_ColClose),BB132-1)*UnitFactor)))</f>
        <v/>
      </c>
      <c r="X132" s="13" t="str">
        <f aca="false">IF(AE132=0,"",(AX132-AY132)*HoursPerDay)</f>
        <v/>
      </c>
      <c r="Y132" s="13" t="str">
        <f aca="false">IF(AE132=0,"",IF(NOT(LH_Ready),"",IF(BA132=0,N132,X132-N(U132))))</f>
        <v/>
      </c>
      <c r="Z132" s="12" t="str">
        <f aca="false">IF(OR(AE132=0,Y132=""),"",IF(Y132&gt;0,"Yes","No"))</f>
        <v/>
      </c>
      <c r="AA132" s="12" t="str">
        <f aca="false">IF(AE132=0,IF(LEN($A132&amp;$B132)=0,"","FIX INPUT - StartDate missing"),IF(AD132&lt;&gt;"","FIX INPUT - "&amp;AD132,IF(NOT(LH_Ready),"Paste Leave History export (Settings must show YES)",IF(Y132&gt;0,"ACCRUE "&amp;ROUND(Y132,2)&amp;" hrs ("&amp;ROUND(Y132/HoursPerDay,2)&amp;" days)"&amp;IF(BA132=0," - no Bonus Leave in EH yet, full catch-up since start",""),IF(Y132&lt;0,"CHECK - EH accrued "&amp;ROUND(-Y132,2)&amp;""&amp;" hrs more than policy",IF(O132&gt;0,"OK - nothing to add",IF(AQ132="None",R132,"Not yet - first day on "&amp;TEXT(S132,"dd/mm/yyyy"))))))))</f>
        <v/>
      </c>
      <c r="AB132" s="13" t="str">
        <f aca="false">IF(OR(AE132=0,T132=""),"",AY132*HoursPerDay-T132)</f>
        <v/>
      </c>
      <c r="AC132" s="12" t="str">
        <f aca="false">IF(AE132=0,"",BA132)</f>
        <v/>
      </c>
      <c r="AD132" s="12" t="str">
        <f aca="false">IF(AE132=0,"",TRIM(IF(IF($C132="","",IF(OR(ISNUMBER(SEARCH("full",$C132)),UPPER(TRIM($C132))="FT",UPPER(TRIM($C132))="FTE"),"Full-Time",IF(OR(ISNUMBER(SEARCH("part",$C132)),UPPER(TRIM($C132))="PT",UPPER(TRIM($C132))="PTE"),"Part-Time",IF(OR(ISNUMBER(SEARCH("cas",$C132)),UPPER(TRIM($C132))="CAS"),"Casual","Unknown"))))="Unknown","EmploymentType not recognised - use Full-Time, Part-Time or Casual. ","")&amp;IF(AND(AG132&gt;=1,IF(AG132&gt;=3,AM132,IF(AG132=2,AL132,AK132))&lt;&gt;IF($C132="","",IF(OR(ISNUMBER(SEARCH("full",$C132)),UPPER(TRIM($C132))="FT",UPPER(TRIM($C132))="FTE"),"Full-Time",IF(OR(ISNUMBER(SEARCH("part",$C132)),UPPER(TRIM($C132))="PT",UPPER(TRIM($C132))="PTE"),"Part-Time",IF(OR(ISNUMBER(SEARCH("cas",$C132)),UPPER(TRIM($C132))="CAS"),"Casual","Unknown"))))),"EmploymentType does not match latest start date ("&amp;IF(AG132&gt;=3,AM132,IF(AG132=2,AL132,AK132))&amp;"). ","")&amp;IF(AND(AG132&gt;=1,AH132&lt;&gt;$F132),"Earliest type date should equal StartDate. ","")&amp;IF(AND(AG132&gt;=2,AH132=AI132),"Two types start on the same date. ","")&amp;IF(AND(OR(ISNUMBER(SEARCH("part",$C132)),UPPER(TRIM($C132))="PT",UPPER(TRIM($C132))="PTE"),$P132=""),"Part-time: enter PT Hrs/Week (blank = 24+). ","")))</f>
        <v/>
      </c>
      <c r="AE132" s="12" t="n">
        <f aca="false">IF(OR(LEN($A132&amp;$B132)=0,$F132=""),0,1)</f>
        <v>0</v>
      </c>
      <c r="AF132" s="10" t="str">
        <f aca="false">IF(AE132=0,"",IF($J132&lt;&gt;"",$J132,$F132))</f>
        <v/>
      </c>
      <c r="AG132" s="12" t="str">
        <f aca="false">IF(AE132=0,"",COUNT($G132:$I132))</f>
        <v/>
      </c>
      <c r="AH132" s="10" t="str">
        <f aca="false">IF(AE132=0,"",IFERROR(SMALL($G132:$I132,1),""))</f>
        <v/>
      </c>
      <c r="AI132" s="10" t="str">
        <f aca="false">IF(AE132=0,"",IFERROR(SMALL($G132:$I132,2),""))</f>
        <v/>
      </c>
      <c r="AJ132" s="10" t="str">
        <f aca="false">IF(AE132=0,"",IFERROR(SMALL($G132:$I132,3),""))</f>
        <v/>
      </c>
      <c r="AK132" s="12" t="str">
        <f aca="false">IF(AE132=0,"",IF(AH132="","",IF(AH132=$G132,"Part-Time",IF(AH132=$H132,"Full-Time","Casual"))))</f>
        <v/>
      </c>
      <c r="AL132" s="12" t="str">
        <f aca="false">IF(AE132=0,"",IF(AI132="","",IF(AI132=$G132,"Part-Time",IF(AI132=$H132,"Full-Time","Casual"))))</f>
        <v/>
      </c>
      <c r="AM132" s="12" t="str">
        <f aca="false">IF(AE132=0,"",IF(AJ132="","",IF(AJ132=$G132,"Part-Time",IF(AJ132=$H132,"Full-Time","Casual"))))</f>
        <v/>
      </c>
      <c r="AN132" s="12" t="str">
        <f aca="false">IF(AE132=0,"",IF(AG132=0,IF(OR(ISNUMBER(SEARCH("full",$C132)),UPPER(TRIM($C132))="FT",UPPER(TRIM($C132))="FTE"),"FT",IF(AND(OR(ISNUMBER(SEARCH("part",$C132)),UPPER(TRIM($C132))="PT",UPPER(TRIM($C132))="PTE"),OR($P132="",N($P132)&gt;=PT_MinHours)),"PT","None")),IF(OR(ISNUMBER(SEARCH("full",AK132)),UPPER(TRIM(AK132))="FT",UPPER(TRIM(AK132))="FTE"),"FT",IF(AND(OR(ISNUMBER(SEARCH("part",AK132)),UPPER(TRIM(AK132))="PT",UPPER(TRIM(AK132))="PTE"),OR($P132="",N($P132)&gt;=PT_MinHours)),"PT","None"))))</f>
        <v/>
      </c>
      <c r="AO132" s="12" t="str">
        <f aca="false">IF(AE132=0,"",IF(AG132&lt;2,"",IF(OR(ISNUMBER(SEARCH("full",AL132)),UPPER(TRIM(AL132))="FT",UPPER(TRIM(AL132))="FTE"),"FT",IF(AND(OR(ISNUMBER(SEARCH("part",AL132)),UPPER(TRIM(AL132))="PT",UPPER(TRIM(AL132))="PTE"),OR($P132="",N($P132)&gt;=PT_MinHours)),"PT","None"))))</f>
        <v/>
      </c>
      <c r="AP132" s="12" t="str">
        <f aca="false">IF(AE132=0,"",IF(AG132&lt;3,"",IF(OR(ISNUMBER(SEARCH("full",AM132)),UPPER(TRIM(AM132))="FT",UPPER(TRIM(AM132))="FTE"),"FT",IF(AND(OR(ISNUMBER(SEARCH("part",AM132)),UPPER(TRIM(AM132))="PT",UPPER(TRIM(AM132))="PTE"),OR($P132="",N($P132)&gt;=PT_MinHours)),"PT","None"))))</f>
        <v/>
      </c>
      <c r="AQ132" s="12" t="str">
        <f aca="false">IF(AE132=0,"",IF(AND(AG132&gt;=3,AJ132&lt;=AsOfDate),AP132,IF(AND(AG132&gt;=2,AI132&lt;=AsOfDate),AO132,AN132)))</f>
        <v/>
      </c>
      <c r="AR132" s="12" t="str">
        <f aca="false">IF(AE132=0,"",IF(AsOfDate&lt;AF132,-1,12*(YEAR(AsOfDate)-YEAR(AF132))+MONTH(AsOfDate)-MONTH(AF132)-IF(DAY(AsOfDate)&lt;MIN(DAY(AF132),DAY(EOMONTH(AsOfDate,0))),1,0)))</f>
        <v/>
      </c>
      <c r="AS132" s="12" t="str">
        <f aca="false">IF(AE132=0,"",IF(OR(AG132&lt;2,AI132&gt;AsOfDate),AR132,IF((AI132-1)&lt;AF132,-1,12*(YEAR((AI132-1))-YEAR(AF132))+MONTH((AI132-1))-MONTH(AF132)-IF(DAY((AI132-1))&lt;MIN(DAY(AF132),DAY(EOMONTH((AI132-1),0))),1,0))))</f>
        <v/>
      </c>
      <c r="AT132" s="12" t="str">
        <f aca="false">IF(AE132=0,"",IF(OR(AG132&lt;3,AJ132&gt;AsOfDate),AR132,IF((AJ132-1)&lt;AF132,-1,12*(YEAR((AJ132-1))-YEAR(AF132))+MONTH((AJ132-1))-MONTH(AF132)-IF(DAY((AJ132-1))&lt;MIN(DAY(AF132),DAY(EOMONTH((AJ132-1),0))),1,0))))</f>
        <v/>
      </c>
      <c r="AU132" s="12" t="str">
        <f aca="false">IF(AE132=0,"",IF(PFYDate&lt;AF132,-1,12*(YEAR(PFYDate)-YEAR(AF132))+MONTH(PFYDate)-MONTH(AF132)-IF(DAY(PFYDate)&lt;MIN(DAY(AF132),DAY(EOMONTH(PFYDate,0))),1,0)))</f>
        <v/>
      </c>
      <c r="AV132" s="12" t="str">
        <f aca="false">IF(AE132=0,"",IF(OR(AG132&lt;2,AI132&gt;PFYDate),AU132,IF((AI132-1)&lt;AF132,-1,12*(YEAR((AI132-1))-YEAR(AF132))+MONTH((AI132-1))-MONTH(AF132)-IF(DAY((AI132-1))&lt;MIN(DAY(AF132),DAY(EOMONTH((AI132-1),0))),1,0))))</f>
        <v/>
      </c>
      <c r="AW132" s="12" t="str">
        <f aca="false">IF(AE132=0,"",IF(OR(AG132&lt;3,AJ132&gt;PFYDate),AU132,IF((AJ132-1)&lt;AF132,-1,12*(YEAR((AJ132-1))-YEAR(AF132))+MONTH((AJ132-1))-MONTH(AF132)-IF(DAY((AJ132-1))&lt;MIN(DAY(AF132),DAY(EOMONTH((AJ132-1),0))),1,0))))</f>
        <v/>
      </c>
      <c r="AX132" s="12" t="str">
        <f aca="false">IF(AE132=0,"",IF(AN132="FT",IF(AS132&lt;FT_First,0,IF(AS132&lt;FT_Y5,1+INT((AS132-FT_First)/FT_Int1),FT_PreY5+FT_PerYear*INT((AS132-FT_Y5)/12)+FT_AnnivDays+INT(MOD(AS132-FT_Y5,12)/FT_Int2))),IF(AN132="PT",IF(AS132&lt;PT_First,0,1+INT((AS132-PT_First)/PT_Int)),0))+IF(AND(AG132&gt;=2,AI132&lt;=AsOfDate),IF(AO132="FT",IF(AT132&lt;FT_First,0,IF(AT132&lt;FT_Y5,1+INT((AT132-FT_First)/FT_Int1),FT_PreY5+FT_PerYear*INT((AT132-FT_Y5)/12)+FT_AnnivDays+INT(MOD(AT132-FT_Y5,12)/FT_Int2))),IF(AO132="PT",IF(AT132&lt;PT_First,0,1+INT((AT132-PT_First)/PT_Int)),0))-IF(AO132="FT",IF(AS132&lt;FT_First,0,IF(AS132&lt;FT_Y5,1+INT((AS132-FT_First)/FT_Int1),FT_PreY5+FT_PerYear*INT((AS132-FT_Y5)/12)+FT_AnnivDays+INT(MOD(AS132-FT_Y5,12)/FT_Int2))),IF(AO132="PT",IF(AS132&lt;PT_First,0,1+INT((AS132-PT_First)/PT_Int)),0)),0)+IF(AND(AG132&gt;=3,AJ132&lt;=AsOfDate),IF(AP132="FT",IF(AR132&lt;FT_First,0,IF(AR132&lt;FT_Y5,1+INT((AR132-FT_First)/FT_Int1),FT_PreY5+FT_PerYear*INT((AR132-FT_Y5)/12)+FT_AnnivDays+INT(MOD(AR132-FT_Y5,12)/FT_Int2))),IF(AP132="PT",IF(AR132&lt;PT_First,0,1+INT((AR132-PT_First)/PT_Int)),0))-IF(AP132="FT",IF(AT132&lt;FT_First,0,IF(AT132&lt;FT_Y5,1+INT((AT132-FT_First)/FT_Int1),FT_PreY5+FT_PerYear*INT((AT132-FT_Y5)/12)+FT_AnnivDays+INT(MOD(AT132-FT_Y5,12)/FT_Int2))),IF(AP132="PT",IF(AT132&lt;PT_First,0,1+INT((AT132-PT_First)/PT_Int)),0)),0))</f>
        <v/>
      </c>
      <c r="AY132" s="12" t="str">
        <f aca="false">IF(AE132=0,"",IF(AN132="FT",IF(AV132&lt;FT_First,0,IF(AV132&lt;FT_Y5,1+INT((AV132-FT_First)/FT_Int1),FT_PreY5+FT_PerYear*INT((AV132-FT_Y5)/12)+FT_AnnivDays+INT(MOD(AV132-FT_Y5,12)/FT_Int2))),IF(AN132="PT",IF(AV132&lt;PT_First,0,1+INT((AV132-PT_First)/PT_Int)),0))+IF(AND(AG132&gt;=2,AI132&lt;=PFYDate),IF(AO132="FT",IF(AW132&lt;FT_First,0,IF(AW132&lt;FT_Y5,1+INT((AW132-FT_First)/FT_Int1),FT_PreY5+FT_PerYear*INT((AW132-FT_Y5)/12)+FT_AnnivDays+INT(MOD(AW132-FT_Y5,12)/FT_Int2))),IF(AO132="PT",IF(AW132&lt;PT_First,0,1+INT((AW132-PT_First)/PT_Int)),0))-IF(AO132="FT",IF(AV132&lt;FT_First,0,IF(AV132&lt;FT_Y5,1+INT((AV132-FT_First)/FT_Int1),FT_PreY5+FT_PerYear*INT((AV132-FT_Y5)/12)+FT_AnnivDays+INT(MOD(AV132-FT_Y5,12)/FT_Int2))),IF(AO132="PT",IF(AV132&lt;PT_First,0,1+INT((AV132-PT_First)/PT_Int)),0)),0)+IF(AND(AG132&gt;=3,AJ132&lt;=PFYDate),IF(AP132="FT",IF(AU132&lt;FT_First,0,IF(AU132&lt;FT_Y5,1+INT((AU132-FT_First)/FT_Int1),FT_PreY5+FT_PerYear*INT((AU132-FT_Y5)/12)+FT_AnnivDays+INT(MOD(AU132-FT_Y5,12)/FT_Int2))),IF(AP132="PT",IF(AU132&lt;PT_First,0,1+INT((AU132-PT_First)/PT_Int)),0))-IF(AP132="FT",IF(AW132&lt;FT_First,0,IF(AW132&lt;FT_Y5,1+INT((AW132-FT_First)/FT_Int1),FT_PreY5+FT_PerYear*INT((AW132-FT_Y5)/12)+FT_AnnivDays+INT(MOD(AW132-FT_Y5,12)/FT_Int2))),IF(AP132="PT",IF(AW132&lt;PT_First,0,1+INT((AW132-PT_First)/PT_Int)),0)),0))</f>
        <v/>
      </c>
      <c r="AZ132" s="12" t="str">
        <f aca="false">IF(AE132=0,"",IF(AQ132="FT",IF(AR132&lt;FT_First,FT_First,IF(AR132&lt;FT_Y5,MIN(FT_Y5,FT_First+FT_Int1*(INT((AR132-FT_First)/FT_Int1)+1)),FT_Y5+12*INT((AR132-FT_Y5)/12)+FT_Int2*(INT(MOD(AR132-FT_Y5,12)/FT_Int2)+1))),IF(AQ132="PT",IF(AR132&lt;PT_First,PT_First,PT_First+PT_Int*(INT((AR132-PT_First)/PT_Int)+1)),"")))</f>
        <v/>
      </c>
      <c r="BA132" s="12" t="str">
        <f aca="false">IF(AE132=0,"",IF(NOT(LH_Ready),0,COUNTIFS(INDEX(LH_Data,0,LH_ColFirst),$A132,INDEX(LH_Data,0,LH_ColSur),$B132,INDEX(LH_Data,0,LH_ColCat),BonusCat)))</f>
        <v/>
      </c>
      <c r="BB132" s="12" t="str">
        <f aca="false">IF(AE132=0,"",IF(OR(NOT(LH_Ready),BA132=0),0,SUMPRODUCT(MAX((INDEX(LH_Data,0,LH_ColFirst)=$A132)*(INDEX(LH_Data,0,LH_ColSur)=$B132)*(INDEX(LH_Data,0,LH_ColCat)=BonusCat)*ROW(LH_Data)))))</f>
        <v/>
      </c>
    </row>
    <row r="133" customFormat="false" ht="15" hidden="false" customHeight="false" outlineLevel="0" collapsed="false">
      <c r="A133" s="15"/>
      <c r="B133" s="15"/>
      <c r="C133" s="15"/>
      <c r="D133" s="16"/>
      <c r="E133" s="10" t="str">
        <f aca="false">IF(OR(AE133=0,$D133=""),"",DATE(YEAR(AsOfDate)+IF(DATE(YEAR(AsOfDate),MONTH($D133),DAY($D133))&lt;=AsOfDate,1,0),MONTH($D133),DAY($D133)))</f>
        <v/>
      </c>
      <c r="F133" s="16"/>
      <c r="G133" s="16"/>
      <c r="H133" s="16"/>
      <c r="I133" s="16"/>
      <c r="J133" s="16"/>
      <c r="K133" s="10" t="str">
        <f aca="false">IF(AE133=0,"",DATE(YEAR(AsOfDate)+IF(DATE(YEAR(AsOfDate),MONTH($F133),DAY($F133))&lt;=AsOfDate,1,0),MONTH($F133),DAY($F133)))</f>
        <v/>
      </c>
      <c r="L133" s="11" t="str">
        <f aca="false">IF(AE133=0,"",ROUND((AsOfDate-$F133)/365.25,1))</f>
        <v/>
      </c>
      <c r="M133" s="12" t="str">
        <f aca="false">IF(AE133=0,"",IF(AsOfDate&lt;AF133,"-",DATEDIF(AF133,AsOfDate,"y")&amp;"y "&amp;DATEDIF(AF133,AsOfDate,"ym")&amp;"m "&amp;DATEDIF(AF133,AsOfDate,"md")&amp;"d"))</f>
        <v/>
      </c>
      <c r="N133" s="13" t="str">
        <f aca="false">IF(AE133=0,"",O133*HoursPerDay)</f>
        <v/>
      </c>
      <c r="O133" s="13" t="str">
        <f aca="false">IF(AE133=0,"",AX133)</f>
        <v/>
      </c>
      <c r="P133" s="17"/>
      <c r="Q133" s="12" t="str">
        <f aca="false">IF(AE133=0,"",IF(AG133&lt;2,"",AK133&amp;" to "&amp;AL133&amp;" on "&amp;TEXT(AI133,"dd/mm/yyyy")&amp;IF(AI133&gt;AsOfDate," (future)",IF(AN133=AO133,"",IF(AO133="None"," - STOPPED accruing",IF(AN133="None"," - now qualifying"," - pathway changed"))))&amp;IF(AG133&lt;3,"","; "&amp;AL133&amp;" to "&amp;AM133&amp;" on "&amp;TEXT(AJ133,"dd/mm/yyyy")&amp;IF(AJ133&gt;AsOfDate," (future)",IF(AO133=AP133,"",IF(AP133="None"," - STOPPED accruing",IF(AO133="None"," - now qualifying"," - pathway changed")))))))</f>
        <v/>
      </c>
      <c r="R133" s="12" t="str">
        <f aca="false">IF(AE133=0,"",IF(AQ133="None",IF(O133&gt;0,"No longer accruing","Not eligible - "&amp;IF(AND(OR(ISNUMBER(SEARCH("part",$C133)),UPPER(TRIM($C133))="PT",UPPER(TRIM($C133))="PTE"),$P133&lt;&gt;"",N($P133)&lt;PT_MinHours),"under "&amp;PT_MinHours&amp;" hrs",IF(IF($C133="","",IF(OR(ISNUMBER(SEARCH("full",$C133)),UPPER(TRIM($C133))="FT",UPPER(TRIM($C133))="FTE"),"Full-Time",IF(OR(ISNUMBER(SEARCH("part",$C133)),UPPER(TRIM($C133))="PT",UPPER(TRIM($C133))="PTE"),"Part-Time",IF(OR(ISNUMBER(SEARCH("cas",$C133)),UPPER(TRIM($C133))="CAS"),"Casual","Unknown"))))="Unknown","type not recognised",$C133))),IF(O133&gt;0,"Yes - accruing","Not yet - from "&amp;TEXT(S133,"dd/mm/yyyy"))))</f>
        <v/>
      </c>
      <c r="S133" s="10" t="str">
        <f aca="false">IF(AE133=0,"",IF(AQ133="None","",EDATE(AF133,AZ133)))</f>
        <v/>
      </c>
      <c r="T133" s="13" t="str">
        <f aca="false">IF(OR(AE133=0,W133=""),"",W133-U133+V133)</f>
        <v/>
      </c>
      <c r="U133" s="13" t="str">
        <f aca="false">IF(AE133=0,"",IF(NOT(LH_Ready),"",SUMIFS(INDEX(LH_Data,0,LH_ColAcc),INDEX(LH_Data,0,LH_ColFirst),$A133,INDEX(LH_Data,0,LH_ColSur),$B133,INDEX(LH_Data,0,LH_ColCat),BonusCat)*UnitFactor))</f>
        <v/>
      </c>
      <c r="V133" s="13" t="str">
        <f aca="false">IF(AE133=0,"",IF(NOT(LH_Ready),"",SUMIFS(INDEX(LH_Data,0,LH_ColTaken),INDEX(LH_Data,0,LH_ColFirst),$A133,INDEX(LH_Data,0,LH_ColSur),$B133,INDEX(LH_Data,0,LH_ColCat),BonusCat)*UnitFactor))</f>
        <v/>
      </c>
      <c r="W133" s="13" t="str">
        <f aca="false">IF(AE133=0,"",IF(NOT(LH_Ready),"",IF(BB133=0,0,INDEX(INDEX(LH_Data,0,LH_ColClose),BB133-1)*UnitFactor)))</f>
        <v/>
      </c>
      <c r="X133" s="13" t="str">
        <f aca="false">IF(AE133=0,"",(AX133-AY133)*HoursPerDay)</f>
        <v/>
      </c>
      <c r="Y133" s="13" t="str">
        <f aca="false">IF(AE133=0,"",IF(NOT(LH_Ready),"",IF(BA133=0,N133,X133-N(U133))))</f>
        <v/>
      </c>
      <c r="Z133" s="12" t="str">
        <f aca="false">IF(OR(AE133=0,Y133=""),"",IF(Y133&gt;0,"Yes","No"))</f>
        <v/>
      </c>
      <c r="AA133" s="12" t="str">
        <f aca="false">IF(AE133=0,IF(LEN($A133&amp;$B133)=0,"","FIX INPUT - StartDate missing"),IF(AD133&lt;&gt;"","FIX INPUT - "&amp;AD133,IF(NOT(LH_Ready),"Paste Leave History export (Settings must show YES)",IF(Y133&gt;0,"ACCRUE "&amp;ROUND(Y133,2)&amp;" hrs ("&amp;ROUND(Y133/HoursPerDay,2)&amp;" days)"&amp;IF(BA133=0," - no Bonus Leave in EH yet, full catch-up since start",""),IF(Y133&lt;0,"CHECK - EH accrued "&amp;ROUND(-Y133,2)&amp;""&amp;" hrs more than policy",IF(O133&gt;0,"OK - nothing to add",IF(AQ133="None",R133,"Not yet - first day on "&amp;TEXT(S133,"dd/mm/yyyy"))))))))</f>
        <v/>
      </c>
      <c r="AB133" s="13" t="str">
        <f aca="false">IF(OR(AE133=0,T133=""),"",AY133*HoursPerDay-T133)</f>
        <v/>
      </c>
      <c r="AC133" s="12" t="str">
        <f aca="false">IF(AE133=0,"",BA133)</f>
        <v/>
      </c>
      <c r="AD133" s="12" t="str">
        <f aca="false">IF(AE133=0,"",TRIM(IF(IF($C133="","",IF(OR(ISNUMBER(SEARCH("full",$C133)),UPPER(TRIM($C133))="FT",UPPER(TRIM($C133))="FTE"),"Full-Time",IF(OR(ISNUMBER(SEARCH("part",$C133)),UPPER(TRIM($C133))="PT",UPPER(TRIM($C133))="PTE"),"Part-Time",IF(OR(ISNUMBER(SEARCH("cas",$C133)),UPPER(TRIM($C133))="CAS"),"Casual","Unknown"))))="Unknown","EmploymentType not recognised - use Full-Time, Part-Time or Casual. ","")&amp;IF(AND(AG133&gt;=1,IF(AG133&gt;=3,AM133,IF(AG133=2,AL133,AK133))&lt;&gt;IF($C133="","",IF(OR(ISNUMBER(SEARCH("full",$C133)),UPPER(TRIM($C133))="FT",UPPER(TRIM($C133))="FTE"),"Full-Time",IF(OR(ISNUMBER(SEARCH("part",$C133)),UPPER(TRIM($C133))="PT",UPPER(TRIM($C133))="PTE"),"Part-Time",IF(OR(ISNUMBER(SEARCH("cas",$C133)),UPPER(TRIM($C133))="CAS"),"Casual","Unknown"))))),"EmploymentType does not match latest start date ("&amp;IF(AG133&gt;=3,AM133,IF(AG133=2,AL133,AK133))&amp;"). ","")&amp;IF(AND(AG133&gt;=1,AH133&lt;&gt;$F133),"Earliest type date should equal StartDate. ","")&amp;IF(AND(AG133&gt;=2,AH133=AI133),"Two types start on the same date. ","")&amp;IF(AND(OR(ISNUMBER(SEARCH("part",$C133)),UPPER(TRIM($C133))="PT",UPPER(TRIM($C133))="PTE"),$P133=""),"Part-time: enter PT Hrs/Week (blank = 24+). ","")))</f>
        <v/>
      </c>
      <c r="AE133" s="12" t="n">
        <f aca="false">IF(OR(LEN($A133&amp;$B133)=0,$F133=""),0,1)</f>
        <v>0</v>
      </c>
      <c r="AF133" s="10" t="str">
        <f aca="false">IF(AE133=0,"",IF($J133&lt;&gt;"",$J133,$F133))</f>
        <v/>
      </c>
      <c r="AG133" s="12" t="str">
        <f aca="false">IF(AE133=0,"",COUNT($G133:$I133))</f>
        <v/>
      </c>
      <c r="AH133" s="10" t="str">
        <f aca="false">IF(AE133=0,"",IFERROR(SMALL($G133:$I133,1),""))</f>
        <v/>
      </c>
      <c r="AI133" s="10" t="str">
        <f aca="false">IF(AE133=0,"",IFERROR(SMALL($G133:$I133,2),""))</f>
        <v/>
      </c>
      <c r="AJ133" s="10" t="str">
        <f aca="false">IF(AE133=0,"",IFERROR(SMALL($G133:$I133,3),""))</f>
        <v/>
      </c>
      <c r="AK133" s="12" t="str">
        <f aca="false">IF(AE133=0,"",IF(AH133="","",IF(AH133=$G133,"Part-Time",IF(AH133=$H133,"Full-Time","Casual"))))</f>
        <v/>
      </c>
      <c r="AL133" s="12" t="str">
        <f aca="false">IF(AE133=0,"",IF(AI133="","",IF(AI133=$G133,"Part-Time",IF(AI133=$H133,"Full-Time","Casual"))))</f>
        <v/>
      </c>
      <c r="AM133" s="12" t="str">
        <f aca="false">IF(AE133=0,"",IF(AJ133="","",IF(AJ133=$G133,"Part-Time",IF(AJ133=$H133,"Full-Time","Casual"))))</f>
        <v/>
      </c>
      <c r="AN133" s="12" t="str">
        <f aca="false">IF(AE133=0,"",IF(AG133=0,IF(OR(ISNUMBER(SEARCH("full",$C133)),UPPER(TRIM($C133))="FT",UPPER(TRIM($C133))="FTE"),"FT",IF(AND(OR(ISNUMBER(SEARCH("part",$C133)),UPPER(TRIM($C133))="PT",UPPER(TRIM($C133))="PTE"),OR($P133="",N($P133)&gt;=PT_MinHours)),"PT","None")),IF(OR(ISNUMBER(SEARCH("full",AK133)),UPPER(TRIM(AK133))="FT",UPPER(TRIM(AK133))="FTE"),"FT",IF(AND(OR(ISNUMBER(SEARCH("part",AK133)),UPPER(TRIM(AK133))="PT",UPPER(TRIM(AK133))="PTE"),OR($P133="",N($P133)&gt;=PT_MinHours)),"PT","None"))))</f>
        <v/>
      </c>
      <c r="AO133" s="12" t="str">
        <f aca="false">IF(AE133=0,"",IF(AG133&lt;2,"",IF(OR(ISNUMBER(SEARCH("full",AL133)),UPPER(TRIM(AL133))="FT",UPPER(TRIM(AL133))="FTE"),"FT",IF(AND(OR(ISNUMBER(SEARCH("part",AL133)),UPPER(TRIM(AL133))="PT",UPPER(TRIM(AL133))="PTE"),OR($P133="",N($P133)&gt;=PT_MinHours)),"PT","None"))))</f>
        <v/>
      </c>
      <c r="AP133" s="12" t="str">
        <f aca="false">IF(AE133=0,"",IF(AG133&lt;3,"",IF(OR(ISNUMBER(SEARCH("full",AM133)),UPPER(TRIM(AM133))="FT",UPPER(TRIM(AM133))="FTE"),"FT",IF(AND(OR(ISNUMBER(SEARCH("part",AM133)),UPPER(TRIM(AM133))="PT",UPPER(TRIM(AM133))="PTE"),OR($P133="",N($P133)&gt;=PT_MinHours)),"PT","None"))))</f>
        <v/>
      </c>
      <c r="AQ133" s="12" t="str">
        <f aca="false">IF(AE133=0,"",IF(AND(AG133&gt;=3,AJ133&lt;=AsOfDate),AP133,IF(AND(AG133&gt;=2,AI133&lt;=AsOfDate),AO133,AN133)))</f>
        <v/>
      </c>
      <c r="AR133" s="12" t="str">
        <f aca="false">IF(AE133=0,"",IF(AsOfDate&lt;AF133,-1,12*(YEAR(AsOfDate)-YEAR(AF133))+MONTH(AsOfDate)-MONTH(AF133)-IF(DAY(AsOfDate)&lt;MIN(DAY(AF133),DAY(EOMONTH(AsOfDate,0))),1,0)))</f>
        <v/>
      </c>
      <c r="AS133" s="12" t="str">
        <f aca="false">IF(AE133=0,"",IF(OR(AG133&lt;2,AI133&gt;AsOfDate),AR133,IF((AI133-1)&lt;AF133,-1,12*(YEAR((AI133-1))-YEAR(AF133))+MONTH((AI133-1))-MONTH(AF133)-IF(DAY((AI133-1))&lt;MIN(DAY(AF133),DAY(EOMONTH((AI133-1),0))),1,0))))</f>
        <v/>
      </c>
      <c r="AT133" s="12" t="str">
        <f aca="false">IF(AE133=0,"",IF(OR(AG133&lt;3,AJ133&gt;AsOfDate),AR133,IF((AJ133-1)&lt;AF133,-1,12*(YEAR((AJ133-1))-YEAR(AF133))+MONTH((AJ133-1))-MONTH(AF133)-IF(DAY((AJ133-1))&lt;MIN(DAY(AF133),DAY(EOMONTH((AJ133-1),0))),1,0))))</f>
        <v/>
      </c>
      <c r="AU133" s="12" t="str">
        <f aca="false">IF(AE133=0,"",IF(PFYDate&lt;AF133,-1,12*(YEAR(PFYDate)-YEAR(AF133))+MONTH(PFYDate)-MONTH(AF133)-IF(DAY(PFYDate)&lt;MIN(DAY(AF133),DAY(EOMONTH(PFYDate,0))),1,0)))</f>
        <v/>
      </c>
      <c r="AV133" s="12" t="str">
        <f aca="false">IF(AE133=0,"",IF(OR(AG133&lt;2,AI133&gt;PFYDate),AU133,IF((AI133-1)&lt;AF133,-1,12*(YEAR((AI133-1))-YEAR(AF133))+MONTH((AI133-1))-MONTH(AF133)-IF(DAY((AI133-1))&lt;MIN(DAY(AF133),DAY(EOMONTH((AI133-1),0))),1,0))))</f>
        <v/>
      </c>
      <c r="AW133" s="12" t="str">
        <f aca="false">IF(AE133=0,"",IF(OR(AG133&lt;3,AJ133&gt;PFYDate),AU133,IF((AJ133-1)&lt;AF133,-1,12*(YEAR((AJ133-1))-YEAR(AF133))+MONTH((AJ133-1))-MONTH(AF133)-IF(DAY((AJ133-1))&lt;MIN(DAY(AF133),DAY(EOMONTH((AJ133-1),0))),1,0))))</f>
        <v/>
      </c>
      <c r="AX133" s="12" t="str">
        <f aca="false">IF(AE133=0,"",IF(AN133="FT",IF(AS133&lt;FT_First,0,IF(AS133&lt;FT_Y5,1+INT((AS133-FT_First)/FT_Int1),FT_PreY5+FT_PerYear*INT((AS133-FT_Y5)/12)+FT_AnnivDays+INT(MOD(AS133-FT_Y5,12)/FT_Int2))),IF(AN133="PT",IF(AS133&lt;PT_First,0,1+INT((AS133-PT_First)/PT_Int)),0))+IF(AND(AG133&gt;=2,AI133&lt;=AsOfDate),IF(AO133="FT",IF(AT133&lt;FT_First,0,IF(AT133&lt;FT_Y5,1+INT((AT133-FT_First)/FT_Int1),FT_PreY5+FT_PerYear*INT((AT133-FT_Y5)/12)+FT_AnnivDays+INT(MOD(AT133-FT_Y5,12)/FT_Int2))),IF(AO133="PT",IF(AT133&lt;PT_First,0,1+INT((AT133-PT_First)/PT_Int)),0))-IF(AO133="FT",IF(AS133&lt;FT_First,0,IF(AS133&lt;FT_Y5,1+INT((AS133-FT_First)/FT_Int1),FT_PreY5+FT_PerYear*INT((AS133-FT_Y5)/12)+FT_AnnivDays+INT(MOD(AS133-FT_Y5,12)/FT_Int2))),IF(AO133="PT",IF(AS133&lt;PT_First,0,1+INT((AS133-PT_First)/PT_Int)),0)),0)+IF(AND(AG133&gt;=3,AJ133&lt;=AsOfDate),IF(AP133="FT",IF(AR133&lt;FT_First,0,IF(AR133&lt;FT_Y5,1+INT((AR133-FT_First)/FT_Int1),FT_PreY5+FT_PerYear*INT((AR133-FT_Y5)/12)+FT_AnnivDays+INT(MOD(AR133-FT_Y5,12)/FT_Int2))),IF(AP133="PT",IF(AR133&lt;PT_First,0,1+INT((AR133-PT_First)/PT_Int)),0))-IF(AP133="FT",IF(AT133&lt;FT_First,0,IF(AT133&lt;FT_Y5,1+INT((AT133-FT_First)/FT_Int1),FT_PreY5+FT_PerYear*INT((AT133-FT_Y5)/12)+FT_AnnivDays+INT(MOD(AT133-FT_Y5,12)/FT_Int2))),IF(AP133="PT",IF(AT133&lt;PT_First,0,1+INT((AT133-PT_First)/PT_Int)),0)),0))</f>
        <v/>
      </c>
      <c r="AY133" s="12" t="str">
        <f aca="false">IF(AE133=0,"",IF(AN133="FT",IF(AV133&lt;FT_First,0,IF(AV133&lt;FT_Y5,1+INT((AV133-FT_First)/FT_Int1),FT_PreY5+FT_PerYear*INT((AV133-FT_Y5)/12)+FT_AnnivDays+INT(MOD(AV133-FT_Y5,12)/FT_Int2))),IF(AN133="PT",IF(AV133&lt;PT_First,0,1+INT((AV133-PT_First)/PT_Int)),0))+IF(AND(AG133&gt;=2,AI133&lt;=PFYDate),IF(AO133="FT",IF(AW133&lt;FT_First,0,IF(AW133&lt;FT_Y5,1+INT((AW133-FT_First)/FT_Int1),FT_PreY5+FT_PerYear*INT((AW133-FT_Y5)/12)+FT_AnnivDays+INT(MOD(AW133-FT_Y5,12)/FT_Int2))),IF(AO133="PT",IF(AW133&lt;PT_First,0,1+INT((AW133-PT_First)/PT_Int)),0))-IF(AO133="FT",IF(AV133&lt;FT_First,0,IF(AV133&lt;FT_Y5,1+INT((AV133-FT_First)/FT_Int1),FT_PreY5+FT_PerYear*INT((AV133-FT_Y5)/12)+FT_AnnivDays+INT(MOD(AV133-FT_Y5,12)/FT_Int2))),IF(AO133="PT",IF(AV133&lt;PT_First,0,1+INT((AV133-PT_First)/PT_Int)),0)),0)+IF(AND(AG133&gt;=3,AJ133&lt;=PFYDate),IF(AP133="FT",IF(AU133&lt;FT_First,0,IF(AU133&lt;FT_Y5,1+INT((AU133-FT_First)/FT_Int1),FT_PreY5+FT_PerYear*INT((AU133-FT_Y5)/12)+FT_AnnivDays+INT(MOD(AU133-FT_Y5,12)/FT_Int2))),IF(AP133="PT",IF(AU133&lt;PT_First,0,1+INT((AU133-PT_First)/PT_Int)),0))-IF(AP133="FT",IF(AW133&lt;FT_First,0,IF(AW133&lt;FT_Y5,1+INT((AW133-FT_First)/FT_Int1),FT_PreY5+FT_PerYear*INT((AW133-FT_Y5)/12)+FT_AnnivDays+INT(MOD(AW133-FT_Y5,12)/FT_Int2))),IF(AP133="PT",IF(AW133&lt;PT_First,0,1+INT((AW133-PT_First)/PT_Int)),0)),0))</f>
        <v/>
      </c>
      <c r="AZ133" s="12" t="str">
        <f aca="false">IF(AE133=0,"",IF(AQ133="FT",IF(AR133&lt;FT_First,FT_First,IF(AR133&lt;FT_Y5,MIN(FT_Y5,FT_First+FT_Int1*(INT((AR133-FT_First)/FT_Int1)+1)),FT_Y5+12*INT((AR133-FT_Y5)/12)+FT_Int2*(INT(MOD(AR133-FT_Y5,12)/FT_Int2)+1))),IF(AQ133="PT",IF(AR133&lt;PT_First,PT_First,PT_First+PT_Int*(INT((AR133-PT_First)/PT_Int)+1)),"")))</f>
        <v/>
      </c>
      <c r="BA133" s="12" t="str">
        <f aca="false">IF(AE133=0,"",IF(NOT(LH_Ready),0,COUNTIFS(INDEX(LH_Data,0,LH_ColFirst),$A133,INDEX(LH_Data,0,LH_ColSur),$B133,INDEX(LH_Data,0,LH_ColCat),BonusCat)))</f>
        <v/>
      </c>
      <c r="BB133" s="12" t="str">
        <f aca="false">IF(AE133=0,"",IF(OR(NOT(LH_Ready),BA133=0),0,SUMPRODUCT(MAX((INDEX(LH_Data,0,LH_ColFirst)=$A133)*(INDEX(LH_Data,0,LH_ColSur)=$B133)*(INDEX(LH_Data,0,LH_ColCat)=BonusCat)*ROW(LH_Data)))))</f>
        <v/>
      </c>
    </row>
    <row r="134" customFormat="false" ht="15" hidden="false" customHeight="false" outlineLevel="0" collapsed="false">
      <c r="A134" s="15"/>
      <c r="B134" s="15"/>
      <c r="C134" s="15"/>
      <c r="D134" s="16"/>
      <c r="E134" s="10" t="str">
        <f aca="false">IF(OR(AE134=0,$D134=""),"",DATE(YEAR(AsOfDate)+IF(DATE(YEAR(AsOfDate),MONTH($D134),DAY($D134))&lt;=AsOfDate,1,0),MONTH($D134),DAY($D134)))</f>
        <v/>
      </c>
      <c r="F134" s="16"/>
      <c r="G134" s="16"/>
      <c r="H134" s="16"/>
      <c r="I134" s="16"/>
      <c r="J134" s="16"/>
      <c r="K134" s="10" t="str">
        <f aca="false">IF(AE134=0,"",DATE(YEAR(AsOfDate)+IF(DATE(YEAR(AsOfDate),MONTH($F134),DAY($F134))&lt;=AsOfDate,1,0),MONTH($F134),DAY($F134)))</f>
        <v/>
      </c>
      <c r="L134" s="11" t="str">
        <f aca="false">IF(AE134=0,"",ROUND((AsOfDate-$F134)/365.25,1))</f>
        <v/>
      </c>
      <c r="M134" s="12" t="str">
        <f aca="false">IF(AE134=0,"",IF(AsOfDate&lt;AF134,"-",DATEDIF(AF134,AsOfDate,"y")&amp;"y "&amp;DATEDIF(AF134,AsOfDate,"ym")&amp;"m "&amp;DATEDIF(AF134,AsOfDate,"md")&amp;"d"))</f>
        <v/>
      </c>
      <c r="N134" s="13" t="str">
        <f aca="false">IF(AE134=0,"",O134*HoursPerDay)</f>
        <v/>
      </c>
      <c r="O134" s="13" t="str">
        <f aca="false">IF(AE134=0,"",AX134)</f>
        <v/>
      </c>
      <c r="P134" s="17"/>
      <c r="Q134" s="12" t="str">
        <f aca="false">IF(AE134=0,"",IF(AG134&lt;2,"",AK134&amp;" to "&amp;AL134&amp;" on "&amp;TEXT(AI134,"dd/mm/yyyy")&amp;IF(AI134&gt;AsOfDate," (future)",IF(AN134=AO134,"",IF(AO134="None"," - STOPPED accruing",IF(AN134="None"," - now qualifying"," - pathway changed"))))&amp;IF(AG134&lt;3,"","; "&amp;AL134&amp;" to "&amp;AM134&amp;" on "&amp;TEXT(AJ134,"dd/mm/yyyy")&amp;IF(AJ134&gt;AsOfDate," (future)",IF(AO134=AP134,"",IF(AP134="None"," - STOPPED accruing",IF(AO134="None"," - now qualifying"," - pathway changed")))))))</f>
        <v/>
      </c>
      <c r="R134" s="12" t="str">
        <f aca="false">IF(AE134=0,"",IF(AQ134="None",IF(O134&gt;0,"No longer accruing","Not eligible - "&amp;IF(AND(OR(ISNUMBER(SEARCH("part",$C134)),UPPER(TRIM($C134))="PT",UPPER(TRIM($C134))="PTE"),$P134&lt;&gt;"",N($P134)&lt;PT_MinHours),"under "&amp;PT_MinHours&amp;" hrs",IF(IF($C134="","",IF(OR(ISNUMBER(SEARCH("full",$C134)),UPPER(TRIM($C134))="FT",UPPER(TRIM($C134))="FTE"),"Full-Time",IF(OR(ISNUMBER(SEARCH("part",$C134)),UPPER(TRIM($C134))="PT",UPPER(TRIM($C134))="PTE"),"Part-Time",IF(OR(ISNUMBER(SEARCH("cas",$C134)),UPPER(TRIM($C134))="CAS"),"Casual","Unknown"))))="Unknown","type not recognised",$C134))),IF(O134&gt;0,"Yes - accruing","Not yet - from "&amp;TEXT(S134,"dd/mm/yyyy"))))</f>
        <v/>
      </c>
      <c r="S134" s="10" t="str">
        <f aca="false">IF(AE134=0,"",IF(AQ134="None","",EDATE(AF134,AZ134)))</f>
        <v/>
      </c>
      <c r="T134" s="13" t="str">
        <f aca="false">IF(OR(AE134=0,W134=""),"",W134-U134+V134)</f>
        <v/>
      </c>
      <c r="U134" s="13" t="str">
        <f aca="false">IF(AE134=0,"",IF(NOT(LH_Ready),"",SUMIFS(INDEX(LH_Data,0,LH_ColAcc),INDEX(LH_Data,0,LH_ColFirst),$A134,INDEX(LH_Data,0,LH_ColSur),$B134,INDEX(LH_Data,0,LH_ColCat),BonusCat)*UnitFactor))</f>
        <v/>
      </c>
      <c r="V134" s="13" t="str">
        <f aca="false">IF(AE134=0,"",IF(NOT(LH_Ready),"",SUMIFS(INDEX(LH_Data,0,LH_ColTaken),INDEX(LH_Data,0,LH_ColFirst),$A134,INDEX(LH_Data,0,LH_ColSur),$B134,INDEX(LH_Data,0,LH_ColCat),BonusCat)*UnitFactor))</f>
        <v/>
      </c>
      <c r="W134" s="13" t="str">
        <f aca="false">IF(AE134=0,"",IF(NOT(LH_Ready),"",IF(BB134=0,0,INDEX(INDEX(LH_Data,0,LH_ColClose),BB134-1)*UnitFactor)))</f>
        <v/>
      </c>
      <c r="X134" s="13" t="str">
        <f aca="false">IF(AE134=0,"",(AX134-AY134)*HoursPerDay)</f>
        <v/>
      </c>
      <c r="Y134" s="13" t="str">
        <f aca="false">IF(AE134=0,"",IF(NOT(LH_Ready),"",IF(BA134=0,N134,X134-N(U134))))</f>
        <v/>
      </c>
      <c r="Z134" s="12" t="str">
        <f aca="false">IF(OR(AE134=0,Y134=""),"",IF(Y134&gt;0,"Yes","No"))</f>
        <v/>
      </c>
      <c r="AA134" s="12" t="str">
        <f aca="false">IF(AE134=0,IF(LEN($A134&amp;$B134)=0,"","FIX INPUT - StartDate missing"),IF(AD134&lt;&gt;"","FIX INPUT - "&amp;AD134,IF(NOT(LH_Ready),"Paste Leave History export (Settings must show YES)",IF(Y134&gt;0,"ACCRUE "&amp;ROUND(Y134,2)&amp;" hrs ("&amp;ROUND(Y134/HoursPerDay,2)&amp;" days)"&amp;IF(BA134=0," - no Bonus Leave in EH yet, full catch-up since start",""),IF(Y134&lt;0,"CHECK - EH accrued "&amp;ROUND(-Y134,2)&amp;""&amp;" hrs more than policy",IF(O134&gt;0,"OK - nothing to add",IF(AQ134="None",R134,"Not yet - first day on "&amp;TEXT(S134,"dd/mm/yyyy"))))))))</f>
        <v/>
      </c>
      <c r="AB134" s="13" t="str">
        <f aca="false">IF(OR(AE134=0,T134=""),"",AY134*HoursPerDay-T134)</f>
        <v/>
      </c>
      <c r="AC134" s="12" t="str">
        <f aca="false">IF(AE134=0,"",BA134)</f>
        <v/>
      </c>
      <c r="AD134" s="12" t="str">
        <f aca="false">IF(AE134=0,"",TRIM(IF(IF($C134="","",IF(OR(ISNUMBER(SEARCH("full",$C134)),UPPER(TRIM($C134))="FT",UPPER(TRIM($C134))="FTE"),"Full-Time",IF(OR(ISNUMBER(SEARCH("part",$C134)),UPPER(TRIM($C134))="PT",UPPER(TRIM($C134))="PTE"),"Part-Time",IF(OR(ISNUMBER(SEARCH("cas",$C134)),UPPER(TRIM($C134))="CAS"),"Casual","Unknown"))))="Unknown","EmploymentType not recognised - use Full-Time, Part-Time or Casual. ","")&amp;IF(AND(AG134&gt;=1,IF(AG134&gt;=3,AM134,IF(AG134=2,AL134,AK134))&lt;&gt;IF($C134="","",IF(OR(ISNUMBER(SEARCH("full",$C134)),UPPER(TRIM($C134))="FT",UPPER(TRIM($C134))="FTE"),"Full-Time",IF(OR(ISNUMBER(SEARCH("part",$C134)),UPPER(TRIM($C134))="PT",UPPER(TRIM($C134))="PTE"),"Part-Time",IF(OR(ISNUMBER(SEARCH("cas",$C134)),UPPER(TRIM($C134))="CAS"),"Casual","Unknown"))))),"EmploymentType does not match latest start date ("&amp;IF(AG134&gt;=3,AM134,IF(AG134=2,AL134,AK134))&amp;"). ","")&amp;IF(AND(AG134&gt;=1,AH134&lt;&gt;$F134),"Earliest type date should equal StartDate. ","")&amp;IF(AND(AG134&gt;=2,AH134=AI134),"Two types start on the same date. ","")&amp;IF(AND(OR(ISNUMBER(SEARCH("part",$C134)),UPPER(TRIM($C134))="PT",UPPER(TRIM($C134))="PTE"),$P134=""),"Part-time: enter PT Hrs/Week (blank = 24+). ","")))</f>
        <v/>
      </c>
      <c r="AE134" s="12" t="n">
        <f aca="false">IF(OR(LEN($A134&amp;$B134)=0,$F134=""),0,1)</f>
        <v>0</v>
      </c>
      <c r="AF134" s="10" t="str">
        <f aca="false">IF(AE134=0,"",IF($J134&lt;&gt;"",$J134,$F134))</f>
        <v/>
      </c>
      <c r="AG134" s="12" t="str">
        <f aca="false">IF(AE134=0,"",COUNT($G134:$I134))</f>
        <v/>
      </c>
      <c r="AH134" s="10" t="str">
        <f aca="false">IF(AE134=0,"",IFERROR(SMALL($G134:$I134,1),""))</f>
        <v/>
      </c>
      <c r="AI134" s="10" t="str">
        <f aca="false">IF(AE134=0,"",IFERROR(SMALL($G134:$I134,2),""))</f>
        <v/>
      </c>
      <c r="AJ134" s="10" t="str">
        <f aca="false">IF(AE134=0,"",IFERROR(SMALL($G134:$I134,3),""))</f>
        <v/>
      </c>
      <c r="AK134" s="12" t="str">
        <f aca="false">IF(AE134=0,"",IF(AH134="","",IF(AH134=$G134,"Part-Time",IF(AH134=$H134,"Full-Time","Casual"))))</f>
        <v/>
      </c>
      <c r="AL134" s="12" t="str">
        <f aca="false">IF(AE134=0,"",IF(AI134="","",IF(AI134=$G134,"Part-Time",IF(AI134=$H134,"Full-Time","Casual"))))</f>
        <v/>
      </c>
      <c r="AM134" s="12" t="str">
        <f aca="false">IF(AE134=0,"",IF(AJ134="","",IF(AJ134=$G134,"Part-Time",IF(AJ134=$H134,"Full-Time","Casual"))))</f>
        <v/>
      </c>
      <c r="AN134" s="12" t="str">
        <f aca="false">IF(AE134=0,"",IF(AG134=0,IF(OR(ISNUMBER(SEARCH("full",$C134)),UPPER(TRIM($C134))="FT",UPPER(TRIM($C134))="FTE"),"FT",IF(AND(OR(ISNUMBER(SEARCH("part",$C134)),UPPER(TRIM($C134))="PT",UPPER(TRIM($C134))="PTE"),OR($P134="",N($P134)&gt;=PT_MinHours)),"PT","None")),IF(OR(ISNUMBER(SEARCH("full",AK134)),UPPER(TRIM(AK134))="FT",UPPER(TRIM(AK134))="FTE"),"FT",IF(AND(OR(ISNUMBER(SEARCH("part",AK134)),UPPER(TRIM(AK134))="PT",UPPER(TRIM(AK134))="PTE"),OR($P134="",N($P134)&gt;=PT_MinHours)),"PT","None"))))</f>
        <v/>
      </c>
      <c r="AO134" s="12" t="str">
        <f aca="false">IF(AE134=0,"",IF(AG134&lt;2,"",IF(OR(ISNUMBER(SEARCH("full",AL134)),UPPER(TRIM(AL134))="FT",UPPER(TRIM(AL134))="FTE"),"FT",IF(AND(OR(ISNUMBER(SEARCH("part",AL134)),UPPER(TRIM(AL134))="PT",UPPER(TRIM(AL134))="PTE"),OR($P134="",N($P134)&gt;=PT_MinHours)),"PT","None"))))</f>
        <v/>
      </c>
      <c r="AP134" s="12" t="str">
        <f aca="false">IF(AE134=0,"",IF(AG134&lt;3,"",IF(OR(ISNUMBER(SEARCH("full",AM134)),UPPER(TRIM(AM134))="FT",UPPER(TRIM(AM134))="FTE"),"FT",IF(AND(OR(ISNUMBER(SEARCH("part",AM134)),UPPER(TRIM(AM134))="PT",UPPER(TRIM(AM134))="PTE"),OR($P134="",N($P134)&gt;=PT_MinHours)),"PT","None"))))</f>
        <v/>
      </c>
      <c r="AQ134" s="12" t="str">
        <f aca="false">IF(AE134=0,"",IF(AND(AG134&gt;=3,AJ134&lt;=AsOfDate),AP134,IF(AND(AG134&gt;=2,AI134&lt;=AsOfDate),AO134,AN134)))</f>
        <v/>
      </c>
      <c r="AR134" s="12" t="str">
        <f aca="false">IF(AE134=0,"",IF(AsOfDate&lt;AF134,-1,12*(YEAR(AsOfDate)-YEAR(AF134))+MONTH(AsOfDate)-MONTH(AF134)-IF(DAY(AsOfDate)&lt;MIN(DAY(AF134),DAY(EOMONTH(AsOfDate,0))),1,0)))</f>
        <v/>
      </c>
      <c r="AS134" s="12" t="str">
        <f aca="false">IF(AE134=0,"",IF(OR(AG134&lt;2,AI134&gt;AsOfDate),AR134,IF((AI134-1)&lt;AF134,-1,12*(YEAR((AI134-1))-YEAR(AF134))+MONTH((AI134-1))-MONTH(AF134)-IF(DAY((AI134-1))&lt;MIN(DAY(AF134),DAY(EOMONTH((AI134-1),0))),1,0))))</f>
        <v/>
      </c>
      <c r="AT134" s="12" t="str">
        <f aca="false">IF(AE134=0,"",IF(OR(AG134&lt;3,AJ134&gt;AsOfDate),AR134,IF((AJ134-1)&lt;AF134,-1,12*(YEAR((AJ134-1))-YEAR(AF134))+MONTH((AJ134-1))-MONTH(AF134)-IF(DAY((AJ134-1))&lt;MIN(DAY(AF134),DAY(EOMONTH((AJ134-1),0))),1,0))))</f>
        <v/>
      </c>
      <c r="AU134" s="12" t="str">
        <f aca="false">IF(AE134=0,"",IF(PFYDate&lt;AF134,-1,12*(YEAR(PFYDate)-YEAR(AF134))+MONTH(PFYDate)-MONTH(AF134)-IF(DAY(PFYDate)&lt;MIN(DAY(AF134),DAY(EOMONTH(PFYDate,0))),1,0)))</f>
        <v/>
      </c>
      <c r="AV134" s="12" t="str">
        <f aca="false">IF(AE134=0,"",IF(OR(AG134&lt;2,AI134&gt;PFYDate),AU134,IF((AI134-1)&lt;AF134,-1,12*(YEAR((AI134-1))-YEAR(AF134))+MONTH((AI134-1))-MONTH(AF134)-IF(DAY((AI134-1))&lt;MIN(DAY(AF134),DAY(EOMONTH((AI134-1),0))),1,0))))</f>
        <v/>
      </c>
      <c r="AW134" s="12" t="str">
        <f aca="false">IF(AE134=0,"",IF(OR(AG134&lt;3,AJ134&gt;PFYDate),AU134,IF((AJ134-1)&lt;AF134,-1,12*(YEAR((AJ134-1))-YEAR(AF134))+MONTH((AJ134-1))-MONTH(AF134)-IF(DAY((AJ134-1))&lt;MIN(DAY(AF134),DAY(EOMONTH((AJ134-1),0))),1,0))))</f>
        <v/>
      </c>
      <c r="AX134" s="12" t="str">
        <f aca="false">IF(AE134=0,"",IF(AN134="FT",IF(AS134&lt;FT_First,0,IF(AS134&lt;FT_Y5,1+INT((AS134-FT_First)/FT_Int1),FT_PreY5+FT_PerYear*INT((AS134-FT_Y5)/12)+FT_AnnivDays+INT(MOD(AS134-FT_Y5,12)/FT_Int2))),IF(AN134="PT",IF(AS134&lt;PT_First,0,1+INT((AS134-PT_First)/PT_Int)),0))+IF(AND(AG134&gt;=2,AI134&lt;=AsOfDate),IF(AO134="FT",IF(AT134&lt;FT_First,0,IF(AT134&lt;FT_Y5,1+INT((AT134-FT_First)/FT_Int1),FT_PreY5+FT_PerYear*INT((AT134-FT_Y5)/12)+FT_AnnivDays+INT(MOD(AT134-FT_Y5,12)/FT_Int2))),IF(AO134="PT",IF(AT134&lt;PT_First,0,1+INT((AT134-PT_First)/PT_Int)),0))-IF(AO134="FT",IF(AS134&lt;FT_First,0,IF(AS134&lt;FT_Y5,1+INT((AS134-FT_First)/FT_Int1),FT_PreY5+FT_PerYear*INT((AS134-FT_Y5)/12)+FT_AnnivDays+INT(MOD(AS134-FT_Y5,12)/FT_Int2))),IF(AO134="PT",IF(AS134&lt;PT_First,0,1+INT((AS134-PT_First)/PT_Int)),0)),0)+IF(AND(AG134&gt;=3,AJ134&lt;=AsOfDate),IF(AP134="FT",IF(AR134&lt;FT_First,0,IF(AR134&lt;FT_Y5,1+INT((AR134-FT_First)/FT_Int1),FT_PreY5+FT_PerYear*INT((AR134-FT_Y5)/12)+FT_AnnivDays+INT(MOD(AR134-FT_Y5,12)/FT_Int2))),IF(AP134="PT",IF(AR134&lt;PT_First,0,1+INT((AR134-PT_First)/PT_Int)),0))-IF(AP134="FT",IF(AT134&lt;FT_First,0,IF(AT134&lt;FT_Y5,1+INT((AT134-FT_First)/FT_Int1),FT_PreY5+FT_PerYear*INT((AT134-FT_Y5)/12)+FT_AnnivDays+INT(MOD(AT134-FT_Y5,12)/FT_Int2))),IF(AP134="PT",IF(AT134&lt;PT_First,0,1+INT((AT134-PT_First)/PT_Int)),0)),0))</f>
        <v/>
      </c>
      <c r="AY134" s="12" t="str">
        <f aca="false">IF(AE134=0,"",IF(AN134="FT",IF(AV134&lt;FT_First,0,IF(AV134&lt;FT_Y5,1+INT((AV134-FT_First)/FT_Int1),FT_PreY5+FT_PerYear*INT((AV134-FT_Y5)/12)+FT_AnnivDays+INT(MOD(AV134-FT_Y5,12)/FT_Int2))),IF(AN134="PT",IF(AV134&lt;PT_First,0,1+INT((AV134-PT_First)/PT_Int)),0))+IF(AND(AG134&gt;=2,AI134&lt;=PFYDate),IF(AO134="FT",IF(AW134&lt;FT_First,0,IF(AW134&lt;FT_Y5,1+INT((AW134-FT_First)/FT_Int1),FT_PreY5+FT_PerYear*INT((AW134-FT_Y5)/12)+FT_AnnivDays+INT(MOD(AW134-FT_Y5,12)/FT_Int2))),IF(AO134="PT",IF(AW134&lt;PT_First,0,1+INT((AW134-PT_First)/PT_Int)),0))-IF(AO134="FT",IF(AV134&lt;FT_First,0,IF(AV134&lt;FT_Y5,1+INT((AV134-FT_First)/FT_Int1),FT_PreY5+FT_PerYear*INT((AV134-FT_Y5)/12)+FT_AnnivDays+INT(MOD(AV134-FT_Y5,12)/FT_Int2))),IF(AO134="PT",IF(AV134&lt;PT_First,0,1+INT((AV134-PT_First)/PT_Int)),0)),0)+IF(AND(AG134&gt;=3,AJ134&lt;=PFYDate),IF(AP134="FT",IF(AU134&lt;FT_First,0,IF(AU134&lt;FT_Y5,1+INT((AU134-FT_First)/FT_Int1),FT_PreY5+FT_PerYear*INT((AU134-FT_Y5)/12)+FT_AnnivDays+INT(MOD(AU134-FT_Y5,12)/FT_Int2))),IF(AP134="PT",IF(AU134&lt;PT_First,0,1+INT((AU134-PT_First)/PT_Int)),0))-IF(AP134="FT",IF(AW134&lt;FT_First,0,IF(AW134&lt;FT_Y5,1+INT((AW134-FT_First)/FT_Int1),FT_PreY5+FT_PerYear*INT((AW134-FT_Y5)/12)+FT_AnnivDays+INT(MOD(AW134-FT_Y5,12)/FT_Int2))),IF(AP134="PT",IF(AW134&lt;PT_First,0,1+INT((AW134-PT_First)/PT_Int)),0)),0))</f>
        <v/>
      </c>
      <c r="AZ134" s="12" t="str">
        <f aca="false">IF(AE134=0,"",IF(AQ134="FT",IF(AR134&lt;FT_First,FT_First,IF(AR134&lt;FT_Y5,MIN(FT_Y5,FT_First+FT_Int1*(INT((AR134-FT_First)/FT_Int1)+1)),FT_Y5+12*INT((AR134-FT_Y5)/12)+FT_Int2*(INT(MOD(AR134-FT_Y5,12)/FT_Int2)+1))),IF(AQ134="PT",IF(AR134&lt;PT_First,PT_First,PT_First+PT_Int*(INT((AR134-PT_First)/PT_Int)+1)),"")))</f>
        <v/>
      </c>
      <c r="BA134" s="12" t="str">
        <f aca="false">IF(AE134=0,"",IF(NOT(LH_Ready),0,COUNTIFS(INDEX(LH_Data,0,LH_ColFirst),$A134,INDEX(LH_Data,0,LH_ColSur),$B134,INDEX(LH_Data,0,LH_ColCat),BonusCat)))</f>
        <v/>
      </c>
      <c r="BB134" s="12" t="str">
        <f aca="false">IF(AE134=0,"",IF(OR(NOT(LH_Ready),BA134=0),0,SUMPRODUCT(MAX((INDEX(LH_Data,0,LH_ColFirst)=$A134)*(INDEX(LH_Data,0,LH_ColSur)=$B134)*(INDEX(LH_Data,0,LH_ColCat)=BonusCat)*ROW(LH_Data)))))</f>
        <v/>
      </c>
    </row>
    <row r="135" customFormat="false" ht="15" hidden="false" customHeight="false" outlineLevel="0" collapsed="false">
      <c r="A135" s="15"/>
      <c r="B135" s="15"/>
      <c r="C135" s="15"/>
      <c r="D135" s="16"/>
      <c r="E135" s="10" t="str">
        <f aca="false">IF(OR(AE135=0,$D135=""),"",DATE(YEAR(AsOfDate)+IF(DATE(YEAR(AsOfDate),MONTH($D135),DAY($D135))&lt;=AsOfDate,1,0),MONTH($D135),DAY($D135)))</f>
        <v/>
      </c>
      <c r="F135" s="16"/>
      <c r="G135" s="16"/>
      <c r="H135" s="16"/>
      <c r="I135" s="16"/>
      <c r="J135" s="16"/>
      <c r="K135" s="10" t="str">
        <f aca="false">IF(AE135=0,"",DATE(YEAR(AsOfDate)+IF(DATE(YEAR(AsOfDate),MONTH($F135),DAY($F135))&lt;=AsOfDate,1,0),MONTH($F135),DAY($F135)))</f>
        <v/>
      </c>
      <c r="L135" s="11" t="str">
        <f aca="false">IF(AE135=0,"",ROUND((AsOfDate-$F135)/365.25,1))</f>
        <v/>
      </c>
      <c r="M135" s="12" t="str">
        <f aca="false">IF(AE135=0,"",IF(AsOfDate&lt;AF135,"-",DATEDIF(AF135,AsOfDate,"y")&amp;"y "&amp;DATEDIF(AF135,AsOfDate,"ym")&amp;"m "&amp;DATEDIF(AF135,AsOfDate,"md")&amp;"d"))</f>
        <v/>
      </c>
      <c r="N135" s="13" t="str">
        <f aca="false">IF(AE135=0,"",O135*HoursPerDay)</f>
        <v/>
      </c>
      <c r="O135" s="13" t="str">
        <f aca="false">IF(AE135=0,"",AX135)</f>
        <v/>
      </c>
      <c r="P135" s="17"/>
      <c r="Q135" s="12" t="str">
        <f aca="false">IF(AE135=0,"",IF(AG135&lt;2,"",AK135&amp;" to "&amp;AL135&amp;" on "&amp;TEXT(AI135,"dd/mm/yyyy")&amp;IF(AI135&gt;AsOfDate," (future)",IF(AN135=AO135,"",IF(AO135="None"," - STOPPED accruing",IF(AN135="None"," - now qualifying"," - pathway changed"))))&amp;IF(AG135&lt;3,"","; "&amp;AL135&amp;" to "&amp;AM135&amp;" on "&amp;TEXT(AJ135,"dd/mm/yyyy")&amp;IF(AJ135&gt;AsOfDate," (future)",IF(AO135=AP135,"",IF(AP135="None"," - STOPPED accruing",IF(AO135="None"," - now qualifying"," - pathway changed")))))))</f>
        <v/>
      </c>
      <c r="R135" s="12" t="str">
        <f aca="false">IF(AE135=0,"",IF(AQ135="None",IF(O135&gt;0,"No longer accruing","Not eligible - "&amp;IF(AND(OR(ISNUMBER(SEARCH("part",$C135)),UPPER(TRIM($C135))="PT",UPPER(TRIM($C135))="PTE"),$P135&lt;&gt;"",N($P135)&lt;PT_MinHours),"under "&amp;PT_MinHours&amp;" hrs",IF(IF($C135="","",IF(OR(ISNUMBER(SEARCH("full",$C135)),UPPER(TRIM($C135))="FT",UPPER(TRIM($C135))="FTE"),"Full-Time",IF(OR(ISNUMBER(SEARCH("part",$C135)),UPPER(TRIM($C135))="PT",UPPER(TRIM($C135))="PTE"),"Part-Time",IF(OR(ISNUMBER(SEARCH("cas",$C135)),UPPER(TRIM($C135))="CAS"),"Casual","Unknown"))))="Unknown","type not recognised",$C135))),IF(O135&gt;0,"Yes - accruing","Not yet - from "&amp;TEXT(S135,"dd/mm/yyyy"))))</f>
        <v/>
      </c>
      <c r="S135" s="10" t="str">
        <f aca="false">IF(AE135=0,"",IF(AQ135="None","",EDATE(AF135,AZ135)))</f>
        <v/>
      </c>
      <c r="T135" s="13" t="str">
        <f aca="false">IF(OR(AE135=0,W135=""),"",W135-U135+V135)</f>
        <v/>
      </c>
      <c r="U135" s="13" t="str">
        <f aca="false">IF(AE135=0,"",IF(NOT(LH_Ready),"",SUMIFS(INDEX(LH_Data,0,LH_ColAcc),INDEX(LH_Data,0,LH_ColFirst),$A135,INDEX(LH_Data,0,LH_ColSur),$B135,INDEX(LH_Data,0,LH_ColCat),BonusCat)*UnitFactor))</f>
        <v/>
      </c>
      <c r="V135" s="13" t="str">
        <f aca="false">IF(AE135=0,"",IF(NOT(LH_Ready),"",SUMIFS(INDEX(LH_Data,0,LH_ColTaken),INDEX(LH_Data,0,LH_ColFirst),$A135,INDEX(LH_Data,0,LH_ColSur),$B135,INDEX(LH_Data,0,LH_ColCat),BonusCat)*UnitFactor))</f>
        <v/>
      </c>
      <c r="W135" s="13" t="str">
        <f aca="false">IF(AE135=0,"",IF(NOT(LH_Ready),"",IF(BB135=0,0,INDEX(INDEX(LH_Data,0,LH_ColClose),BB135-1)*UnitFactor)))</f>
        <v/>
      </c>
      <c r="X135" s="13" t="str">
        <f aca="false">IF(AE135=0,"",(AX135-AY135)*HoursPerDay)</f>
        <v/>
      </c>
      <c r="Y135" s="13" t="str">
        <f aca="false">IF(AE135=0,"",IF(NOT(LH_Ready),"",IF(BA135=0,N135,X135-N(U135))))</f>
        <v/>
      </c>
      <c r="Z135" s="12" t="str">
        <f aca="false">IF(OR(AE135=0,Y135=""),"",IF(Y135&gt;0,"Yes","No"))</f>
        <v/>
      </c>
      <c r="AA135" s="12" t="str">
        <f aca="false">IF(AE135=0,IF(LEN($A135&amp;$B135)=0,"","FIX INPUT - StartDate missing"),IF(AD135&lt;&gt;"","FIX INPUT - "&amp;AD135,IF(NOT(LH_Ready),"Paste Leave History export (Settings must show YES)",IF(Y135&gt;0,"ACCRUE "&amp;ROUND(Y135,2)&amp;" hrs ("&amp;ROUND(Y135/HoursPerDay,2)&amp;" days)"&amp;IF(BA135=0," - no Bonus Leave in EH yet, full catch-up since start",""),IF(Y135&lt;0,"CHECK - EH accrued "&amp;ROUND(-Y135,2)&amp;""&amp;" hrs more than policy",IF(O135&gt;0,"OK - nothing to add",IF(AQ135="None",R135,"Not yet - first day on "&amp;TEXT(S135,"dd/mm/yyyy"))))))))</f>
        <v/>
      </c>
      <c r="AB135" s="13" t="str">
        <f aca="false">IF(OR(AE135=0,T135=""),"",AY135*HoursPerDay-T135)</f>
        <v/>
      </c>
      <c r="AC135" s="12" t="str">
        <f aca="false">IF(AE135=0,"",BA135)</f>
        <v/>
      </c>
      <c r="AD135" s="12" t="str">
        <f aca="false">IF(AE135=0,"",TRIM(IF(IF($C135="","",IF(OR(ISNUMBER(SEARCH("full",$C135)),UPPER(TRIM($C135))="FT",UPPER(TRIM($C135))="FTE"),"Full-Time",IF(OR(ISNUMBER(SEARCH("part",$C135)),UPPER(TRIM($C135))="PT",UPPER(TRIM($C135))="PTE"),"Part-Time",IF(OR(ISNUMBER(SEARCH("cas",$C135)),UPPER(TRIM($C135))="CAS"),"Casual","Unknown"))))="Unknown","EmploymentType not recognised - use Full-Time, Part-Time or Casual. ","")&amp;IF(AND(AG135&gt;=1,IF(AG135&gt;=3,AM135,IF(AG135=2,AL135,AK135))&lt;&gt;IF($C135="","",IF(OR(ISNUMBER(SEARCH("full",$C135)),UPPER(TRIM($C135))="FT",UPPER(TRIM($C135))="FTE"),"Full-Time",IF(OR(ISNUMBER(SEARCH("part",$C135)),UPPER(TRIM($C135))="PT",UPPER(TRIM($C135))="PTE"),"Part-Time",IF(OR(ISNUMBER(SEARCH("cas",$C135)),UPPER(TRIM($C135))="CAS"),"Casual","Unknown"))))),"EmploymentType does not match latest start date ("&amp;IF(AG135&gt;=3,AM135,IF(AG135=2,AL135,AK135))&amp;"). ","")&amp;IF(AND(AG135&gt;=1,AH135&lt;&gt;$F135),"Earliest type date should equal StartDate. ","")&amp;IF(AND(AG135&gt;=2,AH135=AI135),"Two types start on the same date. ","")&amp;IF(AND(OR(ISNUMBER(SEARCH("part",$C135)),UPPER(TRIM($C135))="PT",UPPER(TRIM($C135))="PTE"),$P135=""),"Part-time: enter PT Hrs/Week (blank = 24+). ","")))</f>
        <v/>
      </c>
      <c r="AE135" s="12" t="n">
        <f aca="false">IF(OR(LEN($A135&amp;$B135)=0,$F135=""),0,1)</f>
        <v>0</v>
      </c>
      <c r="AF135" s="10" t="str">
        <f aca="false">IF(AE135=0,"",IF($J135&lt;&gt;"",$J135,$F135))</f>
        <v/>
      </c>
      <c r="AG135" s="12" t="str">
        <f aca="false">IF(AE135=0,"",COUNT($G135:$I135))</f>
        <v/>
      </c>
      <c r="AH135" s="10" t="str">
        <f aca="false">IF(AE135=0,"",IFERROR(SMALL($G135:$I135,1),""))</f>
        <v/>
      </c>
      <c r="AI135" s="10" t="str">
        <f aca="false">IF(AE135=0,"",IFERROR(SMALL($G135:$I135,2),""))</f>
        <v/>
      </c>
      <c r="AJ135" s="10" t="str">
        <f aca="false">IF(AE135=0,"",IFERROR(SMALL($G135:$I135,3),""))</f>
        <v/>
      </c>
      <c r="AK135" s="12" t="str">
        <f aca="false">IF(AE135=0,"",IF(AH135="","",IF(AH135=$G135,"Part-Time",IF(AH135=$H135,"Full-Time","Casual"))))</f>
        <v/>
      </c>
      <c r="AL135" s="12" t="str">
        <f aca="false">IF(AE135=0,"",IF(AI135="","",IF(AI135=$G135,"Part-Time",IF(AI135=$H135,"Full-Time","Casual"))))</f>
        <v/>
      </c>
      <c r="AM135" s="12" t="str">
        <f aca="false">IF(AE135=0,"",IF(AJ135="","",IF(AJ135=$G135,"Part-Time",IF(AJ135=$H135,"Full-Time","Casual"))))</f>
        <v/>
      </c>
      <c r="AN135" s="12" t="str">
        <f aca="false">IF(AE135=0,"",IF(AG135=0,IF(OR(ISNUMBER(SEARCH("full",$C135)),UPPER(TRIM($C135))="FT",UPPER(TRIM($C135))="FTE"),"FT",IF(AND(OR(ISNUMBER(SEARCH("part",$C135)),UPPER(TRIM($C135))="PT",UPPER(TRIM($C135))="PTE"),OR($P135="",N($P135)&gt;=PT_MinHours)),"PT","None")),IF(OR(ISNUMBER(SEARCH("full",AK135)),UPPER(TRIM(AK135))="FT",UPPER(TRIM(AK135))="FTE"),"FT",IF(AND(OR(ISNUMBER(SEARCH("part",AK135)),UPPER(TRIM(AK135))="PT",UPPER(TRIM(AK135))="PTE"),OR($P135="",N($P135)&gt;=PT_MinHours)),"PT","None"))))</f>
        <v/>
      </c>
      <c r="AO135" s="12" t="str">
        <f aca="false">IF(AE135=0,"",IF(AG135&lt;2,"",IF(OR(ISNUMBER(SEARCH("full",AL135)),UPPER(TRIM(AL135))="FT",UPPER(TRIM(AL135))="FTE"),"FT",IF(AND(OR(ISNUMBER(SEARCH("part",AL135)),UPPER(TRIM(AL135))="PT",UPPER(TRIM(AL135))="PTE"),OR($P135="",N($P135)&gt;=PT_MinHours)),"PT","None"))))</f>
        <v/>
      </c>
      <c r="AP135" s="12" t="str">
        <f aca="false">IF(AE135=0,"",IF(AG135&lt;3,"",IF(OR(ISNUMBER(SEARCH("full",AM135)),UPPER(TRIM(AM135))="FT",UPPER(TRIM(AM135))="FTE"),"FT",IF(AND(OR(ISNUMBER(SEARCH("part",AM135)),UPPER(TRIM(AM135))="PT",UPPER(TRIM(AM135))="PTE"),OR($P135="",N($P135)&gt;=PT_MinHours)),"PT","None"))))</f>
        <v/>
      </c>
      <c r="AQ135" s="12" t="str">
        <f aca="false">IF(AE135=0,"",IF(AND(AG135&gt;=3,AJ135&lt;=AsOfDate),AP135,IF(AND(AG135&gt;=2,AI135&lt;=AsOfDate),AO135,AN135)))</f>
        <v/>
      </c>
      <c r="AR135" s="12" t="str">
        <f aca="false">IF(AE135=0,"",IF(AsOfDate&lt;AF135,-1,12*(YEAR(AsOfDate)-YEAR(AF135))+MONTH(AsOfDate)-MONTH(AF135)-IF(DAY(AsOfDate)&lt;MIN(DAY(AF135),DAY(EOMONTH(AsOfDate,0))),1,0)))</f>
        <v/>
      </c>
      <c r="AS135" s="12" t="str">
        <f aca="false">IF(AE135=0,"",IF(OR(AG135&lt;2,AI135&gt;AsOfDate),AR135,IF((AI135-1)&lt;AF135,-1,12*(YEAR((AI135-1))-YEAR(AF135))+MONTH((AI135-1))-MONTH(AF135)-IF(DAY((AI135-1))&lt;MIN(DAY(AF135),DAY(EOMONTH((AI135-1),0))),1,0))))</f>
        <v/>
      </c>
      <c r="AT135" s="12" t="str">
        <f aca="false">IF(AE135=0,"",IF(OR(AG135&lt;3,AJ135&gt;AsOfDate),AR135,IF((AJ135-1)&lt;AF135,-1,12*(YEAR((AJ135-1))-YEAR(AF135))+MONTH((AJ135-1))-MONTH(AF135)-IF(DAY((AJ135-1))&lt;MIN(DAY(AF135),DAY(EOMONTH((AJ135-1),0))),1,0))))</f>
        <v/>
      </c>
      <c r="AU135" s="12" t="str">
        <f aca="false">IF(AE135=0,"",IF(PFYDate&lt;AF135,-1,12*(YEAR(PFYDate)-YEAR(AF135))+MONTH(PFYDate)-MONTH(AF135)-IF(DAY(PFYDate)&lt;MIN(DAY(AF135),DAY(EOMONTH(PFYDate,0))),1,0)))</f>
        <v/>
      </c>
      <c r="AV135" s="12" t="str">
        <f aca="false">IF(AE135=0,"",IF(OR(AG135&lt;2,AI135&gt;PFYDate),AU135,IF((AI135-1)&lt;AF135,-1,12*(YEAR((AI135-1))-YEAR(AF135))+MONTH((AI135-1))-MONTH(AF135)-IF(DAY((AI135-1))&lt;MIN(DAY(AF135),DAY(EOMONTH((AI135-1),0))),1,0))))</f>
        <v/>
      </c>
      <c r="AW135" s="12" t="str">
        <f aca="false">IF(AE135=0,"",IF(OR(AG135&lt;3,AJ135&gt;PFYDate),AU135,IF((AJ135-1)&lt;AF135,-1,12*(YEAR((AJ135-1))-YEAR(AF135))+MONTH((AJ135-1))-MONTH(AF135)-IF(DAY((AJ135-1))&lt;MIN(DAY(AF135),DAY(EOMONTH((AJ135-1),0))),1,0))))</f>
        <v/>
      </c>
      <c r="AX135" s="12" t="str">
        <f aca="false">IF(AE135=0,"",IF(AN135="FT",IF(AS135&lt;FT_First,0,IF(AS135&lt;FT_Y5,1+INT((AS135-FT_First)/FT_Int1),FT_PreY5+FT_PerYear*INT((AS135-FT_Y5)/12)+FT_AnnivDays+INT(MOD(AS135-FT_Y5,12)/FT_Int2))),IF(AN135="PT",IF(AS135&lt;PT_First,0,1+INT((AS135-PT_First)/PT_Int)),0))+IF(AND(AG135&gt;=2,AI135&lt;=AsOfDate),IF(AO135="FT",IF(AT135&lt;FT_First,0,IF(AT135&lt;FT_Y5,1+INT((AT135-FT_First)/FT_Int1),FT_PreY5+FT_PerYear*INT((AT135-FT_Y5)/12)+FT_AnnivDays+INT(MOD(AT135-FT_Y5,12)/FT_Int2))),IF(AO135="PT",IF(AT135&lt;PT_First,0,1+INT((AT135-PT_First)/PT_Int)),0))-IF(AO135="FT",IF(AS135&lt;FT_First,0,IF(AS135&lt;FT_Y5,1+INT((AS135-FT_First)/FT_Int1),FT_PreY5+FT_PerYear*INT((AS135-FT_Y5)/12)+FT_AnnivDays+INT(MOD(AS135-FT_Y5,12)/FT_Int2))),IF(AO135="PT",IF(AS135&lt;PT_First,0,1+INT((AS135-PT_First)/PT_Int)),0)),0)+IF(AND(AG135&gt;=3,AJ135&lt;=AsOfDate),IF(AP135="FT",IF(AR135&lt;FT_First,0,IF(AR135&lt;FT_Y5,1+INT((AR135-FT_First)/FT_Int1),FT_PreY5+FT_PerYear*INT((AR135-FT_Y5)/12)+FT_AnnivDays+INT(MOD(AR135-FT_Y5,12)/FT_Int2))),IF(AP135="PT",IF(AR135&lt;PT_First,0,1+INT((AR135-PT_First)/PT_Int)),0))-IF(AP135="FT",IF(AT135&lt;FT_First,0,IF(AT135&lt;FT_Y5,1+INT((AT135-FT_First)/FT_Int1),FT_PreY5+FT_PerYear*INT((AT135-FT_Y5)/12)+FT_AnnivDays+INT(MOD(AT135-FT_Y5,12)/FT_Int2))),IF(AP135="PT",IF(AT135&lt;PT_First,0,1+INT((AT135-PT_First)/PT_Int)),0)),0))</f>
        <v/>
      </c>
      <c r="AY135" s="12" t="str">
        <f aca="false">IF(AE135=0,"",IF(AN135="FT",IF(AV135&lt;FT_First,0,IF(AV135&lt;FT_Y5,1+INT((AV135-FT_First)/FT_Int1),FT_PreY5+FT_PerYear*INT((AV135-FT_Y5)/12)+FT_AnnivDays+INT(MOD(AV135-FT_Y5,12)/FT_Int2))),IF(AN135="PT",IF(AV135&lt;PT_First,0,1+INT((AV135-PT_First)/PT_Int)),0))+IF(AND(AG135&gt;=2,AI135&lt;=PFYDate),IF(AO135="FT",IF(AW135&lt;FT_First,0,IF(AW135&lt;FT_Y5,1+INT((AW135-FT_First)/FT_Int1),FT_PreY5+FT_PerYear*INT((AW135-FT_Y5)/12)+FT_AnnivDays+INT(MOD(AW135-FT_Y5,12)/FT_Int2))),IF(AO135="PT",IF(AW135&lt;PT_First,0,1+INT((AW135-PT_First)/PT_Int)),0))-IF(AO135="FT",IF(AV135&lt;FT_First,0,IF(AV135&lt;FT_Y5,1+INT((AV135-FT_First)/FT_Int1),FT_PreY5+FT_PerYear*INT((AV135-FT_Y5)/12)+FT_AnnivDays+INT(MOD(AV135-FT_Y5,12)/FT_Int2))),IF(AO135="PT",IF(AV135&lt;PT_First,0,1+INT((AV135-PT_First)/PT_Int)),0)),0)+IF(AND(AG135&gt;=3,AJ135&lt;=PFYDate),IF(AP135="FT",IF(AU135&lt;FT_First,0,IF(AU135&lt;FT_Y5,1+INT((AU135-FT_First)/FT_Int1),FT_PreY5+FT_PerYear*INT((AU135-FT_Y5)/12)+FT_AnnivDays+INT(MOD(AU135-FT_Y5,12)/FT_Int2))),IF(AP135="PT",IF(AU135&lt;PT_First,0,1+INT((AU135-PT_First)/PT_Int)),0))-IF(AP135="FT",IF(AW135&lt;FT_First,0,IF(AW135&lt;FT_Y5,1+INT((AW135-FT_First)/FT_Int1),FT_PreY5+FT_PerYear*INT((AW135-FT_Y5)/12)+FT_AnnivDays+INT(MOD(AW135-FT_Y5,12)/FT_Int2))),IF(AP135="PT",IF(AW135&lt;PT_First,0,1+INT((AW135-PT_First)/PT_Int)),0)),0))</f>
        <v/>
      </c>
      <c r="AZ135" s="12" t="str">
        <f aca="false">IF(AE135=0,"",IF(AQ135="FT",IF(AR135&lt;FT_First,FT_First,IF(AR135&lt;FT_Y5,MIN(FT_Y5,FT_First+FT_Int1*(INT((AR135-FT_First)/FT_Int1)+1)),FT_Y5+12*INT((AR135-FT_Y5)/12)+FT_Int2*(INT(MOD(AR135-FT_Y5,12)/FT_Int2)+1))),IF(AQ135="PT",IF(AR135&lt;PT_First,PT_First,PT_First+PT_Int*(INT((AR135-PT_First)/PT_Int)+1)),"")))</f>
        <v/>
      </c>
      <c r="BA135" s="12" t="str">
        <f aca="false">IF(AE135=0,"",IF(NOT(LH_Ready),0,COUNTIFS(INDEX(LH_Data,0,LH_ColFirst),$A135,INDEX(LH_Data,0,LH_ColSur),$B135,INDEX(LH_Data,0,LH_ColCat),BonusCat)))</f>
        <v/>
      </c>
      <c r="BB135" s="12" t="str">
        <f aca="false">IF(AE135=0,"",IF(OR(NOT(LH_Ready),BA135=0),0,SUMPRODUCT(MAX((INDEX(LH_Data,0,LH_ColFirst)=$A135)*(INDEX(LH_Data,0,LH_ColSur)=$B135)*(INDEX(LH_Data,0,LH_ColCat)=BonusCat)*ROW(LH_Data)))))</f>
        <v/>
      </c>
    </row>
    <row r="136" customFormat="false" ht="15" hidden="false" customHeight="false" outlineLevel="0" collapsed="false">
      <c r="A136" s="15"/>
      <c r="B136" s="15"/>
      <c r="C136" s="15"/>
      <c r="D136" s="16"/>
      <c r="E136" s="10" t="str">
        <f aca="false">IF(OR(AE136=0,$D136=""),"",DATE(YEAR(AsOfDate)+IF(DATE(YEAR(AsOfDate),MONTH($D136),DAY($D136))&lt;=AsOfDate,1,0),MONTH($D136),DAY($D136)))</f>
        <v/>
      </c>
      <c r="F136" s="16"/>
      <c r="G136" s="16"/>
      <c r="H136" s="16"/>
      <c r="I136" s="16"/>
      <c r="J136" s="16"/>
      <c r="K136" s="10" t="str">
        <f aca="false">IF(AE136=0,"",DATE(YEAR(AsOfDate)+IF(DATE(YEAR(AsOfDate),MONTH($F136),DAY($F136))&lt;=AsOfDate,1,0),MONTH($F136),DAY($F136)))</f>
        <v/>
      </c>
      <c r="L136" s="11" t="str">
        <f aca="false">IF(AE136=0,"",ROUND((AsOfDate-$F136)/365.25,1))</f>
        <v/>
      </c>
      <c r="M136" s="12" t="str">
        <f aca="false">IF(AE136=0,"",IF(AsOfDate&lt;AF136,"-",DATEDIF(AF136,AsOfDate,"y")&amp;"y "&amp;DATEDIF(AF136,AsOfDate,"ym")&amp;"m "&amp;DATEDIF(AF136,AsOfDate,"md")&amp;"d"))</f>
        <v/>
      </c>
      <c r="N136" s="13" t="str">
        <f aca="false">IF(AE136=0,"",O136*HoursPerDay)</f>
        <v/>
      </c>
      <c r="O136" s="13" t="str">
        <f aca="false">IF(AE136=0,"",AX136)</f>
        <v/>
      </c>
      <c r="P136" s="17"/>
      <c r="Q136" s="12" t="str">
        <f aca="false">IF(AE136=0,"",IF(AG136&lt;2,"",AK136&amp;" to "&amp;AL136&amp;" on "&amp;TEXT(AI136,"dd/mm/yyyy")&amp;IF(AI136&gt;AsOfDate," (future)",IF(AN136=AO136,"",IF(AO136="None"," - STOPPED accruing",IF(AN136="None"," - now qualifying"," - pathway changed"))))&amp;IF(AG136&lt;3,"","; "&amp;AL136&amp;" to "&amp;AM136&amp;" on "&amp;TEXT(AJ136,"dd/mm/yyyy")&amp;IF(AJ136&gt;AsOfDate," (future)",IF(AO136=AP136,"",IF(AP136="None"," - STOPPED accruing",IF(AO136="None"," - now qualifying"," - pathway changed")))))))</f>
        <v/>
      </c>
      <c r="R136" s="12" t="str">
        <f aca="false">IF(AE136=0,"",IF(AQ136="None",IF(O136&gt;0,"No longer accruing","Not eligible - "&amp;IF(AND(OR(ISNUMBER(SEARCH("part",$C136)),UPPER(TRIM($C136))="PT",UPPER(TRIM($C136))="PTE"),$P136&lt;&gt;"",N($P136)&lt;PT_MinHours),"under "&amp;PT_MinHours&amp;" hrs",IF(IF($C136="","",IF(OR(ISNUMBER(SEARCH("full",$C136)),UPPER(TRIM($C136))="FT",UPPER(TRIM($C136))="FTE"),"Full-Time",IF(OR(ISNUMBER(SEARCH("part",$C136)),UPPER(TRIM($C136))="PT",UPPER(TRIM($C136))="PTE"),"Part-Time",IF(OR(ISNUMBER(SEARCH("cas",$C136)),UPPER(TRIM($C136))="CAS"),"Casual","Unknown"))))="Unknown","type not recognised",$C136))),IF(O136&gt;0,"Yes - accruing","Not yet - from "&amp;TEXT(S136,"dd/mm/yyyy"))))</f>
        <v/>
      </c>
      <c r="S136" s="10" t="str">
        <f aca="false">IF(AE136=0,"",IF(AQ136="None","",EDATE(AF136,AZ136)))</f>
        <v/>
      </c>
      <c r="T136" s="13" t="str">
        <f aca="false">IF(OR(AE136=0,W136=""),"",W136-U136+V136)</f>
        <v/>
      </c>
      <c r="U136" s="13" t="str">
        <f aca="false">IF(AE136=0,"",IF(NOT(LH_Ready),"",SUMIFS(INDEX(LH_Data,0,LH_ColAcc),INDEX(LH_Data,0,LH_ColFirst),$A136,INDEX(LH_Data,0,LH_ColSur),$B136,INDEX(LH_Data,0,LH_ColCat),BonusCat)*UnitFactor))</f>
        <v/>
      </c>
      <c r="V136" s="13" t="str">
        <f aca="false">IF(AE136=0,"",IF(NOT(LH_Ready),"",SUMIFS(INDEX(LH_Data,0,LH_ColTaken),INDEX(LH_Data,0,LH_ColFirst),$A136,INDEX(LH_Data,0,LH_ColSur),$B136,INDEX(LH_Data,0,LH_ColCat),BonusCat)*UnitFactor))</f>
        <v/>
      </c>
      <c r="W136" s="13" t="str">
        <f aca="false">IF(AE136=0,"",IF(NOT(LH_Ready),"",IF(BB136=0,0,INDEX(INDEX(LH_Data,0,LH_ColClose),BB136-1)*UnitFactor)))</f>
        <v/>
      </c>
      <c r="X136" s="13" t="str">
        <f aca="false">IF(AE136=0,"",(AX136-AY136)*HoursPerDay)</f>
        <v/>
      </c>
      <c r="Y136" s="13" t="str">
        <f aca="false">IF(AE136=0,"",IF(NOT(LH_Ready),"",IF(BA136=0,N136,X136-N(U136))))</f>
        <v/>
      </c>
      <c r="Z136" s="12" t="str">
        <f aca="false">IF(OR(AE136=0,Y136=""),"",IF(Y136&gt;0,"Yes","No"))</f>
        <v/>
      </c>
      <c r="AA136" s="12" t="str">
        <f aca="false">IF(AE136=0,IF(LEN($A136&amp;$B136)=0,"","FIX INPUT - StartDate missing"),IF(AD136&lt;&gt;"","FIX INPUT - "&amp;AD136,IF(NOT(LH_Ready),"Paste Leave History export (Settings must show YES)",IF(Y136&gt;0,"ACCRUE "&amp;ROUND(Y136,2)&amp;" hrs ("&amp;ROUND(Y136/HoursPerDay,2)&amp;" days)"&amp;IF(BA136=0," - no Bonus Leave in EH yet, full catch-up since start",""),IF(Y136&lt;0,"CHECK - EH accrued "&amp;ROUND(-Y136,2)&amp;""&amp;" hrs more than policy",IF(O136&gt;0,"OK - nothing to add",IF(AQ136="None",R136,"Not yet - first day on "&amp;TEXT(S136,"dd/mm/yyyy"))))))))</f>
        <v/>
      </c>
      <c r="AB136" s="13" t="str">
        <f aca="false">IF(OR(AE136=0,T136=""),"",AY136*HoursPerDay-T136)</f>
        <v/>
      </c>
      <c r="AC136" s="12" t="str">
        <f aca="false">IF(AE136=0,"",BA136)</f>
        <v/>
      </c>
      <c r="AD136" s="12" t="str">
        <f aca="false">IF(AE136=0,"",TRIM(IF(IF($C136="","",IF(OR(ISNUMBER(SEARCH("full",$C136)),UPPER(TRIM($C136))="FT",UPPER(TRIM($C136))="FTE"),"Full-Time",IF(OR(ISNUMBER(SEARCH("part",$C136)),UPPER(TRIM($C136))="PT",UPPER(TRIM($C136))="PTE"),"Part-Time",IF(OR(ISNUMBER(SEARCH("cas",$C136)),UPPER(TRIM($C136))="CAS"),"Casual","Unknown"))))="Unknown","EmploymentType not recognised - use Full-Time, Part-Time or Casual. ","")&amp;IF(AND(AG136&gt;=1,IF(AG136&gt;=3,AM136,IF(AG136=2,AL136,AK136))&lt;&gt;IF($C136="","",IF(OR(ISNUMBER(SEARCH("full",$C136)),UPPER(TRIM($C136))="FT",UPPER(TRIM($C136))="FTE"),"Full-Time",IF(OR(ISNUMBER(SEARCH("part",$C136)),UPPER(TRIM($C136))="PT",UPPER(TRIM($C136))="PTE"),"Part-Time",IF(OR(ISNUMBER(SEARCH("cas",$C136)),UPPER(TRIM($C136))="CAS"),"Casual","Unknown"))))),"EmploymentType does not match latest start date ("&amp;IF(AG136&gt;=3,AM136,IF(AG136=2,AL136,AK136))&amp;"). ","")&amp;IF(AND(AG136&gt;=1,AH136&lt;&gt;$F136),"Earliest type date should equal StartDate. ","")&amp;IF(AND(AG136&gt;=2,AH136=AI136),"Two types start on the same date. ","")&amp;IF(AND(OR(ISNUMBER(SEARCH("part",$C136)),UPPER(TRIM($C136))="PT",UPPER(TRIM($C136))="PTE"),$P136=""),"Part-time: enter PT Hrs/Week (blank = 24+). ","")))</f>
        <v/>
      </c>
      <c r="AE136" s="12" t="n">
        <f aca="false">IF(OR(LEN($A136&amp;$B136)=0,$F136=""),0,1)</f>
        <v>0</v>
      </c>
      <c r="AF136" s="10" t="str">
        <f aca="false">IF(AE136=0,"",IF($J136&lt;&gt;"",$J136,$F136))</f>
        <v/>
      </c>
      <c r="AG136" s="12" t="str">
        <f aca="false">IF(AE136=0,"",COUNT($G136:$I136))</f>
        <v/>
      </c>
      <c r="AH136" s="10" t="str">
        <f aca="false">IF(AE136=0,"",IFERROR(SMALL($G136:$I136,1),""))</f>
        <v/>
      </c>
      <c r="AI136" s="10" t="str">
        <f aca="false">IF(AE136=0,"",IFERROR(SMALL($G136:$I136,2),""))</f>
        <v/>
      </c>
      <c r="AJ136" s="10" t="str">
        <f aca="false">IF(AE136=0,"",IFERROR(SMALL($G136:$I136,3),""))</f>
        <v/>
      </c>
      <c r="AK136" s="12" t="str">
        <f aca="false">IF(AE136=0,"",IF(AH136="","",IF(AH136=$G136,"Part-Time",IF(AH136=$H136,"Full-Time","Casual"))))</f>
        <v/>
      </c>
      <c r="AL136" s="12" t="str">
        <f aca="false">IF(AE136=0,"",IF(AI136="","",IF(AI136=$G136,"Part-Time",IF(AI136=$H136,"Full-Time","Casual"))))</f>
        <v/>
      </c>
      <c r="AM136" s="12" t="str">
        <f aca="false">IF(AE136=0,"",IF(AJ136="","",IF(AJ136=$G136,"Part-Time",IF(AJ136=$H136,"Full-Time","Casual"))))</f>
        <v/>
      </c>
      <c r="AN136" s="12" t="str">
        <f aca="false">IF(AE136=0,"",IF(AG136=0,IF(OR(ISNUMBER(SEARCH("full",$C136)),UPPER(TRIM($C136))="FT",UPPER(TRIM($C136))="FTE"),"FT",IF(AND(OR(ISNUMBER(SEARCH("part",$C136)),UPPER(TRIM($C136))="PT",UPPER(TRIM($C136))="PTE"),OR($P136="",N($P136)&gt;=PT_MinHours)),"PT","None")),IF(OR(ISNUMBER(SEARCH("full",AK136)),UPPER(TRIM(AK136))="FT",UPPER(TRIM(AK136))="FTE"),"FT",IF(AND(OR(ISNUMBER(SEARCH("part",AK136)),UPPER(TRIM(AK136))="PT",UPPER(TRIM(AK136))="PTE"),OR($P136="",N($P136)&gt;=PT_MinHours)),"PT","None"))))</f>
        <v/>
      </c>
      <c r="AO136" s="12" t="str">
        <f aca="false">IF(AE136=0,"",IF(AG136&lt;2,"",IF(OR(ISNUMBER(SEARCH("full",AL136)),UPPER(TRIM(AL136))="FT",UPPER(TRIM(AL136))="FTE"),"FT",IF(AND(OR(ISNUMBER(SEARCH("part",AL136)),UPPER(TRIM(AL136))="PT",UPPER(TRIM(AL136))="PTE"),OR($P136="",N($P136)&gt;=PT_MinHours)),"PT","None"))))</f>
        <v/>
      </c>
      <c r="AP136" s="12" t="str">
        <f aca="false">IF(AE136=0,"",IF(AG136&lt;3,"",IF(OR(ISNUMBER(SEARCH("full",AM136)),UPPER(TRIM(AM136))="FT",UPPER(TRIM(AM136))="FTE"),"FT",IF(AND(OR(ISNUMBER(SEARCH("part",AM136)),UPPER(TRIM(AM136))="PT",UPPER(TRIM(AM136))="PTE"),OR($P136="",N($P136)&gt;=PT_MinHours)),"PT","None"))))</f>
        <v/>
      </c>
      <c r="AQ136" s="12" t="str">
        <f aca="false">IF(AE136=0,"",IF(AND(AG136&gt;=3,AJ136&lt;=AsOfDate),AP136,IF(AND(AG136&gt;=2,AI136&lt;=AsOfDate),AO136,AN136)))</f>
        <v/>
      </c>
      <c r="AR136" s="12" t="str">
        <f aca="false">IF(AE136=0,"",IF(AsOfDate&lt;AF136,-1,12*(YEAR(AsOfDate)-YEAR(AF136))+MONTH(AsOfDate)-MONTH(AF136)-IF(DAY(AsOfDate)&lt;MIN(DAY(AF136),DAY(EOMONTH(AsOfDate,0))),1,0)))</f>
        <v/>
      </c>
      <c r="AS136" s="12" t="str">
        <f aca="false">IF(AE136=0,"",IF(OR(AG136&lt;2,AI136&gt;AsOfDate),AR136,IF((AI136-1)&lt;AF136,-1,12*(YEAR((AI136-1))-YEAR(AF136))+MONTH((AI136-1))-MONTH(AF136)-IF(DAY((AI136-1))&lt;MIN(DAY(AF136),DAY(EOMONTH((AI136-1),0))),1,0))))</f>
        <v/>
      </c>
      <c r="AT136" s="12" t="str">
        <f aca="false">IF(AE136=0,"",IF(OR(AG136&lt;3,AJ136&gt;AsOfDate),AR136,IF((AJ136-1)&lt;AF136,-1,12*(YEAR((AJ136-1))-YEAR(AF136))+MONTH((AJ136-1))-MONTH(AF136)-IF(DAY((AJ136-1))&lt;MIN(DAY(AF136),DAY(EOMONTH((AJ136-1),0))),1,0))))</f>
        <v/>
      </c>
      <c r="AU136" s="12" t="str">
        <f aca="false">IF(AE136=0,"",IF(PFYDate&lt;AF136,-1,12*(YEAR(PFYDate)-YEAR(AF136))+MONTH(PFYDate)-MONTH(AF136)-IF(DAY(PFYDate)&lt;MIN(DAY(AF136),DAY(EOMONTH(PFYDate,0))),1,0)))</f>
        <v/>
      </c>
      <c r="AV136" s="12" t="str">
        <f aca="false">IF(AE136=0,"",IF(OR(AG136&lt;2,AI136&gt;PFYDate),AU136,IF((AI136-1)&lt;AF136,-1,12*(YEAR((AI136-1))-YEAR(AF136))+MONTH((AI136-1))-MONTH(AF136)-IF(DAY((AI136-1))&lt;MIN(DAY(AF136),DAY(EOMONTH((AI136-1),0))),1,0))))</f>
        <v/>
      </c>
      <c r="AW136" s="12" t="str">
        <f aca="false">IF(AE136=0,"",IF(OR(AG136&lt;3,AJ136&gt;PFYDate),AU136,IF((AJ136-1)&lt;AF136,-1,12*(YEAR((AJ136-1))-YEAR(AF136))+MONTH((AJ136-1))-MONTH(AF136)-IF(DAY((AJ136-1))&lt;MIN(DAY(AF136),DAY(EOMONTH((AJ136-1),0))),1,0))))</f>
        <v/>
      </c>
      <c r="AX136" s="12" t="str">
        <f aca="false">IF(AE136=0,"",IF(AN136="FT",IF(AS136&lt;FT_First,0,IF(AS136&lt;FT_Y5,1+INT((AS136-FT_First)/FT_Int1),FT_PreY5+FT_PerYear*INT((AS136-FT_Y5)/12)+FT_AnnivDays+INT(MOD(AS136-FT_Y5,12)/FT_Int2))),IF(AN136="PT",IF(AS136&lt;PT_First,0,1+INT((AS136-PT_First)/PT_Int)),0))+IF(AND(AG136&gt;=2,AI136&lt;=AsOfDate),IF(AO136="FT",IF(AT136&lt;FT_First,0,IF(AT136&lt;FT_Y5,1+INT((AT136-FT_First)/FT_Int1),FT_PreY5+FT_PerYear*INT((AT136-FT_Y5)/12)+FT_AnnivDays+INT(MOD(AT136-FT_Y5,12)/FT_Int2))),IF(AO136="PT",IF(AT136&lt;PT_First,0,1+INT((AT136-PT_First)/PT_Int)),0))-IF(AO136="FT",IF(AS136&lt;FT_First,0,IF(AS136&lt;FT_Y5,1+INT((AS136-FT_First)/FT_Int1),FT_PreY5+FT_PerYear*INT((AS136-FT_Y5)/12)+FT_AnnivDays+INT(MOD(AS136-FT_Y5,12)/FT_Int2))),IF(AO136="PT",IF(AS136&lt;PT_First,0,1+INT((AS136-PT_First)/PT_Int)),0)),0)+IF(AND(AG136&gt;=3,AJ136&lt;=AsOfDate),IF(AP136="FT",IF(AR136&lt;FT_First,0,IF(AR136&lt;FT_Y5,1+INT((AR136-FT_First)/FT_Int1),FT_PreY5+FT_PerYear*INT((AR136-FT_Y5)/12)+FT_AnnivDays+INT(MOD(AR136-FT_Y5,12)/FT_Int2))),IF(AP136="PT",IF(AR136&lt;PT_First,0,1+INT((AR136-PT_First)/PT_Int)),0))-IF(AP136="FT",IF(AT136&lt;FT_First,0,IF(AT136&lt;FT_Y5,1+INT((AT136-FT_First)/FT_Int1),FT_PreY5+FT_PerYear*INT((AT136-FT_Y5)/12)+FT_AnnivDays+INT(MOD(AT136-FT_Y5,12)/FT_Int2))),IF(AP136="PT",IF(AT136&lt;PT_First,0,1+INT((AT136-PT_First)/PT_Int)),0)),0))</f>
        <v/>
      </c>
      <c r="AY136" s="12" t="str">
        <f aca="false">IF(AE136=0,"",IF(AN136="FT",IF(AV136&lt;FT_First,0,IF(AV136&lt;FT_Y5,1+INT((AV136-FT_First)/FT_Int1),FT_PreY5+FT_PerYear*INT((AV136-FT_Y5)/12)+FT_AnnivDays+INT(MOD(AV136-FT_Y5,12)/FT_Int2))),IF(AN136="PT",IF(AV136&lt;PT_First,0,1+INT((AV136-PT_First)/PT_Int)),0))+IF(AND(AG136&gt;=2,AI136&lt;=PFYDate),IF(AO136="FT",IF(AW136&lt;FT_First,0,IF(AW136&lt;FT_Y5,1+INT((AW136-FT_First)/FT_Int1),FT_PreY5+FT_PerYear*INT((AW136-FT_Y5)/12)+FT_AnnivDays+INT(MOD(AW136-FT_Y5,12)/FT_Int2))),IF(AO136="PT",IF(AW136&lt;PT_First,0,1+INT((AW136-PT_First)/PT_Int)),0))-IF(AO136="FT",IF(AV136&lt;FT_First,0,IF(AV136&lt;FT_Y5,1+INT((AV136-FT_First)/FT_Int1),FT_PreY5+FT_PerYear*INT((AV136-FT_Y5)/12)+FT_AnnivDays+INT(MOD(AV136-FT_Y5,12)/FT_Int2))),IF(AO136="PT",IF(AV136&lt;PT_First,0,1+INT((AV136-PT_First)/PT_Int)),0)),0)+IF(AND(AG136&gt;=3,AJ136&lt;=PFYDate),IF(AP136="FT",IF(AU136&lt;FT_First,0,IF(AU136&lt;FT_Y5,1+INT((AU136-FT_First)/FT_Int1),FT_PreY5+FT_PerYear*INT((AU136-FT_Y5)/12)+FT_AnnivDays+INT(MOD(AU136-FT_Y5,12)/FT_Int2))),IF(AP136="PT",IF(AU136&lt;PT_First,0,1+INT((AU136-PT_First)/PT_Int)),0))-IF(AP136="FT",IF(AW136&lt;FT_First,0,IF(AW136&lt;FT_Y5,1+INT((AW136-FT_First)/FT_Int1),FT_PreY5+FT_PerYear*INT((AW136-FT_Y5)/12)+FT_AnnivDays+INT(MOD(AW136-FT_Y5,12)/FT_Int2))),IF(AP136="PT",IF(AW136&lt;PT_First,0,1+INT((AW136-PT_First)/PT_Int)),0)),0))</f>
        <v/>
      </c>
      <c r="AZ136" s="12" t="str">
        <f aca="false">IF(AE136=0,"",IF(AQ136="FT",IF(AR136&lt;FT_First,FT_First,IF(AR136&lt;FT_Y5,MIN(FT_Y5,FT_First+FT_Int1*(INT((AR136-FT_First)/FT_Int1)+1)),FT_Y5+12*INT((AR136-FT_Y5)/12)+FT_Int2*(INT(MOD(AR136-FT_Y5,12)/FT_Int2)+1))),IF(AQ136="PT",IF(AR136&lt;PT_First,PT_First,PT_First+PT_Int*(INT((AR136-PT_First)/PT_Int)+1)),"")))</f>
        <v/>
      </c>
      <c r="BA136" s="12" t="str">
        <f aca="false">IF(AE136=0,"",IF(NOT(LH_Ready),0,COUNTIFS(INDEX(LH_Data,0,LH_ColFirst),$A136,INDEX(LH_Data,0,LH_ColSur),$B136,INDEX(LH_Data,0,LH_ColCat),BonusCat)))</f>
        <v/>
      </c>
      <c r="BB136" s="12" t="str">
        <f aca="false">IF(AE136=0,"",IF(OR(NOT(LH_Ready),BA136=0),0,SUMPRODUCT(MAX((INDEX(LH_Data,0,LH_ColFirst)=$A136)*(INDEX(LH_Data,0,LH_ColSur)=$B136)*(INDEX(LH_Data,0,LH_ColCat)=BonusCat)*ROW(LH_Data)))))</f>
        <v/>
      </c>
    </row>
    <row r="137" customFormat="false" ht="15" hidden="false" customHeight="false" outlineLevel="0" collapsed="false">
      <c r="A137" s="15"/>
      <c r="B137" s="15"/>
      <c r="C137" s="15"/>
      <c r="D137" s="16"/>
      <c r="E137" s="10" t="str">
        <f aca="false">IF(OR(AE137=0,$D137=""),"",DATE(YEAR(AsOfDate)+IF(DATE(YEAR(AsOfDate),MONTH($D137),DAY($D137))&lt;=AsOfDate,1,0),MONTH($D137),DAY($D137)))</f>
        <v/>
      </c>
      <c r="F137" s="16"/>
      <c r="G137" s="16"/>
      <c r="H137" s="16"/>
      <c r="I137" s="16"/>
      <c r="J137" s="16"/>
      <c r="K137" s="10" t="str">
        <f aca="false">IF(AE137=0,"",DATE(YEAR(AsOfDate)+IF(DATE(YEAR(AsOfDate),MONTH($F137),DAY($F137))&lt;=AsOfDate,1,0),MONTH($F137),DAY($F137)))</f>
        <v/>
      </c>
      <c r="L137" s="11" t="str">
        <f aca="false">IF(AE137=0,"",ROUND((AsOfDate-$F137)/365.25,1))</f>
        <v/>
      </c>
      <c r="M137" s="12" t="str">
        <f aca="false">IF(AE137=0,"",IF(AsOfDate&lt;AF137,"-",DATEDIF(AF137,AsOfDate,"y")&amp;"y "&amp;DATEDIF(AF137,AsOfDate,"ym")&amp;"m "&amp;DATEDIF(AF137,AsOfDate,"md")&amp;"d"))</f>
        <v/>
      </c>
      <c r="N137" s="13" t="str">
        <f aca="false">IF(AE137=0,"",O137*HoursPerDay)</f>
        <v/>
      </c>
      <c r="O137" s="13" t="str">
        <f aca="false">IF(AE137=0,"",AX137)</f>
        <v/>
      </c>
      <c r="P137" s="17"/>
      <c r="Q137" s="12" t="str">
        <f aca="false">IF(AE137=0,"",IF(AG137&lt;2,"",AK137&amp;" to "&amp;AL137&amp;" on "&amp;TEXT(AI137,"dd/mm/yyyy")&amp;IF(AI137&gt;AsOfDate," (future)",IF(AN137=AO137,"",IF(AO137="None"," - STOPPED accruing",IF(AN137="None"," - now qualifying"," - pathway changed"))))&amp;IF(AG137&lt;3,"","; "&amp;AL137&amp;" to "&amp;AM137&amp;" on "&amp;TEXT(AJ137,"dd/mm/yyyy")&amp;IF(AJ137&gt;AsOfDate," (future)",IF(AO137=AP137,"",IF(AP137="None"," - STOPPED accruing",IF(AO137="None"," - now qualifying"," - pathway changed")))))))</f>
        <v/>
      </c>
      <c r="R137" s="12" t="str">
        <f aca="false">IF(AE137=0,"",IF(AQ137="None",IF(O137&gt;0,"No longer accruing","Not eligible - "&amp;IF(AND(OR(ISNUMBER(SEARCH("part",$C137)),UPPER(TRIM($C137))="PT",UPPER(TRIM($C137))="PTE"),$P137&lt;&gt;"",N($P137)&lt;PT_MinHours),"under "&amp;PT_MinHours&amp;" hrs",IF(IF($C137="","",IF(OR(ISNUMBER(SEARCH("full",$C137)),UPPER(TRIM($C137))="FT",UPPER(TRIM($C137))="FTE"),"Full-Time",IF(OR(ISNUMBER(SEARCH("part",$C137)),UPPER(TRIM($C137))="PT",UPPER(TRIM($C137))="PTE"),"Part-Time",IF(OR(ISNUMBER(SEARCH("cas",$C137)),UPPER(TRIM($C137))="CAS"),"Casual","Unknown"))))="Unknown","type not recognised",$C137))),IF(O137&gt;0,"Yes - accruing","Not yet - from "&amp;TEXT(S137,"dd/mm/yyyy"))))</f>
        <v/>
      </c>
      <c r="S137" s="10" t="str">
        <f aca="false">IF(AE137=0,"",IF(AQ137="None","",EDATE(AF137,AZ137)))</f>
        <v/>
      </c>
      <c r="T137" s="13" t="str">
        <f aca="false">IF(OR(AE137=0,W137=""),"",W137-U137+V137)</f>
        <v/>
      </c>
      <c r="U137" s="13" t="str">
        <f aca="false">IF(AE137=0,"",IF(NOT(LH_Ready),"",SUMIFS(INDEX(LH_Data,0,LH_ColAcc),INDEX(LH_Data,0,LH_ColFirst),$A137,INDEX(LH_Data,0,LH_ColSur),$B137,INDEX(LH_Data,0,LH_ColCat),BonusCat)*UnitFactor))</f>
        <v/>
      </c>
      <c r="V137" s="13" t="str">
        <f aca="false">IF(AE137=0,"",IF(NOT(LH_Ready),"",SUMIFS(INDEX(LH_Data,0,LH_ColTaken),INDEX(LH_Data,0,LH_ColFirst),$A137,INDEX(LH_Data,0,LH_ColSur),$B137,INDEX(LH_Data,0,LH_ColCat),BonusCat)*UnitFactor))</f>
        <v/>
      </c>
      <c r="W137" s="13" t="str">
        <f aca="false">IF(AE137=0,"",IF(NOT(LH_Ready),"",IF(BB137=0,0,INDEX(INDEX(LH_Data,0,LH_ColClose),BB137-1)*UnitFactor)))</f>
        <v/>
      </c>
      <c r="X137" s="13" t="str">
        <f aca="false">IF(AE137=0,"",(AX137-AY137)*HoursPerDay)</f>
        <v/>
      </c>
      <c r="Y137" s="13" t="str">
        <f aca="false">IF(AE137=0,"",IF(NOT(LH_Ready),"",IF(BA137=0,N137,X137-N(U137))))</f>
        <v/>
      </c>
      <c r="Z137" s="12" t="str">
        <f aca="false">IF(OR(AE137=0,Y137=""),"",IF(Y137&gt;0,"Yes","No"))</f>
        <v/>
      </c>
      <c r="AA137" s="12" t="str">
        <f aca="false">IF(AE137=0,IF(LEN($A137&amp;$B137)=0,"","FIX INPUT - StartDate missing"),IF(AD137&lt;&gt;"","FIX INPUT - "&amp;AD137,IF(NOT(LH_Ready),"Paste Leave History export (Settings must show YES)",IF(Y137&gt;0,"ACCRUE "&amp;ROUND(Y137,2)&amp;" hrs ("&amp;ROUND(Y137/HoursPerDay,2)&amp;" days)"&amp;IF(BA137=0," - no Bonus Leave in EH yet, full catch-up since start",""),IF(Y137&lt;0,"CHECK - EH accrued "&amp;ROUND(-Y137,2)&amp;""&amp;" hrs more than policy",IF(O137&gt;0,"OK - nothing to add",IF(AQ137="None",R137,"Not yet - first day on "&amp;TEXT(S137,"dd/mm/yyyy"))))))))</f>
        <v/>
      </c>
      <c r="AB137" s="13" t="str">
        <f aca="false">IF(OR(AE137=0,T137=""),"",AY137*HoursPerDay-T137)</f>
        <v/>
      </c>
      <c r="AC137" s="12" t="str">
        <f aca="false">IF(AE137=0,"",BA137)</f>
        <v/>
      </c>
      <c r="AD137" s="12" t="str">
        <f aca="false">IF(AE137=0,"",TRIM(IF(IF($C137="","",IF(OR(ISNUMBER(SEARCH("full",$C137)),UPPER(TRIM($C137))="FT",UPPER(TRIM($C137))="FTE"),"Full-Time",IF(OR(ISNUMBER(SEARCH("part",$C137)),UPPER(TRIM($C137))="PT",UPPER(TRIM($C137))="PTE"),"Part-Time",IF(OR(ISNUMBER(SEARCH("cas",$C137)),UPPER(TRIM($C137))="CAS"),"Casual","Unknown"))))="Unknown","EmploymentType not recognised - use Full-Time, Part-Time or Casual. ","")&amp;IF(AND(AG137&gt;=1,IF(AG137&gt;=3,AM137,IF(AG137=2,AL137,AK137))&lt;&gt;IF($C137="","",IF(OR(ISNUMBER(SEARCH("full",$C137)),UPPER(TRIM($C137))="FT",UPPER(TRIM($C137))="FTE"),"Full-Time",IF(OR(ISNUMBER(SEARCH("part",$C137)),UPPER(TRIM($C137))="PT",UPPER(TRIM($C137))="PTE"),"Part-Time",IF(OR(ISNUMBER(SEARCH("cas",$C137)),UPPER(TRIM($C137))="CAS"),"Casual","Unknown"))))),"EmploymentType does not match latest start date ("&amp;IF(AG137&gt;=3,AM137,IF(AG137=2,AL137,AK137))&amp;"). ","")&amp;IF(AND(AG137&gt;=1,AH137&lt;&gt;$F137),"Earliest type date should equal StartDate. ","")&amp;IF(AND(AG137&gt;=2,AH137=AI137),"Two types start on the same date. ","")&amp;IF(AND(OR(ISNUMBER(SEARCH("part",$C137)),UPPER(TRIM($C137))="PT",UPPER(TRIM($C137))="PTE"),$P137=""),"Part-time: enter PT Hrs/Week (blank = 24+). ","")))</f>
        <v/>
      </c>
      <c r="AE137" s="12" t="n">
        <f aca="false">IF(OR(LEN($A137&amp;$B137)=0,$F137=""),0,1)</f>
        <v>0</v>
      </c>
      <c r="AF137" s="10" t="str">
        <f aca="false">IF(AE137=0,"",IF($J137&lt;&gt;"",$J137,$F137))</f>
        <v/>
      </c>
      <c r="AG137" s="12" t="str">
        <f aca="false">IF(AE137=0,"",COUNT($G137:$I137))</f>
        <v/>
      </c>
      <c r="AH137" s="10" t="str">
        <f aca="false">IF(AE137=0,"",IFERROR(SMALL($G137:$I137,1),""))</f>
        <v/>
      </c>
      <c r="AI137" s="10" t="str">
        <f aca="false">IF(AE137=0,"",IFERROR(SMALL($G137:$I137,2),""))</f>
        <v/>
      </c>
      <c r="AJ137" s="10" t="str">
        <f aca="false">IF(AE137=0,"",IFERROR(SMALL($G137:$I137,3),""))</f>
        <v/>
      </c>
      <c r="AK137" s="12" t="str">
        <f aca="false">IF(AE137=0,"",IF(AH137="","",IF(AH137=$G137,"Part-Time",IF(AH137=$H137,"Full-Time","Casual"))))</f>
        <v/>
      </c>
      <c r="AL137" s="12" t="str">
        <f aca="false">IF(AE137=0,"",IF(AI137="","",IF(AI137=$G137,"Part-Time",IF(AI137=$H137,"Full-Time","Casual"))))</f>
        <v/>
      </c>
      <c r="AM137" s="12" t="str">
        <f aca="false">IF(AE137=0,"",IF(AJ137="","",IF(AJ137=$G137,"Part-Time",IF(AJ137=$H137,"Full-Time","Casual"))))</f>
        <v/>
      </c>
      <c r="AN137" s="12" t="str">
        <f aca="false">IF(AE137=0,"",IF(AG137=0,IF(OR(ISNUMBER(SEARCH("full",$C137)),UPPER(TRIM($C137))="FT",UPPER(TRIM($C137))="FTE"),"FT",IF(AND(OR(ISNUMBER(SEARCH("part",$C137)),UPPER(TRIM($C137))="PT",UPPER(TRIM($C137))="PTE"),OR($P137="",N($P137)&gt;=PT_MinHours)),"PT","None")),IF(OR(ISNUMBER(SEARCH("full",AK137)),UPPER(TRIM(AK137))="FT",UPPER(TRIM(AK137))="FTE"),"FT",IF(AND(OR(ISNUMBER(SEARCH("part",AK137)),UPPER(TRIM(AK137))="PT",UPPER(TRIM(AK137))="PTE"),OR($P137="",N($P137)&gt;=PT_MinHours)),"PT","None"))))</f>
        <v/>
      </c>
      <c r="AO137" s="12" t="str">
        <f aca="false">IF(AE137=0,"",IF(AG137&lt;2,"",IF(OR(ISNUMBER(SEARCH("full",AL137)),UPPER(TRIM(AL137))="FT",UPPER(TRIM(AL137))="FTE"),"FT",IF(AND(OR(ISNUMBER(SEARCH("part",AL137)),UPPER(TRIM(AL137))="PT",UPPER(TRIM(AL137))="PTE"),OR($P137="",N($P137)&gt;=PT_MinHours)),"PT","None"))))</f>
        <v/>
      </c>
      <c r="AP137" s="12" t="str">
        <f aca="false">IF(AE137=0,"",IF(AG137&lt;3,"",IF(OR(ISNUMBER(SEARCH("full",AM137)),UPPER(TRIM(AM137))="FT",UPPER(TRIM(AM137))="FTE"),"FT",IF(AND(OR(ISNUMBER(SEARCH("part",AM137)),UPPER(TRIM(AM137))="PT",UPPER(TRIM(AM137))="PTE"),OR($P137="",N($P137)&gt;=PT_MinHours)),"PT","None"))))</f>
        <v/>
      </c>
      <c r="AQ137" s="12" t="str">
        <f aca="false">IF(AE137=0,"",IF(AND(AG137&gt;=3,AJ137&lt;=AsOfDate),AP137,IF(AND(AG137&gt;=2,AI137&lt;=AsOfDate),AO137,AN137)))</f>
        <v/>
      </c>
      <c r="AR137" s="12" t="str">
        <f aca="false">IF(AE137=0,"",IF(AsOfDate&lt;AF137,-1,12*(YEAR(AsOfDate)-YEAR(AF137))+MONTH(AsOfDate)-MONTH(AF137)-IF(DAY(AsOfDate)&lt;MIN(DAY(AF137),DAY(EOMONTH(AsOfDate,0))),1,0)))</f>
        <v/>
      </c>
      <c r="AS137" s="12" t="str">
        <f aca="false">IF(AE137=0,"",IF(OR(AG137&lt;2,AI137&gt;AsOfDate),AR137,IF((AI137-1)&lt;AF137,-1,12*(YEAR((AI137-1))-YEAR(AF137))+MONTH((AI137-1))-MONTH(AF137)-IF(DAY((AI137-1))&lt;MIN(DAY(AF137),DAY(EOMONTH((AI137-1),0))),1,0))))</f>
        <v/>
      </c>
      <c r="AT137" s="12" t="str">
        <f aca="false">IF(AE137=0,"",IF(OR(AG137&lt;3,AJ137&gt;AsOfDate),AR137,IF((AJ137-1)&lt;AF137,-1,12*(YEAR((AJ137-1))-YEAR(AF137))+MONTH((AJ137-1))-MONTH(AF137)-IF(DAY((AJ137-1))&lt;MIN(DAY(AF137),DAY(EOMONTH((AJ137-1),0))),1,0))))</f>
        <v/>
      </c>
      <c r="AU137" s="12" t="str">
        <f aca="false">IF(AE137=0,"",IF(PFYDate&lt;AF137,-1,12*(YEAR(PFYDate)-YEAR(AF137))+MONTH(PFYDate)-MONTH(AF137)-IF(DAY(PFYDate)&lt;MIN(DAY(AF137),DAY(EOMONTH(PFYDate,0))),1,0)))</f>
        <v/>
      </c>
      <c r="AV137" s="12" t="str">
        <f aca="false">IF(AE137=0,"",IF(OR(AG137&lt;2,AI137&gt;PFYDate),AU137,IF((AI137-1)&lt;AF137,-1,12*(YEAR((AI137-1))-YEAR(AF137))+MONTH((AI137-1))-MONTH(AF137)-IF(DAY((AI137-1))&lt;MIN(DAY(AF137),DAY(EOMONTH((AI137-1),0))),1,0))))</f>
        <v/>
      </c>
      <c r="AW137" s="12" t="str">
        <f aca="false">IF(AE137=0,"",IF(OR(AG137&lt;3,AJ137&gt;PFYDate),AU137,IF((AJ137-1)&lt;AF137,-1,12*(YEAR((AJ137-1))-YEAR(AF137))+MONTH((AJ137-1))-MONTH(AF137)-IF(DAY((AJ137-1))&lt;MIN(DAY(AF137),DAY(EOMONTH((AJ137-1),0))),1,0))))</f>
        <v/>
      </c>
      <c r="AX137" s="12" t="str">
        <f aca="false">IF(AE137=0,"",IF(AN137="FT",IF(AS137&lt;FT_First,0,IF(AS137&lt;FT_Y5,1+INT((AS137-FT_First)/FT_Int1),FT_PreY5+FT_PerYear*INT((AS137-FT_Y5)/12)+FT_AnnivDays+INT(MOD(AS137-FT_Y5,12)/FT_Int2))),IF(AN137="PT",IF(AS137&lt;PT_First,0,1+INT((AS137-PT_First)/PT_Int)),0))+IF(AND(AG137&gt;=2,AI137&lt;=AsOfDate),IF(AO137="FT",IF(AT137&lt;FT_First,0,IF(AT137&lt;FT_Y5,1+INT((AT137-FT_First)/FT_Int1),FT_PreY5+FT_PerYear*INT((AT137-FT_Y5)/12)+FT_AnnivDays+INT(MOD(AT137-FT_Y5,12)/FT_Int2))),IF(AO137="PT",IF(AT137&lt;PT_First,0,1+INT((AT137-PT_First)/PT_Int)),0))-IF(AO137="FT",IF(AS137&lt;FT_First,0,IF(AS137&lt;FT_Y5,1+INT((AS137-FT_First)/FT_Int1),FT_PreY5+FT_PerYear*INT((AS137-FT_Y5)/12)+FT_AnnivDays+INT(MOD(AS137-FT_Y5,12)/FT_Int2))),IF(AO137="PT",IF(AS137&lt;PT_First,0,1+INT((AS137-PT_First)/PT_Int)),0)),0)+IF(AND(AG137&gt;=3,AJ137&lt;=AsOfDate),IF(AP137="FT",IF(AR137&lt;FT_First,0,IF(AR137&lt;FT_Y5,1+INT((AR137-FT_First)/FT_Int1),FT_PreY5+FT_PerYear*INT((AR137-FT_Y5)/12)+FT_AnnivDays+INT(MOD(AR137-FT_Y5,12)/FT_Int2))),IF(AP137="PT",IF(AR137&lt;PT_First,0,1+INT((AR137-PT_First)/PT_Int)),0))-IF(AP137="FT",IF(AT137&lt;FT_First,0,IF(AT137&lt;FT_Y5,1+INT((AT137-FT_First)/FT_Int1),FT_PreY5+FT_PerYear*INT((AT137-FT_Y5)/12)+FT_AnnivDays+INT(MOD(AT137-FT_Y5,12)/FT_Int2))),IF(AP137="PT",IF(AT137&lt;PT_First,0,1+INT((AT137-PT_First)/PT_Int)),0)),0))</f>
        <v/>
      </c>
      <c r="AY137" s="12" t="str">
        <f aca="false">IF(AE137=0,"",IF(AN137="FT",IF(AV137&lt;FT_First,0,IF(AV137&lt;FT_Y5,1+INT((AV137-FT_First)/FT_Int1),FT_PreY5+FT_PerYear*INT((AV137-FT_Y5)/12)+FT_AnnivDays+INT(MOD(AV137-FT_Y5,12)/FT_Int2))),IF(AN137="PT",IF(AV137&lt;PT_First,0,1+INT((AV137-PT_First)/PT_Int)),0))+IF(AND(AG137&gt;=2,AI137&lt;=PFYDate),IF(AO137="FT",IF(AW137&lt;FT_First,0,IF(AW137&lt;FT_Y5,1+INT((AW137-FT_First)/FT_Int1),FT_PreY5+FT_PerYear*INT((AW137-FT_Y5)/12)+FT_AnnivDays+INT(MOD(AW137-FT_Y5,12)/FT_Int2))),IF(AO137="PT",IF(AW137&lt;PT_First,0,1+INT((AW137-PT_First)/PT_Int)),0))-IF(AO137="FT",IF(AV137&lt;FT_First,0,IF(AV137&lt;FT_Y5,1+INT((AV137-FT_First)/FT_Int1),FT_PreY5+FT_PerYear*INT((AV137-FT_Y5)/12)+FT_AnnivDays+INT(MOD(AV137-FT_Y5,12)/FT_Int2))),IF(AO137="PT",IF(AV137&lt;PT_First,0,1+INT((AV137-PT_First)/PT_Int)),0)),0)+IF(AND(AG137&gt;=3,AJ137&lt;=PFYDate),IF(AP137="FT",IF(AU137&lt;FT_First,0,IF(AU137&lt;FT_Y5,1+INT((AU137-FT_First)/FT_Int1),FT_PreY5+FT_PerYear*INT((AU137-FT_Y5)/12)+FT_AnnivDays+INT(MOD(AU137-FT_Y5,12)/FT_Int2))),IF(AP137="PT",IF(AU137&lt;PT_First,0,1+INT((AU137-PT_First)/PT_Int)),0))-IF(AP137="FT",IF(AW137&lt;FT_First,0,IF(AW137&lt;FT_Y5,1+INT((AW137-FT_First)/FT_Int1),FT_PreY5+FT_PerYear*INT((AW137-FT_Y5)/12)+FT_AnnivDays+INT(MOD(AW137-FT_Y5,12)/FT_Int2))),IF(AP137="PT",IF(AW137&lt;PT_First,0,1+INT((AW137-PT_First)/PT_Int)),0)),0))</f>
        <v/>
      </c>
      <c r="AZ137" s="12" t="str">
        <f aca="false">IF(AE137=0,"",IF(AQ137="FT",IF(AR137&lt;FT_First,FT_First,IF(AR137&lt;FT_Y5,MIN(FT_Y5,FT_First+FT_Int1*(INT((AR137-FT_First)/FT_Int1)+1)),FT_Y5+12*INT((AR137-FT_Y5)/12)+FT_Int2*(INT(MOD(AR137-FT_Y5,12)/FT_Int2)+1))),IF(AQ137="PT",IF(AR137&lt;PT_First,PT_First,PT_First+PT_Int*(INT((AR137-PT_First)/PT_Int)+1)),"")))</f>
        <v/>
      </c>
      <c r="BA137" s="12" t="str">
        <f aca="false">IF(AE137=0,"",IF(NOT(LH_Ready),0,COUNTIFS(INDEX(LH_Data,0,LH_ColFirst),$A137,INDEX(LH_Data,0,LH_ColSur),$B137,INDEX(LH_Data,0,LH_ColCat),BonusCat)))</f>
        <v/>
      </c>
      <c r="BB137" s="12" t="str">
        <f aca="false">IF(AE137=0,"",IF(OR(NOT(LH_Ready),BA137=0),0,SUMPRODUCT(MAX((INDEX(LH_Data,0,LH_ColFirst)=$A137)*(INDEX(LH_Data,0,LH_ColSur)=$B137)*(INDEX(LH_Data,0,LH_ColCat)=BonusCat)*ROW(LH_Data)))))</f>
        <v/>
      </c>
    </row>
    <row r="138" customFormat="false" ht="15" hidden="false" customHeight="false" outlineLevel="0" collapsed="false">
      <c r="A138" s="15"/>
      <c r="B138" s="15"/>
      <c r="C138" s="15"/>
      <c r="D138" s="16"/>
      <c r="E138" s="10" t="str">
        <f aca="false">IF(OR(AE138=0,$D138=""),"",DATE(YEAR(AsOfDate)+IF(DATE(YEAR(AsOfDate),MONTH($D138),DAY($D138))&lt;=AsOfDate,1,0),MONTH($D138),DAY($D138)))</f>
        <v/>
      </c>
      <c r="F138" s="16"/>
      <c r="G138" s="16"/>
      <c r="H138" s="16"/>
      <c r="I138" s="16"/>
      <c r="J138" s="16"/>
      <c r="K138" s="10" t="str">
        <f aca="false">IF(AE138=0,"",DATE(YEAR(AsOfDate)+IF(DATE(YEAR(AsOfDate),MONTH($F138),DAY($F138))&lt;=AsOfDate,1,0),MONTH($F138),DAY($F138)))</f>
        <v/>
      </c>
      <c r="L138" s="11" t="str">
        <f aca="false">IF(AE138=0,"",ROUND((AsOfDate-$F138)/365.25,1))</f>
        <v/>
      </c>
      <c r="M138" s="12" t="str">
        <f aca="false">IF(AE138=0,"",IF(AsOfDate&lt;AF138,"-",DATEDIF(AF138,AsOfDate,"y")&amp;"y "&amp;DATEDIF(AF138,AsOfDate,"ym")&amp;"m "&amp;DATEDIF(AF138,AsOfDate,"md")&amp;"d"))</f>
        <v/>
      </c>
      <c r="N138" s="13" t="str">
        <f aca="false">IF(AE138=0,"",O138*HoursPerDay)</f>
        <v/>
      </c>
      <c r="O138" s="13" t="str">
        <f aca="false">IF(AE138=0,"",AX138)</f>
        <v/>
      </c>
      <c r="P138" s="17"/>
      <c r="Q138" s="12" t="str">
        <f aca="false">IF(AE138=0,"",IF(AG138&lt;2,"",AK138&amp;" to "&amp;AL138&amp;" on "&amp;TEXT(AI138,"dd/mm/yyyy")&amp;IF(AI138&gt;AsOfDate," (future)",IF(AN138=AO138,"",IF(AO138="None"," - STOPPED accruing",IF(AN138="None"," - now qualifying"," - pathway changed"))))&amp;IF(AG138&lt;3,"","; "&amp;AL138&amp;" to "&amp;AM138&amp;" on "&amp;TEXT(AJ138,"dd/mm/yyyy")&amp;IF(AJ138&gt;AsOfDate," (future)",IF(AO138=AP138,"",IF(AP138="None"," - STOPPED accruing",IF(AO138="None"," - now qualifying"," - pathway changed")))))))</f>
        <v/>
      </c>
      <c r="R138" s="12" t="str">
        <f aca="false">IF(AE138=0,"",IF(AQ138="None",IF(O138&gt;0,"No longer accruing","Not eligible - "&amp;IF(AND(OR(ISNUMBER(SEARCH("part",$C138)),UPPER(TRIM($C138))="PT",UPPER(TRIM($C138))="PTE"),$P138&lt;&gt;"",N($P138)&lt;PT_MinHours),"under "&amp;PT_MinHours&amp;" hrs",IF(IF($C138="","",IF(OR(ISNUMBER(SEARCH("full",$C138)),UPPER(TRIM($C138))="FT",UPPER(TRIM($C138))="FTE"),"Full-Time",IF(OR(ISNUMBER(SEARCH("part",$C138)),UPPER(TRIM($C138))="PT",UPPER(TRIM($C138))="PTE"),"Part-Time",IF(OR(ISNUMBER(SEARCH("cas",$C138)),UPPER(TRIM($C138))="CAS"),"Casual","Unknown"))))="Unknown","type not recognised",$C138))),IF(O138&gt;0,"Yes - accruing","Not yet - from "&amp;TEXT(S138,"dd/mm/yyyy"))))</f>
        <v/>
      </c>
      <c r="S138" s="10" t="str">
        <f aca="false">IF(AE138=0,"",IF(AQ138="None","",EDATE(AF138,AZ138)))</f>
        <v/>
      </c>
      <c r="T138" s="13" t="str">
        <f aca="false">IF(OR(AE138=0,W138=""),"",W138-U138+V138)</f>
        <v/>
      </c>
      <c r="U138" s="13" t="str">
        <f aca="false">IF(AE138=0,"",IF(NOT(LH_Ready),"",SUMIFS(INDEX(LH_Data,0,LH_ColAcc),INDEX(LH_Data,0,LH_ColFirst),$A138,INDEX(LH_Data,0,LH_ColSur),$B138,INDEX(LH_Data,0,LH_ColCat),BonusCat)*UnitFactor))</f>
        <v/>
      </c>
      <c r="V138" s="13" t="str">
        <f aca="false">IF(AE138=0,"",IF(NOT(LH_Ready),"",SUMIFS(INDEX(LH_Data,0,LH_ColTaken),INDEX(LH_Data,0,LH_ColFirst),$A138,INDEX(LH_Data,0,LH_ColSur),$B138,INDEX(LH_Data,0,LH_ColCat),BonusCat)*UnitFactor))</f>
        <v/>
      </c>
      <c r="W138" s="13" t="str">
        <f aca="false">IF(AE138=0,"",IF(NOT(LH_Ready),"",IF(BB138=0,0,INDEX(INDEX(LH_Data,0,LH_ColClose),BB138-1)*UnitFactor)))</f>
        <v/>
      </c>
      <c r="X138" s="13" t="str">
        <f aca="false">IF(AE138=0,"",(AX138-AY138)*HoursPerDay)</f>
        <v/>
      </c>
      <c r="Y138" s="13" t="str">
        <f aca="false">IF(AE138=0,"",IF(NOT(LH_Ready),"",IF(BA138=0,N138,X138-N(U138))))</f>
        <v/>
      </c>
      <c r="Z138" s="12" t="str">
        <f aca="false">IF(OR(AE138=0,Y138=""),"",IF(Y138&gt;0,"Yes","No"))</f>
        <v/>
      </c>
      <c r="AA138" s="12" t="str">
        <f aca="false">IF(AE138=0,IF(LEN($A138&amp;$B138)=0,"","FIX INPUT - StartDate missing"),IF(AD138&lt;&gt;"","FIX INPUT - "&amp;AD138,IF(NOT(LH_Ready),"Paste Leave History export (Settings must show YES)",IF(Y138&gt;0,"ACCRUE "&amp;ROUND(Y138,2)&amp;" hrs ("&amp;ROUND(Y138/HoursPerDay,2)&amp;" days)"&amp;IF(BA138=0," - no Bonus Leave in EH yet, full catch-up since start",""),IF(Y138&lt;0,"CHECK - EH accrued "&amp;ROUND(-Y138,2)&amp;""&amp;" hrs more than policy",IF(O138&gt;0,"OK - nothing to add",IF(AQ138="None",R138,"Not yet - first day on "&amp;TEXT(S138,"dd/mm/yyyy"))))))))</f>
        <v/>
      </c>
      <c r="AB138" s="13" t="str">
        <f aca="false">IF(OR(AE138=0,T138=""),"",AY138*HoursPerDay-T138)</f>
        <v/>
      </c>
      <c r="AC138" s="12" t="str">
        <f aca="false">IF(AE138=0,"",BA138)</f>
        <v/>
      </c>
      <c r="AD138" s="12" t="str">
        <f aca="false">IF(AE138=0,"",TRIM(IF(IF($C138="","",IF(OR(ISNUMBER(SEARCH("full",$C138)),UPPER(TRIM($C138))="FT",UPPER(TRIM($C138))="FTE"),"Full-Time",IF(OR(ISNUMBER(SEARCH("part",$C138)),UPPER(TRIM($C138))="PT",UPPER(TRIM($C138))="PTE"),"Part-Time",IF(OR(ISNUMBER(SEARCH("cas",$C138)),UPPER(TRIM($C138))="CAS"),"Casual","Unknown"))))="Unknown","EmploymentType not recognised - use Full-Time, Part-Time or Casual. ","")&amp;IF(AND(AG138&gt;=1,IF(AG138&gt;=3,AM138,IF(AG138=2,AL138,AK138))&lt;&gt;IF($C138="","",IF(OR(ISNUMBER(SEARCH("full",$C138)),UPPER(TRIM($C138))="FT",UPPER(TRIM($C138))="FTE"),"Full-Time",IF(OR(ISNUMBER(SEARCH("part",$C138)),UPPER(TRIM($C138))="PT",UPPER(TRIM($C138))="PTE"),"Part-Time",IF(OR(ISNUMBER(SEARCH("cas",$C138)),UPPER(TRIM($C138))="CAS"),"Casual","Unknown"))))),"EmploymentType does not match latest start date ("&amp;IF(AG138&gt;=3,AM138,IF(AG138=2,AL138,AK138))&amp;"). ","")&amp;IF(AND(AG138&gt;=1,AH138&lt;&gt;$F138),"Earliest type date should equal StartDate. ","")&amp;IF(AND(AG138&gt;=2,AH138=AI138),"Two types start on the same date. ","")&amp;IF(AND(OR(ISNUMBER(SEARCH("part",$C138)),UPPER(TRIM($C138))="PT",UPPER(TRIM($C138))="PTE"),$P138=""),"Part-time: enter PT Hrs/Week (blank = 24+). ","")))</f>
        <v/>
      </c>
      <c r="AE138" s="12" t="n">
        <f aca="false">IF(OR(LEN($A138&amp;$B138)=0,$F138=""),0,1)</f>
        <v>0</v>
      </c>
      <c r="AF138" s="10" t="str">
        <f aca="false">IF(AE138=0,"",IF($J138&lt;&gt;"",$J138,$F138))</f>
        <v/>
      </c>
      <c r="AG138" s="12" t="str">
        <f aca="false">IF(AE138=0,"",COUNT($G138:$I138))</f>
        <v/>
      </c>
      <c r="AH138" s="10" t="str">
        <f aca="false">IF(AE138=0,"",IFERROR(SMALL($G138:$I138,1),""))</f>
        <v/>
      </c>
      <c r="AI138" s="10" t="str">
        <f aca="false">IF(AE138=0,"",IFERROR(SMALL($G138:$I138,2),""))</f>
        <v/>
      </c>
      <c r="AJ138" s="10" t="str">
        <f aca="false">IF(AE138=0,"",IFERROR(SMALL($G138:$I138,3),""))</f>
        <v/>
      </c>
      <c r="AK138" s="12" t="str">
        <f aca="false">IF(AE138=0,"",IF(AH138="","",IF(AH138=$G138,"Part-Time",IF(AH138=$H138,"Full-Time","Casual"))))</f>
        <v/>
      </c>
      <c r="AL138" s="12" t="str">
        <f aca="false">IF(AE138=0,"",IF(AI138="","",IF(AI138=$G138,"Part-Time",IF(AI138=$H138,"Full-Time","Casual"))))</f>
        <v/>
      </c>
      <c r="AM138" s="12" t="str">
        <f aca="false">IF(AE138=0,"",IF(AJ138="","",IF(AJ138=$G138,"Part-Time",IF(AJ138=$H138,"Full-Time","Casual"))))</f>
        <v/>
      </c>
      <c r="AN138" s="12" t="str">
        <f aca="false">IF(AE138=0,"",IF(AG138=0,IF(OR(ISNUMBER(SEARCH("full",$C138)),UPPER(TRIM($C138))="FT",UPPER(TRIM($C138))="FTE"),"FT",IF(AND(OR(ISNUMBER(SEARCH("part",$C138)),UPPER(TRIM($C138))="PT",UPPER(TRIM($C138))="PTE"),OR($P138="",N($P138)&gt;=PT_MinHours)),"PT","None")),IF(OR(ISNUMBER(SEARCH("full",AK138)),UPPER(TRIM(AK138))="FT",UPPER(TRIM(AK138))="FTE"),"FT",IF(AND(OR(ISNUMBER(SEARCH("part",AK138)),UPPER(TRIM(AK138))="PT",UPPER(TRIM(AK138))="PTE"),OR($P138="",N($P138)&gt;=PT_MinHours)),"PT","None"))))</f>
        <v/>
      </c>
      <c r="AO138" s="12" t="str">
        <f aca="false">IF(AE138=0,"",IF(AG138&lt;2,"",IF(OR(ISNUMBER(SEARCH("full",AL138)),UPPER(TRIM(AL138))="FT",UPPER(TRIM(AL138))="FTE"),"FT",IF(AND(OR(ISNUMBER(SEARCH("part",AL138)),UPPER(TRIM(AL138))="PT",UPPER(TRIM(AL138))="PTE"),OR($P138="",N($P138)&gt;=PT_MinHours)),"PT","None"))))</f>
        <v/>
      </c>
      <c r="AP138" s="12" t="str">
        <f aca="false">IF(AE138=0,"",IF(AG138&lt;3,"",IF(OR(ISNUMBER(SEARCH("full",AM138)),UPPER(TRIM(AM138))="FT",UPPER(TRIM(AM138))="FTE"),"FT",IF(AND(OR(ISNUMBER(SEARCH("part",AM138)),UPPER(TRIM(AM138))="PT",UPPER(TRIM(AM138))="PTE"),OR($P138="",N($P138)&gt;=PT_MinHours)),"PT","None"))))</f>
        <v/>
      </c>
      <c r="AQ138" s="12" t="str">
        <f aca="false">IF(AE138=0,"",IF(AND(AG138&gt;=3,AJ138&lt;=AsOfDate),AP138,IF(AND(AG138&gt;=2,AI138&lt;=AsOfDate),AO138,AN138)))</f>
        <v/>
      </c>
      <c r="AR138" s="12" t="str">
        <f aca="false">IF(AE138=0,"",IF(AsOfDate&lt;AF138,-1,12*(YEAR(AsOfDate)-YEAR(AF138))+MONTH(AsOfDate)-MONTH(AF138)-IF(DAY(AsOfDate)&lt;MIN(DAY(AF138),DAY(EOMONTH(AsOfDate,0))),1,0)))</f>
        <v/>
      </c>
      <c r="AS138" s="12" t="str">
        <f aca="false">IF(AE138=0,"",IF(OR(AG138&lt;2,AI138&gt;AsOfDate),AR138,IF((AI138-1)&lt;AF138,-1,12*(YEAR((AI138-1))-YEAR(AF138))+MONTH((AI138-1))-MONTH(AF138)-IF(DAY((AI138-1))&lt;MIN(DAY(AF138),DAY(EOMONTH((AI138-1),0))),1,0))))</f>
        <v/>
      </c>
      <c r="AT138" s="12" t="str">
        <f aca="false">IF(AE138=0,"",IF(OR(AG138&lt;3,AJ138&gt;AsOfDate),AR138,IF((AJ138-1)&lt;AF138,-1,12*(YEAR((AJ138-1))-YEAR(AF138))+MONTH((AJ138-1))-MONTH(AF138)-IF(DAY((AJ138-1))&lt;MIN(DAY(AF138),DAY(EOMONTH((AJ138-1),0))),1,0))))</f>
        <v/>
      </c>
      <c r="AU138" s="12" t="str">
        <f aca="false">IF(AE138=0,"",IF(PFYDate&lt;AF138,-1,12*(YEAR(PFYDate)-YEAR(AF138))+MONTH(PFYDate)-MONTH(AF138)-IF(DAY(PFYDate)&lt;MIN(DAY(AF138),DAY(EOMONTH(PFYDate,0))),1,0)))</f>
        <v/>
      </c>
      <c r="AV138" s="12" t="str">
        <f aca="false">IF(AE138=0,"",IF(OR(AG138&lt;2,AI138&gt;PFYDate),AU138,IF((AI138-1)&lt;AF138,-1,12*(YEAR((AI138-1))-YEAR(AF138))+MONTH((AI138-1))-MONTH(AF138)-IF(DAY((AI138-1))&lt;MIN(DAY(AF138),DAY(EOMONTH((AI138-1),0))),1,0))))</f>
        <v/>
      </c>
      <c r="AW138" s="12" t="str">
        <f aca="false">IF(AE138=0,"",IF(OR(AG138&lt;3,AJ138&gt;PFYDate),AU138,IF((AJ138-1)&lt;AF138,-1,12*(YEAR((AJ138-1))-YEAR(AF138))+MONTH((AJ138-1))-MONTH(AF138)-IF(DAY((AJ138-1))&lt;MIN(DAY(AF138),DAY(EOMONTH((AJ138-1),0))),1,0))))</f>
        <v/>
      </c>
      <c r="AX138" s="12" t="str">
        <f aca="false">IF(AE138=0,"",IF(AN138="FT",IF(AS138&lt;FT_First,0,IF(AS138&lt;FT_Y5,1+INT((AS138-FT_First)/FT_Int1),FT_PreY5+FT_PerYear*INT((AS138-FT_Y5)/12)+FT_AnnivDays+INT(MOD(AS138-FT_Y5,12)/FT_Int2))),IF(AN138="PT",IF(AS138&lt;PT_First,0,1+INT((AS138-PT_First)/PT_Int)),0))+IF(AND(AG138&gt;=2,AI138&lt;=AsOfDate),IF(AO138="FT",IF(AT138&lt;FT_First,0,IF(AT138&lt;FT_Y5,1+INT((AT138-FT_First)/FT_Int1),FT_PreY5+FT_PerYear*INT((AT138-FT_Y5)/12)+FT_AnnivDays+INT(MOD(AT138-FT_Y5,12)/FT_Int2))),IF(AO138="PT",IF(AT138&lt;PT_First,0,1+INT((AT138-PT_First)/PT_Int)),0))-IF(AO138="FT",IF(AS138&lt;FT_First,0,IF(AS138&lt;FT_Y5,1+INT((AS138-FT_First)/FT_Int1),FT_PreY5+FT_PerYear*INT((AS138-FT_Y5)/12)+FT_AnnivDays+INT(MOD(AS138-FT_Y5,12)/FT_Int2))),IF(AO138="PT",IF(AS138&lt;PT_First,0,1+INT((AS138-PT_First)/PT_Int)),0)),0)+IF(AND(AG138&gt;=3,AJ138&lt;=AsOfDate),IF(AP138="FT",IF(AR138&lt;FT_First,0,IF(AR138&lt;FT_Y5,1+INT((AR138-FT_First)/FT_Int1),FT_PreY5+FT_PerYear*INT((AR138-FT_Y5)/12)+FT_AnnivDays+INT(MOD(AR138-FT_Y5,12)/FT_Int2))),IF(AP138="PT",IF(AR138&lt;PT_First,0,1+INT((AR138-PT_First)/PT_Int)),0))-IF(AP138="FT",IF(AT138&lt;FT_First,0,IF(AT138&lt;FT_Y5,1+INT((AT138-FT_First)/FT_Int1),FT_PreY5+FT_PerYear*INT((AT138-FT_Y5)/12)+FT_AnnivDays+INT(MOD(AT138-FT_Y5,12)/FT_Int2))),IF(AP138="PT",IF(AT138&lt;PT_First,0,1+INT((AT138-PT_First)/PT_Int)),0)),0))</f>
        <v/>
      </c>
      <c r="AY138" s="12" t="str">
        <f aca="false">IF(AE138=0,"",IF(AN138="FT",IF(AV138&lt;FT_First,0,IF(AV138&lt;FT_Y5,1+INT((AV138-FT_First)/FT_Int1),FT_PreY5+FT_PerYear*INT((AV138-FT_Y5)/12)+FT_AnnivDays+INT(MOD(AV138-FT_Y5,12)/FT_Int2))),IF(AN138="PT",IF(AV138&lt;PT_First,0,1+INT((AV138-PT_First)/PT_Int)),0))+IF(AND(AG138&gt;=2,AI138&lt;=PFYDate),IF(AO138="FT",IF(AW138&lt;FT_First,0,IF(AW138&lt;FT_Y5,1+INT((AW138-FT_First)/FT_Int1),FT_PreY5+FT_PerYear*INT((AW138-FT_Y5)/12)+FT_AnnivDays+INT(MOD(AW138-FT_Y5,12)/FT_Int2))),IF(AO138="PT",IF(AW138&lt;PT_First,0,1+INT((AW138-PT_First)/PT_Int)),0))-IF(AO138="FT",IF(AV138&lt;FT_First,0,IF(AV138&lt;FT_Y5,1+INT((AV138-FT_First)/FT_Int1),FT_PreY5+FT_PerYear*INT((AV138-FT_Y5)/12)+FT_AnnivDays+INT(MOD(AV138-FT_Y5,12)/FT_Int2))),IF(AO138="PT",IF(AV138&lt;PT_First,0,1+INT((AV138-PT_First)/PT_Int)),0)),0)+IF(AND(AG138&gt;=3,AJ138&lt;=PFYDate),IF(AP138="FT",IF(AU138&lt;FT_First,0,IF(AU138&lt;FT_Y5,1+INT((AU138-FT_First)/FT_Int1),FT_PreY5+FT_PerYear*INT((AU138-FT_Y5)/12)+FT_AnnivDays+INT(MOD(AU138-FT_Y5,12)/FT_Int2))),IF(AP138="PT",IF(AU138&lt;PT_First,0,1+INT((AU138-PT_First)/PT_Int)),0))-IF(AP138="FT",IF(AW138&lt;FT_First,0,IF(AW138&lt;FT_Y5,1+INT((AW138-FT_First)/FT_Int1),FT_PreY5+FT_PerYear*INT((AW138-FT_Y5)/12)+FT_AnnivDays+INT(MOD(AW138-FT_Y5,12)/FT_Int2))),IF(AP138="PT",IF(AW138&lt;PT_First,0,1+INT((AW138-PT_First)/PT_Int)),0)),0))</f>
        <v/>
      </c>
      <c r="AZ138" s="12" t="str">
        <f aca="false">IF(AE138=0,"",IF(AQ138="FT",IF(AR138&lt;FT_First,FT_First,IF(AR138&lt;FT_Y5,MIN(FT_Y5,FT_First+FT_Int1*(INT((AR138-FT_First)/FT_Int1)+1)),FT_Y5+12*INT((AR138-FT_Y5)/12)+FT_Int2*(INT(MOD(AR138-FT_Y5,12)/FT_Int2)+1))),IF(AQ138="PT",IF(AR138&lt;PT_First,PT_First,PT_First+PT_Int*(INT((AR138-PT_First)/PT_Int)+1)),"")))</f>
        <v/>
      </c>
      <c r="BA138" s="12" t="str">
        <f aca="false">IF(AE138=0,"",IF(NOT(LH_Ready),0,COUNTIFS(INDEX(LH_Data,0,LH_ColFirst),$A138,INDEX(LH_Data,0,LH_ColSur),$B138,INDEX(LH_Data,0,LH_ColCat),BonusCat)))</f>
        <v/>
      </c>
      <c r="BB138" s="12" t="str">
        <f aca="false">IF(AE138=0,"",IF(OR(NOT(LH_Ready),BA138=0),0,SUMPRODUCT(MAX((INDEX(LH_Data,0,LH_ColFirst)=$A138)*(INDEX(LH_Data,0,LH_ColSur)=$B138)*(INDEX(LH_Data,0,LH_ColCat)=BonusCat)*ROW(LH_Data)))))</f>
        <v/>
      </c>
    </row>
    <row r="139" customFormat="false" ht="15" hidden="false" customHeight="false" outlineLevel="0" collapsed="false">
      <c r="A139" s="15"/>
      <c r="B139" s="15"/>
      <c r="C139" s="15"/>
      <c r="D139" s="16"/>
      <c r="E139" s="10" t="str">
        <f aca="false">IF(OR(AE139=0,$D139=""),"",DATE(YEAR(AsOfDate)+IF(DATE(YEAR(AsOfDate),MONTH($D139),DAY($D139))&lt;=AsOfDate,1,0),MONTH($D139),DAY($D139)))</f>
        <v/>
      </c>
      <c r="F139" s="16"/>
      <c r="G139" s="16"/>
      <c r="H139" s="16"/>
      <c r="I139" s="16"/>
      <c r="J139" s="16"/>
      <c r="K139" s="10" t="str">
        <f aca="false">IF(AE139=0,"",DATE(YEAR(AsOfDate)+IF(DATE(YEAR(AsOfDate),MONTH($F139),DAY($F139))&lt;=AsOfDate,1,0),MONTH($F139),DAY($F139)))</f>
        <v/>
      </c>
      <c r="L139" s="11" t="str">
        <f aca="false">IF(AE139=0,"",ROUND((AsOfDate-$F139)/365.25,1))</f>
        <v/>
      </c>
      <c r="M139" s="12" t="str">
        <f aca="false">IF(AE139=0,"",IF(AsOfDate&lt;AF139,"-",DATEDIF(AF139,AsOfDate,"y")&amp;"y "&amp;DATEDIF(AF139,AsOfDate,"ym")&amp;"m "&amp;DATEDIF(AF139,AsOfDate,"md")&amp;"d"))</f>
        <v/>
      </c>
      <c r="N139" s="13" t="str">
        <f aca="false">IF(AE139=0,"",O139*HoursPerDay)</f>
        <v/>
      </c>
      <c r="O139" s="13" t="str">
        <f aca="false">IF(AE139=0,"",AX139)</f>
        <v/>
      </c>
      <c r="P139" s="17"/>
      <c r="Q139" s="12" t="str">
        <f aca="false">IF(AE139=0,"",IF(AG139&lt;2,"",AK139&amp;" to "&amp;AL139&amp;" on "&amp;TEXT(AI139,"dd/mm/yyyy")&amp;IF(AI139&gt;AsOfDate," (future)",IF(AN139=AO139,"",IF(AO139="None"," - STOPPED accruing",IF(AN139="None"," - now qualifying"," - pathway changed"))))&amp;IF(AG139&lt;3,"","; "&amp;AL139&amp;" to "&amp;AM139&amp;" on "&amp;TEXT(AJ139,"dd/mm/yyyy")&amp;IF(AJ139&gt;AsOfDate," (future)",IF(AO139=AP139,"",IF(AP139="None"," - STOPPED accruing",IF(AO139="None"," - now qualifying"," - pathway changed")))))))</f>
        <v/>
      </c>
      <c r="R139" s="12" t="str">
        <f aca="false">IF(AE139=0,"",IF(AQ139="None",IF(O139&gt;0,"No longer accruing","Not eligible - "&amp;IF(AND(OR(ISNUMBER(SEARCH("part",$C139)),UPPER(TRIM($C139))="PT",UPPER(TRIM($C139))="PTE"),$P139&lt;&gt;"",N($P139)&lt;PT_MinHours),"under "&amp;PT_MinHours&amp;" hrs",IF(IF($C139="","",IF(OR(ISNUMBER(SEARCH("full",$C139)),UPPER(TRIM($C139))="FT",UPPER(TRIM($C139))="FTE"),"Full-Time",IF(OR(ISNUMBER(SEARCH("part",$C139)),UPPER(TRIM($C139))="PT",UPPER(TRIM($C139))="PTE"),"Part-Time",IF(OR(ISNUMBER(SEARCH("cas",$C139)),UPPER(TRIM($C139))="CAS"),"Casual","Unknown"))))="Unknown","type not recognised",$C139))),IF(O139&gt;0,"Yes - accruing","Not yet - from "&amp;TEXT(S139,"dd/mm/yyyy"))))</f>
        <v/>
      </c>
      <c r="S139" s="10" t="str">
        <f aca="false">IF(AE139=0,"",IF(AQ139="None","",EDATE(AF139,AZ139)))</f>
        <v/>
      </c>
      <c r="T139" s="13" t="str">
        <f aca="false">IF(OR(AE139=0,W139=""),"",W139-U139+V139)</f>
        <v/>
      </c>
      <c r="U139" s="13" t="str">
        <f aca="false">IF(AE139=0,"",IF(NOT(LH_Ready),"",SUMIFS(INDEX(LH_Data,0,LH_ColAcc),INDEX(LH_Data,0,LH_ColFirst),$A139,INDEX(LH_Data,0,LH_ColSur),$B139,INDEX(LH_Data,0,LH_ColCat),BonusCat)*UnitFactor))</f>
        <v/>
      </c>
      <c r="V139" s="13" t="str">
        <f aca="false">IF(AE139=0,"",IF(NOT(LH_Ready),"",SUMIFS(INDEX(LH_Data,0,LH_ColTaken),INDEX(LH_Data,0,LH_ColFirst),$A139,INDEX(LH_Data,0,LH_ColSur),$B139,INDEX(LH_Data,0,LH_ColCat),BonusCat)*UnitFactor))</f>
        <v/>
      </c>
      <c r="W139" s="13" t="str">
        <f aca="false">IF(AE139=0,"",IF(NOT(LH_Ready),"",IF(BB139=0,0,INDEX(INDEX(LH_Data,0,LH_ColClose),BB139-1)*UnitFactor)))</f>
        <v/>
      </c>
      <c r="X139" s="13" t="str">
        <f aca="false">IF(AE139=0,"",(AX139-AY139)*HoursPerDay)</f>
        <v/>
      </c>
      <c r="Y139" s="13" t="str">
        <f aca="false">IF(AE139=0,"",IF(NOT(LH_Ready),"",IF(BA139=0,N139,X139-N(U139))))</f>
        <v/>
      </c>
      <c r="Z139" s="12" t="str">
        <f aca="false">IF(OR(AE139=0,Y139=""),"",IF(Y139&gt;0,"Yes","No"))</f>
        <v/>
      </c>
      <c r="AA139" s="12" t="str">
        <f aca="false">IF(AE139=0,IF(LEN($A139&amp;$B139)=0,"","FIX INPUT - StartDate missing"),IF(AD139&lt;&gt;"","FIX INPUT - "&amp;AD139,IF(NOT(LH_Ready),"Paste Leave History export (Settings must show YES)",IF(Y139&gt;0,"ACCRUE "&amp;ROUND(Y139,2)&amp;" hrs ("&amp;ROUND(Y139/HoursPerDay,2)&amp;" days)"&amp;IF(BA139=0," - no Bonus Leave in EH yet, full catch-up since start",""),IF(Y139&lt;0,"CHECK - EH accrued "&amp;ROUND(-Y139,2)&amp;""&amp;" hrs more than policy",IF(O139&gt;0,"OK - nothing to add",IF(AQ139="None",R139,"Not yet - first day on "&amp;TEXT(S139,"dd/mm/yyyy"))))))))</f>
        <v/>
      </c>
      <c r="AB139" s="13" t="str">
        <f aca="false">IF(OR(AE139=0,T139=""),"",AY139*HoursPerDay-T139)</f>
        <v/>
      </c>
      <c r="AC139" s="12" t="str">
        <f aca="false">IF(AE139=0,"",BA139)</f>
        <v/>
      </c>
      <c r="AD139" s="12" t="str">
        <f aca="false">IF(AE139=0,"",TRIM(IF(IF($C139="","",IF(OR(ISNUMBER(SEARCH("full",$C139)),UPPER(TRIM($C139))="FT",UPPER(TRIM($C139))="FTE"),"Full-Time",IF(OR(ISNUMBER(SEARCH("part",$C139)),UPPER(TRIM($C139))="PT",UPPER(TRIM($C139))="PTE"),"Part-Time",IF(OR(ISNUMBER(SEARCH("cas",$C139)),UPPER(TRIM($C139))="CAS"),"Casual","Unknown"))))="Unknown","EmploymentType not recognised - use Full-Time, Part-Time or Casual. ","")&amp;IF(AND(AG139&gt;=1,IF(AG139&gt;=3,AM139,IF(AG139=2,AL139,AK139))&lt;&gt;IF($C139="","",IF(OR(ISNUMBER(SEARCH("full",$C139)),UPPER(TRIM($C139))="FT",UPPER(TRIM($C139))="FTE"),"Full-Time",IF(OR(ISNUMBER(SEARCH("part",$C139)),UPPER(TRIM($C139))="PT",UPPER(TRIM($C139))="PTE"),"Part-Time",IF(OR(ISNUMBER(SEARCH("cas",$C139)),UPPER(TRIM($C139))="CAS"),"Casual","Unknown"))))),"EmploymentType does not match latest start date ("&amp;IF(AG139&gt;=3,AM139,IF(AG139=2,AL139,AK139))&amp;"). ","")&amp;IF(AND(AG139&gt;=1,AH139&lt;&gt;$F139),"Earliest type date should equal StartDate. ","")&amp;IF(AND(AG139&gt;=2,AH139=AI139),"Two types start on the same date. ","")&amp;IF(AND(OR(ISNUMBER(SEARCH("part",$C139)),UPPER(TRIM($C139))="PT",UPPER(TRIM($C139))="PTE"),$P139=""),"Part-time: enter PT Hrs/Week (blank = 24+). ","")))</f>
        <v/>
      </c>
      <c r="AE139" s="12" t="n">
        <f aca="false">IF(OR(LEN($A139&amp;$B139)=0,$F139=""),0,1)</f>
        <v>0</v>
      </c>
      <c r="AF139" s="10" t="str">
        <f aca="false">IF(AE139=0,"",IF($J139&lt;&gt;"",$J139,$F139))</f>
        <v/>
      </c>
      <c r="AG139" s="12" t="str">
        <f aca="false">IF(AE139=0,"",COUNT($G139:$I139))</f>
        <v/>
      </c>
      <c r="AH139" s="10" t="str">
        <f aca="false">IF(AE139=0,"",IFERROR(SMALL($G139:$I139,1),""))</f>
        <v/>
      </c>
      <c r="AI139" s="10" t="str">
        <f aca="false">IF(AE139=0,"",IFERROR(SMALL($G139:$I139,2),""))</f>
        <v/>
      </c>
      <c r="AJ139" s="10" t="str">
        <f aca="false">IF(AE139=0,"",IFERROR(SMALL($G139:$I139,3),""))</f>
        <v/>
      </c>
      <c r="AK139" s="12" t="str">
        <f aca="false">IF(AE139=0,"",IF(AH139="","",IF(AH139=$G139,"Part-Time",IF(AH139=$H139,"Full-Time","Casual"))))</f>
        <v/>
      </c>
      <c r="AL139" s="12" t="str">
        <f aca="false">IF(AE139=0,"",IF(AI139="","",IF(AI139=$G139,"Part-Time",IF(AI139=$H139,"Full-Time","Casual"))))</f>
        <v/>
      </c>
      <c r="AM139" s="12" t="str">
        <f aca="false">IF(AE139=0,"",IF(AJ139="","",IF(AJ139=$G139,"Part-Time",IF(AJ139=$H139,"Full-Time","Casual"))))</f>
        <v/>
      </c>
      <c r="AN139" s="12" t="str">
        <f aca="false">IF(AE139=0,"",IF(AG139=0,IF(OR(ISNUMBER(SEARCH("full",$C139)),UPPER(TRIM($C139))="FT",UPPER(TRIM($C139))="FTE"),"FT",IF(AND(OR(ISNUMBER(SEARCH("part",$C139)),UPPER(TRIM($C139))="PT",UPPER(TRIM($C139))="PTE"),OR($P139="",N($P139)&gt;=PT_MinHours)),"PT","None")),IF(OR(ISNUMBER(SEARCH("full",AK139)),UPPER(TRIM(AK139))="FT",UPPER(TRIM(AK139))="FTE"),"FT",IF(AND(OR(ISNUMBER(SEARCH("part",AK139)),UPPER(TRIM(AK139))="PT",UPPER(TRIM(AK139))="PTE"),OR($P139="",N($P139)&gt;=PT_MinHours)),"PT","None"))))</f>
        <v/>
      </c>
      <c r="AO139" s="12" t="str">
        <f aca="false">IF(AE139=0,"",IF(AG139&lt;2,"",IF(OR(ISNUMBER(SEARCH("full",AL139)),UPPER(TRIM(AL139))="FT",UPPER(TRIM(AL139))="FTE"),"FT",IF(AND(OR(ISNUMBER(SEARCH("part",AL139)),UPPER(TRIM(AL139))="PT",UPPER(TRIM(AL139))="PTE"),OR($P139="",N($P139)&gt;=PT_MinHours)),"PT","None"))))</f>
        <v/>
      </c>
      <c r="AP139" s="12" t="str">
        <f aca="false">IF(AE139=0,"",IF(AG139&lt;3,"",IF(OR(ISNUMBER(SEARCH("full",AM139)),UPPER(TRIM(AM139))="FT",UPPER(TRIM(AM139))="FTE"),"FT",IF(AND(OR(ISNUMBER(SEARCH("part",AM139)),UPPER(TRIM(AM139))="PT",UPPER(TRIM(AM139))="PTE"),OR($P139="",N($P139)&gt;=PT_MinHours)),"PT","None"))))</f>
        <v/>
      </c>
      <c r="AQ139" s="12" t="str">
        <f aca="false">IF(AE139=0,"",IF(AND(AG139&gt;=3,AJ139&lt;=AsOfDate),AP139,IF(AND(AG139&gt;=2,AI139&lt;=AsOfDate),AO139,AN139)))</f>
        <v/>
      </c>
      <c r="AR139" s="12" t="str">
        <f aca="false">IF(AE139=0,"",IF(AsOfDate&lt;AF139,-1,12*(YEAR(AsOfDate)-YEAR(AF139))+MONTH(AsOfDate)-MONTH(AF139)-IF(DAY(AsOfDate)&lt;MIN(DAY(AF139),DAY(EOMONTH(AsOfDate,0))),1,0)))</f>
        <v/>
      </c>
      <c r="AS139" s="12" t="str">
        <f aca="false">IF(AE139=0,"",IF(OR(AG139&lt;2,AI139&gt;AsOfDate),AR139,IF((AI139-1)&lt;AF139,-1,12*(YEAR((AI139-1))-YEAR(AF139))+MONTH((AI139-1))-MONTH(AF139)-IF(DAY((AI139-1))&lt;MIN(DAY(AF139),DAY(EOMONTH((AI139-1),0))),1,0))))</f>
        <v/>
      </c>
      <c r="AT139" s="12" t="str">
        <f aca="false">IF(AE139=0,"",IF(OR(AG139&lt;3,AJ139&gt;AsOfDate),AR139,IF((AJ139-1)&lt;AF139,-1,12*(YEAR((AJ139-1))-YEAR(AF139))+MONTH((AJ139-1))-MONTH(AF139)-IF(DAY((AJ139-1))&lt;MIN(DAY(AF139),DAY(EOMONTH((AJ139-1),0))),1,0))))</f>
        <v/>
      </c>
      <c r="AU139" s="12" t="str">
        <f aca="false">IF(AE139=0,"",IF(PFYDate&lt;AF139,-1,12*(YEAR(PFYDate)-YEAR(AF139))+MONTH(PFYDate)-MONTH(AF139)-IF(DAY(PFYDate)&lt;MIN(DAY(AF139),DAY(EOMONTH(PFYDate,0))),1,0)))</f>
        <v/>
      </c>
      <c r="AV139" s="12" t="str">
        <f aca="false">IF(AE139=0,"",IF(OR(AG139&lt;2,AI139&gt;PFYDate),AU139,IF((AI139-1)&lt;AF139,-1,12*(YEAR((AI139-1))-YEAR(AF139))+MONTH((AI139-1))-MONTH(AF139)-IF(DAY((AI139-1))&lt;MIN(DAY(AF139),DAY(EOMONTH((AI139-1),0))),1,0))))</f>
        <v/>
      </c>
      <c r="AW139" s="12" t="str">
        <f aca="false">IF(AE139=0,"",IF(OR(AG139&lt;3,AJ139&gt;PFYDate),AU139,IF((AJ139-1)&lt;AF139,-1,12*(YEAR((AJ139-1))-YEAR(AF139))+MONTH((AJ139-1))-MONTH(AF139)-IF(DAY((AJ139-1))&lt;MIN(DAY(AF139),DAY(EOMONTH((AJ139-1),0))),1,0))))</f>
        <v/>
      </c>
      <c r="AX139" s="12" t="str">
        <f aca="false">IF(AE139=0,"",IF(AN139="FT",IF(AS139&lt;FT_First,0,IF(AS139&lt;FT_Y5,1+INT((AS139-FT_First)/FT_Int1),FT_PreY5+FT_PerYear*INT((AS139-FT_Y5)/12)+FT_AnnivDays+INT(MOD(AS139-FT_Y5,12)/FT_Int2))),IF(AN139="PT",IF(AS139&lt;PT_First,0,1+INT((AS139-PT_First)/PT_Int)),0))+IF(AND(AG139&gt;=2,AI139&lt;=AsOfDate),IF(AO139="FT",IF(AT139&lt;FT_First,0,IF(AT139&lt;FT_Y5,1+INT((AT139-FT_First)/FT_Int1),FT_PreY5+FT_PerYear*INT((AT139-FT_Y5)/12)+FT_AnnivDays+INT(MOD(AT139-FT_Y5,12)/FT_Int2))),IF(AO139="PT",IF(AT139&lt;PT_First,0,1+INT((AT139-PT_First)/PT_Int)),0))-IF(AO139="FT",IF(AS139&lt;FT_First,0,IF(AS139&lt;FT_Y5,1+INT((AS139-FT_First)/FT_Int1),FT_PreY5+FT_PerYear*INT((AS139-FT_Y5)/12)+FT_AnnivDays+INT(MOD(AS139-FT_Y5,12)/FT_Int2))),IF(AO139="PT",IF(AS139&lt;PT_First,0,1+INT((AS139-PT_First)/PT_Int)),0)),0)+IF(AND(AG139&gt;=3,AJ139&lt;=AsOfDate),IF(AP139="FT",IF(AR139&lt;FT_First,0,IF(AR139&lt;FT_Y5,1+INT((AR139-FT_First)/FT_Int1),FT_PreY5+FT_PerYear*INT((AR139-FT_Y5)/12)+FT_AnnivDays+INT(MOD(AR139-FT_Y5,12)/FT_Int2))),IF(AP139="PT",IF(AR139&lt;PT_First,0,1+INT((AR139-PT_First)/PT_Int)),0))-IF(AP139="FT",IF(AT139&lt;FT_First,0,IF(AT139&lt;FT_Y5,1+INT((AT139-FT_First)/FT_Int1),FT_PreY5+FT_PerYear*INT((AT139-FT_Y5)/12)+FT_AnnivDays+INT(MOD(AT139-FT_Y5,12)/FT_Int2))),IF(AP139="PT",IF(AT139&lt;PT_First,0,1+INT((AT139-PT_First)/PT_Int)),0)),0))</f>
        <v/>
      </c>
      <c r="AY139" s="12" t="str">
        <f aca="false">IF(AE139=0,"",IF(AN139="FT",IF(AV139&lt;FT_First,0,IF(AV139&lt;FT_Y5,1+INT((AV139-FT_First)/FT_Int1),FT_PreY5+FT_PerYear*INT((AV139-FT_Y5)/12)+FT_AnnivDays+INT(MOD(AV139-FT_Y5,12)/FT_Int2))),IF(AN139="PT",IF(AV139&lt;PT_First,0,1+INT((AV139-PT_First)/PT_Int)),0))+IF(AND(AG139&gt;=2,AI139&lt;=PFYDate),IF(AO139="FT",IF(AW139&lt;FT_First,0,IF(AW139&lt;FT_Y5,1+INT((AW139-FT_First)/FT_Int1),FT_PreY5+FT_PerYear*INT((AW139-FT_Y5)/12)+FT_AnnivDays+INT(MOD(AW139-FT_Y5,12)/FT_Int2))),IF(AO139="PT",IF(AW139&lt;PT_First,0,1+INT((AW139-PT_First)/PT_Int)),0))-IF(AO139="FT",IF(AV139&lt;FT_First,0,IF(AV139&lt;FT_Y5,1+INT((AV139-FT_First)/FT_Int1),FT_PreY5+FT_PerYear*INT((AV139-FT_Y5)/12)+FT_AnnivDays+INT(MOD(AV139-FT_Y5,12)/FT_Int2))),IF(AO139="PT",IF(AV139&lt;PT_First,0,1+INT((AV139-PT_First)/PT_Int)),0)),0)+IF(AND(AG139&gt;=3,AJ139&lt;=PFYDate),IF(AP139="FT",IF(AU139&lt;FT_First,0,IF(AU139&lt;FT_Y5,1+INT((AU139-FT_First)/FT_Int1),FT_PreY5+FT_PerYear*INT((AU139-FT_Y5)/12)+FT_AnnivDays+INT(MOD(AU139-FT_Y5,12)/FT_Int2))),IF(AP139="PT",IF(AU139&lt;PT_First,0,1+INT((AU139-PT_First)/PT_Int)),0))-IF(AP139="FT",IF(AW139&lt;FT_First,0,IF(AW139&lt;FT_Y5,1+INT((AW139-FT_First)/FT_Int1),FT_PreY5+FT_PerYear*INT((AW139-FT_Y5)/12)+FT_AnnivDays+INT(MOD(AW139-FT_Y5,12)/FT_Int2))),IF(AP139="PT",IF(AW139&lt;PT_First,0,1+INT((AW139-PT_First)/PT_Int)),0)),0))</f>
        <v/>
      </c>
      <c r="AZ139" s="12" t="str">
        <f aca="false">IF(AE139=0,"",IF(AQ139="FT",IF(AR139&lt;FT_First,FT_First,IF(AR139&lt;FT_Y5,MIN(FT_Y5,FT_First+FT_Int1*(INT((AR139-FT_First)/FT_Int1)+1)),FT_Y5+12*INT((AR139-FT_Y5)/12)+FT_Int2*(INT(MOD(AR139-FT_Y5,12)/FT_Int2)+1))),IF(AQ139="PT",IF(AR139&lt;PT_First,PT_First,PT_First+PT_Int*(INT((AR139-PT_First)/PT_Int)+1)),"")))</f>
        <v/>
      </c>
      <c r="BA139" s="12" t="str">
        <f aca="false">IF(AE139=0,"",IF(NOT(LH_Ready),0,COUNTIFS(INDEX(LH_Data,0,LH_ColFirst),$A139,INDEX(LH_Data,0,LH_ColSur),$B139,INDEX(LH_Data,0,LH_ColCat),BonusCat)))</f>
        <v/>
      </c>
      <c r="BB139" s="12" t="str">
        <f aca="false">IF(AE139=0,"",IF(OR(NOT(LH_Ready),BA139=0),0,SUMPRODUCT(MAX((INDEX(LH_Data,0,LH_ColFirst)=$A139)*(INDEX(LH_Data,0,LH_ColSur)=$B139)*(INDEX(LH_Data,0,LH_ColCat)=BonusCat)*ROW(LH_Data)))))</f>
        <v/>
      </c>
    </row>
    <row r="140" customFormat="false" ht="15" hidden="false" customHeight="false" outlineLevel="0" collapsed="false">
      <c r="A140" s="15"/>
      <c r="B140" s="15"/>
      <c r="C140" s="15"/>
      <c r="D140" s="16"/>
      <c r="E140" s="10" t="str">
        <f aca="false">IF(OR(AE140=0,$D140=""),"",DATE(YEAR(AsOfDate)+IF(DATE(YEAR(AsOfDate),MONTH($D140),DAY($D140))&lt;=AsOfDate,1,0),MONTH($D140),DAY($D140)))</f>
        <v/>
      </c>
      <c r="F140" s="16"/>
      <c r="G140" s="16"/>
      <c r="H140" s="16"/>
      <c r="I140" s="16"/>
      <c r="J140" s="16"/>
      <c r="K140" s="10" t="str">
        <f aca="false">IF(AE140=0,"",DATE(YEAR(AsOfDate)+IF(DATE(YEAR(AsOfDate),MONTH($F140),DAY($F140))&lt;=AsOfDate,1,0),MONTH($F140),DAY($F140)))</f>
        <v/>
      </c>
      <c r="L140" s="11" t="str">
        <f aca="false">IF(AE140=0,"",ROUND((AsOfDate-$F140)/365.25,1))</f>
        <v/>
      </c>
      <c r="M140" s="12" t="str">
        <f aca="false">IF(AE140=0,"",IF(AsOfDate&lt;AF140,"-",DATEDIF(AF140,AsOfDate,"y")&amp;"y "&amp;DATEDIF(AF140,AsOfDate,"ym")&amp;"m "&amp;DATEDIF(AF140,AsOfDate,"md")&amp;"d"))</f>
        <v/>
      </c>
      <c r="N140" s="13" t="str">
        <f aca="false">IF(AE140=0,"",O140*HoursPerDay)</f>
        <v/>
      </c>
      <c r="O140" s="13" t="str">
        <f aca="false">IF(AE140=0,"",AX140)</f>
        <v/>
      </c>
      <c r="P140" s="17"/>
      <c r="Q140" s="12" t="str">
        <f aca="false">IF(AE140=0,"",IF(AG140&lt;2,"",AK140&amp;" to "&amp;AL140&amp;" on "&amp;TEXT(AI140,"dd/mm/yyyy")&amp;IF(AI140&gt;AsOfDate," (future)",IF(AN140=AO140,"",IF(AO140="None"," - STOPPED accruing",IF(AN140="None"," - now qualifying"," - pathway changed"))))&amp;IF(AG140&lt;3,"","; "&amp;AL140&amp;" to "&amp;AM140&amp;" on "&amp;TEXT(AJ140,"dd/mm/yyyy")&amp;IF(AJ140&gt;AsOfDate," (future)",IF(AO140=AP140,"",IF(AP140="None"," - STOPPED accruing",IF(AO140="None"," - now qualifying"," - pathway changed")))))))</f>
        <v/>
      </c>
      <c r="R140" s="12" t="str">
        <f aca="false">IF(AE140=0,"",IF(AQ140="None",IF(O140&gt;0,"No longer accruing","Not eligible - "&amp;IF(AND(OR(ISNUMBER(SEARCH("part",$C140)),UPPER(TRIM($C140))="PT",UPPER(TRIM($C140))="PTE"),$P140&lt;&gt;"",N($P140)&lt;PT_MinHours),"under "&amp;PT_MinHours&amp;" hrs",IF(IF($C140="","",IF(OR(ISNUMBER(SEARCH("full",$C140)),UPPER(TRIM($C140))="FT",UPPER(TRIM($C140))="FTE"),"Full-Time",IF(OR(ISNUMBER(SEARCH("part",$C140)),UPPER(TRIM($C140))="PT",UPPER(TRIM($C140))="PTE"),"Part-Time",IF(OR(ISNUMBER(SEARCH("cas",$C140)),UPPER(TRIM($C140))="CAS"),"Casual","Unknown"))))="Unknown","type not recognised",$C140))),IF(O140&gt;0,"Yes - accruing","Not yet - from "&amp;TEXT(S140,"dd/mm/yyyy"))))</f>
        <v/>
      </c>
      <c r="S140" s="10" t="str">
        <f aca="false">IF(AE140=0,"",IF(AQ140="None","",EDATE(AF140,AZ140)))</f>
        <v/>
      </c>
      <c r="T140" s="13" t="str">
        <f aca="false">IF(OR(AE140=0,W140=""),"",W140-U140+V140)</f>
        <v/>
      </c>
      <c r="U140" s="13" t="str">
        <f aca="false">IF(AE140=0,"",IF(NOT(LH_Ready),"",SUMIFS(INDEX(LH_Data,0,LH_ColAcc),INDEX(LH_Data,0,LH_ColFirst),$A140,INDEX(LH_Data,0,LH_ColSur),$B140,INDEX(LH_Data,0,LH_ColCat),BonusCat)*UnitFactor))</f>
        <v/>
      </c>
      <c r="V140" s="13" t="str">
        <f aca="false">IF(AE140=0,"",IF(NOT(LH_Ready),"",SUMIFS(INDEX(LH_Data,0,LH_ColTaken),INDEX(LH_Data,0,LH_ColFirst),$A140,INDEX(LH_Data,0,LH_ColSur),$B140,INDEX(LH_Data,0,LH_ColCat),BonusCat)*UnitFactor))</f>
        <v/>
      </c>
      <c r="W140" s="13" t="str">
        <f aca="false">IF(AE140=0,"",IF(NOT(LH_Ready),"",IF(BB140=0,0,INDEX(INDEX(LH_Data,0,LH_ColClose),BB140-1)*UnitFactor)))</f>
        <v/>
      </c>
      <c r="X140" s="13" t="str">
        <f aca="false">IF(AE140=0,"",(AX140-AY140)*HoursPerDay)</f>
        <v/>
      </c>
      <c r="Y140" s="13" t="str">
        <f aca="false">IF(AE140=0,"",IF(NOT(LH_Ready),"",IF(BA140=0,N140,X140-N(U140))))</f>
        <v/>
      </c>
      <c r="Z140" s="12" t="str">
        <f aca="false">IF(OR(AE140=0,Y140=""),"",IF(Y140&gt;0,"Yes","No"))</f>
        <v/>
      </c>
      <c r="AA140" s="12" t="str">
        <f aca="false">IF(AE140=0,IF(LEN($A140&amp;$B140)=0,"","FIX INPUT - StartDate missing"),IF(AD140&lt;&gt;"","FIX INPUT - "&amp;AD140,IF(NOT(LH_Ready),"Paste Leave History export (Settings must show YES)",IF(Y140&gt;0,"ACCRUE "&amp;ROUND(Y140,2)&amp;" hrs ("&amp;ROUND(Y140/HoursPerDay,2)&amp;" days)"&amp;IF(BA140=0," - no Bonus Leave in EH yet, full catch-up since start",""),IF(Y140&lt;0,"CHECK - EH accrued "&amp;ROUND(-Y140,2)&amp;""&amp;" hrs more than policy",IF(O140&gt;0,"OK - nothing to add",IF(AQ140="None",R140,"Not yet - first day on "&amp;TEXT(S140,"dd/mm/yyyy"))))))))</f>
        <v/>
      </c>
      <c r="AB140" s="13" t="str">
        <f aca="false">IF(OR(AE140=0,T140=""),"",AY140*HoursPerDay-T140)</f>
        <v/>
      </c>
      <c r="AC140" s="12" t="str">
        <f aca="false">IF(AE140=0,"",BA140)</f>
        <v/>
      </c>
      <c r="AD140" s="12" t="str">
        <f aca="false">IF(AE140=0,"",TRIM(IF(IF($C140="","",IF(OR(ISNUMBER(SEARCH("full",$C140)),UPPER(TRIM($C140))="FT",UPPER(TRIM($C140))="FTE"),"Full-Time",IF(OR(ISNUMBER(SEARCH("part",$C140)),UPPER(TRIM($C140))="PT",UPPER(TRIM($C140))="PTE"),"Part-Time",IF(OR(ISNUMBER(SEARCH("cas",$C140)),UPPER(TRIM($C140))="CAS"),"Casual","Unknown"))))="Unknown","EmploymentType not recognised - use Full-Time, Part-Time or Casual. ","")&amp;IF(AND(AG140&gt;=1,IF(AG140&gt;=3,AM140,IF(AG140=2,AL140,AK140))&lt;&gt;IF($C140="","",IF(OR(ISNUMBER(SEARCH("full",$C140)),UPPER(TRIM($C140))="FT",UPPER(TRIM($C140))="FTE"),"Full-Time",IF(OR(ISNUMBER(SEARCH("part",$C140)),UPPER(TRIM($C140))="PT",UPPER(TRIM($C140))="PTE"),"Part-Time",IF(OR(ISNUMBER(SEARCH("cas",$C140)),UPPER(TRIM($C140))="CAS"),"Casual","Unknown"))))),"EmploymentType does not match latest start date ("&amp;IF(AG140&gt;=3,AM140,IF(AG140=2,AL140,AK140))&amp;"). ","")&amp;IF(AND(AG140&gt;=1,AH140&lt;&gt;$F140),"Earliest type date should equal StartDate. ","")&amp;IF(AND(AG140&gt;=2,AH140=AI140),"Two types start on the same date. ","")&amp;IF(AND(OR(ISNUMBER(SEARCH("part",$C140)),UPPER(TRIM($C140))="PT",UPPER(TRIM($C140))="PTE"),$P140=""),"Part-time: enter PT Hrs/Week (blank = 24+). ","")))</f>
        <v/>
      </c>
      <c r="AE140" s="12" t="n">
        <f aca="false">IF(OR(LEN($A140&amp;$B140)=0,$F140=""),0,1)</f>
        <v>0</v>
      </c>
      <c r="AF140" s="10" t="str">
        <f aca="false">IF(AE140=0,"",IF($J140&lt;&gt;"",$J140,$F140))</f>
        <v/>
      </c>
      <c r="AG140" s="12" t="str">
        <f aca="false">IF(AE140=0,"",COUNT($G140:$I140))</f>
        <v/>
      </c>
      <c r="AH140" s="10" t="str">
        <f aca="false">IF(AE140=0,"",IFERROR(SMALL($G140:$I140,1),""))</f>
        <v/>
      </c>
      <c r="AI140" s="10" t="str">
        <f aca="false">IF(AE140=0,"",IFERROR(SMALL($G140:$I140,2),""))</f>
        <v/>
      </c>
      <c r="AJ140" s="10" t="str">
        <f aca="false">IF(AE140=0,"",IFERROR(SMALL($G140:$I140,3),""))</f>
        <v/>
      </c>
      <c r="AK140" s="12" t="str">
        <f aca="false">IF(AE140=0,"",IF(AH140="","",IF(AH140=$G140,"Part-Time",IF(AH140=$H140,"Full-Time","Casual"))))</f>
        <v/>
      </c>
      <c r="AL140" s="12" t="str">
        <f aca="false">IF(AE140=0,"",IF(AI140="","",IF(AI140=$G140,"Part-Time",IF(AI140=$H140,"Full-Time","Casual"))))</f>
        <v/>
      </c>
      <c r="AM140" s="12" t="str">
        <f aca="false">IF(AE140=0,"",IF(AJ140="","",IF(AJ140=$G140,"Part-Time",IF(AJ140=$H140,"Full-Time","Casual"))))</f>
        <v/>
      </c>
      <c r="AN140" s="12" t="str">
        <f aca="false">IF(AE140=0,"",IF(AG140=0,IF(OR(ISNUMBER(SEARCH("full",$C140)),UPPER(TRIM($C140))="FT",UPPER(TRIM($C140))="FTE"),"FT",IF(AND(OR(ISNUMBER(SEARCH("part",$C140)),UPPER(TRIM($C140))="PT",UPPER(TRIM($C140))="PTE"),OR($P140="",N($P140)&gt;=PT_MinHours)),"PT","None")),IF(OR(ISNUMBER(SEARCH("full",AK140)),UPPER(TRIM(AK140))="FT",UPPER(TRIM(AK140))="FTE"),"FT",IF(AND(OR(ISNUMBER(SEARCH("part",AK140)),UPPER(TRIM(AK140))="PT",UPPER(TRIM(AK140))="PTE"),OR($P140="",N($P140)&gt;=PT_MinHours)),"PT","None"))))</f>
        <v/>
      </c>
      <c r="AO140" s="12" t="str">
        <f aca="false">IF(AE140=0,"",IF(AG140&lt;2,"",IF(OR(ISNUMBER(SEARCH("full",AL140)),UPPER(TRIM(AL140))="FT",UPPER(TRIM(AL140))="FTE"),"FT",IF(AND(OR(ISNUMBER(SEARCH("part",AL140)),UPPER(TRIM(AL140))="PT",UPPER(TRIM(AL140))="PTE"),OR($P140="",N($P140)&gt;=PT_MinHours)),"PT","None"))))</f>
        <v/>
      </c>
      <c r="AP140" s="12" t="str">
        <f aca="false">IF(AE140=0,"",IF(AG140&lt;3,"",IF(OR(ISNUMBER(SEARCH("full",AM140)),UPPER(TRIM(AM140))="FT",UPPER(TRIM(AM140))="FTE"),"FT",IF(AND(OR(ISNUMBER(SEARCH("part",AM140)),UPPER(TRIM(AM140))="PT",UPPER(TRIM(AM140))="PTE"),OR($P140="",N($P140)&gt;=PT_MinHours)),"PT","None"))))</f>
        <v/>
      </c>
      <c r="AQ140" s="12" t="str">
        <f aca="false">IF(AE140=0,"",IF(AND(AG140&gt;=3,AJ140&lt;=AsOfDate),AP140,IF(AND(AG140&gt;=2,AI140&lt;=AsOfDate),AO140,AN140)))</f>
        <v/>
      </c>
      <c r="AR140" s="12" t="str">
        <f aca="false">IF(AE140=0,"",IF(AsOfDate&lt;AF140,-1,12*(YEAR(AsOfDate)-YEAR(AF140))+MONTH(AsOfDate)-MONTH(AF140)-IF(DAY(AsOfDate)&lt;MIN(DAY(AF140),DAY(EOMONTH(AsOfDate,0))),1,0)))</f>
        <v/>
      </c>
      <c r="AS140" s="12" t="str">
        <f aca="false">IF(AE140=0,"",IF(OR(AG140&lt;2,AI140&gt;AsOfDate),AR140,IF((AI140-1)&lt;AF140,-1,12*(YEAR((AI140-1))-YEAR(AF140))+MONTH((AI140-1))-MONTH(AF140)-IF(DAY((AI140-1))&lt;MIN(DAY(AF140),DAY(EOMONTH((AI140-1),0))),1,0))))</f>
        <v/>
      </c>
      <c r="AT140" s="12" t="str">
        <f aca="false">IF(AE140=0,"",IF(OR(AG140&lt;3,AJ140&gt;AsOfDate),AR140,IF((AJ140-1)&lt;AF140,-1,12*(YEAR((AJ140-1))-YEAR(AF140))+MONTH((AJ140-1))-MONTH(AF140)-IF(DAY((AJ140-1))&lt;MIN(DAY(AF140),DAY(EOMONTH((AJ140-1),0))),1,0))))</f>
        <v/>
      </c>
      <c r="AU140" s="12" t="str">
        <f aca="false">IF(AE140=0,"",IF(PFYDate&lt;AF140,-1,12*(YEAR(PFYDate)-YEAR(AF140))+MONTH(PFYDate)-MONTH(AF140)-IF(DAY(PFYDate)&lt;MIN(DAY(AF140),DAY(EOMONTH(PFYDate,0))),1,0)))</f>
        <v/>
      </c>
      <c r="AV140" s="12" t="str">
        <f aca="false">IF(AE140=0,"",IF(OR(AG140&lt;2,AI140&gt;PFYDate),AU140,IF((AI140-1)&lt;AF140,-1,12*(YEAR((AI140-1))-YEAR(AF140))+MONTH((AI140-1))-MONTH(AF140)-IF(DAY((AI140-1))&lt;MIN(DAY(AF140),DAY(EOMONTH((AI140-1),0))),1,0))))</f>
        <v/>
      </c>
      <c r="AW140" s="12" t="str">
        <f aca="false">IF(AE140=0,"",IF(OR(AG140&lt;3,AJ140&gt;PFYDate),AU140,IF((AJ140-1)&lt;AF140,-1,12*(YEAR((AJ140-1))-YEAR(AF140))+MONTH((AJ140-1))-MONTH(AF140)-IF(DAY((AJ140-1))&lt;MIN(DAY(AF140),DAY(EOMONTH((AJ140-1),0))),1,0))))</f>
        <v/>
      </c>
      <c r="AX140" s="12" t="str">
        <f aca="false">IF(AE140=0,"",IF(AN140="FT",IF(AS140&lt;FT_First,0,IF(AS140&lt;FT_Y5,1+INT((AS140-FT_First)/FT_Int1),FT_PreY5+FT_PerYear*INT((AS140-FT_Y5)/12)+FT_AnnivDays+INT(MOD(AS140-FT_Y5,12)/FT_Int2))),IF(AN140="PT",IF(AS140&lt;PT_First,0,1+INT((AS140-PT_First)/PT_Int)),0))+IF(AND(AG140&gt;=2,AI140&lt;=AsOfDate),IF(AO140="FT",IF(AT140&lt;FT_First,0,IF(AT140&lt;FT_Y5,1+INT((AT140-FT_First)/FT_Int1),FT_PreY5+FT_PerYear*INT((AT140-FT_Y5)/12)+FT_AnnivDays+INT(MOD(AT140-FT_Y5,12)/FT_Int2))),IF(AO140="PT",IF(AT140&lt;PT_First,0,1+INT((AT140-PT_First)/PT_Int)),0))-IF(AO140="FT",IF(AS140&lt;FT_First,0,IF(AS140&lt;FT_Y5,1+INT((AS140-FT_First)/FT_Int1),FT_PreY5+FT_PerYear*INT((AS140-FT_Y5)/12)+FT_AnnivDays+INT(MOD(AS140-FT_Y5,12)/FT_Int2))),IF(AO140="PT",IF(AS140&lt;PT_First,0,1+INT((AS140-PT_First)/PT_Int)),0)),0)+IF(AND(AG140&gt;=3,AJ140&lt;=AsOfDate),IF(AP140="FT",IF(AR140&lt;FT_First,0,IF(AR140&lt;FT_Y5,1+INT((AR140-FT_First)/FT_Int1),FT_PreY5+FT_PerYear*INT((AR140-FT_Y5)/12)+FT_AnnivDays+INT(MOD(AR140-FT_Y5,12)/FT_Int2))),IF(AP140="PT",IF(AR140&lt;PT_First,0,1+INT((AR140-PT_First)/PT_Int)),0))-IF(AP140="FT",IF(AT140&lt;FT_First,0,IF(AT140&lt;FT_Y5,1+INT((AT140-FT_First)/FT_Int1),FT_PreY5+FT_PerYear*INT((AT140-FT_Y5)/12)+FT_AnnivDays+INT(MOD(AT140-FT_Y5,12)/FT_Int2))),IF(AP140="PT",IF(AT140&lt;PT_First,0,1+INT((AT140-PT_First)/PT_Int)),0)),0))</f>
        <v/>
      </c>
      <c r="AY140" s="12" t="str">
        <f aca="false">IF(AE140=0,"",IF(AN140="FT",IF(AV140&lt;FT_First,0,IF(AV140&lt;FT_Y5,1+INT((AV140-FT_First)/FT_Int1),FT_PreY5+FT_PerYear*INT((AV140-FT_Y5)/12)+FT_AnnivDays+INT(MOD(AV140-FT_Y5,12)/FT_Int2))),IF(AN140="PT",IF(AV140&lt;PT_First,0,1+INT((AV140-PT_First)/PT_Int)),0))+IF(AND(AG140&gt;=2,AI140&lt;=PFYDate),IF(AO140="FT",IF(AW140&lt;FT_First,0,IF(AW140&lt;FT_Y5,1+INT((AW140-FT_First)/FT_Int1),FT_PreY5+FT_PerYear*INT((AW140-FT_Y5)/12)+FT_AnnivDays+INT(MOD(AW140-FT_Y5,12)/FT_Int2))),IF(AO140="PT",IF(AW140&lt;PT_First,0,1+INT((AW140-PT_First)/PT_Int)),0))-IF(AO140="FT",IF(AV140&lt;FT_First,0,IF(AV140&lt;FT_Y5,1+INT((AV140-FT_First)/FT_Int1),FT_PreY5+FT_PerYear*INT((AV140-FT_Y5)/12)+FT_AnnivDays+INT(MOD(AV140-FT_Y5,12)/FT_Int2))),IF(AO140="PT",IF(AV140&lt;PT_First,0,1+INT((AV140-PT_First)/PT_Int)),0)),0)+IF(AND(AG140&gt;=3,AJ140&lt;=PFYDate),IF(AP140="FT",IF(AU140&lt;FT_First,0,IF(AU140&lt;FT_Y5,1+INT((AU140-FT_First)/FT_Int1),FT_PreY5+FT_PerYear*INT((AU140-FT_Y5)/12)+FT_AnnivDays+INT(MOD(AU140-FT_Y5,12)/FT_Int2))),IF(AP140="PT",IF(AU140&lt;PT_First,0,1+INT((AU140-PT_First)/PT_Int)),0))-IF(AP140="FT",IF(AW140&lt;FT_First,0,IF(AW140&lt;FT_Y5,1+INT((AW140-FT_First)/FT_Int1),FT_PreY5+FT_PerYear*INT((AW140-FT_Y5)/12)+FT_AnnivDays+INT(MOD(AW140-FT_Y5,12)/FT_Int2))),IF(AP140="PT",IF(AW140&lt;PT_First,0,1+INT((AW140-PT_First)/PT_Int)),0)),0))</f>
        <v/>
      </c>
      <c r="AZ140" s="12" t="str">
        <f aca="false">IF(AE140=0,"",IF(AQ140="FT",IF(AR140&lt;FT_First,FT_First,IF(AR140&lt;FT_Y5,MIN(FT_Y5,FT_First+FT_Int1*(INT((AR140-FT_First)/FT_Int1)+1)),FT_Y5+12*INT((AR140-FT_Y5)/12)+FT_Int2*(INT(MOD(AR140-FT_Y5,12)/FT_Int2)+1))),IF(AQ140="PT",IF(AR140&lt;PT_First,PT_First,PT_First+PT_Int*(INT((AR140-PT_First)/PT_Int)+1)),"")))</f>
        <v/>
      </c>
      <c r="BA140" s="12" t="str">
        <f aca="false">IF(AE140=0,"",IF(NOT(LH_Ready),0,COUNTIFS(INDEX(LH_Data,0,LH_ColFirst),$A140,INDEX(LH_Data,0,LH_ColSur),$B140,INDEX(LH_Data,0,LH_ColCat),BonusCat)))</f>
        <v/>
      </c>
      <c r="BB140" s="12" t="str">
        <f aca="false">IF(AE140=0,"",IF(OR(NOT(LH_Ready),BA140=0),0,SUMPRODUCT(MAX((INDEX(LH_Data,0,LH_ColFirst)=$A140)*(INDEX(LH_Data,0,LH_ColSur)=$B140)*(INDEX(LH_Data,0,LH_ColCat)=BonusCat)*ROW(LH_Data)))))</f>
        <v/>
      </c>
    </row>
    <row r="141" customFormat="false" ht="15" hidden="false" customHeight="false" outlineLevel="0" collapsed="false">
      <c r="A141" s="15"/>
      <c r="B141" s="15"/>
      <c r="C141" s="15"/>
      <c r="D141" s="16"/>
      <c r="E141" s="10" t="str">
        <f aca="false">IF(OR(AE141=0,$D141=""),"",DATE(YEAR(AsOfDate)+IF(DATE(YEAR(AsOfDate),MONTH($D141),DAY($D141))&lt;=AsOfDate,1,0),MONTH($D141),DAY($D141)))</f>
        <v/>
      </c>
      <c r="F141" s="16"/>
      <c r="G141" s="16"/>
      <c r="H141" s="16"/>
      <c r="I141" s="16"/>
      <c r="J141" s="16"/>
      <c r="K141" s="10" t="str">
        <f aca="false">IF(AE141=0,"",DATE(YEAR(AsOfDate)+IF(DATE(YEAR(AsOfDate),MONTH($F141),DAY($F141))&lt;=AsOfDate,1,0),MONTH($F141),DAY($F141)))</f>
        <v/>
      </c>
      <c r="L141" s="11" t="str">
        <f aca="false">IF(AE141=0,"",ROUND((AsOfDate-$F141)/365.25,1))</f>
        <v/>
      </c>
      <c r="M141" s="12" t="str">
        <f aca="false">IF(AE141=0,"",IF(AsOfDate&lt;AF141,"-",DATEDIF(AF141,AsOfDate,"y")&amp;"y "&amp;DATEDIF(AF141,AsOfDate,"ym")&amp;"m "&amp;DATEDIF(AF141,AsOfDate,"md")&amp;"d"))</f>
        <v/>
      </c>
      <c r="N141" s="13" t="str">
        <f aca="false">IF(AE141=0,"",O141*HoursPerDay)</f>
        <v/>
      </c>
      <c r="O141" s="13" t="str">
        <f aca="false">IF(AE141=0,"",AX141)</f>
        <v/>
      </c>
      <c r="P141" s="17"/>
      <c r="Q141" s="12" t="str">
        <f aca="false">IF(AE141=0,"",IF(AG141&lt;2,"",AK141&amp;" to "&amp;AL141&amp;" on "&amp;TEXT(AI141,"dd/mm/yyyy")&amp;IF(AI141&gt;AsOfDate," (future)",IF(AN141=AO141,"",IF(AO141="None"," - STOPPED accruing",IF(AN141="None"," - now qualifying"," - pathway changed"))))&amp;IF(AG141&lt;3,"","; "&amp;AL141&amp;" to "&amp;AM141&amp;" on "&amp;TEXT(AJ141,"dd/mm/yyyy")&amp;IF(AJ141&gt;AsOfDate," (future)",IF(AO141=AP141,"",IF(AP141="None"," - STOPPED accruing",IF(AO141="None"," - now qualifying"," - pathway changed")))))))</f>
        <v/>
      </c>
      <c r="R141" s="12" t="str">
        <f aca="false">IF(AE141=0,"",IF(AQ141="None",IF(O141&gt;0,"No longer accruing","Not eligible - "&amp;IF(AND(OR(ISNUMBER(SEARCH("part",$C141)),UPPER(TRIM($C141))="PT",UPPER(TRIM($C141))="PTE"),$P141&lt;&gt;"",N($P141)&lt;PT_MinHours),"under "&amp;PT_MinHours&amp;" hrs",IF(IF($C141="","",IF(OR(ISNUMBER(SEARCH("full",$C141)),UPPER(TRIM($C141))="FT",UPPER(TRIM($C141))="FTE"),"Full-Time",IF(OR(ISNUMBER(SEARCH("part",$C141)),UPPER(TRIM($C141))="PT",UPPER(TRIM($C141))="PTE"),"Part-Time",IF(OR(ISNUMBER(SEARCH("cas",$C141)),UPPER(TRIM($C141))="CAS"),"Casual","Unknown"))))="Unknown","type not recognised",$C141))),IF(O141&gt;0,"Yes - accruing","Not yet - from "&amp;TEXT(S141,"dd/mm/yyyy"))))</f>
        <v/>
      </c>
      <c r="S141" s="10" t="str">
        <f aca="false">IF(AE141=0,"",IF(AQ141="None","",EDATE(AF141,AZ141)))</f>
        <v/>
      </c>
      <c r="T141" s="13" t="str">
        <f aca="false">IF(OR(AE141=0,W141=""),"",W141-U141+V141)</f>
        <v/>
      </c>
      <c r="U141" s="13" t="str">
        <f aca="false">IF(AE141=0,"",IF(NOT(LH_Ready),"",SUMIFS(INDEX(LH_Data,0,LH_ColAcc),INDEX(LH_Data,0,LH_ColFirst),$A141,INDEX(LH_Data,0,LH_ColSur),$B141,INDEX(LH_Data,0,LH_ColCat),BonusCat)*UnitFactor))</f>
        <v/>
      </c>
      <c r="V141" s="13" t="str">
        <f aca="false">IF(AE141=0,"",IF(NOT(LH_Ready),"",SUMIFS(INDEX(LH_Data,0,LH_ColTaken),INDEX(LH_Data,0,LH_ColFirst),$A141,INDEX(LH_Data,0,LH_ColSur),$B141,INDEX(LH_Data,0,LH_ColCat),BonusCat)*UnitFactor))</f>
        <v/>
      </c>
      <c r="W141" s="13" t="str">
        <f aca="false">IF(AE141=0,"",IF(NOT(LH_Ready),"",IF(BB141=0,0,INDEX(INDEX(LH_Data,0,LH_ColClose),BB141-1)*UnitFactor)))</f>
        <v/>
      </c>
      <c r="X141" s="13" t="str">
        <f aca="false">IF(AE141=0,"",(AX141-AY141)*HoursPerDay)</f>
        <v/>
      </c>
      <c r="Y141" s="13" t="str">
        <f aca="false">IF(AE141=0,"",IF(NOT(LH_Ready),"",IF(BA141=0,N141,X141-N(U141))))</f>
        <v/>
      </c>
      <c r="Z141" s="12" t="str">
        <f aca="false">IF(OR(AE141=0,Y141=""),"",IF(Y141&gt;0,"Yes","No"))</f>
        <v/>
      </c>
      <c r="AA141" s="12" t="str">
        <f aca="false">IF(AE141=0,IF(LEN($A141&amp;$B141)=0,"","FIX INPUT - StartDate missing"),IF(AD141&lt;&gt;"","FIX INPUT - "&amp;AD141,IF(NOT(LH_Ready),"Paste Leave History export (Settings must show YES)",IF(Y141&gt;0,"ACCRUE "&amp;ROUND(Y141,2)&amp;" hrs ("&amp;ROUND(Y141/HoursPerDay,2)&amp;" days)"&amp;IF(BA141=0," - no Bonus Leave in EH yet, full catch-up since start",""),IF(Y141&lt;0,"CHECK - EH accrued "&amp;ROUND(-Y141,2)&amp;""&amp;" hrs more than policy",IF(O141&gt;0,"OK - nothing to add",IF(AQ141="None",R141,"Not yet - first day on "&amp;TEXT(S141,"dd/mm/yyyy"))))))))</f>
        <v/>
      </c>
      <c r="AB141" s="13" t="str">
        <f aca="false">IF(OR(AE141=0,T141=""),"",AY141*HoursPerDay-T141)</f>
        <v/>
      </c>
      <c r="AC141" s="12" t="str">
        <f aca="false">IF(AE141=0,"",BA141)</f>
        <v/>
      </c>
      <c r="AD141" s="12" t="str">
        <f aca="false">IF(AE141=0,"",TRIM(IF(IF($C141="","",IF(OR(ISNUMBER(SEARCH("full",$C141)),UPPER(TRIM($C141))="FT",UPPER(TRIM($C141))="FTE"),"Full-Time",IF(OR(ISNUMBER(SEARCH("part",$C141)),UPPER(TRIM($C141))="PT",UPPER(TRIM($C141))="PTE"),"Part-Time",IF(OR(ISNUMBER(SEARCH("cas",$C141)),UPPER(TRIM($C141))="CAS"),"Casual","Unknown"))))="Unknown","EmploymentType not recognised - use Full-Time, Part-Time or Casual. ","")&amp;IF(AND(AG141&gt;=1,IF(AG141&gt;=3,AM141,IF(AG141=2,AL141,AK141))&lt;&gt;IF($C141="","",IF(OR(ISNUMBER(SEARCH("full",$C141)),UPPER(TRIM($C141))="FT",UPPER(TRIM($C141))="FTE"),"Full-Time",IF(OR(ISNUMBER(SEARCH("part",$C141)),UPPER(TRIM($C141))="PT",UPPER(TRIM($C141))="PTE"),"Part-Time",IF(OR(ISNUMBER(SEARCH("cas",$C141)),UPPER(TRIM($C141))="CAS"),"Casual","Unknown"))))),"EmploymentType does not match latest start date ("&amp;IF(AG141&gt;=3,AM141,IF(AG141=2,AL141,AK141))&amp;"). ","")&amp;IF(AND(AG141&gt;=1,AH141&lt;&gt;$F141),"Earliest type date should equal StartDate. ","")&amp;IF(AND(AG141&gt;=2,AH141=AI141),"Two types start on the same date. ","")&amp;IF(AND(OR(ISNUMBER(SEARCH("part",$C141)),UPPER(TRIM($C141))="PT",UPPER(TRIM($C141))="PTE"),$P141=""),"Part-time: enter PT Hrs/Week (blank = 24+). ","")))</f>
        <v/>
      </c>
      <c r="AE141" s="12" t="n">
        <f aca="false">IF(OR(LEN($A141&amp;$B141)=0,$F141=""),0,1)</f>
        <v>0</v>
      </c>
      <c r="AF141" s="10" t="str">
        <f aca="false">IF(AE141=0,"",IF($J141&lt;&gt;"",$J141,$F141))</f>
        <v/>
      </c>
      <c r="AG141" s="12" t="str">
        <f aca="false">IF(AE141=0,"",COUNT($G141:$I141))</f>
        <v/>
      </c>
      <c r="AH141" s="10" t="str">
        <f aca="false">IF(AE141=0,"",IFERROR(SMALL($G141:$I141,1),""))</f>
        <v/>
      </c>
      <c r="AI141" s="10" t="str">
        <f aca="false">IF(AE141=0,"",IFERROR(SMALL($G141:$I141,2),""))</f>
        <v/>
      </c>
      <c r="AJ141" s="10" t="str">
        <f aca="false">IF(AE141=0,"",IFERROR(SMALL($G141:$I141,3),""))</f>
        <v/>
      </c>
      <c r="AK141" s="12" t="str">
        <f aca="false">IF(AE141=0,"",IF(AH141="","",IF(AH141=$G141,"Part-Time",IF(AH141=$H141,"Full-Time","Casual"))))</f>
        <v/>
      </c>
      <c r="AL141" s="12" t="str">
        <f aca="false">IF(AE141=0,"",IF(AI141="","",IF(AI141=$G141,"Part-Time",IF(AI141=$H141,"Full-Time","Casual"))))</f>
        <v/>
      </c>
      <c r="AM141" s="12" t="str">
        <f aca="false">IF(AE141=0,"",IF(AJ141="","",IF(AJ141=$G141,"Part-Time",IF(AJ141=$H141,"Full-Time","Casual"))))</f>
        <v/>
      </c>
      <c r="AN141" s="12" t="str">
        <f aca="false">IF(AE141=0,"",IF(AG141=0,IF(OR(ISNUMBER(SEARCH("full",$C141)),UPPER(TRIM($C141))="FT",UPPER(TRIM($C141))="FTE"),"FT",IF(AND(OR(ISNUMBER(SEARCH("part",$C141)),UPPER(TRIM($C141))="PT",UPPER(TRIM($C141))="PTE"),OR($P141="",N($P141)&gt;=PT_MinHours)),"PT","None")),IF(OR(ISNUMBER(SEARCH("full",AK141)),UPPER(TRIM(AK141))="FT",UPPER(TRIM(AK141))="FTE"),"FT",IF(AND(OR(ISNUMBER(SEARCH("part",AK141)),UPPER(TRIM(AK141))="PT",UPPER(TRIM(AK141))="PTE"),OR($P141="",N($P141)&gt;=PT_MinHours)),"PT","None"))))</f>
        <v/>
      </c>
      <c r="AO141" s="12" t="str">
        <f aca="false">IF(AE141=0,"",IF(AG141&lt;2,"",IF(OR(ISNUMBER(SEARCH("full",AL141)),UPPER(TRIM(AL141))="FT",UPPER(TRIM(AL141))="FTE"),"FT",IF(AND(OR(ISNUMBER(SEARCH("part",AL141)),UPPER(TRIM(AL141))="PT",UPPER(TRIM(AL141))="PTE"),OR($P141="",N($P141)&gt;=PT_MinHours)),"PT","None"))))</f>
        <v/>
      </c>
      <c r="AP141" s="12" t="str">
        <f aca="false">IF(AE141=0,"",IF(AG141&lt;3,"",IF(OR(ISNUMBER(SEARCH("full",AM141)),UPPER(TRIM(AM141))="FT",UPPER(TRIM(AM141))="FTE"),"FT",IF(AND(OR(ISNUMBER(SEARCH("part",AM141)),UPPER(TRIM(AM141))="PT",UPPER(TRIM(AM141))="PTE"),OR($P141="",N($P141)&gt;=PT_MinHours)),"PT","None"))))</f>
        <v/>
      </c>
      <c r="AQ141" s="12" t="str">
        <f aca="false">IF(AE141=0,"",IF(AND(AG141&gt;=3,AJ141&lt;=AsOfDate),AP141,IF(AND(AG141&gt;=2,AI141&lt;=AsOfDate),AO141,AN141)))</f>
        <v/>
      </c>
      <c r="AR141" s="12" t="str">
        <f aca="false">IF(AE141=0,"",IF(AsOfDate&lt;AF141,-1,12*(YEAR(AsOfDate)-YEAR(AF141))+MONTH(AsOfDate)-MONTH(AF141)-IF(DAY(AsOfDate)&lt;MIN(DAY(AF141),DAY(EOMONTH(AsOfDate,0))),1,0)))</f>
        <v/>
      </c>
      <c r="AS141" s="12" t="str">
        <f aca="false">IF(AE141=0,"",IF(OR(AG141&lt;2,AI141&gt;AsOfDate),AR141,IF((AI141-1)&lt;AF141,-1,12*(YEAR((AI141-1))-YEAR(AF141))+MONTH((AI141-1))-MONTH(AF141)-IF(DAY((AI141-1))&lt;MIN(DAY(AF141),DAY(EOMONTH((AI141-1),0))),1,0))))</f>
        <v/>
      </c>
      <c r="AT141" s="12" t="str">
        <f aca="false">IF(AE141=0,"",IF(OR(AG141&lt;3,AJ141&gt;AsOfDate),AR141,IF((AJ141-1)&lt;AF141,-1,12*(YEAR((AJ141-1))-YEAR(AF141))+MONTH((AJ141-1))-MONTH(AF141)-IF(DAY((AJ141-1))&lt;MIN(DAY(AF141),DAY(EOMONTH((AJ141-1),0))),1,0))))</f>
        <v/>
      </c>
      <c r="AU141" s="12" t="str">
        <f aca="false">IF(AE141=0,"",IF(PFYDate&lt;AF141,-1,12*(YEAR(PFYDate)-YEAR(AF141))+MONTH(PFYDate)-MONTH(AF141)-IF(DAY(PFYDate)&lt;MIN(DAY(AF141),DAY(EOMONTH(PFYDate,0))),1,0)))</f>
        <v/>
      </c>
      <c r="AV141" s="12" t="str">
        <f aca="false">IF(AE141=0,"",IF(OR(AG141&lt;2,AI141&gt;PFYDate),AU141,IF((AI141-1)&lt;AF141,-1,12*(YEAR((AI141-1))-YEAR(AF141))+MONTH((AI141-1))-MONTH(AF141)-IF(DAY((AI141-1))&lt;MIN(DAY(AF141),DAY(EOMONTH((AI141-1),0))),1,0))))</f>
        <v/>
      </c>
      <c r="AW141" s="12" t="str">
        <f aca="false">IF(AE141=0,"",IF(OR(AG141&lt;3,AJ141&gt;PFYDate),AU141,IF((AJ141-1)&lt;AF141,-1,12*(YEAR((AJ141-1))-YEAR(AF141))+MONTH((AJ141-1))-MONTH(AF141)-IF(DAY((AJ141-1))&lt;MIN(DAY(AF141),DAY(EOMONTH((AJ141-1),0))),1,0))))</f>
        <v/>
      </c>
      <c r="AX141" s="12" t="str">
        <f aca="false">IF(AE141=0,"",IF(AN141="FT",IF(AS141&lt;FT_First,0,IF(AS141&lt;FT_Y5,1+INT((AS141-FT_First)/FT_Int1),FT_PreY5+FT_PerYear*INT((AS141-FT_Y5)/12)+FT_AnnivDays+INT(MOD(AS141-FT_Y5,12)/FT_Int2))),IF(AN141="PT",IF(AS141&lt;PT_First,0,1+INT((AS141-PT_First)/PT_Int)),0))+IF(AND(AG141&gt;=2,AI141&lt;=AsOfDate),IF(AO141="FT",IF(AT141&lt;FT_First,0,IF(AT141&lt;FT_Y5,1+INT((AT141-FT_First)/FT_Int1),FT_PreY5+FT_PerYear*INT((AT141-FT_Y5)/12)+FT_AnnivDays+INT(MOD(AT141-FT_Y5,12)/FT_Int2))),IF(AO141="PT",IF(AT141&lt;PT_First,0,1+INT((AT141-PT_First)/PT_Int)),0))-IF(AO141="FT",IF(AS141&lt;FT_First,0,IF(AS141&lt;FT_Y5,1+INT((AS141-FT_First)/FT_Int1),FT_PreY5+FT_PerYear*INT((AS141-FT_Y5)/12)+FT_AnnivDays+INT(MOD(AS141-FT_Y5,12)/FT_Int2))),IF(AO141="PT",IF(AS141&lt;PT_First,0,1+INT((AS141-PT_First)/PT_Int)),0)),0)+IF(AND(AG141&gt;=3,AJ141&lt;=AsOfDate),IF(AP141="FT",IF(AR141&lt;FT_First,0,IF(AR141&lt;FT_Y5,1+INT((AR141-FT_First)/FT_Int1),FT_PreY5+FT_PerYear*INT((AR141-FT_Y5)/12)+FT_AnnivDays+INT(MOD(AR141-FT_Y5,12)/FT_Int2))),IF(AP141="PT",IF(AR141&lt;PT_First,0,1+INT((AR141-PT_First)/PT_Int)),0))-IF(AP141="FT",IF(AT141&lt;FT_First,0,IF(AT141&lt;FT_Y5,1+INT((AT141-FT_First)/FT_Int1),FT_PreY5+FT_PerYear*INT((AT141-FT_Y5)/12)+FT_AnnivDays+INT(MOD(AT141-FT_Y5,12)/FT_Int2))),IF(AP141="PT",IF(AT141&lt;PT_First,0,1+INT((AT141-PT_First)/PT_Int)),0)),0))</f>
        <v/>
      </c>
      <c r="AY141" s="12" t="str">
        <f aca="false">IF(AE141=0,"",IF(AN141="FT",IF(AV141&lt;FT_First,0,IF(AV141&lt;FT_Y5,1+INT((AV141-FT_First)/FT_Int1),FT_PreY5+FT_PerYear*INT((AV141-FT_Y5)/12)+FT_AnnivDays+INT(MOD(AV141-FT_Y5,12)/FT_Int2))),IF(AN141="PT",IF(AV141&lt;PT_First,0,1+INT((AV141-PT_First)/PT_Int)),0))+IF(AND(AG141&gt;=2,AI141&lt;=PFYDate),IF(AO141="FT",IF(AW141&lt;FT_First,0,IF(AW141&lt;FT_Y5,1+INT((AW141-FT_First)/FT_Int1),FT_PreY5+FT_PerYear*INT((AW141-FT_Y5)/12)+FT_AnnivDays+INT(MOD(AW141-FT_Y5,12)/FT_Int2))),IF(AO141="PT",IF(AW141&lt;PT_First,0,1+INT((AW141-PT_First)/PT_Int)),0))-IF(AO141="FT",IF(AV141&lt;FT_First,0,IF(AV141&lt;FT_Y5,1+INT((AV141-FT_First)/FT_Int1),FT_PreY5+FT_PerYear*INT((AV141-FT_Y5)/12)+FT_AnnivDays+INT(MOD(AV141-FT_Y5,12)/FT_Int2))),IF(AO141="PT",IF(AV141&lt;PT_First,0,1+INT((AV141-PT_First)/PT_Int)),0)),0)+IF(AND(AG141&gt;=3,AJ141&lt;=PFYDate),IF(AP141="FT",IF(AU141&lt;FT_First,0,IF(AU141&lt;FT_Y5,1+INT((AU141-FT_First)/FT_Int1),FT_PreY5+FT_PerYear*INT((AU141-FT_Y5)/12)+FT_AnnivDays+INT(MOD(AU141-FT_Y5,12)/FT_Int2))),IF(AP141="PT",IF(AU141&lt;PT_First,0,1+INT((AU141-PT_First)/PT_Int)),0))-IF(AP141="FT",IF(AW141&lt;FT_First,0,IF(AW141&lt;FT_Y5,1+INT((AW141-FT_First)/FT_Int1),FT_PreY5+FT_PerYear*INT((AW141-FT_Y5)/12)+FT_AnnivDays+INT(MOD(AW141-FT_Y5,12)/FT_Int2))),IF(AP141="PT",IF(AW141&lt;PT_First,0,1+INT((AW141-PT_First)/PT_Int)),0)),0))</f>
        <v/>
      </c>
      <c r="AZ141" s="12" t="str">
        <f aca="false">IF(AE141=0,"",IF(AQ141="FT",IF(AR141&lt;FT_First,FT_First,IF(AR141&lt;FT_Y5,MIN(FT_Y5,FT_First+FT_Int1*(INT((AR141-FT_First)/FT_Int1)+1)),FT_Y5+12*INT((AR141-FT_Y5)/12)+FT_Int2*(INT(MOD(AR141-FT_Y5,12)/FT_Int2)+1))),IF(AQ141="PT",IF(AR141&lt;PT_First,PT_First,PT_First+PT_Int*(INT((AR141-PT_First)/PT_Int)+1)),"")))</f>
        <v/>
      </c>
      <c r="BA141" s="12" t="str">
        <f aca="false">IF(AE141=0,"",IF(NOT(LH_Ready),0,COUNTIFS(INDEX(LH_Data,0,LH_ColFirst),$A141,INDEX(LH_Data,0,LH_ColSur),$B141,INDEX(LH_Data,0,LH_ColCat),BonusCat)))</f>
        <v/>
      </c>
      <c r="BB141" s="12" t="str">
        <f aca="false">IF(AE141=0,"",IF(OR(NOT(LH_Ready),BA141=0),0,SUMPRODUCT(MAX((INDEX(LH_Data,0,LH_ColFirst)=$A141)*(INDEX(LH_Data,0,LH_ColSur)=$B141)*(INDEX(LH_Data,0,LH_ColCat)=BonusCat)*ROW(LH_Data)))))</f>
        <v/>
      </c>
    </row>
    <row r="142" customFormat="false" ht="15" hidden="false" customHeight="false" outlineLevel="0" collapsed="false">
      <c r="A142" s="15"/>
      <c r="B142" s="15"/>
      <c r="C142" s="15"/>
      <c r="D142" s="16"/>
      <c r="E142" s="10" t="str">
        <f aca="false">IF(OR(AE142=0,$D142=""),"",DATE(YEAR(AsOfDate)+IF(DATE(YEAR(AsOfDate),MONTH($D142),DAY($D142))&lt;=AsOfDate,1,0),MONTH($D142),DAY($D142)))</f>
        <v/>
      </c>
      <c r="F142" s="16"/>
      <c r="G142" s="16"/>
      <c r="H142" s="16"/>
      <c r="I142" s="16"/>
      <c r="J142" s="16"/>
      <c r="K142" s="10" t="str">
        <f aca="false">IF(AE142=0,"",DATE(YEAR(AsOfDate)+IF(DATE(YEAR(AsOfDate),MONTH($F142),DAY($F142))&lt;=AsOfDate,1,0),MONTH($F142),DAY($F142)))</f>
        <v/>
      </c>
      <c r="L142" s="11" t="str">
        <f aca="false">IF(AE142=0,"",ROUND((AsOfDate-$F142)/365.25,1))</f>
        <v/>
      </c>
      <c r="M142" s="12" t="str">
        <f aca="false">IF(AE142=0,"",IF(AsOfDate&lt;AF142,"-",DATEDIF(AF142,AsOfDate,"y")&amp;"y "&amp;DATEDIF(AF142,AsOfDate,"ym")&amp;"m "&amp;DATEDIF(AF142,AsOfDate,"md")&amp;"d"))</f>
        <v/>
      </c>
      <c r="N142" s="13" t="str">
        <f aca="false">IF(AE142=0,"",O142*HoursPerDay)</f>
        <v/>
      </c>
      <c r="O142" s="13" t="str">
        <f aca="false">IF(AE142=0,"",AX142)</f>
        <v/>
      </c>
      <c r="P142" s="17"/>
      <c r="Q142" s="12" t="str">
        <f aca="false">IF(AE142=0,"",IF(AG142&lt;2,"",AK142&amp;" to "&amp;AL142&amp;" on "&amp;TEXT(AI142,"dd/mm/yyyy")&amp;IF(AI142&gt;AsOfDate," (future)",IF(AN142=AO142,"",IF(AO142="None"," - STOPPED accruing",IF(AN142="None"," - now qualifying"," - pathway changed"))))&amp;IF(AG142&lt;3,"","; "&amp;AL142&amp;" to "&amp;AM142&amp;" on "&amp;TEXT(AJ142,"dd/mm/yyyy")&amp;IF(AJ142&gt;AsOfDate," (future)",IF(AO142=AP142,"",IF(AP142="None"," - STOPPED accruing",IF(AO142="None"," - now qualifying"," - pathway changed")))))))</f>
        <v/>
      </c>
      <c r="R142" s="12" t="str">
        <f aca="false">IF(AE142=0,"",IF(AQ142="None",IF(O142&gt;0,"No longer accruing","Not eligible - "&amp;IF(AND(OR(ISNUMBER(SEARCH("part",$C142)),UPPER(TRIM($C142))="PT",UPPER(TRIM($C142))="PTE"),$P142&lt;&gt;"",N($P142)&lt;PT_MinHours),"under "&amp;PT_MinHours&amp;" hrs",IF(IF($C142="","",IF(OR(ISNUMBER(SEARCH("full",$C142)),UPPER(TRIM($C142))="FT",UPPER(TRIM($C142))="FTE"),"Full-Time",IF(OR(ISNUMBER(SEARCH("part",$C142)),UPPER(TRIM($C142))="PT",UPPER(TRIM($C142))="PTE"),"Part-Time",IF(OR(ISNUMBER(SEARCH("cas",$C142)),UPPER(TRIM($C142))="CAS"),"Casual","Unknown"))))="Unknown","type not recognised",$C142))),IF(O142&gt;0,"Yes - accruing","Not yet - from "&amp;TEXT(S142,"dd/mm/yyyy"))))</f>
        <v/>
      </c>
      <c r="S142" s="10" t="str">
        <f aca="false">IF(AE142=0,"",IF(AQ142="None","",EDATE(AF142,AZ142)))</f>
        <v/>
      </c>
      <c r="T142" s="13" t="str">
        <f aca="false">IF(OR(AE142=0,W142=""),"",W142-U142+V142)</f>
        <v/>
      </c>
      <c r="U142" s="13" t="str">
        <f aca="false">IF(AE142=0,"",IF(NOT(LH_Ready),"",SUMIFS(INDEX(LH_Data,0,LH_ColAcc),INDEX(LH_Data,0,LH_ColFirst),$A142,INDEX(LH_Data,0,LH_ColSur),$B142,INDEX(LH_Data,0,LH_ColCat),BonusCat)*UnitFactor))</f>
        <v/>
      </c>
      <c r="V142" s="13" t="str">
        <f aca="false">IF(AE142=0,"",IF(NOT(LH_Ready),"",SUMIFS(INDEX(LH_Data,0,LH_ColTaken),INDEX(LH_Data,0,LH_ColFirst),$A142,INDEX(LH_Data,0,LH_ColSur),$B142,INDEX(LH_Data,0,LH_ColCat),BonusCat)*UnitFactor))</f>
        <v/>
      </c>
      <c r="W142" s="13" t="str">
        <f aca="false">IF(AE142=0,"",IF(NOT(LH_Ready),"",IF(BB142=0,0,INDEX(INDEX(LH_Data,0,LH_ColClose),BB142-1)*UnitFactor)))</f>
        <v/>
      </c>
      <c r="X142" s="13" t="str">
        <f aca="false">IF(AE142=0,"",(AX142-AY142)*HoursPerDay)</f>
        <v/>
      </c>
      <c r="Y142" s="13" t="str">
        <f aca="false">IF(AE142=0,"",IF(NOT(LH_Ready),"",IF(BA142=0,N142,X142-N(U142))))</f>
        <v/>
      </c>
      <c r="Z142" s="12" t="str">
        <f aca="false">IF(OR(AE142=0,Y142=""),"",IF(Y142&gt;0,"Yes","No"))</f>
        <v/>
      </c>
      <c r="AA142" s="12" t="str">
        <f aca="false">IF(AE142=0,IF(LEN($A142&amp;$B142)=0,"","FIX INPUT - StartDate missing"),IF(AD142&lt;&gt;"","FIX INPUT - "&amp;AD142,IF(NOT(LH_Ready),"Paste Leave History export (Settings must show YES)",IF(Y142&gt;0,"ACCRUE "&amp;ROUND(Y142,2)&amp;" hrs ("&amp;ROUND(Y142/HoursPerDay,2)&amp;" days)"&amp;IF(BA142=0," - no Bonus Leave in EH yet, full catch-up since start",""),IF(Y142&lt;0,"CHECK - EH accrued "&amp;ROUND(-Y142,2)&amp;""&amp;" hrs more than policy",IF(O142&gt;0,"OK - nothing to add",IF(AQ142="None",R142,"Not yet - first day on "&amp;TEXT(S142,"dd/mm/yyyy"))))))))</f>
        <v/>
      </c>
      <c r="AB142" s="13" t="str">
        <f aca="false">IF(OR(AE142=0,T142=""),"",AY142*HoursPerDay-T142)</f>
        <v/>
      </c>
      <c r="AC142" s="12" t="str">
        <f aca="false">IF(AE142=0,"",BA142)</f>
        <v/>
      </c>
      <c r="AD142" s="12" t="str">
        <f aca="false">IF(AE142=0,"",TRIM(IF(IF($C142="","",IF(OR(ISNUMBER(SEARCH("full",$C142)),UPPER(TRIM($C142))="FT",UPPER(TRIM($C142))="FTE"),"Full-Time",IF(OR(ISNUMBER(SEARCH("part",$C142)),UPPER(TRIM($C142))="PT",UPPER(TRIM($C142))="PTE"),"Part-Time",IF(OR(ISNUMBER(SEARCH("cas",$C142)),UPPER(TRIM($C142))="CAS"),"Casual","Unknown"))))="Unknown","EmploymentType not recognised - use Full-Time, Part-Time or Casual. ","")&amp;IF(AND(AG142&gt;=1,IF(AG142&gt;=3,AM142,IF(AG142=2,AL142,AK142))&lt;&gt;IF($C142="","",IF(OR(ISNUMBER(SEARCH("full",$C142)),UPPER(TRIM($C142))="FT",UPPER(TRIM($C142))="FTE"),"Full-Time",IF(OR(ISNUMBER(SEARCH("part",$C142)),UPPER(TRIM($C142))="PT",UPPER(TRIM($C142))="PTE"),"Part-Time",IF(OR(ISNUMBER(SEARCH("cas",$C142)),UPPER(TRIM($C142))="CAS"),"Casual","Unknown"))))),"EmploymentType does not match latest start date ("&amp;IF(AG142&gt;=3,AM142,IF(AG142=2,AL142,AK142))&amp;"). ","")&amp;IF(AND(AG142&gt;=1,AH142&lt;&gt;$F142),"Earliest type date should equal StartDate. ","")&amp;IF(AND(AG142&gt;=2,AH142=AI142),"Two types start on the same date. ","")&amp;IF(AND(OR(ISNUMBER(SEARCH("part",$C142)),UPPER(TRIM($C142))="PT",UPPER(TRIM($C142))="PTE"),$P142=""),"Part-time: enter PT Hrs/Week (blank = 24+). ","")))</f>
        <v/>
      </c>
      <c r="AE142" s="12" t="n">
        <f aca="false">IF(OR(LEN($A142&amp;$B142)=0,$F142=""),0,1)</f>
        <v>0</v>
      </c>
      <c r="AF142" s="10" t="str">
        <f aca="false">IF(AE142=0,"",IF($J142&lt;&gt;"",$J142,$F142))</f>
        <v/>
      </c>
      <c r="AG142" s="12" t="str">
        <f aca="false">IF(AE142=0,"",COUNT($G142:$I142))</f>
        <v/>
      </c>
      <c r="AH142" s="10" t="str">
        <f aca="false">IF(AE142=0,"",IFERROR(SMALL($G142:$I142,1),""))</f>
        <v/>
      </c>
      <c r="AI142" s="10" t="str">
        <f aca="false">IF(AE142=0,"",IFERROR(SMALL($G142:$I142,2),""))</f>
        <v/>
      </c>
      <c r="AJ142" s="10" t="str">
        <f aca="false">IF(AE142=0,"",IFERROR(SMALL($G142:$I142,3),""))</f>
        <v/>
      </c>
      <c r="AK142" s="12" t="str">
        <f aca="false">IF(AE142=0,"",IF(AH142="","",IF(AH142=$G142,"Part-Time",IF(AH142=$H142,"Full-Time","Casual"))))</f>
        <v/>
      </c>
      <c r="AL142" s="12" t="str">
        <f aca="false">IF(AE142=0,"",IF(AI142="","",IF(AI142=$G142,"Part-Time",IF(AI142=$H142,"Full-Time","Casual"))))</f>
        <v/>
      </c>
      <c r="AM142" s="12" t="str">
        <f aca="false">IF(AE142=0,"",IF(AJ142="","",IF(AJ142=$G142,"Part-Time",IF(AJ142=$H142,"Full-Time","Casual"))))</f>
        <v/>
      </c>
      <c r="AN142" s="12" t="str">
        <f aca="false">IF(AE142=0,"",IF(AG142=0,IF(OR(ISNUMBER(SEARCH("full",$C142)),UPPER(TRIM($C142))="FT",UPPER(TRIM($C142))="FTE"),"FT",IF(AND(OR(ISNUMBER(SEARCH("part",$C142)),UPPER(TRIM($C142))="PT",UPPER(TRIM($C142))="PTE"),OR($P142="",N($P142)&gt;=PT_MinHours)),"PT","None")),IF(OR(ISNUMBER(SEARCH("full",AK142)),UPPER(TRIM(AK142))="FT",UPPER(TRIM(AK142))="FTE"),"FT",IF(AND(OR(ISNUMBER(SEARCH("part",AK142)),UPPER(TRIM(AK142))="PT",UPPER(TRIM(AK142))="PTE"),OR($P142="",N($P142)&gt;=PT_MinHours)),"PT","None"))))</f>
        <v/>
      </c>
      <c r="AO142" s="12" t="str">
        <f aca="false">IF(AE142=0,"",IF(AG142&lt;2,"",IF(OR(ISNUMBER(SEARCH("full",AL142)),UPPER(TRIM(AL142))="FT",UPPER(TRIM(AL142))="FTE"),"FT",IF(AND(OR(ISNUMBER(SEARCH("part",AL142)),UPPER(TRIM(AL142))="PT",UPPER(TRIM(AL142))="PTE"),OR($P142="",N($P142)&gt;=PT_MinHours)),"PT","None"))))</f>
        <v/>
      </c>
      <c r="AP142" s="12" t="str">
        <f aca="false">IF(AE142=0,"",IF(AG142&lt;3,"",IF(OR(ISNUMBER(SEARCH("full",AM142)),UPPER(TRIM(AM142))="FT",UPPER(TRIM(AM142))="FTE"),"FT",IF(AND(OR(ISNUMBER(SEARCH("part",AM142)),UPPER(TRIM(AM142))="PT",UPPER(TRIM(AM142))="PTE"),OR($P142="",N($P142)&gt;=PT_MinHours)),"PT","None"))))</f>
        <v/>
      </c>
      <c r="AQ142" s="12" t="str">
        <f aca="false">IF(AE142=0,"",IF(AND(AG142&gt;=3,AJ142&lt;=AsOfDate),AP142,IF(AND(AG142&gt;=2,AI142&lt;=AsOfDate),AO142,AN142)))</f>
        <v/>
      </c>
      <c r="AR142" s="12" t="str">
        <f aca="false">IF(AE142=0,"",IF(AsOfDate&lt;AF142,-1,12*(YEAR(AsOfDate)-YEAR(AF142))+MONTH(AsOfDate)-MONTH(AF142)-IF(DAY(AsOfDate)&lt;MIN(DAY(AF142),DAY(EOMONTH(AsOfDate,0))),1,0)))</f>
        <v/>
      </c>
      <c r="AS142" s="12" t="str">
        <f aca="false">IF(AE142=0,"",IF(OR(AG142&lt;2,AI142&gt;AsOfDate),AR142,IF((AI142-1)&lt;AF142,-1,12*(YEAR((AI142-1))-YEAR(AF142))+MONTH((AI142-1))-MONTH(AF142)-IF(DAY((AI142-1))&lt;MIN(DAY(AF142),DAY(EOMONTH((AI142-1),0))),1,0))))</f>
        <v/>
      </c>
      <c r="AT142" s="12" t="str">
        <f aca="false">IF(AE142=0,"",IF(OR(AG142&lt;3,AJ142&gt;AsOfDate),AR142,IF((AJ142-1)&lt;AF142,-1,12*(YEAR((AJ142-1))-YEAR(AF142))+MONTH((AJ142-1))-MONTH(AF142)-IF(DAY((AJ142-1))&lt;MIN(DAY(AF142),DAY(EOMONTH((AJ142-1),0))),1,0))))</f>
        <v/>
      </c>
      <c r="AU142" s="12" t="str">
        <f aca="false">IF(AE142=0,"",IF(PFYDate&lt;AF142,-1,12*(YEAR(PFYDate)-YEAR(AF142))+MONTH(PFYDate)-MONTH(AF142)-IF(DAY(PFYDate)&lt;MIN(DAY(AF142),DAY(EOMONTH(PFYDate,0))),1,0)))</f>
        <v/>
      </c>
      <c r="AV142" s="12" t="str">
        <f aca="false">IF(AE142=0,"",IF(OR(AG142&lt;2,AI142&gt;PFYDate),AU142,IF((AI142-1)&lt;AF142,-1,12*(YEAR((AI142-1))-YEAR(AF142))+MONTH((AI142-1))-MONTH(AF142)-IF(DAY((AI142-1))&lt;MIN(DAY(AF142),DAY(EOMONTH((AI142-1),0))),1,0))))</f>
        <v/>
      </c>
      <c r="AW142" s="12" t="str">
        <f aca="false">IF(AE142=0,"",IF(OR(AG142&lt;3,AJ142&gt;PFYDate),AU142,IF((AJ142-1)&lt;AF142,-1,12*(YEAR((AJ142-1))-YEAR(AF142))+MONTH((AJ142-1))-MONTH(AF142)-IF(DAY((AJ142-1))&lt;MIN(DAY(AF142),DAY(EOMONTH((AJ142-1),0))),1,0))))</f>
        <v/>
      </c>
      <c r="AX142" s="12" t="str">
        <f aca="false">IF(AE142=0,"",IF(AN142="FT",IF(AS142&lt;FT_First,0,IF(AS142&lt;FT_Y5,1+INT((AS142-FT_First)/FT_Int1),FT_PreY5+FT_PerYear*INT((AS142-FT_Y5)/12)+FT_AnnivDays+INT(MOD(AS142-FT_Y5,12)/FT_Int2))),IF(AN142="PT",IF(AS142&lt;PT_First,0,1+INT((AS142-PT_First)/PT_Int)),0))+IF(AND(AG142&gt;=2,AI142&lt;=AsOfDate),IF(AO142="FT",IF(AT142&lt;FT_First,0,IF(AT142&lt;FT_Y5,1+INT((AT142-FT_First)/FT_Int1),FT_PreY5+FT_PerYear*INT((AT142-FT_Y5)/12)+FT_AnnivDays+INT(MOD(AT142-FT_Y5,12)/FT_Int2))),IF(AO142="PT",IF(AT142&lt;PT_First,0,1+INT((AT142-PT_First)/PT_Int)),0))-IF(AO142="FT",IF(AS142&lt;FT_First,0,IF(AS142&lt;FT_Y5,1+INT((AS142-FT_First)/FT_Int1),FT_PreY5+FT_PerYear*INT((AS142-FT_Y5)/12)+FT_AnnivDays+INT(MOD(AS142-FT_Y5,12)/FT_Int2))),IF(AO142="PT",IF(AS142&lt;PT_First,0,1+INT((AS142-PT_First)/PT_Int)),0)),0)+IF(AND(AG142&gt;=3,AJ142&lt;=AsOfDate),IF(AP142="FT",IF(AR142&lt;FT_First,0,IF(AR142&lt;FT_Y5,1+INT((AR142-FT_First)/FT_Int1),FT_PreY5+FT_PerYear*INT((AR142-FT_Y5)/12)+FT_AnnivDays+INT(MOD(AR142-FT_Y5,12)/FT_Int2))),IF(AP142="PT",IF(AR142&lt;PT_First,0,1+INT((AR142-PT_First)/PT_Int)),0))-IF(AP142="FT",IF(AT142&lt;FT_First,0,IF(AT142&lt;FT_Y5,1+INT((AT142-FT_First)/FT_Int1),FT_PreY5+FT_PerYear*INT((AT142-FT_Y5)/12)+FT_AnnivDays+INT(MOD(AT142-FT_Y5,12)/FT_Int2))),IF(AP142="PT",IF(AT142&lt;PT_First,0,1+INT((AT142-PT_First)/PT_Int)),0)),0))</f>
        <v/>
      </c>
      <c r="AY142" s="12" t="str">
        <f aca="false">IF(AE142=0,"",IF(AN142="FT",IF(AV142&lt;FT_First,0,IF(AV142&lt;FT_Y5,1+INT((AV142-FT_First)/FT_Int1),FT_PreY5+FT_PerYear*INT((AV142-FT_Y5)/12)+FT_AnnivDays+INT(MOD(AV142-FT_Y5,12)/FT_Int2))),IF(AN142="PT",IF(AV142&lt;PT_First,0,1+INT((AV142-PT_First)/PT_Int)),0))+IF(AND(AG142&gt;=2,AI142&lt;=PFYDate),IF(AO142="FT",IF(AW142&lt;FT_First,0,IF(AW142&lt;FT_Y5,1+INT((AW142-FT_First)/FT_Int1),FT_PreY5+FT_PerYear*INT((AW142-FT_Y5)/12)+FT_AnnivDays+INT(MOD(AW142-FT_Y5,12)/FT_Int2))),IF(AO142="PT",IF(AW142&lt;PT_First,0,1+INT((AW142-PT_First)/PT_Int)),0))-IF(AO142="FT",IF(AV142&lt;FT_First,0,IF(AV142&lt;FT_Y5,1+INT((AV142-FT_First)/FT_Int1),FT_PreY5+FT_PerYear*INT((AV142-FT_Y5)/12)+FT_AnnivDays+INT(MOD(AV142-FT_Y5,12)/FT_Int2))),IF(AO142="PT",IF(AV142&lt;PT_First,0,1+INT((AV142-PT_First)/PT_Int)),0)),0)+IF(AND(AG142&gt;=3,AJ142&lt;=PFYDate),IF(AP142="FT",IF(AU142&lt;FT_First,0,IF(AU142&lt;FT_Y5,1+INT((AU142-FT_First)/FT_Int1),FT_PreY5+FT_PerYear*INT((AU142-FT_Y5)/12)+FT_AnnivDays+INT(MOD(AU142-FT_Y5,12)/FT_Int2))),IF(AP142="PT",IF(AU142&lt;PT_First,0,1+INT((AU142-PT_First)/PT_Int)),0))-IF(AP142="FT",IF(AW142&lt;FT_First,0,IF(AW142&lt;FT_Y5,1+INT((AW142-FT_First)/FT_Int1),FT_PreY5+FT_PerYear*INT((AW142-FT_Y5)/12)+FT_AnnivDays+INT(MOD(AW142-FT_Y5,12)/FT_Int2))),IF(AP142="PT",IF(AW142&lt;PT_First,0,1+INT((AW142-PT_First)/PT_Int)),0)),0))</f>
        <v/>
      </c>
      <c r="AZ142" s="12" t="str">
        <f aca="false">IF(AE142=0,"",IF(AQ142="FT",IF(AR142&lt;FT_First,FT_First,IF(AR142&lt;FT_Y5,MIN(FT_Y5,FT_First+FT_Int1*(INT((AR142-FT_First)/FT_Int1)+1)),FT_Y5+12*INT((AR142-FT_Y5)/12)+FT_Int2*(INT(MOD(AR142-FT_Y5,12)/FT_Int2)+1))),IF(AQ142="PT",IF(AR142&lt;PT_First,PT_First,PT_First+PT_Int*(INT((AR142-PT_First)/PT_Int)+1)),"")))</f>
        <v/>
      </c>
      <c r="BA142" s="12" t="str">
        <f aca="false">IF(AE142=0,"",IF(NOT(LH_Ready),0,COUNTIFS(INDEX(LH_Data,0,LH_ColFirst),$A142,INDEX(LH_Data,0,LH_ColSur),$B142,INDEX(LH_Data,0,LH_ColCat),BonusCat)))</f>
        <v/>
      </c>
      <c r="BB142" s="12" t="str">
        <f aca="false">IF(AE142=0,"",IF(OR(NOT(LH_Ready),BA142=0),0,SUMPRODUCT(MAX((INDEX(LH_Data,0,LH_ColFirst)=$A142)*(INDEX(LH_Data,0,LH_ColSur)=$B142)*(INDEX(LH_Data,0,LH_ColCat)=BonusCat)*ROW(LH_Data)))))</f>
        <v/>
      </c>
    </row>
    <row r="143" customFormat="false" ht="15" hidden="false" customHeight="false" outlineLevel="0" collapsed="false">
      <c r="A143" s="15"/>
      <c r="B143" s="15"/>
      <c r="C143" s="15"/>
      <c r="D143" s="16"/>
      <c r="E143" s="10" t="str">
        <f aca="false">IF(OR(AE143=0,$D143=""),"",DATE(YEAR(AsOfDate)+IF(DATE(YEAR(AsOfDate),MONTH($D143),DAY($D143))&lt;=AsOfDate,1,0),MONTH($D143),DAY($D143)))</f>
        <v/>
      </c>
      <c r="F143" s="16"/>
      <c r="G143" s="16"/>
      <c r="H143" s="16"/>
      <c r="I143" s="16"/>
      <c r="J143" s="16"/>
      <c r="K143" s="10" t="str">
        <f aca="false">IF(AE143=0,"",DATE(YEAR(AsOfDate)+IF(DATE(YEAR(AsOfDate),MONTH($F143),DAY($F143))&lt;=AsOfDate,1,0),MONTH($F143),DAY($F143)))</f>
        <v/>
      </c>
      <c r="L143" s="11" t="str">
        <f aca="false">IF(AE143=0,"",ROUND((AsOfDate-$F143)/365.25,1))</f>
        <v/>
      </c>
      <c r="M143" s="12" t="str">
        <f aca="false">IF(AE143=0,"",IF(AsOfDate&lt;AF143,"-",DATEDIF(AF143,AsOfDate,"y")&amp;"y "&amp;DATEDIF(AF143,AsOfDate,"ym")&amp;"m "&amp;DATEDIF(AF143,AsOfDate,"md")&amp;"d"))</f>
        <v/>
      </c>
      <c r="N143" s="13" t="str">
        <f aca="false">IF(AE143=0,"",O143*HoursPerDay)</f>
        <v/>
      </c>
      <c r="O143" s="13" t="str">
        <f aca="false">IF(AE143=0,"",AX143)</f>
        <v/>
      </c>
      <c r="P143" s="17"/>
      <c r="Q143" s="12" t="str">
        <f aca="false">IF(AE143=0,"",IF(AG143&lt;2,"",AK143&amp;" to "&amp;AL143&amp;" on "&amp;TEXT(AI143,"dd/mm/yyyy")&amp;IF(AI143&gt;AsOfDate," (future)",IF(AN143=AO143,"",IF(AO143="None"," - STOPPED accruing",IF(AN143="None"," - now qualifying"," - pathway changed"))))&amp;IF(AG143&lt;3,"","; "&amp;AL143&amp;" to "&amp;AM143&amp;" on "&amp;TEXT(AJ143,"dd/mm/yyyy")&amp;IF(AJ143&gt;AsOfDate," (future)",IF(AO143=AP143,"",IF(AP143="None"," - STOPPED accruing",IF(AO143="None"," - now qualifying"," - pathway changed")))))))</f>
        <v/>
      </c>
      <c r="R143" s="12" t="str">
        <f aca="false">IF(AE143=0,"",IF(AQ143="None",IF(O143&gt;0,"No longer accruing","Not eligible - "&amp;IF(AND(OR(ISNUMBER(SEARCH("part",$C143)),UPPER(TRIM($C143))="PT",UPPER(TRIM($C143))="PTE"),$P143&lt;&gt;"",N($P143)&lt;PT_MinHours),"under "&amp;PT_MinHours&amp;" hrs",IF(IF($C143="","",IF(OR(ISNUMBER(SEARCH("full",$C143)),UPPER(TRIM($C143))="FT",UPPER(TRIM($C143))="FTE"),"Full-Time",IF(OR(ISNUMBER(SEARCH("part",$C143)),UPPER(TRIM($C143))="PT",UPPER(TRIM($C143))="PTE"),"Part-Time",IF(OR(ISNUMBER(SEARCH("cas",$C143)),UPPER(TRIM($C143))="CAS"),"Casual","Unknown"))))="Unknown","type not recognised",$C143))),IF(O143&gt;0,"Yes - accruing","Not yet - from "&amp;TEXT(S143,"dd/mm/yyyy"))))</f>
        <v/>
      </c>
      <c r="S143" s="10" t="str">
        <f aca="false">IF(AE143=0,"",IF(AQ143="None","",EDATE(AF143,AZ143)))</f>
        <v/>
      </c>
      <c r="T143" s="13" t="str">
        <f aca="false">IF(OR(AE143=0,W143=""),"",W143-U143+V143)</f>
        <v/>
      </c>
      <c r="U143" s="13" t="str">
        <f aca="false">IF(AE143=0,"",IF(NOT(LH_Ready),"",SUMIFS(INDEX(LH_Data,0,LH_ColAcc),INDEX(LH_Data,0,LH_ColFirst),$A143,INDEX(LH_Data,0,LH_ColSur),$B143,INDEX(LH_Data,0,LH_ColCat),BonusCat)*UnitFactor))</f>
        <v/>
      </c>
      <c r="V143" s="13" t="str">
        <f aca="false">IF(AE143=0,"",IF(NOT(LH_Ready),"",SUMIFS(INDEX(LH_Data,0,LH_ColTaken),INDEX(LH_Data,0,LH_ColFirst),$A143,INDEX(LH_Data,0,LH_ColSur),$B143,INDEX(LH_Data,0,LH_ColCat),BonusCat)*UnitFactor))</f>
        <v/>
      </c>
      <c r="W143" s="13" t="str">
        <f aca="false">IF(AE143=0,"",IF(NOT(LH_Ready),"",IF(BB143=0,0,INDEX(INDEX(LH_Data,0,LH_ColClose),BB143-1)*UnitFactor)))</f>
        <v/>
      </c>
      <c r="X143" s="13" t="str">
        <f aca="false">IF(AE143=0,"",(AX143-AY143)*HoursPerDay)</f>
        <v/>
      </c>
      <c r="Y143" s="13" t="str">
        <f aca="false">IF(AE143=0,"",IF(NOT(LH_Ready),"",IF(BA143=0,N143,X143-N(U143))))</f>
        <v/>
      </c>
      <c r="Z143" s="12" t="str">
        <f aca="false">IF(OR(AE143=0,Y143=""),"",IF(Y143&gt;0,"Yes","No"))</f>
        <v/>
      </c>
      <c r="AA143" s="12" t="str">
        <f aca="false">IF(AE143=0,IF(LEN($A143&amp;$B143)=0,"","FIX INPUT - StartDate missing"),IF(AD143&lt;&gt;"","FIX INPUT - "&amp;AD143,IF(NOT(LH_Ready),"Paste Leave History export (Settings must show YES)",IF(Y143&gt;0,"ACCRUE "&amp;ROUND(Y143,2)&amp;" hrs ("&amp;ROUND(Y143/HoursPerDay,2)&amp;" days)"&amp;IF(BA143=0," - no Bonus Leave in EH yet, full catch-up since start",""),IF(Y143&lt;0,"CHECK - EH accrued "&amp;ROUND(-Y143,2)&amp;""&amp;" hrs more than policy",IF(O143&gt;0,"OK - nothing to add",IF(AQ143="None",R143,"Not yet - first day on "&amp;TEXT(S143,"dd/mm/yyyy"))))))))</f>
        <v/>
      </c>
      <c r="AB143" s="13" t="str">
        <f aca="false">IF(OR(AE143=0,T143=""),"",AY143*HoursPerDay-T143)</f>
        <v/>
      </c>
      <c r="AC143" s="12" t="str">
        <f aca="false">IF(AE143=0,"",BA143)</f>
        <v/>
      </c>
      <c r="AD143" s="12" t="str">
        <f aca="false">IF(AE143=0,"",TRIM(IF(IF($C143="","",IF(OR(ISNUMBER(SEARCH("full",$C143)),UPPER(TRIM($C143))="FT",UPPER(TRIM($C143))="FTE"),"Full-Time",IF(OR(ISNUMBER(SEARCH("part",$C143)),UPPER(TRIM($C143))="PT",UPPER(TRIM($C143))="PTE"),"Part-Time",IF(OR(ISNUMBER(SEARCH("cas",$C143)),UPPER(TRIM($C143))="CAS"),"Casual","Unknown"))))="Unknown","EmploymentType not recognised - use Full-Time, Part-Time or Casual. ","")&amp;IF(AND(AG143&gt;=1,IF(AG143&gt;=3,AM143,IF(AG143=2,AL143,AK143))&lt;&gt;IF($C143="","",IF(OR(ISNUMBER(SEARCH("full",$C143)),UPPER(TRIM($C143))="FT",UPPER(TRIM($C143))="FTE"),"Full-Time",IF(OR(ISNUMBER(SEARCH("part",$C143)),UPPER(TRIM($C143))="PT",UPPER(TRIM($C143))="PTE"),"Part-Time",IF(OR(ISNUMBER(SEARCH("cas",$C143)),UPPER(TRIM($C143))="CAS"),"Casual","Unknown"))))),"EmploymentType does not match latest start date ("&amp;IF(AG143&gt;=3,AM143,IF(AG143=2,AL143,AK143))&amp;"). ","")&amp;IF(AND(AG143&gt;=1,AH143&lt;&gt;$F143),"Earliest type date should equal StartDate. ","")&amp;IF(AND(AG143&gt;=2,AH143=AI143),"Two types start on the same date. ","")&amp;IF(AND(OR(ISNUMBER(SEARCH("part",$C143)),UPPER(TRIM($C143))="PT",UPPER(TRIM($C143))="PTE"),$P143=""),"Part-time: enter PT Hrs/Week (blank = 24+). ","")))</f>
        <v/>
      </c>
      <c r="AE143" s="12" t="n">
        <f aca="false">IF(OR(LEN($A143&amp;$B143)=0,$F143=""),0,1)</f>
        <v>0</v>
      </c>
      <c r="AF143" s="10" t="str">
        <f aca="false">IF(AE143=0,"",IF($J143&lt;&gt;"",$J143,$F143))</f>
        <v/>
      </c>
      <c r="AG143" s="12" t="str">
        <f aca="false">IF(AE143=0,"",COUNT($G143:$I143))</f>
        <v/>
      </c>
      <c r="AH143" s="10" t="str">
        <f aca="false">IF(AE143=0,"",IFERROR(SMALL($G143:$I143,1),""))</f>
        <v/>
      </c>
      <c r="AI143" s="10" t="str">
        <f aca="false">IF(AE143=0,"",IFERROR(SMALL($G143:$I143,2),""))</f>
        <v/>
      </c>
      <c r="AJ143" s="10" t="str">
        <f aca="false">IF(AE143=0,"",IFERROR(SMALL($G143:$I143,3),""))</f>
        <v/>
      </c>
      <c r="AK143" s="12" t="str">
        <f aca="false">IF(AE143=0,"",IF(AH143="","",IF(AH143=$G143,"Part-Time",IF(AH143=$H143,"Full-Time","Casual"))))</f>
        <v/>
      </c>
      <c r="AL143" s="12" t="str">
        <f aca="false">IF(AE143=0,"",IF(AI143="","",IF(AI143=$G143,"Part-Time",IF(AI143=$H143,"Full-Time","Casual"))))</f>
        <v/>
      </c>
      <c r="AM143" s="12" t="str">
        <f aca="false">IF(AE143=0,"",IF(AJ143="","",IF(AJ143=$G143,"Part-Time",IF(AJ143=$H143,"Full-Time","Casual"))))</f>
        <v/>
      </c>
      <c r="AN143" s="12" t="str">
        <f aca="false">IF(AE143=0,"",IF(AG143=0,IF(OR(ISNUMBER(SEARCH("full",$C143)),UPPER(TRIM($C143))="FT",UPPER(TRIM($C143))="FTE"),"FT",IF(AND(OR(ISNUMBER(SEARCH("part",$C143)),UPPER(TRIM($C143))="PT",UPPER(TRIM($C143))="PTE"),OR($P143="",N($P143)&gt;=PT_MinHours)),"PT","None")),IF(OR(ISNUMBER(SEARCH("full",AK143)),UPPER(TRIM(AK143))="FT",UPPER(TRIM(AK143))="FTE"),"FT",IF(AND(OR(ISNUMBER(SEARCH("part",AK143)),UPPER(TRIM(AK143))="PT",UPPER(TRIM(AK143))="PTE"),OR($P143="",N($P143)&gt;=PT_MinHours)),"PT","None"))))</f>
        <v/>
      </c>
      <c r="AO143" s="12" t="str">
        <f aca="false">IF(AE143=0,"",IF(AG143&lt;2,"",IF(OR(ISNUMBER(SEARCH("full",AL143)),UPPER(TRIM(AL143))="FT",UPPER(TRIM(AL143))="FTE"),"FT",IF(AND(OR(ISNUMBER(SEARCH("part",AL143)),UPPER(TRIM(AL143))="PT",UPPER(TRIM(AL143))="PTE"),OR($P143="",N($P143)&gt;=PT_MinHours)),"PT","None"))))</f>
        <v/>
      </c>
      <c r="AP143" s="12" t="str">
        <f aca="false">IF(AE143=0,"",IF(AG143&lt;3,"",IF(OR(ISNUMBER(SEARCH("full",AM143)),UPPER(TRIM(AM143))="FT",UPPER(TRIM(AM143))="FTE"),"FT",IF(AND(OR(ISNUMBER(SEARCH("part",AM143)),UPPER(TRIM(AM143))="PT",UPPER(TRIM(AM143))="PTE"),OR($P143="",N($P143)&gt;=PT_MinHours)),"PT","None"))))</f>
        <v/>
      </c>
      <c r="AQ143" s="12" t="str">
        <f aca="false">IF(AE143=0,"",IF(AND(AG143&gt;=3,AJ143&lt;=AsOfDate),AP143,IF(AND(AG143&gt;=2,AI143&lt;=AsOfDate),AO143,AN143)))</f>
        <v/>
      </c>
      <c r="AR143" s="12" t="str">
        <f aca="false">IF(AE143=0,"",IF(AsOfDate&lt;AF143,-1,12*(YEAR(AsOfDate)-YEAR(AF143))+MONTH(AsOfDate)-MONTH(AF143)-IF(DAY(AsOfDate)&lt;MIN(DAY(AF143),DAY(EOMONTH(AsOfDate,0))),1,0)))</f>
        <v/>
      </c>
      <c r="AS143" s="12" t="str">
        <f aca="false">IF(AE143=0,"",IF(OR(AG143&lt;2,AI143&gt;AsOfDate),AR143,IF((AI143-1)&lt;AF143,-1,12*(YEAR((AI143-1))-YEAR(AF143))+MONTH((AI143-1))-MONTH(AF143)-IF(DAY((AI143-1))&lt;MIN(DAY(AF143),DAY(EOMONTH((AI143-1),0))),1,0))))</f>
        <v/>
      </c>
      <c r="AT143" s="12" t="str">
        <f aca="false">IF(AE143=0,"",IF(OR(AG143&lt;3,AJ143&gt;AsOfDate),AR143,IF((AJ143-1)&lt;AF143,-1,12*(YEAR((AJ143-1))-YEAR(AF143))+MONTH((AJ143-1))-MONTH(AF143)-IF(DAY((AJ143-1))&lt;MIN(DAY(AF143),DAY(EOMONTH((AJ143-1),0))),1,0))))</f>
        <v/>
      </c>
      <c r="AU143" s="12" t="str">
        <f aca="false">IF(AE143=0,"",IF(PFYDate&lt;AF143,-1,12*(YEAR(PFYDate)-YEAR(AF143))+MONTH(PFYDate)-MONTH(AF143)-IF(DAY(PFYDate)&lt;MIN(DAY(AF143),DAY(EOMONTH(PFYDate,0))),1,0)))</f>
        <v/>
      </c>
      <c r="AV143" s="12" t="str">
        <f aca="false">IF(AE143=0,"",IF(OR(AG143&lt;2,AI143&gt;PFYDate),AU143,IF((AI143-1)&lt;AF143,-1,12*(YEAR((AI143-1))-YEAR(AF143))+MONTH((AI143-1))-MONTH(AF143)-IF(DAY((AI143-1))&lt;MIN(DAY(AF143),DAY(EOMONTH((AI143-1),0))),1,0))))</f>
        <v/>
      </c>
      <c r="AW143" s="12" t="str">
        <f aca="false">IF(AE143=0,"",IF(OR(AG143&lt;3,AJ143&gt;PFYDate),AU143,IF((AJ143-1)&lt;AF143,-1,12*(YEAR((AJ143-1))-YEAR(AF143))+MONTH((AJ143-1))-MONTH(AF143)-IF(DAY((AJ143-1))&lt;MIN(DAY(AF143),DAY(EOMONTH((AJ143-1),0))),1,0))))</f>
        <v/>
      </c>
      <c r="AX143" s="12" t="str">
        <f aca="false">IF(AE143=0,"",IF(AN143="FT",IF(AS143&lt;FT_First,0,IF(AS143&lt;FT_Y5,1+INT((AS143-FT_First)/FT_Int1),FT_PreY5+FT_PerYear*INT((AS143-FT_Y5)/12)+FT_AnnivDays+INT(MOD(AS143-FT_Y5,12)/FT_Int2))),IF(AN143="PT",IF(AS143&lt;PT_First,0,1+INT((AS143-PT_First)/PT_Int)),0))+IF(AND(AG143&gt;=2,AI143&lt;=AsOfDate),IF(AO143="FT",IF(AT143&lt;FT_First,0,IF(AT143&lt;FT_Y5,1+INT((AT143-FT_First)/FT_Int1),FT_PreY5+FT_PerYear*INT((AT143-FT_Y5)/12)+FT_AnnivDays+INT(MOD(AT143-FT_Y5,12)/FT_Int2))),IF(AO143="PT",IF(AT143&lt;PT_First,0,1+INT((AT143-PT_First)/PT_Int)),0))-IF(AO143="FT",IF(AS143&lt;FT_First,0,IF(AS143&lt;FT_Y5,1+INT((AS143-FT_First)/FT_Int1),FT_PreY5+FT_PerYear*INT((AS143-FT_Y5)/12)+FT_AnnivDays+INT(MOD(AS143-FT_Y5,12)/FT_Int2))),IF(AO143="PT",IF(AS143&lt;PT_First,0,1+INT((AS143-PT_First)/PT_Int)),0)),0)+IF(AND(AG143&gt;=3,AJ143&lt;=AsOfDate),IF(AP143="FT",IF(AR143&lt;FT_First,0,IF(AR143&lt;FT_Y5,1+INT((AR143-FT_First)/FT_Int1),FT_PreY5+FT_PerYear*INT((AR143-FT_Y5)/12)+FT_AnnivDays+INT(MOD(AR143-FT_Y5,12)/FT_Int2))),IF(AP143="PT",IF(AR143&lt;PT_First,0,1+INT((AR143-PT_First)/PT_Int)),0))-IF(AP143="FT",IF(AT143&lt;FT_First,0,IF(AT143&lt;FT_Y5,1+INT((AT143-FT_First)/FT_Int1),FT_PreY5+FT_PerYear*INT((AT143-FT_Y5)/12)+FT_AnnivDays+INT(MOD(AT143-FT_Y5,12)/FT_Int2))),IF(AP143="PT",IF(AT143&lt;PT_First,0,1+INT((AT143-PT_First)/PT_Int)),0)),0))</f>
        <v/>
      </c>
      <c r="AY143" s="12" t="str">
        <f aca="false">IF(AE143=0,"",IF(AN143="FT",IF(AV143&lt;FT_First,0,IF(AV143&lt;FT_Y5,1+INT((AV143-FT_First)/FT_Int1),FT_PreY5+FT_PerYear*INT((AV143-FT_Y5)/12)+FT_AnnivDays+INT(MOD(AV143-FT_Y5,12)/FT_Int2))),IF(AN143="PT",IF(AV143&lt;PT_First,0,1+INT((AV143-PT_First)/PT_Int)),0))+IF(AND(AG143&gt;=2,AI143&lt;=PFYDate),IF(AO143="FT",IF(AW143&lt;FT_First,0,IF(AW143&lt;FT_Y5,1+INT((AW143-FT_First)/FT_Int1),FT_PreY5+FT_PerYear*INT((AW143-FT_Y5)/12)+FT_AnnivDays+INT(MOD(AW143-FT_Y5,12)/FT_Int2))),IF(AO143="PT",IF(AW143&lt;PT_First,0,1+INT((AW143-PT_First)/PT_Int)),0))-IF(AO143="FT",IF(AV143&lt;FT_First,0,IF(AV143&lt;FT_Y5,1+INT((AV143-FT_First)/FT_Int1),FT_PreY5+FT_PerYear*INT((AV143-FT_Y5)/12)+FT_AnnivDays+INT(MOD(AV143-FT_Y5,12)/FT_Int2))),IF(AO143="PT",IF(AV143&lt;PT_First,0,1+INT((AV143-PT_First)/PT_Int)),0)),0)+IF(AND(AG143&gt;=3,AJ143&lt;=PFYDate),IF(AP143="FT",IF(AU143&lt;FT_First,0,IF(AU143&lt;FT_Y5,1+INT((AU143-FT_First)/FT_Int1),FT_PreY5+FT_PerYear*INT((AU143-FT_Y5)/12)+FT_AnnivDays+INT(MOD(AU143-FT_Y5,12)/FT_Int2))),IF(AP143="PT",IF(AU143&lt;PT_First,0,1+INT((AU143-PT_First)/PT_Int)),0))-IF(AP143="FT",IF(AW143&lt;FT_First,0,IF(AW143&lt;FT_Y5,1+INT((AW143-FT_First)/FT_Int1),FT_PreY5+FT_PerYear*INT((AW143-FT_Y5)/12)+FT_AnnivDays+INT(MOD(AW143-FT_Y5,12)/FT_Int2))),IF(AP143="PT",IF(AW143&lt;PT_First,0,1+INT((AW143-PT_First)/PT_Int)),0)),0))</f>
        <v/>
      </c>
      <c r="AZ143" s="12" t="str">
        <f aca="false">IF(AE143=0,"",IF(AQ143="FT",IF(AR143&lt;FT_First,FT_First,IF(AR143&lt;FT_Y5,MIN(FT_Y5,FT_First+FT_Int1*(INT((AR143-FT_First)/FT_Int1)+1)),FT_Y5+12*INT((AR143-FT_Y5)/12)+FT_Int2*(INT(MOD(AR143-FT_Y5,12)/FT_Int2)+1))),IF(AQ143="PT",IF(AR143&lt;PT_First,PT_First,PT_First+PT_Int*(INT((AR143-PT_First)/PT_Int)+1)),"")))</f>
        <v/>
      </c>
      <c r="BA143" s="12" t="str">
        <f aca="false">IF(AE143=0,"",IF(NOT(LH_Ready),0,COUNTIFS(INDEX(LH_Data,0,LH_ColFirst),$A143,INDEX(LH_Data,0,LH_ColSur),$B143,INDEX(LH_Data,0,LH_ColCat),BonusCat)))</f>
        <v/>
      </c>
      <c r="BB143" s="12" t="str">
        <f aca="false">IF(AE143=0,"",IF(OR(NOT(LH_Ready),BA143=0),0,SUMPRODUCT(MAX((INDEX(LH_Data,0,LH_ColFirst)=$A143)*(INDEX(LH_Data,0,LH_ColSur)=$B143)*(INDEX(LH_Data,0,LH_ColCat)=BonusCat)*ROW(LH_Data)))))</f>
        <v/>
      </c>
    </row>
    <row r="144" customFormat="false" ht="15" hidden="false" customHeight="false" outlineLevel="0" collapsed="false">
      <c r="A144" s="15"/>
      <c r="B144" s="15"/>
      <c r="C144" s="15"/>
      <c r="D144" s="16"/>
      <c r="E144" s="10" t="str">
        <f aca="false">IF(OR(AE144=0,$D144=""),"",DATE(YEAR(AsOfDate)+IF(DATE(YEAR(AsOfDate),MONTH($D144),DAY($D144))&lt;=AsOfDate,1,0),MONTH($D144),DAY($D144)))</f>
        <v/>
      </c>
      <c r="F144" s="16"/>
      <c r="G144" s="16"/>
      <c r="H144" s="16"/>
      <c r="I144" s="16"/>
      <c r="J144" s="16"/>
      <c r="K144" s="10" t="str">
        <f aca="false">IF(AE144=0,"",DATE(YEAR(AsOfDate)+IF(DATE(YEAR(AsOfDate),MONTH($F144),DAY($F144))&lt;=AsOfDate,1,0),MONTH($F144),DAY($F144)))</f>
        <v/>
      </c>
      <c r="L144" s="11" t="str">
        <f aca="false">IF(AE144=0,"",ROUND((AsOfDate-$F144)/365.25,1))</f>
        <v/>
      </c>
      <c r="M144" s="12" t="str">
        <f aca="false">IF(AE144=0,"",IF(AsOfDate&lt;AF144,"-",DATEDIF(AF144,AsOfDate,"y")&amp;"y "&amp;DATEDIF(AF144,AsOfDate,"ym")&amp;"m "&amp;DATEDIF(AF144,AsOfDate,"md")&amp;"d"))</f>
        <v/>
      </c>
      <c r="N144" s="13" t="str">
        <f aca="false">IF(AE144=0,"",O144*HoursPerDay)</f>
        <v/>
      </c>
      <c r="O144" s="13" t="str">
        <f aca="false">IF(AE144=0,"",AX144)</f>
        <v/>
      </c>
      <c r="P144" s="17"/>
      <c r="Q144" s="12" t="str">
        <f aca="false">IF(AE144=0,"",IF(AG144&lt;2,"",AK144&amp;" to "&amp;AL144&amp;" on "&amp;TEXT(AI144,"dd/mm/yyyy")&amp;IF(AI144&gt;AsOfDate," (future)",IF(AN144=AO144,"",IF(AO144="None"," - STOPPED accruing",IF(AN144="None"," - now qualifying"," - pathway changed"))))&amp;IF(AG144&lt;3,"","; "&amp;AL144&amp;" to "&amp;AM144&amp;" on "&amp;TEXT(AJ144,"dd/mm/yyyy")&amp;IF(AJ144&gt;AsOfDate," (future)",IF(AO144=AP144,"",IF(AP144="None"," - STOPPED accruing",IF(AO144="None"," - now qualifying"," - pathway changed")))))))</f>
        <v/>
      </c>
      <c r="R144" s="12" t="str">
        <f aca="false">IF(AE144=0,"",IF(AQ144="None",IF(O144&gt;0,"No longer accruing","Not eligible - "&amp;IF(AND(OR(ISNUMBER(SEARCH("part",$C144)),UPPER(TRIM($C144))="PT",UPPER(TRIM($C144))="PTE"),$P144&lt;&gt;"",N($P144)&lt;PT_MinHours),"under "&amp;PT_MinHours&amp;" hrs",IF(IF($C144="","",IF(OR(ISNUMBER(SEARCH("full",$C144)),UPPER(TRIM($C144))="FT",UPPER(TRIM($C144))="FTE"),"Full-Time",IF(OR(ISNUMBER(SEARCH("part",$C144)),UPPER(TRIM($C144))="PT",UPPER(TRIM($C144))="PTE"),"Part-Time",IF(OR(ISNUMBER(SEARCH("cas",$C144)),UPPER(TRIM($C144))="CAS"),"Casual","Unknown"))))="Unknown","type not recognised",$C144))),IF(O144&gt;0,"Yes - accruing","Not yet - from "&amp;TEXT(S144,"dd/mm/yyyy"))))</f>
        <v/>
      </c>
      <c r="S144" s="10" t="str">
        <f aca="false">IF(AE144=0,"",IF(AQ144="None","",EDATE(AF144,AZ144)))</f>
        <v/>
      </c>
      <c r="T144" s="13" t="str">
        <f aca="false">IF(OR(AE144=0,W144=""),"",W144-U144+V144)</f>
        <v/>
      </c>
      <c r="U144" s="13" t="str">
        <f aca="false">IF(AE144=0,"",IF(NOT(LH_Ready),"",SUMIFS(INDEX(LH_Data,0,LH_ColAcc),INDEX(LH_Data,0,LH_ColFirst),$A144,INDEX(LH_Data,0,LH_ColSur),$B144,INDEX(LH_Data,0,LH_ColCat),BonusCat)*UnitFactor))</f>
        <v/>
      </c>
      <c r="V144" s="13" t="str">
        <f aca="false">IF(AE144=0,"",IF(NOT(LH_Ready),"",SUMIFS(INDEX(LH_Data,0,LH_ColTaken),INDEX(LH_Data,0,LH_ColFirst),$A144,INDEX(LH_Data,0,LH_ColSur),$B144,INDEX(LH_Data,0,LH_ColCat),BonusCat)*UnitFactor))</f>
        <v/>
      </c>
      <c r="W144" s="13" t="str">
        <f aca="false">IF(AE144=0,"",IF(NOT(LH_Ready),"",IF(BB144=0,0,INDEX(INDEX(LH_Data,0,LH_ColClose),BB144-1)*UnitFactor)))</f>
        <v/>
      </c>
      <c r="X144" s="13" t="str">
        <f aca="false">IF(AE144=0,"",(AX144-AY144)*HoursPerDay)</f>
        <v/>
      </c>
      <c r="Y144" s="13" t="str">
        <f aca="false">IF(AE144=0,"",IF(NOT(LH_Ready),"",IF(BA144=0,N144,X144-N(U144))))</f>
        <v/>
      </c>
      <c r="Z144" s="12" t="str">
        <f aca="false">IF(OR(AE144=0,Y144=""),"",IF(Y144&gt;0,"Yes","No"))</f>
        <v/>
      </c>
      <c r="AA144" s="12" t="str">
        <f aca="false">IF(AE144=0,IF(LEN($A144&amp;$B144)=0,"","FIX INPUT - StartDate missing"),IF(AD144&lt;&gt;"","FIX INPUT - "&amp;AD144,IF(NOT(LH_Ready),"Paste Leave History export (Settings must show YES)",IF(Y144&gt;0,"ACCRUE "&amp;ROUND(Y144,2)&amp;" hrs ("&amp;ROUND(Y144/HoursPerDay,2)&amp;" days)"&amp;IF(BA144=0," - no Bonus Leave in EH yet, full catch-up since start",""),IF(Y144&lt;0,"CHECK - EH accrued "&amp;ROUND(-Y144,2)&amp;""&amp;" hrs more than policy",IF(O144&gt;0,"OK - nothing to add",IF(AQ144="None",R144,"Not yet - first day on "&amp;TEXT(S144,"dd/mm/yyyy"))))))))</f>
        <v/>
      </c>
      <c r="AB144" s="13" t="str">
        <f aca="false">IF(OR(AE144=0,T144=""),"",AY144*HoursPerDay-T144)</f>
        <v/>
      </c>
      <c r="AC144" s="12" t="str">
        <f aca="false">IF(AE144=0,"",BA144)</f>
        <v/>
      </c>
      <c r="AD144" s="12" t="str">
        <f aca="false">IF(AE144=0,"",TRIM(IF(IF($C144="","",IF(OR(ISNUMBER(SEARCH("full",$C144)),UPPER(TRIM($C144))="FT",UPPER(TRIM($C144))="FTE"),"Full-Time",IF(OR(ISNUMBER(SEARCH("part",$C144)),UPPER(TRIM($C144))="PT",UPPER(TRIM($C144))="PTE"),"Part-Time",IF(OR(ISNUMBER(SEARCH("cas",$C144)),UPPER(TRIM($C144))="CAS"),"Casual","Unknown"))))="Unknown","EmploymentType not recognised - use Full-Time, Part-Time or Casual. ","")&amp;IF(AND(AG144&gt;=1,IF(AG144&gt;=3,AM144,IF(AG144=2,AL144,AK144))&lt;&gt;IF($C144="","",IF(OR(ISNUMBER(SEARCH("full",$C144)),UPPER(TRIM($C144))="FT",UPPER(TRIM($C144))="FTE"),"Full-Time",IF(OR(ISNUMBER(SEARCH("part",$C144)),UPPER(TRIM($C144))="PT",UPPER(TRIM($C144))="PTE"),"Part-Time",IF(OR(ISNUMBER(SEARCH("cas",$C144)),UPPER(TRIM($C144))="CAS"),"Casual","Unknown"))))),"EmploymentType does not match latest start date ("&amp;IF(AG144&gt;=3,AM144,IF(AG144=2,AL144,AK144))&amp;"). ","")&amp;IF(AND(AG144&gt;=1,AH144&lt;&gt;$F144),"Earliest type date should equal StartDate. ","")&amp;IF(AND(AG144&gt;=2,AH144=AI144),"Two types start on the same date. ","")&amp;IF(AND(OR(ISNUMBER(SEARCH("part",$C144)),UPPER(TRIM($C144))="PT",UPPER(TRIM($C144))="PTE"),$P144=""),"Part-time: enter PT Hrs/Week (blank = 24+). ","")))</f>
        <v/>
      </c>
      <c r="AE144" s="12" t="n">
        <f aca="false">IF(OR(LEN($A144&amp;$B144)=0,$F144=""),0,1)</f>
        <v>0</v>
      </c>
      <c r="AF144" s="10" t="str">
        <f aca="false">IF(AE144=0,"",IF($J144&lt;&gt;"",$J144,$F144))</f>
        <v/>
      </c>
      <c r="AG144" s="12" t="str">
        <f aca="false">IF(AE144=0,"",COUNT($G144:$I144))</f>
        <v/>
      </c>
      <c r="AH144" s="10" t="str">
        <f aca="false">IF(AE144=0,"",IFERROR(SMALL($G144:$I144,1),""))</f>
        <v/>
      </c>
      <c r="AI144" s="10" t="str">
        <f aca="false">IF(AE144=0,"",IFERROR(SMALL($G144:$I144,2),""))</f>
        <v/>
      </c>
      <c r="AJ144" s="10" t="str">
        <f aca="false">IF(AE144=0,"",IFERROR(SMALL($G144:$I144,3),""))</f>
        <v/>
      </c>
      <c r="AK144" s="12" t="str">
        <f aca="false">IF(AE144=0,"",IF(AH144="","",IF(AH144=$G144,"Part-Time",IF(AH144=$H144,"Full-Time","Casual"))))</f>
        <v/>
      </c>
      <c r="AL144" s="12" t="str">
        <f aca="false">IF(AE144=0,"",IF(AI144="","",IF(AI144=$G144,"Part-Time",IF(AI144=$H144,"Full-Time","Casual"))))</f>
        <v/>
      </c>
      <c r="AM144" s="12" t="str">
        <f aca="false">IF(AE144=0,"",IF(AJ144="","",IF(AJ144=$G144,"Part-Time",IF(AJ144=$H144,"Full-Time","Casual"))))</f>
        <v/>
      </c>
      <c r="AN144" s="12" t="str">
        <f aca="false">IF(AE144=0,"",IF(AG144=0,IF(OR(ISNUMBER(SEARCH("full",$C144)),UPPER(TRIM($C144))="FT",UPPER(TRIM($C144))="FTE"),"FT",IF(AND(OR(ISNUMBER(SEARCH("part",$C144)),UPPER(TRIM($C144))="PT",UPPER(TRIM($C144))="PTE"),OR($P144="",N($P144)&gt;=PT_MinHours)),"PT","None")),IF(OR(ISNUMBER(SEARCH("full",AK144)),UPPER(TRIM(AK144))="FT",UPPER(TRIM(AK144))="FTE"),"FT",IF(AND(OR(ISNUMBER(SEARCH("part",AK144)),UPPER(TRIM(AK144))="PT",UPPER(TRIM(AK144))="PTE"),OR($P144="",N($P144)&gt;=PT_MinHours)),"PT","None"))))</f>
        <v/>
      </c>
      <c r="AO144" s="12" t="str">
        <f aca="false">IF(AE144=0,"",IF(AG144&lt;2,"",IF(OR(ISNUMBER(SEARCH("full",AL144)),UPPER(TRIM(AL144))="FT",UPPER(TRIM(AL144))="FTE"),"FT",IF(AND(OR(ISNUMBER(SEARCH("part",AL144)),UPPER(TRIM(AL144))="PT",UPPER(TRIM(AL144))="PTE"),OR($P144="",N($P144)&gt;=PT_MinHours)),"PT","None"))))</f>
        <v/>
      </c>
      <c r="AP144" s="12" t="str">
        <f aca="false">IF(AE144=0,"",IF(AG144&lt;3,"",IF(OR(ISNUMBER(SEARCH("full",AM144)),UPPER(TRIM(AM144))="FT",UPPER(TRIM(AM144))="FTE"),"FT",IF(AND(OR(ISNUMBER(SEARCH("part",AM144)),UPPER(TRIM(AM144))="PT",UPPER(TRIM(AM144))="PTE"),OR($P144="",N($P144)&gt;=PT_MinHours)),"PT","None"))))</f>
        <v/>
      </c>
      <c r="AQ144" s="12" t="str">
        <f aca="false">IF(AE144=0,"",IF(AND(AG144&gt;=3,AJ144&lt;=AsOfDate),AP144,IF(AND(AG144&gt;=2,AI144&lt;=AsOfDate),AO144,AN144)))</f>
        <v/>
      </c>
      <c r="AR144" s="12" t="str">
        <f aca="false">IF(AE144=0,"",IF(AsOfDate&lt;AF144,-1,12*(YEAR(AsOfDate)-YEAR(AF144))+MONTH(AsOfDate)-MONTH(AF144)-IF(DAY(AsOfDate)&lt;MIN(DAY(AF144),DAY(EOMONTH(AsOfDate,0))),1,0)))</f>
        <v/>
      </c>
      <c r="AS144" s="12" t="str">
        <f aca="false">IF(AE144=0,"",IF(OR(AG144&lt;2,AI144&gt;AsOfDate),AR144,IF((AI144-1)&lt;AF144,-1,12*(YEAR((AI144-1))-YEAR(AF144))+MONTH((AI144-1))-MONTH(AF144)-IF(DAY((AI144-1))&lt;MIN(DAY(AF144),DAY(EOMONTH((AI144-1),0))),1,0))))</f>
        <v/>
      </c>
      <c r="AT144" s="12" t="str">
        <f aca="false">IF(AE144=0,"",IF(OR(AG144&lt;3,AJ144&gt;AsOfDate),AR144,IF((AJ144-1)&lt;AF144,-1,12*(YEAR((AJ144-1))-YEAR(AF144))+MONTH((AJ144-1))-MONTH(AF144)-IF(DAY((AJ144-1))&lt;MIN(DAY(AF144),DAY(EOMONTH((AJ144-1),0))),1,0))))</f>
        <v/>
      </c>
      <c r="AU144" s="12" t="str">
        <f aca="false">IF(AE144=0,"",IF(PFYDate&lt;AF144,-1,12*(YEAR(PFYDate)-YEAR(AF144))+MONTH(PFYDate)-MONTH(AF144)-IF(DAY(PFYDate)&lt;MIN(DAY(AF144),DAY(EOMONTH(PFYDate,0))),1,0)))</f>
        <v/>
      </c>
      <c r="AV144" s="12" t="str">
        <f aca="false">IF(AE144=0,"",IF(OR(AG144&lt;2,AI144&gt;PFYDate),AU144,IF((AI144-1)&lt;AF144,-1,12*(YEAR((AI144-1))-YEAR(AF144))+MONTH((AI144-1))-MONTH(AF144)-IF(DAY((AI144-1))&lt;MIN(DAY(AF144),DAY(EOMONTH((AI144-1),0))),1,0))))</f>
        <v/>
      </c>
      <c r="AW144" s="12" t="str">
        <f aca="false">IF(AE144=0,"",IF(OR(AG144&lt;3,AJ144&gt;PFYDate),AU144,IF((AJ144-1)&lt;AF144,-1,12*(YEAR((AJ144-1))-YEAR(AF144))+MONTH((AJ144-1))-MONTH(AF144)-IF(DAY((AJ144-1))&lt;MIN(DAY(AF144),DAY(EOMONTH((AJ144-1),0))),1,0))))</f>
        <v/>
      </c>
      <c r="AX144" s="12" t="str">
        <f aca="false">IF(AE144=0,"",IF(AN144="FT",IF(AS144&lt;FT_First,0,IF(AS144&lt;FT_Y5,1+INT((AS144-FT_First)/FT_Int1),FT_PreY5+FT_PerYear*INT((AS144-FT_Y5)/12)+FT_AnnivDays+INT(MOD(AS144-FT_Y5,12)/FT_Int2))),IF(AN144="PT",IF(AS144&lt;PT_First,0,1+INT((AS144-PT_First)/PT_Int)),0))+IF(AND(AG144&gt;=2,AI144&lt;=AsOfDate),IF(AO144="FT",IF(AT144&lt;FT_First,0,IF(AT144&lt;FT_Y5,1+INT((AT144-FT_First)/FT_Int1),FT_PreY5+FT_PerYear*INT((AT144-FT_Y5)/12)+FT_AnnivDays+INT(MOD(AT144-FT_Y5,12)/FT_Int2))),IF(AO144="PT",IF(AT144&lt;PT_First,0,1+INT((AT144-PT_First)/PT_Int)),0))-IF(AO144="FT",IF(AS144&lt;FT_First,0,IF(AS144&lt;FT_Y5,1+INT((AS144-FT_First)/FT_Int1),FT_PreY5+FT_PerYear*INT((AS144-FT_Y5)/12)+FT_AnnivDays+INT(MOD(AS144-FT_Y5,12)/FT_Int2))),IF(AO144="PT",IF(AS144&lt;PT_First,0,1+INT((AS144-PT_First)/PT_Int)),0)),0)+IF(AND(AG144&gt;=3,AJ144&lt;=AsOfDate),IF(AP144="FT",IF(AR144&lt;FT_First,0,IF(AR144&lt;FT_Y5,1+INT((AR144-FT_First)/FT_Int1),FT_PreY5+FT_PerYear*INT((AR144-FT_Y5)/12)+FT_AnnivDays+INT(MOD(AR144-FT_Y5,12)/FT_Int2))),IF(AP144="PT",IF(AR144&lt;PT_First,0,1+INT((AR144-PT_First)/PT_Int)),0))-IF(AP144="FT",IF(AT144&lt;FT_First,0,IF(AT144&lt;FT_Y5,1+INT((AT144-FT_First)/FT_Int1),FT_PreY5+FT_PerYear*INT((AT144-FT_Y5)/12)+FT_AnnivDays+INT(MOD(AT144-FT_Y5,12)/FT_Int2))),IF(AP144="PT",IF(AT144&lt;PT_First,0,1+INT((AT144-PT_First)/PT_Int)),0)),0))</f>
        <v/>
      </c>
      <c r="AY144" s="12" t="str">
        <f aca="false">IF(AE144=0,"",IF(AN144="FT",IF(AV144&lt;FT_First,0,IF(AV144&lt;FT_Y5,1+INT((AV144-FT_First)/FT_Int1),FT_PreY5+FT_PerYear*INT((AV144-FT_Y5)/12)+FT_AnnivDays+INT(MOD(AV144-FT_Y5,12)/FT_Int2))),IF(AN144="PT",IF(AV144&lt;PT_First,0,1+INT((AV144-PT_First)/PT_Int)),0))+IF(AND(AG144&gt;=2,AI144&lt;=PFYDate),IF(AO144="FT",IF(AW144&lt;FT_First,0,IF(AW144&lt;FT_Y5,1+INT((AW144-FT_First)/FT_Int1),FT_PreY5+FT_PerYear*INT((AW144-FT_Y5)/12)+FT_AnnivDays+INT(MOD(AW144-FT_Y5,12)/FT_Int2))),IF(AO144="PT",IF(AW144&lt;PT_First,0,1+INT((AW144-PT_First)/PT_Int)),0))-IF(AO144="FT",IF(AV144&lt;FT_First,0,IF(AV144&lt;FT_Y5,1+INT((AV144-FT_First)/FT_Int1),FT_PreY5+FT_PerYear*INT((AV144-FT_Y5)/12)+FT_AnnivDays+INT(MOD(AV144-FT_Y5,12)/FT_Int2))),IF(AO144="PT",IF(AV144&lt;PT_First,0,1+INT((AV144-PT_First)/PT_Int)),0)),0)+IF(AND(AG144&gt;=3,AJ144&lt;=PFYDate),IF(AP144="FT",IF(AU144&lt;FT_First,0,IF(AU144&lt;FT_Y5,1+INT((AU144-FT_First)/FT_Int1),FT_PreY5+FT_PerYear*INT((AU144-FT_Y5)/12)+FT_AnnivDays+INT(MOD(AU144-FT_Y5,12)/FT_Int2))),IF(AP144="PT",IF(AU144&lt;PT_First,0,1+INT((AU144-PT_First)/PT_Int)),0))-IF(AP144="FT",IF(AW144&lt;FT_First,0,IF(AW144&lt;FT_Y5,1+INT((AW144-FT_First)/FT_Int1),FT_PreY5+FT_PerYear*INT((AW144-FT_Y5)/12)+FT_AnnivDays+INT(MOD(AW144-FT_Y5,12)/FT_Int2))),IF(AP144="PT",IF(AW144&lt;PT_First,0,1+INT((AW144-PT_First)/PT_Int)),0)),0))</f>
        <v/>
      </c>
      <c r="AZ144" s="12" t="str">
        <f aca="false">IF(AE144=0,"",IF(AQ144="FT",IF(AR144&lt;FT_First,FT_First,IF(AR144&lt;FT_Y5,MIN(FT_Y5,FT_First+FT_Int1*(INT((AR144-FT_First)/FT_Int1)+1)),FT_Y5+12*INT((AR144-FT_Y5)/12)+FT_Int2*(INT(MOD(AR144-FT_Y5,12)/FT_Int2)+1))),IF(AQ144="PT",IF(AR144&lt;PT_First,PT_First,PT_First+PT_Int*(INT((AR144-PT_First)/PT_Int)+1)),"")))</f>
        <v/>
      </c>
      <c r="BA144" s="12" t="str">
        <f aca="false">IF(AE144=0,"",IF(NOT(LH_Ready),0,COUNTIFS(INDEX(LH_Data,0,LH_ColFirst),$A144,INDEX(LH_Data,0,LH_ColSur),$B144,INDEX(LH_Data,0,LH_ColCat),BonusCat)))</f>
        <v/>
      </c>
      <c r="BB144" s="12" t="str">
        <f aca="false">IF(AE144=0,"",IF(OR(NOT(LH_Ready),BA144=0),0,SUMPRODUCT(MAX((INDEX(LH_Data,0,LH_ColFirst)=$A144)*(INDEX(LH_Data,0,LH_ColSur)=$B144)*(INDEX(LH_Data,0,LH_ColCat)=BonusCat)*ROW(LH_Data)))))</f>
        <v/>
      </c>
    </row>
    <row r="145" customFormat="false" ht="15" hidden="false" customHeight="false" outlineLevel="0" collapsed="false">
      <c r="A145" s="15"/>
      <c r="B145" s="15"/>
      <c r="C145" s="15"/>
      <c r="D145" s="16"/>
      <c r="E145" s="10" t="str">
        <f aca="false">IF(OR(AE145=0,$D145=""),"",DATE(YEAR(AsOfDate)+IF(DATE(YEAR(AsOfDate),MONTH($D145),DAY($D145))&lt;=AsOfDate,1,0),MONTH($D145),DAY($D145)))</f>
        <v/>
      </c>
      <c r="F145" s="16"/>
      <c r="G145" s="16"/>
      <c r="H145" s="16"/>
      <c r="I145" s="16"/>
      <c r="J145" s="16"/>
      <c r="K145" s="10" t="str">
        <f aca="false">IF(AE145=0,"",DATE(YEAR(AsOfDate)+IF(DATE(YEAR(AsOfDate),MONTH($F145),DAY($F145))&lt;=AsOfDate,1,0),MONTH($F145),DAY($F145)))</f>
        <v/>
      </c>
      <c r="L145" s="11" t="str">
        <f aca="false">IF(AE145=0,"",ROUND((AsOfDate-$F145)/365.25,1))</f>
        <v/>
      </c>
      <c r="M145" s="12" t="str">
        <f aca="false">IF(AE145=0,"",IF(AsOfDate&lt;AF145,"-",DATEDIF(AF145,AsOfDate,"y")&amp;"y "&amp;DATEDIF(AF145,AsOfDate,"ym")&amp;"m "&amp;DATEDIF(AF145,AsOfDate,"md")&amp;"d"))</f>
        <v/>
      </c>
      <c r="N145" s="13" t="str">
        <f aca="false">IF(AE145=0,"",O145*HoursPerDay)</f>
        <v/>
      </c>
      <c r="O145" s="13" t="str">
        <f aca="false">IF(AE145=0,"",AX145)</f>
        <v/>
      </c>
      <c r="P145" s="17"/>
      <c r="Q145" s="12" t="str">
        <f aca="false">IF(AE145=0,"",IF(AG145&lt;2,"",AK145&amp;" to "&amp;AL145&amp;" on "&amp;TEXT(AI145,"dd/mm/yyyy")&amp;IF(AI145&gt;AsOfDate," (future)",IF(AN145=AO145,"",IF(AO145="None"," - STOPPED accruing",IF(AN145="None"," - now qualifying"," - pathway changed"))))&amp;IF(AG145&lt;3,"","; "&amp;AL145&amp;" to "&amp;AM145&amp;" on "&amp;TEXT(AJ145,"dd/mm/yyyy")&amp;IF(AJ145&gt;AsOfDate," (future)",IF(AO145=AP145,"",IF(AP145="None"," - STOPPED accruing",IF(AO145="None"," - now qualifying"," - pathway changed")))))))</f>
        <v/>
      </c>
      <c r="R145" s="12" t="str">
        <f aca="false">IF(AE145=0,"",IF(AQ145="None",IF(O145&gt;0,"No longer accruing","Not eligible - "&amp;IF(AND(OR(ISNUMBER(SEARCH("part",$C145)),UPPER(TRIM($C145))="PT",UPPER(TRIM($C145))="PTE"),$P145&lt;&gt;"",N($P145)&lt;PT_MinHours),"under "&amp;PT_MinHours&amp;" hrs",IF(IF($C145="","",IF(OR(ISNUMBER(SEARCH("full",$C145)),UPPER(TRIM($C145))="FT",UPPER(TRIM($C145))="FTE"),"Full-Time",IF(OR(ISNUMBER(SEARCH("part",$C145)),UPPER(TRIM($C145))="PT",UPPER(TRIM($C145))="PTE"),"Part-Time",IF(OR(ISNUMBER(SEARCH("cas",$C145)),UPPER(TRIM($C145))="CAS"),"Casual","Unknown"))))="Unknown","type not recognised",$C145))),IF(O145&gt;0,"Yes - accruing","Not yet - from "&amp;TEXT(S145,"dd/mm/yyyy"))))</f>
        <v/>
      </c>
      <c r="S145" s="10" t="str">
        <f aca="false">IF(AE145=0,"",IF(AQ145="None","",EDATE(AF145,AZ145)))</f>
        <v/>
      </c>
      <c r="T145" s="13" t="str">
        <f aca="false">IF(OR(AE145=0,W145=""),"",W145-U145+V145)</f>
        <v/>
      </c>
      <c r="U145" s="13" t="str">
        <f aca="false">IF(AE145=0,"",IF(NOT(LH_Ready),"",SUMIFS(INDEX(LH_Data,0,LH_ColAcc),INDEX(LH_Data,0,LH_ColFirst),$A145,INDEX(LH_Data,0,LH_ColSur),$B145,INDEX(LH_Data,0,LH_ColCat),BonusCat)*UnitFactor))</f>
        <v/>
      </c>
      <c r="V145" s="13" t="str">
        <f aca="false">IF(AE145=0,"",IF(NOT(LH_Ready),"",SUMIFS(INDEX(LH_Data,0,LH_ColTaken),INDEX(LH_Data,0,LH_ColFirst),$A145,INDEX(LH_Data,0,LH_ColSur),$B145,INDEX(LH_Data,0,LH_ColCat),BonusCat)*UnitFactor))</f>
        <v/>
      </c>
      <c r="W145" s="13" t="str">
        <f aca="false">IF(AE145=0,"",IF(NOT(LH_Ready),"",IF(BB145=0,0,INDEX(INDEX(LH_Data,0,LH_ColClose),BB145-1)*UnitFactor)))</f>
        <v/>
      </c>
      <c r="X145" s="13" t="str">
        <f aca="false">IF(AE145=0,"",(AX145-AY145)*HoursPerDay)</f>
        <v/>
      </c>
      <c r="Y145" s="13" t="str">
        <f aca="false">IF(AE145=0,"",IF(NOT(LH_Ready),"",IF(BA145=0,N145,X145-N(U145))))</f>
        <v/>
      </c>
      <c r="Z145" s="12" t="str">
        <f aca="false">IF(OR(AE145=0,Y145=""),"",IF(Y145&gt;0,"Yes","No"))</f>
        <v/>
      </c>
      <c r="AA145" s="12" t="str">
        <f aca="false">IF(AE145=0,IF(LEN($A145&amp;$B145)=0,"","FIX INPUT - StartDate missing"),IF(AD145&lt;&gt;"","FIX INPUT - "&amp;AD145,IF(NOT(LH_Ready),"Paste Leave History export (Settings must show YES)",IF(Y145&gt;0,"ACCRUE "&amp;ROUND(Y145,2)&amp;" hrs ("&amp;ROUND(Y145/HoursPerDay,2)&amp;" days)"&amp;IF(BA145=0," - no Bonus Leave in EH yet, full catch-up since start",""),IF(Y145&lt;0,"CHECK - EH accrued "&amp;ROUND(-Y145,2)&amp;""&amp;" hrs more than policy",IF(O145&gt;0,"OK - nothing to add",IF(AQ145="None",R145,"Not yet - first day on "&amp;TEXT(S145,"dd/mm/yyyy"))))))))</f>
        <v/>
      </c>
      <c r="AB145" s="13" t="str">
        <f aca="false">IF(OR(AE145=0,T145=""),"",AY145*HoursPerDay-T145)</f>
        <v/>
      </c>
      <c r="AC145" s="12" t="str">
        <f aca="false">IF(AE145=0,"",BA145)</f>
        <v/>
      </c>
      <c r="AD145" s="12" t="str">
        <f aca="false">IF(AE145=0,"",TRIM(IF(IF($C145="","",IF(OR(ISNUMBER(SEARCH("full",$C145)),UPPER(TRIM($C145))="FT",UPPER(TRIM($C145))="FTE"),"Full-Time",IF(OR(ISNUMBER(SEARCH("part",$C145)),UPPER(TRIM($C145))="PT",UPPER(TRIM($C145))="PTE"),"Part-Time",IF(OR(ISNUMBER(SEARCH("cas",$C145)),UPPER(TRIM($C145))="CAS"),"Casual","Unknown"))))="Unknown","EmploymentType not recognised - use Full-Time, Part-Time or Casual. ","")&amp;IF(AND(AG145&gt;=1,IF(AG145&gt;=3,AM145,IF(AG145=2,AL145,AK145))&lt;&gt;IF($C145="","",IF(OR(ISNUMBER(SEARCH("full",$C145)),UPPER(TRIM($C145))="FT",UPPER(TRIM($C145))="FTE"),"Full-Time",IF(OR(ISNUMBER(SEARCH("part",$C145)),UPPER(TRIM($C145))="PT",UPPER(TRIM($C145))="PTE"),"Part-Time",IF(OR(ISNUMBER(SEARCH("cas",$C145)),UPPER(TRIM($C145))="CAS"),"Casual","Unknown"))))),"EmploymentType does not match latest start date ("&amp;IF(AG145&gt;=3,AM145,IF(AG145=2,AL145,AK145))&amp;"). ","")&amp;IF(AND(AG145&gt;=1,AH145&lt;&gt;$F145),"Earliest type date should equal StartDate. ","")&amp;IF(AND(AG145&gt;=2,AH145=AI145),"Two types start on the same date. ","")&amp;IF(AND(OR(ISNUMBER(SEARCH("part",$C145)),UPPER(TRIM($C145))="PT",UPPER(TRIM($C145))="PTE"),$P145=""),"Part-time: enter PT Hrs/Week (blank = 24+). ","")))</f>
        <v/>
      </c>
      <c r="AE145" s="12" t="n">
        <f aca="false">IF(OR(LEN($A145&amp;$B145)=0,$F145=""),0,1)</f>
        <v>0</v>
      </c>
      <c r="AF145" s="10" t="str">
        <f aca="false">IF(AE145=0,"",IF($J145&lt;&gt;"",$J145,$F145))</f>
        <v/>
      </c>
      <c r="AG145" s="12" t="str">
        <f aca="false">IF(AE145=0,"",COUNT($G145:$I145))</f>
        <v/>
      </c>
      <c r="AH145" s="10" t="str">
        <f aca="false">IF(AE145=0,"",IFERROR(SMALL($G145:$I145,1),""))</f>
        <v/>
      </c>
      <c r="AI145" s="10" t="str">
        <f aca="false">IF(AE145=0,"",IFERROR(SMALL($G145:$I145,2),""))</f>
        <v/>
      </c>
      <c r="AJ145" s="10" t="str">
        <f aca="false">IF(AE145=0,"",IFERROR(SMALL($G145:$I145,3),""))</f>
        <v/>
      </c>
      <c r="AK145" s="12" t="str">
        <f aca="false">IF(AE145=0,"",IF(AH145="","",IF(AH145=$G145,"Part-Time",IF(AH145=$H145,"Full-Time","Casual"))))</f>
        <v/>
      </c>
      <c r="AL145" s="12" t="str">
        <f aca="false">IF(AE145=0,"",IF(AI145="","",IF(AI145=$G145,"Part-Time",IF(AI145=$H145,"Full-Time","Casual"))))</f>
        <v/>
      </c>
      <c r="AM145" s="12" t="str">
        <f aca="false">IF(AE145=0,"",IF(AJ145="","",IF(AJ145=$G145,"Part-Time",IF(AJ145=$H145,"Full-Time","Casual"))))</f>
        <v/>
      </c>
      <c r="AN145" s="12" t="str">
        <f aca="false">IF(AE145=0,"",IF(AG145=0,IF(OR(ISNUMBER(SEARCH("full",$C145)),UPPER(TRIM($C145))="FT",UPPER(TRIM($C145))="FTE"),"FT",IF(AND(OR(ISNUMBER(SEARCH("part",$C145)),UPPER(TRIM($C145))="PT",UPPER(TRIM($C145))="PTE"),OR($P145="",N($P145)&gt;=PT_MinHours)),"PT","None")),IF(OR(ISNUMBER(SEARCH("full",AK145)),UPPER(TRIM(AK145))="FT",UPPER(TRIM(AK145))="FTE"),"FT",IF(AND(OR(ISNUMBER(SEARCH("part",AK145)),UPPER(TRIM(AK145))="PT",UPPER(TRIM(AK145))="PTE"),OR($P145="",N($P145)&gt;=PT_MinHours)),"PT","None"))))</f>
        <v/>
      </c>
      <c r="AO145" s="12" t="str">
        <f aca="false">IF(AE145=0,"",IF(AG145&lt;2,"",IF(OR(ISNUMBER(SEARCH("full",AL145)),UPPER(TRIM(AL145))="FT",UPPER(TRIM(AL145))="FTE"),"FT",IF(AND(OR(ISNUMBER(SEARCH("part",AL145)),UPPER(TRIM(AL145))="PT",UPPER(TRIM(AL145))="PTE"),OR($P145="",N($P145)&gt;=PT_MinHours)),"PT","None"))))</f>
        <v/>
      </c>
      <c r="AP145" s="12" t="str">
        <f aca="false">IF(AE145=0,"",IF(AG145&lt;3,"",IF(OR(ISNUMBER(SEARCH("full",AM145)),UPPER(TRIM(AM145))="FT",UPPER(TRIM(AM145))="FTE"),"FT",IF(AND(OR(ISNUMBER(SEARCH("part",AM145)),UPPER(TRIM(AM145))="PT",UPPER(TRIM(AM145))="PTE"),OR($P145="",N($P145)&gt;=PT_MinHours)),"PT","None"))))</f>
        <v/>
      </c>
      <c r="AQ145" s="12" t="str">
        <f aca="false">IF(AE145=0,"",IF(AND(AG145&gt;=3,AJ145&lt;=AsOfDate),AP145,IF(AND(AG145&gt;=2,AI145&lt;=AsOfDate),AO145,AN145)))</f>
        <v/>
      </c>
      <c r="AR145" s="12" t="str">
        <f aca="false">IF(AE145=0,"",IF(AsOfDate&lt;AF145,-1,12*(YEAR(AsOfDate)-YEAR(AF145))+MONTH(AsOfDate)-MONTH(AF145)-IF(DAY(AsOfDate)&lt;MIN(DAY(AF145),DAY(EOMONTH(AsOfDate,0))),1,0)))</f>
        <v/>
      </c>
      <c r="AS145" s="12" t="str">
        <f aca="false">IF(AE145=0,"",IF(OR(AG145&lt;2,AI145&gt;AsOfDate),AR145,IF((AI145-1)&lt;AF145,-1,12*(YEAR((AI145-1))-YEAR(AF145))+MONTH((AI145-1))-MONTH(AF145)-IF(DAY((AI145-1))&lt;MIN(DAY(AF145),DAY(EOMONTH((AI145-1),0))),1,0))))</f>
        <v/>
      </c>
      <c r="AT145" s="12" t="str">
        <f aca="false">IF(AE145=0,"",IF(OR(AG145&lt;3,AJ145&gt;AsOfDate),AR145,IF((AJ145-1)&lt;AF145,-1,12*(YEAR((AJ145-1))-YEAR(AF145))+MONTH((AJ145-1))-MONTH(AF145)-IF(DAY((AJ145-1))&lt;MIN(DAY(AF145),DAY(EOMONTH((AJ145-1),0))),1,0))))</f>
        <v/>
      </c>
      <c r="AU145" s="12" t="str">
        <f aca="false">IF(AE145=0,"",IF(PFYDate&lt;AF145,-1,12*(YEAR(PFYDate)-YEAR(AF145))+MONTH(PFYDate)-MONTH(AF145)-IF(DAY(PFYDate)&lt;MIN(DAY(AF145),DAY(EOMONTH(PFYDate,0))),1,0)))</f>
        <v/>
      </c>
      <c r="AV145" s="12" t="str">
        <f aca="false">IF(AE145=0,"",IF(OR(AG145&lt;2,AI145&gt;PFYDate),AU145,IF((AI145-1)&lt;AF145,-1,12*(YEAR((AI145-1))-YEAR(AF145))+MONTH((AI145-1))-MONTH(AF145)-IF(DAY((AI145-1))&lt;MIN(DAY(AF145),DAY(EOMONTH((AI145-1),0))),1,0))))</f>
        <v/>
      </c>
      <c r="AW145" s="12" t="str">
        <f aca="false">IF(AE145=0,"",IF(OR(AG145&lt;3,AJ145&gt;PFYDate),AU145,IF((AJ145-1)&lt;AF145,-1,12*(YEAR((AJ145-1))-YEAR(AF145))+MONTH((AJ145-1))-MONTH(AF145)-IF(DAY((AJ145-1))&lt;MIN(DAY(AF145),DAY(EOMONTH((AJ145-1),0))),1,0))))</f>
        <v/>
      </c>
      <c r="AX145" s="12" t="str">
        <f aca="false">IF(AE145=0,"",IF(AN145="FT",IF(AS145&lt;FT_First,0,IF(AS145&lt;FT_Y5,1+INT((AS145-FT_First)/FT_Int1),FT_PreY5+FT_PerYear*INT((AS145-FT_Y5)/12)+FT_AnnivDays+INT(MOD(AS145-FT_Y5,12)/FT_Int2))),IF(AN145="PT",IF(AS145&lt;PT_First,0,1+INT((AS145-PT_First)/PT_Int)),0))+IF(AND(AG145&gt;=2,AI145&lt;=AsOfDate),IF(AO145="FT",IF(AT145&lt;FT_First,0,IF(AT145&lt;FT_Y5,1+INT((AT145-FT_First)/FT_Int1),FT_PreY5+FT_PerYear*INT((AT145-FT_Y5)/12)+FT_AnnivDays+INT(MOD(AT145-FT_Y5,12)/FT_Int2))),IF(AO145="PT",IF(AT145&lt;PT_First,0,1+INT((AT145-PT_First)/PT_Int)),0))-IF(AO145="FT",IF(AS145&lt;FT_First,0,IF(AS145&lt;FT_Y5,1+INT((AS145-FT_First)/FT_Int1),FT_PreY5+FT_PerYear*INT((AS145-FT_Y5)/12)+FT_AnnivDays+INT(MOD(AS145-FT_Y5,12)/FT_Int2))),IF(AO145="PT",IF(AS145&lt;PT_First,0,1+INT((AS145-PT_First)/PT_Int)),0)),0)+IF(AND(AG145&gt;=3,AJ145&lt;=AsOfDate),IF(AP145="FT",IF(AR145&lt;FT_First,0,IF(AR145&lt;FT_Y5,1+INT((AR145-FT_First)/FT_Int1),FT_PreY5+FT_PerYear*INT((AR145-FT_Y5)/12)+FT_AnnivDays+INT(MOD(AR145-FT_Y5,12)/FT_Int2))),IF(AP145="PT",IF(AR145&lt;PT_First,0,1+INT((AR145-PT_First)/PT_Int)),0))-IF(AP145="FT",IF(AT145&lt;FT_First,0,IF(AT145&lt;FT_Y5,1+INT((AT145-FT_First)/FT_Int1),FT_PreY5+FT_PerYear*INT((AT145-FT_Y5)/12)+FT_AnnivDays+INT(MOD(AT145-FT_Y5,12)/FT_Int2))),IF(AP145="PT",IF(AT145&lt;PT_First,0,1+INT((AT145-PT_First)/PT_Int)),0)),0))</f>
        <v/>
      </c>
      <c r="AY145" s="12" t="str">
        <f aca="false">IF(AE145=0,"",IF(AN145="FT",IF(AV145&lt;FT_First,0,IF(AV145&lt;FT_Y5,1+INT((AV145-FT_First)/FT_Int1),FT_PreY5+FT_PerYear*INT((AV145-FT_Y5)/12)+FT_AnnivDays+INT(MOD(AV145-FT_Y5,12)/FT_Int2))),IF(AN145="PT",IF(AV145&lt;PT_First,0,1+INT((AV145-PT_First)/PT_Int)),0))+IF(AND(AG145&gt;=2,AI145&lt;=PFYDate),IF(AO145="FT",IF(AW145&lt;FT_First,0,IF(AW145&lt;FT_Y5,1+INT((AW145-FT_First)/FT_Int1),FT_PreY5+FT_PerYear*INT((AW145-FT_Y5)/12)+FT_AnnivDays+INT(MOD(AW145-FT_Y5,12)/FT_Int2))),IF(AO145="PT",IF(AW145&lt;PT_First,0,1+INT((AW145-PT_First)/PT_Int)),0))-IF(AO145="FT",IF(AV145&lt;FT_First,0,IF(AV145&lt;FT_Y5,1+INT((AV145-FT_First)/FT_Int1),FT_PreY5+FT_PerYear*INT((AV145-FT_Y5)/12)+FT_AnnivDays+INT(MOD(AV145-FT_Y5,12)/FT_Int2))),IF(AO145="PT",IF(AV145&lt;PT_First,0,1+INT((AV145-PT_First)/PT_Int)),0)),0)+IF(AND(AG145&gt;=3,AJ145&lt;=PFYDate),IF(AP145="FT",IF(AU145&lt;FT_First,0,IF(AU145&lt;FT_Y5,1+INT((AU145-FT_First)/FT_Int1),FT_PreY5+FT_PerYear*INT((AU145-FT_Y5)/12)+FT_AnnivDays+INT(MOD(AU145-FT_Y5,12)/FT_Int2))),IF(AP145="PT",IF(AU145&lt;PT_First,0,1+INT((AU145-PT_First)/PT_Int)),0))-IF(AP145="FT",IF(AW145&lt;FT_First,0,IF(AW145&lt;FT_Y5,1+INT((AW145-FT_First)/FT_Int1),FT_PreY5+FT_PerYear*INT((AW145-FT_Y5)/12)+FT_AnnivDays+INT(MOD(AW145-FT_Y5,12)/FT_Int2))),IF(AP145="PT",IF(AW145&lt;PT_First,0,1+INT((AW145-PT_First)/PT_Int)),0)),0))</f>
        <v/>
      </c>
      <c r="AZ145" s="12" t="str">
        <f aca="false">IF(AE145=0,"",IF(AQ145="FT",IF(AR145&lt;FT_First,FT_First,IF(AR145&lt;FT_Y5,MIN(FT_Y5,FT_First+FT_Int1*(INT((AR145-FT_First)/FT_Int1)+1)),FT_Y5+12*INT((AR145-FT_Y5)/12)+FT_Int2*(INT(MOD(AR145-FT_Y5,12)/FT_Int2)+1))),IF(AQ145="PT",IF(AR145&lt;PT_First,PT_First,PT_First+PT_Int*(INT((AR145-PT_First)/PT_Int)+1)),"")))</f>
        <v/>
      </c>
      <c r="BA145" s="12" t="str">
        <f aca="false">IF(AE145=0,"",IF(NOT(LH_Ready),0,COUNTIFS(INDEX(LH_Data,0,LH_ColFirst),$A145,INDEX(LH_Data,0,LH_ColSur),$B145,INDEX(LH_Data,0,LH_ColCat),BonusCat)))</f>
        <v/>
      </c>
      <c r="BB145" s="12" t="str">
        <f aca="false">IF(AE145=0,"",IF(OR(NOT(LH_Ready),BA145=0),0,SUMPRODUCT(MAX((INDEX(LH_Data,0,LH_ColFirst)=$A145)*(INDEX(LH_Data,0,LH_ColSur)=$B145)*(INDEX(LH_Data,0,LH_ColCat)=BonusCat)*ROW(LH_Data)))))</f>
        <v/>
      </c>
    </row>
    <row r="146" customFormat="false" ht="15" hidden="false" customHeight="false" outlineLevel="0" collapsed="false">
      <c r="A146" s="15"/>
      <c r="B146" s="15"/>
      <c r="C146" s="15"/>
      <c r="D146" s="16"/>
      <c r="E146" s="10" t="str">
        <f aca="false">IF(OR(AE146=0,$D146=""),"",DATE(YEAR(AsOfDate)+IF(DATE(YEAR(AsOfDate),MONTH($D146),DAY($D146))&lt;=AsOfDate,1,0),MONTH($D146),DAY($D146)))</f>
        <v/>
      </c>
      <c r="F146" s="16"/>
      <c r="G146" s="16"/>
      <c r="H146" s="16"/>
      <c r="I146" s="16"/>
      <c r="J146" s="16"/>
      <c r="K146" s="10" t="str">
        <f aca="false">IF(AE146=0,"",DATE(YEAR(AsOfDate)+IF(DATE(YEAR(AsOfDate),MONTH($F146),DAY($F146))&lt;=AsOfDate,1,0),MONTH($F146),DAY($F146)))</f>
        <v/>
      </c>
      <c r="L146" s="11" t="str">
        <f aca="false">IF(AE146=0,"",ROUND((AsOfDate-$F146)/365.25,1))</f>
        <v/>
      </c>
      <c r="M146" s="12" t="str">
        <f aca="false">IF(AE146=0,"",IF(AsOfDate&lt;AF146,"-",DATEDIF(AF146,AsOfDate,"y")&amp;"y "&amp;DATEDIF(AF146,AsOfDate,"ym")&amp;"m "&amp;DATEDIF(AF146,AsOfDate,"md")&amp;"d"))</f>
        <v/>
      </c>
      <c r="N146" s="13" t="str">
        <f aca="false">IF(AE146=0,"",O146*HoursPerDay)</f>
        <v/>
      </c>
      <c r="O146" s="13" t="str">
        <f aca="false">IF(AE146=0,"",AX146)</f>
        <v/>
      </c>
      <c r="P146" s="17"/>
      <c r="Q146" s="12" t="str">
        <f aca="false">IF(AE146=0,"",IF(AG146&lt;2,"",AK146&amp;" to "&amp;AL146&amp;" on "&amp;TEXT(AI146,"dd/mm/yyyy")&amp;IF(AI146&gt;AsOfDate," (future)",IF(AN146=AO146,"",IF(AO146="None"," - STOPPED accruing",IF(AN146="None"," - now qualifying"," - pathway changed"))))&amp;IF(AG146&lt;3,"","; "&amp;AL146&amp;" to "&amp;AM146&amp;" on "&amp;TEXT(AJ146,"dd/mm/yyyy")&amp;IF(AJ146&gt;AsOfDate," (future)",IF(AO146=AP146,"",IF(AP146="None"," - STOPPED accruing",IF(AO146="None"," - now qualifying"," - pathway changed")))))))</f>
        <v/>
      </c>
      <c r="R146" s="12" t="str">
        <f aca="false">IF(AE146=0,"",IF(AQ146="None",IF(O146&gt;0,"No longer accruing","Not eligible - "&amp;IF(AND(OR(ISNUMBER(SEARCH("part",$C146)),UPPER(TRIM($C146))="PT",UPPER(TRIM($C146))="PTE"),$P146&lt;&gt;"",N($P146)&lt;PT_MinHours),"under "&amp;PT_MinHours&amp;" hrs",IF(IF($C146="","",IF(OR(ISNUMBER(SEARCH("full",$C146)),UPPER(TRIM($C146))="FT",UPPER(TRIM($C146))="FTE"),"Full-Time",IF(OR(ISNUMBER(SEARCH("part",$C146)),UPPER(TRIM($C146))="PT",UPPER(TRIM($C146))="PTE"),"Part-Time",IF(OR(ISNUMBER(SEARCH("cas",$C146)),UPPER(TRIM($C146))="CAS"),"Casual","Unknown"))))="Unknown","type not recognised",$C146))),IF(O146&gt;0,"Yes - accruing","Not yet - from "&amp;TEXT(S146,"dd/mm/yyyy"))))</f>
        <v/>
      </c>
      <c r="S146" s="10" t="str">
        <f aca="false">IF(AE146=0,"",IF(AQ146="None","",EDATE(AF146,AZ146)))</f>
        <v/>
      </c>
      <c r="T146" s="13" t="str">
        <f aca="false">IF(OR(AE146=0,W146=""),"",W146-U146+V146)</f>
        <v/>
      </c>
      <c r="U146" s="13" t="str">
        <f aca="false">IF(AE146=0,"",IF(NOT(LH_Ready),"",SUMIFS(INDEX(LH_Data,0,LH_ColAcc),INDEX(LH_Data,0,LH_ColFirst),$A146,INDEX(LH_Data,0,LH_ColSur),$B146,INDEX(LH_Data,0,LH_ColCat),BonusCat)*UnitFactor))</f>
        <v/>
      </c>
      <c r="V146" s="13" t="str">
        <f aca="false">IF(AE146=0,"",IF(NOT(LH_Ready),"",SUMIFS(INDEX(LH_Data,0,LH_ColTaken),INDEX(LH_Data,0,LH_ColFirst),$A146,INDEX(LH_Data,0,LH_ColSur),$B146,INDEX(LH_Data,0,LH_ColCat),BonusCat)*UnitFactor))</f>
        <v/>
      </c>
      <c r="W146" s="13" t="str">
        <f aca="false">IF(AE146=0,"",IF(NOT(LH_Ready),"",IF(BB146=0,0,INDEX(INDEX(LH_Data,0,LH_ColClose),BB146-1)*UnitFactor)))</f>
        <v/>
      </c>
      <c r="X146" s="13" t="str">
        <f aca="false">IF(AE146=0,"",(AX146-AY146)*HoursPerDay)</f>
        <v/>
      </c>
      <c r="Y146" s="13" t="str">
        <f aca="false">IF(AE146=0,"",IF(NOT(LH_Ready),"",IF(BA146=0,N146,X146-N(U146))))</f>
        <v/>
      </c>
      <c r="Z146" s="12" t="str">
        <f aca="false">IF(OR(AE146=0,Y146=""),"",IF(Y146&gt;0,"Yes","No"))</f>
        <v/>
      </c>
      <c r="AA146" s="12" t="str">
        <f aca="false">IF(AE146=0,IF(LEN($A146&amp;$B146)=0,"","FIX INPUT - StartDate missing"),IF(AD146&lt;&gt;"","FIX INPUT - "&amp;AD146,IF(NOT(LH_Ready),"Paste Leave History export (Settings must show YES)",IF(Y146&gt;0,"ACCRUE "&amp;ROUND(Y146,2)&amp;" hrs ("&amp;ROUND(Y146/HoursPerDay,2)&amp;" days)"&amp;IF(BA146=0," - no Bonus Leave in EH yet, full catch-up since start",""),IF(Y146&lt;0,"CHECK - EH accrued "&amp;ROUND(-Y146,2)&amp;""&amp;" hrs more than policy",IF(O146&gt;0,"OK - nothing to add",IF(AQ146="None",R146,"Not yet - first day on "&amp;TEXT(S146,"dd/mm/yyyy"))))))))</f>
        <v/>
      </c>
      <c r="AB146" s="13" t="str">
        <f aca="false">IF(OR(AE146=0,T146=""),"",AY146*HoursPerDay-T146)</f>
        <v/>
      </c>
      <c r="AC146" s="12" t="str">
        <f aca="false">IF(AE146=0,"",BA146)</f>
        <v/>
      </c>
      <c r="AD146" s="12" t="str">
        <f aca="false">IF(AE146=0,"",TRIM(IF(IF($C146="","",IF(OR(ISNUMBER(SEARCH("full",$C146)),UPPER(TRIM($C146))="FT",UPPER(TRIM($C146))="FTE"),"Full-Time",IF(OR(ISNUMBER(SEARCH("part",$C146)),UPPER(TRIM($C146))="PT",UPPER(TRIM($C146))="PTE"),"Part-Time",IF(OR(ISNUMBER(SEARCH("cas",$C146)),UPPER(TRIM($C146))="CAS"),"Casual","Unknown"))))="Unknown","EmploymentType not recognised - use Full-Time, Part-Time or Casual. ","")&amp;IF(AND(AG146&gt;=1,IF(AG146&gt;=3,AM146,IF(AG146=2,AL146,AK146))&lt;&gt;IF($C146="","",IF(OR(ISNUMBER(SEARCH("full",$C146)),UPPER(TRIM($C146))="FT",UPPER(TRIM($C146))="FTE"),"Full-Time",IF(OR(ISNUMBER(SEARCH("part",$C146)),UPPER(TRIM($C146))="PT",UPPER(TRIM($C146))="PTE"),"Part-Time",IF(OR(ISNUMBER(SEARCH("cas",$C146)),UPPER(TRIM($C146))="CAS"),"Casual","Unknown"))))),"EmploymentType does not match latest start date ("&amp;IF(AG146&gt;=3,AM146,IF(AG146=2,AL146,AK146))&amp;"). ","")&amp;IF(AND(AG146&gt;=1,AH146&lt;&gt;$F146),"Earliest type date should equal StartDate. ","")&amp;IF(AND(AG146&gt;=2,AH146=AI146),"Two types start on the same date. ","")&amp;IF(AND(OR(ISNUMBER(SEARCH("part",$C146)),UPPER(TRIM($C146))="PT",UPPER(TRIM($C146))="PTE"),$P146=""),"Part-time: enter PT Hrs/Week (blank = 24+). ","")))</f>
        <v/>
      </c>
      <c r="AE146" s="12" t="n">
        <f aca="false">IF(OR(LEN($A146&amp;$B146)=0,$F146=""),0,1)</f>
        <v>0</v>
      </c>
      <c r="AF146" s="10" t="str">
        <f aca="false">IF(AE146=0,"",IF($J146&lt;&gt;"",$J146,$F146))</f>
        <v/>
      </c>
      <c r="AG146" s="12" t="str">
        <f aca="false">IF(AE146=0,"",COUNT($G146:$I146))</f>
        <v/>
      </c>
      <c r="AH146" s="10" t="str">
        <f aca="false">IF(AE146=0,"",IFERROR(SMALL($G146:$I146,1),""))</f>
        <v/>
      </c>
      <c r="AI146" s="10" t="str">
        <f aca="false">IF(AE146=0,"",IFERROR(SMALL($G146:$I146,2),""))</f>
        <v/>
      </c>
      <c r="AJ146" s="10" t="str">
        <f aca="false">IF(AE146=0,"",IFERROR(SMALL($G146:$I146,3),""))</f>
        <v/>
      </c>
      <c r="AK146" s="12" t="str">
        <f aca="false">IF(AE146=0,"",IF(AH146="","",IF(AH146=$G146,"Part-Time",IF(AH146=$H146,"Full-Time","Casual"))))</f>
        <v/>
      </c>
      <c r="AL146" s="12" t="str">
        <f aca="false">IF(AE146=0,"",IF(AI146="","",IF(AI146=$G146,"Part-Time",IF(AI146=$H146,"Full-Time","Casual"))))</f>
        <v/>
      </c>
      <c r="AM146" s="12" t="str">
        <f aca="false">IF(AE146=0,"",IF(AJ146="","",IF(AJ146=$G146,"Part-Time",IF(AJ146=$H146,"Full-Time","Casual"))))</f>
        <v/>
      </c>
      <c r="AN146" s="12" t="str">
        <f aca="false">IF(AE146=0,"",IF(AG146=0,IF(OR(ISNUMBER(SEARCH("full",$C146)),UPPER(TRIM($C146))="FT",UPPER(TRIM($C146))="FTE"),"FT",IF(AND(OR(ISNUMBER(SEARCH("part",$C146)),UPPER(TRIM($C146))="PT",UPPER(TRIM($C146))="PTE"),OR($P146="",N($P146)&gt;=PT_MinHours)),"PT","None")),IF(OR(ISNUMBER(SEARCH("full",AK146)),UPPER(TRIM(AK146))="FT",UPPER(TRIM(AK146))="FTE"),"FT",IF(AND(OR(ISNUMBER(SEARCH("part",AK146)),UPPER(TRIM(AK146))="PT",UPPER(TRIM(AK146))="PTE"),OR($P146="",N($P146)&gt;=PT_MinHours)),"PT","None"))))</f>
        <v/>
      </c>
      <c r="AO146" s="12" t="str">
        <f aca="false">IF(AE146=0,"",IF(AG146&lt;2,"",IF(OR(ISNUMBER(SEARCH("full",AL146)),UPPER(TRIM(AL146))="FT",UPPER(TRIM(AL146))="FTE"),"FT",IF(AND(OR(ISNUMBER(SEARCH("part",AL146)),UPPER(TRIM(AL146))="PT",UPPER(TRIM(AL146))="PTE"),OR($P146="",N($P146)&gt;=PT_MinHours)),"PT","None"))))</f>
        <v/>
      </c>
      <c r="AP146" s="12" t="str">
        <f aca="false">IF(AE146=0,"",IF(AG146&lt;3,"",IF(OR(ISNUMBER(SEARCH("full",AM146)),UPPER(TRIM(AM146))="FT",UPPER(TRIM(AM146))="FTE"),"FT",IF(AND(OR(ISNUMBER(SEARCH("part",AM146)),UPPER(TRIM(AM146))="PT",UPPER(TRIM(AM146))="PTE"),OR($P146="",N($P146)&gt;=PT_MinHours)),"PT","None"))))</f>
        <v/>
      </c>
      <c r="AQ146" s="12" t="str">
        <f aca="false">IF(AE146=0,"",IF(AND(AG146&gt;=3,AJ146&lt;=AsOfDate),AP146,IF(AND(AG146&gt;=2,AI146&lt;=AsOfDate),AO146,AN146)))</f>
        <v/>
      </c>
      <c r="AR146" s="12" t="str">
        <f aca="false">IF(AE146=0,"",IF(AsOfDate&lt;AF146,-1,12*(YEAR(AsOfDate)-YEAR(AF146))+MONTH(AsOfDate)-MONTH(AF146)-IF(DAY(AsOfDate)&lt;MIN(DAY(AF146),DAY(EOMONTH(AsOfDate,0))),1,0)))</f>
        <v/>
      </c>
      <c r="AS146" s="12" t="str">
        <f aca="false">IF(AE146=0,"",IF(OR(AG146&lt;2,AI146&gt;AsOfDate),AR146,IF((AI146-1)&lt;AF146,-1,12*(YEAR((AI146-1))-YEAR(AF146))+MONTH((AI146-1))-MONTH(AF146)-IF(DAY((AI146-1))&lt;MIN(DAY(AF146),DAY(EOMONTH((AI146-1),0))),1,0))))</f>
        <v/>
      </c>
      <c r="AT146" s="12" t="str">
        <f aca="false">IF(AE146=0,"",IF(OR(AG146&lt;3,AJ146&gt;AsOfDate),AR146,IF((AJ146-1)&lt;AF146,-1,12*(YEAR((AJ146-1))-YEAR(AF146))+MONTH((AJ146-1))-MONTH(AF146)-IF(DAY((AJ146-1))&lt;MIN(DAY(AF146),DAY(EOMONTH((AJ146-1),0))),1,0))))</f>
        <v/>
      </c>
      <c r="AU146" s="12" t="str">
        <f aca="false">IF(AE146=0,"",IF(PFYDate&lt;AF146,-1,12*(YEAR(PFYDate)-YEAR(AF146))+MONTH(PFYDate)-MONTH(AF146)-IF(DAY(PFYDate)&lt;MIN(DAY(AF146),DAY(EOMONTH(PFYDate,0))),1,0)))</f>
        <v/>
      </c>
      <c r="AV146" s="12" t="str">
        <f aca="false">IF(AE146=0,"",IF(OR(AG146&lt;2,AI146&gt;PFYDate),AU146,IF((AI146-1)&lt;AF146,-1,12*(YEAR((AI146-1))-YEAR(AF146))+MONTH((AI146-1))-MONTH(AF146)-IF(DAY((AI146-1))&lt;MIN(DAY(AF146),DAY(EOMONTH((AI146-1),0))),1,0))))</f>
        <v/>
      </c>
      <c r="AW146" s="12" t="str">
        <f aca="false">IF(AE146=0,"",IF(OR(AG146&lt;3,AJ146&gt;PFYDate),AU146,IF((AJ146-1)&lt;AF146,-1,12*(YEAR((AJ146-1))-YEAR(AF146))+MONTH((AJ146-1))-MONTH(AF146)-IF(DAY((AJ146-1))&lt;MIN(DAY(AF146),DAY(EOMONTH((AJ146-1),0))),1,0))))</f>
        <v/>
      </c>
      <c r="AX146" s="12" t="str">
        <f aca="false">IF(AE146=0,"",IF(AN146="FT",IF(AS146&lt;FT_First,0,IF(AS146&lt;FT_Y5,1+INT((AS146-FT_First)/FT_Int1),FT_PreY5+FT_PerYear*INT((AS146-FT_Y5)/12)+FT_AnnivDays+INT(MOD(AS146-FT_Y5,12)/FT_Int2))),IF(AN146="PT",IF(AS146&lt;PT_First,0,1+INT((AS146-PT_First)/PT_Int)),0))+IF(AND(AG146&gt;=2,AI146&lt;=AsOfDate),IF(AO146="FT",IF(AT146&lt;FT_First,0,IF(AT146&lt;FT_Y5,1+INT((AT146-FT_First)/FT_Int1),FT_PreY5+FT_PerYear*INT((AT146-FT_Y5)/12)+FT_AnnivDays+INT(MOD(AT146-FT_Y5,12)/FT_Int2))),IF(AO146="PT",IF(AT146&lt;PT_First,0,1+INT((AT146-PT_First)/PT_Int)),0))-IF(AO146="FT",IF(AS146&lt;FT_First,0,IF(AS146&lt;FT_Y5,1+INT((AS146-FT_First)/FT_Int1),FT_PreY5+FT_PerYear*INT((AS146-FT_Y5)/12)+FT_AnnivDays+INT(MOD(AS146-FT_Y5,12)/FT_Int2))),IF(AO146="PT",IF(AS146&lt;PT_First,0,1+INT((AS146-PT_First)/PT_Int)),0)),0)+IF(AND(AG146&gt;=3,AJ146&lt;=AsOfDate),IF(AP146="FT",IF(AR146&lt;FT_First,0,IF(AR146&lt;FT_Y5,1+INT((AR146-FT_First)/FT_Int1),FT_PreY5+FT_PerYear*INT((AR146-FT_Y5)/12)+FT_AnnivDays+INT(MOD(AR146-FT_Y5,12)/FT_Int2))),IF(AP146="PT",IF(AR146&lt;PT_First,0,1+INT((AR146-PT_First)/PT_Int)),0))-IF(AP146="FT",IF(AT146&lt;FT_First,0,IF(AT146&lt;FT_Y5,1+INT((AT146-FT_First)/FT_Int1),FT_PreY5+FT_PerYear*INT((AT146-FT_Y5)/12)+FT_AnnivDays+INT(MOD(AT146-FT_Y5,12)/FT_Int2))),IF(AP146="PT",IF(AT146&lt;PT_First,0,1+INT((AT146-PT_First)/PT_Int)),0)),0))</f>
        <v/>
      </c>
      <c r="AY146" s="12" t="str">
        <f aca="false">IF(AE146=0,"",IF(AN146="FT",IF(AV146&lt;FT_First,0,IF(AV146&lt;FT_Y5,1+INT((AV146-FT_First)/FT_Int1),FT_PreY5+FT_PerYear*INT((AV146-FT_Y5)/12)+FT_AnnivDays+INT(MOD(AV146-FT_Y5,12)/FT_Int2))),IF(AN146="PT",IF(AV146&lt;PT_First,0,1+INT((AV146-PT_First)/PT_Int)),0))+IF(AND(AG146&gt;=2,AI146&lt;=PFYDate),IF(AO146="FT",IF(AW146&lt;FT_First,0,IF(AW146&lt;FT_Y5,1+INT((AW146-FT_First)/FT_Int1),FT_PreY5+FT_PerYear*INT((AW146-FT_Y5)/12)+FT_AnnivDays+INT(MOD(AW146-FT_Y5,12)/FT_Int2))),IF(AO146="PT",IF(AW146&lt;PT_First,0,1+INT((AW146-PT_First)/PT_Int)),0))-IF(AO146="FT",IF(AV146&lt;FT_First,0,IF(AV146&lt;FT_Y5,1+INT((AV146-FT_First)/FT_Int1),FT_PreY5+FT_PerYear*INT((AV146-FT_Y5)/12)+FT_AnnivDays+INT(MOD(AV146-FT_Y5,12)/FT_Int2))),IF(AO146="PT",IF(AV146&lt;PT_First,0,1+INT((AV146-PT_First)/PT_Int)),0)),0)+IF(AND(AG146&gt;=3,AJ146&lt;=PFYDate),IF(AP146="FT",IF(AU146&lt;FT_First,0,IF(AU146&lt;FT_Y5,1+INT((AU146-FT_First)/FT_Int1),FT_PreY5+FT_PerYear*INT((AU146-FT_Y5)/12)+FT_AnnivDays+INT(MOD(AU146-FT_Y5,12)/FT_Int2))),IF(AP146="PT",IF(AU146&lt;PT_First,0,1+INT((AU146-PT_First)/PT_Int)),0))-IF(AP146="FT",IF(AW146&lt;FT_First,0,IF(AW146&lt;FT_Y5,1+INT((AW146-FT_First)/FT_Int1),FT_PreY5+FT_PerYear*INT((AW146-FT_Y5)/12)+FT_AnnivDays+INT(MOD(AW146-FT_Y5,12)/FT_Int2))),IF(AP146="PT",IF(AW146&lt;PT_First,0,1+INT((AW146-PT_First)/PT_Int)),0)),0))</f>
        <v/>
      </c>
      <c r="AZ146" s="12" t="str">
        <f aca="false">IF(AE146=0,"",IF(AQ146="FT",IF(AR146&lt;FT_First,FT_First,IF(AR146&lt;FT_Y5,MIN(FT_Y5,FT_First+FT_Int1*(INT((AR146-FT_First)/FT_Int1)+1)),FT_Y5+12*INT((AR146-FT_Y5)/12)+FT_Int2*(INT(MOD(AR146-FT_Y5,12)/FT_Int2)+1))),IF(AQ146="PT",IF(AR146&lt;PT_First,PT_First,PT_First+PT_Int*(INT((AR146-PT_First)/PT_Int)+1)),"")))</f>
        <v/>
      </c>
      <c r="BA146" s="12" t="str">
        <f aca="false">IF(AE146=0,"",IF(NOT(LH_Ready),0,COUNTIFS(INDEX(LH_Data,0,LH_ColFirst),$A146,INDEX(LH_Data,0,LH_ColSur),$B146,INDEX(LH_Data,0,LH_ColCat),BonusCat)))</f>
        <v/>
      </c>
      <c r="BB146" s="12" t="str">
        <f aca="false">IF(AE146=0,"",IF(OR(NOT(LH_Ready),BA146=0),0,SUMPRODUCT(MAX((INDEX(LH_Data,0,LH_ColFirst)=$A146)*(INDEX(LH_Data,0,LH_ColSur)=$B146)*(INDEX(LH_Data,0,LH_ColCat)=BonusCat)*ROW(LH_Data)))))</f>
        <v/>
      </c>
    </row>
    <row r="147" customFormat="false" ht="15" hidden="false" customHeight="false" outlineLevel="0" collapsed="false">
      <c r="A147" s="15"/>
      <c r="B147" s="15"/>
      <c r="C147" s="15"/>
      <c r="D147" s="16"/>
      <c r="E147" s="10" t="str">
        <f aca="false">IF(OR(AE147=0,$D147=""),"",DATE(YEAR(AsOfDate)+IF(DATE(YEAR(AsOfDate),MONTH($D147),DAY($D147))&lt;=AsOfDate,1,0),MONTH($D147),DAY($D147)))</f>
        <v/>
      </c>
      <c r="F147" s="16"/>
      <c r="G147" s="16"/>
      <c r="H147" s="16"/>
      <c r="I147" s="16"/>
      <c r="J147" s="16"/>
      <c r="K147" s="10" t="str">
        <f aca="false">IF(AE147=0,"",DATE(YEAR(AsOfDate)+IF(DATE(YEAR(AsOfDate),MONTH($F147),DAY($F147))&lt;=AsOfDate,1,0),MONTH($F147),DAY($F147)))</f>
        <v/>
      </c>
      <c r="L147" s="11" t="str">
        <f aca="false">IF(AE147=0,"",ROUND((AsOfDate-$F147)/365.25,1))</f>
        <v/>
      </c>
      <c r="M147" s="12" t="str">
        <f aca="false">IF(AE147=0,"",IF(AsOfDate&lt;AF147,"-",DATEDIF(AF147,AsOfDate,"y")&amp;"y "&amp;DATEDIF(AF147,AsOfDate,"ym")&amp;"m "&amp;DATEDIF(AF147,AsOfDate,"md")&amp;"d"))</f>
        <v/>
      </c>
      <c r="N147" s="13" t="str">
        <f aca="false">IF(AE147=0,"",O147*HoursPerDay)</f>
        <v/>
      </c>
      <c r="O147" s="13" t="str">
        <f aca="false">IF(AE147=0,"",AX147)</f>
        <v/>
      </c>
      <c r="P147" s="17"/>
      <c r="Q147" s="12" t="str">
        <f aca="false">IF(AE147=0,"",IF(AG147&lt;2,"",AK147&amp;" to "&amp;AL147&amp;" on "&amp;TEXT(AI147,"dd/mm/yyyy")&amp;IF(AI147&gt;AsOfDate," (future)",IF(AN147=AO147,"",IF(AO147="None"," - STOPPED accruing",IF(AN147="None"," - now qualifying"," - pathway changed"))))&amp;IF(AG147&lt;3,"","; "&amp;AL147&amp;" to "&amp;AM147&amp;" on "&amp;TEXT(AJ147,"dd/mm/yyyy")&amp;IF(AJ147&gt;AsOfDate," (future)",IF(AO147=AP147,"",IF(AP147="None"," - STOPPED accruing",IF(AO147="None"," - now qualifying"," - pathway changed")))))))</f>
        <v/>
      </c>
      <c r="R147" s="12" t="str">
        <f aca="false">IF(AE147=0,"",IF(AQ147="None",IF(O147&gt;0,"No longer accruing","Not eligible - "&amp;IF(AND(OR(ISNUMBER(SEARCH("part",$C147)),UPPER(TRIM($C147))="PT",UPPER(TRIM($C147))="PTE"),$P147&lt;&gt;"",N($P147)&lt;PT_MinHours),"under "&amp;PT_MinHours&amp;" hrs",IF(IF($C147="","",IF(OR(ISNUMBER(SEARCH("full",$C147)),UPPER(TRIM($C147))="FT",UPPER(TRIM($C147))="FTE"),"Full-Time",IF(OR(ISNUMBER(SEARCH("part",$C147)),UPPER(TRIM($C147))="PT",UPPER(TRIM($C147))="PTE"),"Part-Time",IF(OR(ISNUMBER(SEARCH("cas",$C147)),UPPER(TRIM($C147))="CAS"),"Casual","Unknown"))))="Unknown","type not recognised",$C147))),IF(O147&gt;0,"Yes - accruing","Not yet - from "&amp;TEXT(S147,"dd/mm/yyyy"))))</f>
        <v/>
      </c>
      <c r="S147" s="10" t="str">
        <f aca="false">IF(AE147=0,"",IF(AQ147="None","",EDATE(AF147,AZ147)))</f>
        <v/>
      </c>
      <c r="T147" s="13" t="str">
        <f aca="false">IF(OR(AE147=0,W147=""),"",W147-U147+V147)</f>
        <v/>
      </c>
      <c r="U147" s="13" t="str">
        <f aca="false">IF(AE147=0,"",IF(NOT(LH_Ready),"",SUMIFS(INDEX(LH_Data,0,LH_ColAcc),INDEX(LH_Data,0,LH_ColFirst),$A147,INDEX(LH_Data,0,LH_ColSur),$B147,INDEX(LH_Data,0,LH_ColCat),BonusCat)*UnitFactor))</f>
        <v/>
      </c>
      <c r="V147" s="13" t="str">
        <f aca="false">IF(AE147=0,"",IF(NOT(LH_Ready),"",SUMIFS(INDEX(LH_Data,0,LH_ColTaken),INDEX(LH_Data,0,LH_ColFirst),$A147,INDEX(LH_Data,0,LH_ColSur),$B147,INDEX(LH_Data,0,LH_ColCat),BonusCat)*UnitFactor))</f>
        <v/>
      </c>
      <c r="W147" s="13" t="str">
        <f aca="false">IF(AE147=0,"",IF(NOT(LH_Ready),"",IF(BB147=0,0,INDEX(INDEX(LH_Data,0,LH_ColClose),BB147-1)*UnitFactor)))</f>
        <v/>
      </c>
      <c r="X147" s="13" t="str">
        <f aca="false">IF(AE147=0,"",(AX147-AY147)*HoursPerDay)</f>
        <v/>
      </c>
      <c r="Y147" s="13" t="str">
        <f aca="false">IF(AE147=0,"",IF(NOT(LH_Ready),"",IF(BA147=0,N147,X147-N(U147))))</f>
        <v/>
      </c>
      <c r="Z147" s="12" t="str">
        <f aca="false">IF(OR(AE147=0,Y147=""),"",IF(Y147&gt;0,"Yes","No"))</f>
        <v/>
      </c>
      <c r="AA147" s="12" t="str">
        <f aca="false">IF(AE147=0,IF(LEN($A147&amp;$B147)=0,"","FIX INPUT - StartDate missing"),IF(AD147&lt;&gt;"","FIX INPUT - "&amp;AD147,IF(NOT(LH_Ready),"Paste Leave History export (Settings must show YES)",IF(Y147&gt;0,"ACCRUE "&amp;ROUND(Y147,2)&amp;" hrs ("&amp;ROUND(Y147/HoursPerDay,2)&amp;" days)"&amp;IF(BA147=0," - no Bonus Leave in EH yet, full catch-up since start",""),IF(Y147&lt;0,"CHECK - EH accrued "&amp;ROUND(-Y147,2)&amp;""&amp;" hrs more than policy",IF(O147&gt;0,"OK - nothing to add",IF(AQ147="None",R147,"Not yet - first day on "&amp;TEXT(S147,"dd/mm/yyyy"))))))))</f>
        <v/>
      </c>
      <c r="AB147" s="13" t="str">
        <f aca="false">IF(OR(AE147=0,T147=""),"",AY147*HoursPerDay-T147)</f>
        <v/>
      </c>
      <c r="AC147" s="12" t="str">
        <f aca="false">IF(AE147=0,"",BA147)</f>
        <v/>
      </c>
      <c r="AD147" s="12" t="str">
        <f aca="false">IF(AE147=0,"",TRIM(IF(IF($C147="","",IF(OR(ISNUMBER(SEARCH("full",$C147)),UPPER(TRIM($C147))="FT",UPPER(TRIM($C147))="FTE"),"Full-Time",IF(OR(ISNUMBER(SEARCH("part",$C147)),UPPER(TRIM($C147))="PT",UPPER(TRIM($C147))="PTE"),"Part-Time",IF(OR(ISNUMBER(SEARCH("cas",$C147)),UPPER(TRIM($C147))="CAS"),"Casual","Unknown"))))="Unknown","EmploymentType not recognised - use Full-Time, Part-Time or Casual. ","")&amp;IF(AND(AG147&gt;=1,IF(AG147&gt;=3,AM147,IF(AG147=2,AL147,AK147))&lt;&gt;IF($C147="","",IF(OR(ISNUMBER(SEARCH("full",$C147)),UPPER(TRIM($C147))="FT",UPPER(TRIM($C147))="FTE"),"Full-Time",IF(OR(ISNUMBER(SEARCH("part",$C147)),UPPER(TRIM($C147))="PT",UPPER(TRIM($C147))="PTE"),"Part-Time",IF(OR(ISNUMBER(SEARCH("cas",$C147)),UPPER(TRIM($C147))="CAS"),"Casual","Unknown"))))),"EmploymentType does not match latest start date ("&amp;IF(AG147&gt;=3,AM147,IF(AG147=2,AL147,AK147))&amp;"). ","")&amp;IF(AND(AG147&gt;=1,AH147&lt;&gt;$F147),"Earliest type date should equal StartDate. ","")&amp;IF(AND(AG147&gt;=2,AH147=AI147),"Two types start on the same date. ","")&amp;IF(AND(OR(ISNUMBER(SEARCH("part",$C147)),UPPER(TRIM($C147))="PT",UPPER(TRIM($C147))="PTE"),$P147=""),"Part-time: enter PT Hrs/Week (blank = 24+). ","")))</f>
        <v/>
      </c>
      <c r="AE147" s="12" t="n">
        <f aca="false">IF(OR(LEN($A147&amp;$B147)=0,$F147=""),0,1)</f>
        <v>0</v>
      </c>
      <c r="AF147" s="10" t="str">
        <f aca="false">IF(AE147=0,"",IF($J147&lt;&gt;"",$J147,$F147))</f>
        <v/>
      </c>
      <c r="AG147" s="12" t="str">
        <f aca="false">IF(AE147=0,"",COUNT($G147:$I147))</f>
        <v/>
      </c>
      <c r="AH147" s="10" t="str">
        <f aca="false">IF(AE147=0,"",IFERROR(SMALL($G147:$I147,1),""))</f>
        <v/>
      </c>
      <c r="AI147" s="10" t="str">
        <f aca="false">IF(AE147=0,"",IFERROR(SMALL($G147:$I147,2),""))</f>
        <v/>
      </c>
      <c r="AJ147" s="10" t="str">
        <f aca="false">IF(AE147=0,"",IFERROR(SMALL($G147:$I147,3),""))</f>
        <v/>
      </c>
      <c r="AK147" s="12" t="str">
        <f aca="false">IF(AE147=0,"",IF(AH147="","",IF(AH147=$G147,"Part-Time",IF(AH147=$H147,"Full-Time","Casual"))))</f>
        <v/>
      </c>
      <c r="AL147" s="12" t="str">
        <f aca="false">IF(AE147=0,"",IF(AI147="","",IF(AI147=$G147,"Part-Time",IF(AI147=$H147,"Full-Time","Casual"))))</f>
        <v/>
      </c>
      <c r="AM147" s="12" t="str">
        <f aca="false">IF(AE147=0,"",IF(AJ147="","",IF(AJ147=$G147,"Part-Time",IF(AJ147=$H147,"Full-Time","Casual"))))</f>
        <v/>
      </c>
      <c r="AN147" s="12" t="str">
        <f aca="false">IF(AE147=0,"",IF(AG147=0,IF(OR(ISNUMBER(SEARCH("full",$C147)),UPPER(TRIM($C147))="FT",UPPER(TRIM($C147))="FTE"),"FT",IF(AND(OR(ISNUMBER(SEARCH("part",$C147)),UPPER(TRIM($C147))="PT",UPPER(TRIM($C147))="PTE"),OR($P147="",N($P147)&gt;=PT_MinHours)),"PT","None")),IF(OR(ISNUMBER(SEARCH("full",AK147)),UPPER(TRIM(AK147))="FT",UPPER(TRIM(AK147))="FTE"),"FT",IF(AND(OR(ISNUMBER(SEARCH("part",AK147)),UPPER(TRIM(AK147))="PT",UPPER(TRIM(AK147))="PTE"),OR($P147="",N($P147)&gt;=PT_MinHours)),"PT","None"))))</f>
        <v/>
      </c>
      <c r="AO147" s="12" t="str">
        <f aca="false">IF(AE147=0,"",IF(AG147&lt;2,"",IF(OR(ISNUMBER(SEARCH("full",AL147)),UPPER(TRIM(AL147))="FT",UPPER(TRIM(AL147))="FTE"),"FT",IF(AND(OR(ISNUMBER(SEARCH("part",AL147)),UPPER(TRIM(AL147))="PT",UPPER(TRIM(AL147))="PTE"),OR($P147="",N($P147)&gt;=PT_MinHours)),"PT","None"))))</f>
        <v/>
      </c>
      <c r="AP147" s="12" t="str">
        <f aca="false">IF(AE147=0,"",IF(AG147&lt;3,"",IF(OR(ISNUMBER(SEARCH("full",AM147)),UPPER(TRIM(AM147))="FT",UPPER(TRIM(AM147))="FTE"),"FT",IF(AND(OR(ISNUMBER(SEARCH("part",AM147)),UPPER(TRIM(AM147))="PT",UPPER(TRIM(AM147))="PTE"),OR($P147="",N($P147)&gt;=PT_MinHours)),"PT","None"))))</f>
        <v/>
      </c>
      <c r="AQ147" s="12" t="str">
        <f aca="false">IF(AE147=0,"",IF(AND(AG147&gt;=3,AJ147&lt;=AsOfDate),AP147,IF(AND(AG147&gt;=2,AI147&lt;=AsOfDate),AO147,AN147)))</f>
        <v/>
      </c>
      <c r="AR147" s="12" t="str">
        <f aca="false">IF(AE147=0,"",IF(AsOfDate&lt;AF147,-1,12*(YEAR(AsOfDate)-YEAR(AF147))+MONTH(AsOfDate)-MONTH(AF147)-IF(DAY(AsOfDate)&lt;MIN(DAY(AF147),DAY(EOMONTH(AsOfDate,0))),1,0)))</f>
        <v/>
      </c>
      <c r="AS147" s="12" t="str">
        <f aca="false">IF(AE147=0,"",IF(OR(AG147&lt;2,AI147&gt;AsOfDate),AR147,IF((AI147-1)&lt;AF147,-1,12*(YEAR((AI147-1))-YEAR(AF147))+MONTH((AI147-1))-MONTH(AF147)-IF(DAY((AI147-1))&lt;MIN(DAY(AF147),DAY(EOMONTH((AI147-1),0))),1,0))))</f>
        <v/>
      </c>
      <c r="AT147" s="12" t="str">
        <f aca="false">IF(AE147=0,"",IF(OR(AG147&lt;3,AJ147&gt;AsOfDate),AR147,IF((AJ147-1)&lt;AF147,-1,12*(YEAR((AJ147-1))-YEAR(AF147))+MONTH((AJ147-1))-MONTH(AF147)-IF(DAY((AJ147-1))&lt;MIN(DAY(AF147),DAY(EOMONTH((AJ147-1),0))),1,0))))</f>
        <v/>
      </c>
      <c r="AU147" s="12" t="str">
        <f aca="false">IF(AE147=0,"",IF(PFYDate&lt;AF147,-1,12*(YEAR(PFYDate)-YEAR(AF147))+MONTH(PFYDate)-MONTH(AF147)-IF(DAY(PFYDate)&lt;MIN(DAY(AF147),DAY(EOMONTH(PFYDate,0))),1,0)))</f>
        <v/>
      </c>
      <c r="AV147" s="12" t="str">
        <f aca="false">IF(AE147=0,"",IF(OR(AG147&lt;2,AI147&gt;PFYDate),AU147,IF((AI147-1)&lt;AF147,-1,12*(YEAR((AI147-1))-YEAR(AF147))+MONTH((AI147-1))-MONTH(AF147)-IF(DAY((AI147-1))&lt;MIN(DAY(AF147),DAY(EOMONTH((AI147-1),0))),1,0))))</f>
        <v/>
      </c>
      <c r="AW147" s="12" t="str">
        <f aca="false">IF(AE147=0,"",IF(OR(AG147&lt;3,AJ147&gt;PFYDate),AU147,IF((AJ147-1)&lt;AF147,-1,12*(YEAR((AJ147-1))-YEAR(AF147))+MONTH((AJ147-1))-MONTH(AF147)-IF(DAY((AJ147-1))&lt;MIN(DAY(AF147),DAY(EOMONTH((AJ147-1),0))),1,0))))</f>
        <v/>
      </c>
      <c r="AX147" s="12" t="str">
        <f aca="false">IF(AE147=0,"",IF(AN147="FT",IF(AS147&lt;FT_First,0,IF(AS147&lt;FT_Y5,1+INT((AS147-FT_First)/FT_Int1),FT_PreY5+FT_PerYear*INT((AS147-FT_Y5)/12)+FT_AnnivDays+INT(MOD(AS147-FT_Y5,12)/FT_Int2))),IF(AN147="PT",IF(AS147&lt;PT_First,0,1+INT((AS147-PT_First)/PT_Int)),0))+IF(AND(AG147&gt;=2,AI147&lt;=AsOfDate),IF(AO147="FT",IF(AT147&lt;FT_First,0,IF(AT147&lt;FT_Y5,1+INT((AT147-FT_First)/FT_Int1),FT_PreY5+FT_PerYear*INT((AT147-FT_Y5)/12)+FT_AnnivDays+INT(MOD(AT147-FT_Y5,12)/FT_Int2))),IF(AO147="PT",IF(AT147&lt;PT_First,0,1+INT((AT147-PT_First)/PT_Int)),0))-IF(AO147="FT",IF(AS147&lt;FT_First,0,IF(AS147&lt;FT_Y5,1+INT((AS147-FT_First)/FT_Int1),FT_PreY5+FT_PerYear*INT((AS147-FT_Y5)/12)+FT_AnnivDays+INT(MOD(AS147-FT_Y5,12)/FT_Int2))),IF(AO147="PT",IF(AS147&lt;PT_First,0,1+INT((AS147-PT_First)/PT_Int)),0)),0)+IF(AND(AG147&gt;=3,AJ147&lt;=AsOfDate),IF(AP147="FT",IF(AR147&lt;FT_First,0,IF(AR147&lt;FT_Y5,1+INT((AR147-FT_First)/FT_Int1),FT_PreY5+FT_PerYear*INT((AR147-FT_Y5)/12)+FT_AnnivDays+INT(MOD(AR147-FT_Y5,12)/FT_Int2))),IF(AP147="PT",IF(AR147&lt;PT_First,0,1+INT((AR147-PT_First)/PT_Int)),0))-IF(AP147="FT",IF(AT147&lt;FT_First,0,IF(AT147&lt;FT_Y5,1+INT((AT147-FT_First)/FT_Int1),FT_PreY5+FT_PerYear*INT((AT147-FT_Y5)/12)+FT_AnnivDays+INT(MOD(AT147-FT_Y5,12)/FT_Int2))),IF(AP147="PT",IF(AT147&lt;PT_First,0,1+INT((AT147-PT_First)/PT_Int)),0)),0))</f>
        <v/>
      </c>
      <c r="AY147" s="12" t="str">
        <f aca="false">IF(AE147=0,"",IF(AN147="FT",IF(AV147&lt;FT_First,0,IF(AV147&lt;FT_Y5,1+INT((AV147-FT_First)/FT_Int1),FT_PreY5+FT_PerYear*INT((AV147-FT_Y5)/12)+FT_AnnivDays+INT(MOD(AV147-FT_Y5,12)/FT_Int2))),IF(AN147="PT",IF(AV147&lt;PT_First,0,1+INT((AV147-PT_First)/PT_Int)),0))+IF(AND(AG147&gt;=2,AI147&lt;=PFYDate),IF(AO147="FT",IF(AW147&lt;FT_First,0,IF(AW147&lt;FT_Y5,1+INT((AW147-FT_First)/FT_Int1),FT_PreY5+FT_PerYear*INT((AW147-FT_Y5)/12)+FT_AnnivDays+INT(MOD(AW147-FT_Y5,12)/FT_Int2))),IF(AO147="PT",IF(AW147&lt;PT_First,0,1+INT((AW147-PT_First)/PT_Int)),0))-IF(AO147="FT",IF(AV147&lt;FT_First,0,IF(AV147&lt;FT_Y5,1+INT((AV147-FT_First)/FT_Int1),FT_PreY5+FT_PerYear*INT((AV147-FT_Y5)/12)+FT_AnnivDays+INT(MOD(AV147-FT_Y5,12)/FT_Int2))),IF(AO147="PT",IF(AV147&lt;PT_First,0,1+INT((AV147-PT_First)/PT_Int)),0)),0)+IF(AND(AG147&gt;=3,AJ147&lt;=PFYDate),IF(AP147="FT",IF(AU147&lt;FT_First,0,IF(AU147&lt;FT_Y5,1+INT((AU147-FT_First)/FT_Int1),FT_PreY5+FT_PerYear*INT((AU147-FT_Y5)/12)+FT_AnnivDays+INT(MOD(AU147-FT_Y5,12)/FT_Int2))),IF(AP147="PT",IF(AU147&lt;PT_First,0,1+INT((AU147-PT_First)/PT_Int)),0))-IF(AP147="FT",IF(AW147&lt;FT_First,0,IF(AW147&lt;FT_Y5,1+INT((AW147-FT_First)/FT_Int1),FT_PreY5+FT_PerYear*INT((AW147-FT_Y5)/12)+FT_AnnivDays+INT(MOD(AW147-FT_Y5,12)/FT_Int2))),IF(AP147="PT",IF(AW147&lt;PT_First,0,1+INT((AW147-PT_First)/PT_Int)),0)),0))</f>
        <v/>
      </c>
      <c r="AZ147" s="12" t="str">
        <f aca="false">IF(AE147=0,"",IF(AQ147="FT",IF(AR147&lt;FT_First,FT_First,IF(AR147&lt;FT_Y5,MIN(FT_Y5,FT_First+FT_Int1*(INT((AR147-FT_First)/FT_Int1)+1)),FT_Y5+12*INT((AR147-FT_Y5)/12)+FT_Int2*(INT(MOD(AR147-FT_Y5,12)/FT_Int2)+1))),IF(AQ147="PT",IF(AR147&lt;PT_First,PT_First,PT_First+PT_Int*(INT((AR147-PT_First)/PT_Int)+1)),"")))</f>
        <v/>
      </c>
      <c r="BA147" s="12" t="str">
        <f aca="false">IF(AE147=0,"",IF(NOT(LH_Ready),0,COUNTIFS(INDEX(LH_Data,0,LH_ColFirst),$A147,INDEX(LH_Data,0,LH_ColSur),$B147,INDEX(LH_Data,0,LH_ColCat),BonusCat)))</f>
        <v/>
      </c>
      <c r="BB147" s="12" t="str">
        <f aca="false">IF(AE147=0,"",IF(OR(NOT(LH_Ready),BA147=0),0,SUMPRODUCT(MAX((INDEX(LH_Data,0,LH_ColFirst)=$A147)*(INDEX(LH_Data,0,LH_ColSur)=$B147)*(INDEX(LH_Data,0,LH_ColCat)=BonusCat)*ROW(LH_Data)))))</f>
        <v/>
      </c>
    </row>
    <row r="148" customFormat="false" ht="15" hidden="false" customHeight="false" outlineLevel="0" collapsed="false">
      <c r="A148" s="15"/>
      <c r="B148" s="15"/>
      <c r="C148" s="15"/>
      <c r="D148" s="16"/>
      <c r="E148" s="10" t="str">
        <f aca="false">IF(OR(AE148=0,$D148=""),"",DATE(YEAR(AsOfDate)+IF(DATE(YEAR(AsOfDate),MONTH($D148),DAY($D148))&lt;=AsOfDate,1,0),MONTH($D148),DAY($D148)))</f>
        <v/>
      </c>
      <c r="F148" s="16"/>
      <c r="G148" s="16"/>
      <c r="H148" s="16"/>
      <c r="I148" s="16"/>
      <c r="J148" s="16"/>
      <c r="K148" s="10" t="str">
        <f aca="false">IF(AE148=0,"",DATE(YEAR(AsOfDate)+IF(DATE(YEAR(AsOfDate),MONTH($F148),DAY($F148))&lt;=AsOfDate,1,0),MONTH($F148),DAY($F148)))</f>
        <v/>
      </c>
      <c r="L148" s="11" t="str">
        <f aca="false">IF(AE148=0,"",ROUND((AsOfDate-$F148)/365.25,1))</f>
        <v/>
      </c>
      <c r="M148" s="12" t="str">
        <f aca="false">IF(AE148=0,"",IF(AsOfDate&lt;AF148,"-",DATEDIF(AF148,AsOfDate,"y")&amp;"y "&amp;DATEDIF(AF148,AsOfDate,"ym")&amp;"m "&amp;DATEDIF(AF148,AsOfDate,"md")&amp;"d"))</f>
        <v/>
      </c>
      <c r="N148" s="13" t="str">
        <f aca="false">IF(AE148=0,"",O148*HoursPerDay)</f>
        <v/>
      </c>
      <c r="O148" s="13" t="str">
        <f aca="false">IF(AE148=0,"",AX148)</f>
        <v/>
      </c>
      <c r="P148" s="17"/>
      <c r="Q148" s="12" t="str">
        <f aca="false">IF(AE148=0,"",IF(AG148&lt;2,"",AK148&amp;" to "&amp;AL148&amp;" on "&amp;TEXT(AI148,"dd/mm/yyyy")&amp;IF(AI148&gt;AsOfDate," (future)",IF(AN148=AO148,"",IF(AO148="None"," - STOPPED accruing",IF(AN148="None"," - now qualifying"," - pathway changed"))))&amp;IF(AG148&lt;3,"","; "&amp;AL148&amp;" to "&amp;AM148&amp;" on "&amp;TEXT(AJ148,"dd/mm/yyyy")&amp;IF(AJ148&gt;AsOfDate," (future)",IF(AO148=AP148,"",IF(AP148="None"," - STOPPED accruing",IF(AO148="None"," - now qualifying"," - pathway changed")))))))</f>
        <v/>
      </c>
      <c r="R148" s="12" t="str">
        <f aca="false">IF(AE148=0,"",IF(AQ148="None",IF(O148&gt;0,"No longer accruing","Not eligible - "&amp;IF(AND(OR(ISNUMBER(SEARCH("part",$C148)),UPPER(TRIM($C148))="PT",UPPER(TRIM($C148))="PTE"),$P148&lt;&gt;"",N($P148)&lt;PT_MinHours),"under "&amp;PT_MinHours&amp;" hrs",IF(IF($C148="","",IF(OR(ISNUMBER(SEARCH("full",$C148)),UPPER(TRIM($C148))="FT",UPPER(TRIM($C148))="FTE"),"Full-Time",IF(OR(ISNUMBER(SEARCH("part",$C148)),UPPER(TRIM($C148))="PT",UPPER(TRIM($C148))="PTE"),"Part-Time",IF(OR(ISNUMBER(SEARCH("cas",$C148)),UPPER(TRIM($C148))="CAS"),"Casual","Unknown"))))="Unknown","type not recognised",$C148))),IF(O148&gt;0,"Yes - accruing","Not yet - from "&amp;TEXT(S148,"dd/mm/yyyy"))))</f>
        <v/>
      </c>
      <c r="S148" s="10" t="str">
        <f aca="false">IF(AE148=0,"",IF(AQ148="None","",EDATE(AF148,AZ148)))</f>
        <v/>
      </c>
      <c r="T148" s="13" t="str">
        <f aca="false">IF(OR(AE148=0,W148=""),"",W148-U148+V148)</f>
        <v/>
      </c>
      <c r="U148" s="13" t="str">
        <f aca="false">IF(AE148=0,"",IF(NOT(LH_Ready),"",SUMIFS(INDEX(LH_Data,0,LH_ColAcc),INDEX(LH_Data,0,LH_ColFirst),$A148,INDEX(LH_Data,0,LH_ColSur),$B148,INDEX(LH_Data,0,LH_ColCat),BonusCat)*UnitFactor))</f>
        <v/>
      </c>
      <c r="V148" s="13" t="str">
        <f aca="false">IF(AE148=0,"",IF(NOT(LH_Ready),"",SUMIFS(INDEX(LH_Data,0,LH_ColTaken),INDEX(LH_Data,0,LH_ColFirst),$A148,INDEX(LH_Data,0,LH_ColSur),$B148,INDEX(LH_Data,0,LH_ColCat),BonusCat)*UnitFactor))</f>
        <v/>
      </c>
      <c r="W148" s="13" t="str">
        <f aca="false">IF(AE148=0,"",IF(NOT(LH_Ready),"",IF(BB148=0,0,INDEX(INDEX(LH_Data,0,LH_ColClose),BB148-1)*UnitFactor)))</f>
        <v/>
      </c>
      <c r="X148" s="13" t="str">
        <f aca="false">IF(AE148=0,"",(AX148-AY148)*HoursPerDay)</f>
        <v/>
      </c>
      <c r="Y148" s="13" t="str">
        <f aca="false">IF(AE148=0,"",IF(NOT(LH_Ready),"",IF(BA148=0,N148,X148-N(U148))))</f>
        <v/>
      </c>
      <c r="Z148" s="12" t="str">
        <f aca="false">IF(OR(AE148=0,Y148=""),"",IF(Y148&gt;0,"Yes","No"))</f>
        <v/>
      </c>
      <c r="AA148" s="12" t="str">
        <f aca="false">IF(AE148=0,IF(LEN($A148&amp;$B148)=0,"","FIX INPUT - StartDate missing"),IF(AD148&lt;&gt;"","FIX INPUT - "&amp;AD148,IF(NOT(LH_Ready),"Paste Leave History export (Settings must show YES)",IF(Y148&gt;0,"ACCRUE "&amp;ROUND(Y148,2)&amp;" hrs ("&amp;ROUND(Y148/HoursPerDay,2)&amp;" days)"&amp;IF(BA148=0," - no Bonus Leave in EH yet, full catch-up since start",""),IF(Y148&lt;0,"CHECK - EH accrued "&amp;ROUND(-Y148,2)&amp;""&amp;" hrs more than policy",IF(O148&gt;0,"OK - nothing to add",IF(AQ148="None",R148,"Not yet - first day on "&amp;TEXT(S148,"dd/mm/yyyy"))))))))</f>
        <v/>
      </c>
      <c r="AB148" s="13" t="str">
        <f aca="false">IF(OR(AE148=0,T148=""),"",AY148*HoursPerDay-T148)</f>
        <v/>
      </c>
      <c r="AC148" s="12" t="str">
        <f aca="false">IF(AE148=0,"",BA148)</f>
        <v/>
      </c>
      <c r="AD148" s="12" t="str">
        <f aca="false">IF(AE148=0,"",TRIM(IF(IF($C148="","",IF(OR(ISNUMBER(SEARCH("full",$C148)),UPPER(TRIM($C148))="FT",UPPER(TRIM($C148))="FTE"),"Full-Time",IF(OR(ISNUMBER(SEARCH("part",$C148)),UPPER(TRIM($C148))="PT",UPPER(TRIM($C148))="PTE"),"Part-Time",IF(OR(ISNUMBER(SEARCH("cas",$C148)),UPPER(TRIM($C148))="CAS"),"Casual","Unknown"))))="Unknown","EmploymentType not recognised - use Full-Time, Part-Time or Casual. ","")&amp;IF(AND(AG148&gt;=1,IF(AG148&gt;=3,AM148,IF(AG148=2,AL148,AK148))&lt;&gt;IF($C148="","",IF(OR(ISNUMBER(SEARCH("full",$C148)),UPPER(TRIM($C148))="FT",UPPER(TRIM($C148))="FTE"),"Full-Time",IF(OR(ISNUMBER(SEARCH("part",$C148)),UPPER(TRIM($C148))="PT",UPPER(TRIM($C148))="PTE"),"Part-Time",IF(OR(ISNUMBER(SEARCH("cas",$C148)),UPPER(TRIM($C148))="CAS"),"Casual","Unknown"))))),"EmploymentType does not match latest start date ("&amp;IF(AG148&gt;=3,AM148,IF(AG148=2,AL148,AK148))&amp;"). ","")&amp;IF(AND(AG148&gt;=1,AH148&lt;&gt;$F148),"Earliest type date should equal StartDate. ","")&amp;IF(AND(AG148&gt;=2,AH148=AI148),"Two types start on the same date. ","")&amp;IF(AND(OR(ISNUMBER(SEARCH("part",$C148)),UPPER(TRIM($C148))="PT",UPPER(TRIM($C148))="PTE"),$P148=""),"Part-time: enter PT Hrs/Week (blank = 24+). ","")))</f>
        <v/>
      </c>
      <c r="AE148" s="12" t="n">
        <f aca="false">IF(OR(LEN($A148&amp;$B148)=0,$F148=""),0,1)</f>
        <v>0</v>
      </c>
      <c r="AF148" s="10" t="str">
        <f aca="false">IF(AE148=0,"",IF($J148&lt;&gt;"",$J148,$F148))</f>
        <v/>
      </c>
      <c r="AG148" s="12" t="str">
        <f aca="false">IF(AE148=0,"",COUNT($G148:$I148))</f>
        <v/>
      </c>
      <c r="AH148" s="10" t="str">
        <f aca="false">IF(AE148=0,"",IFERROR(SMALL($G148:$I148,1),""))</f>
        <v/>
      </c>
      <c r="AI148" s="10" t="str">
        <f aca="false">IF(AE148=0,"",IFERROR(SMALL($G148:$I148,2),""))</f>
        <v/>
      </c>
      <c r="AJ148" s="10" t="str">
        <f aca="false">IF(AE148=0,"",IFERROR(SMALL($G148:$I148,3),""))</f>
        <v/>
      </c>
      <c r="AK148" s="12" t="str">
        <f aca="false">IF(AE148=0,"",IF(AH148="","",IF(AH148=$G148,"Part-Time",IF(AH148=$H148,"Full-Time","Casual"))))</f>
        <v/>
      </c>
      <c r="AL148" s="12" t="str">
        <f aca="false">IF(AE148=0,"",IF(AI148="","",IF(AI148=$G148,"Part-Time",IF(AI148=$H148,"Full-Time","Casual"))))</f>
        <v/>
      </c>
      <c r="AM148" s="12" t="str">
        <f aca="false">IF(AE148=0,"",IF(AJ148="","",IF(AJ148=$G148,"Part-Time",IF(AJ148=$H148,"Full-Time","Casual"))))</f>
        <v/>
      </c>
      <c r="AN148" s="12" t="str">
        <f aca="false">IF(AE148=0,"",IF(AG148=0,IF(OR(ISNUMBER(SEARCH("full",$C148)),UPPER(TRIM($C148))="FT",UPPER(TRIM($C148))="FTE"),"FT",IF(AND(OR(ISNUMBER(SEARCH("part",$C148)),UPPER(TRIM($C148))="PT",UPPER(TRIM($C148))="PTE"),OR($P148="",N($P148)&gt;=PT_MinHours)),"PT","None")),IF(OR(ISNUMBER(SEARCH("full",AK148)),UPPER(TRIM(AK148))="FT",UPPER(TRIM(AK148))="FTE"),"FT",IF(AND(OR(ISNUMBER(SEARCH("part",AK148)),UPPER(TRIM(AK148))="PT",UPPER(TRIM(AK148))="PTE"),OR($P148="",N($P148)&gt;=PT_MinHours)),"PT","None"))))</f>
        <v/>
      </c>
      <c r="AO148" s="12" t="str">
        <f aca="false">IF(AE148=0,"",IF(AG148&lt;2,"",IF(OR(ISNUMBER(SEARCH("full",AL148)),UPPER(TRIM(AL148))="FT",UPPER(TRIM(AL148))="FTE"),"FT",IF(AND(OR(ISNUMBER(SEARCH("part",AL148)),UPPER(TRIM(AL148))="PT",UPPER(TRIM(AL148))="PTE"),OR($P148="",N($P148)&gt;=PT_MinHours)),"PT","None"))))</f>
        <v/>
      </c>
      <c r="AP148" s="12" t="str">
        <f aca="false">IF(AE148=0,"",IF(AG148&lt;3,"",IF(OR(ISNUMBER(SEARCH("full",AM148)),UPPER(TRIM(AM148))="FT",UPPER(TRIM(AM148))="FTE"),"FT",IF(AND(OR(ISNUMBER(SEARCH("part",AM148)),UPPER(TRIM(AM148))="PT",UPPER(TRIM(AM148))="PTE"),OR($P148="",N($P148)&gt;=PT_MinHours)),"PT","None"))))</f>
        <v/>
      </c>
      <c r="AQ148" s="12" t="str">
        <f aca="false">IF(AE148=0,"",IF(AND(AG148&gt;=3,AJ148&lt;=AsOfDate),AP148,IF(AND(AG148&gt;=2,AI148&lt;=AsOfDate),AO148,AN148)))</f>
        <v/>
      </c>
      <c r="AR148" s="12" t="str">
        <f aca="false">IF(AE148=0,"",IF(AsOfDate&lt;AF148,-1,12*(YEAR(AsOfDate)-YEAR(AF148))+MONTH(AsOfDate)-MONTH(AF148)-IF(DAY(AsOfDate)&lt;MIN(DAY(AF148),DAY(EOMONTH(AsOfDate,0))),1,0)))</f>
        <v/>
      </c>
      <c r="AS148" s="12" t="str">
        <f aca="false">IF(AE148=0,"",IF(OR(AG148&lt;2,AI148&gt;AsOfDate),AR148,IF((AI148-1)&lt;AF148,-1,12*(YEAR((AI148-1))-YEAR(AF148))+MONTH((AI148-1))-MONTH(AF148)-IF(DAY((AI148-1))&lt;MIN(DAY(AF148),DAY(EOMONTH((AI148-1),0))),1,0))))</f>
        <v/>
      </c>
      <c r="AT148" s="12" t="str">
        <f aca="false">IF(AE148=0,"",IF(OR(AG148&lt;3,AJ148&gt;AsOfDate),AR148,IF((AJ148-1)&lt;AF148,-1,12*(YEAR((AJ148-1))-YEAR(AF148))+MONTH((AJ148-1))-MONTH(AF148)-IF(DAY((AJ148-1))&lt;MIN(DAY(AF148),DAY(EOMONTH((AJ148-1),0))),1,0))))</f>
        <v/>
      </c>
      <c r="AU148" s="12" t="str">
        <f aca="false">IF(AE148=0,"",IF(PFYDate&lt;AF148,-1,12*(YEAR(PFYDate)-YEAR(AF148))+MONTH(PFYDate)-MONTH(AF148)-IF(DAY(PFYDate)&lt;MIN(DAY(AF148),DAY(EOMONTH(PFYDate,0))),1,0)))</f>
        <v/>
      </c>
      <c r="AV148" s="12" t="str">
        <f aca="false">IF(AE148=0,"",IF(OR(AG148&lt;2,AI148&gt;PFYDate),AU148,IF((AI148-1)&lt;AF148,-1,12*(YEAR((AI148-1))-YEAR(AF148))+MONTH((AI148-1))-MONTH(AF148)-IF(DAY((AI148-1))&lt;MIN(DAY(AF148),DAY(EOMONTH((AI148-1),0))),1,0))))</f>
        <v/>
      </c>
      <c r="AW148" s="12" t="str">
        <f aca="false">IF(AE148=0,"",IF(OR(AG148&lt;3,AJ148&gt;PFYDate),AU148,IF((AJ148-1)&lt;AF148,-1,12*(YEAR((AJ148-1))-YEAR(AF148))+MONTH((AJ148-1))-MONTH(AF148)-IF(DAY((AJ148-1))&lt;MIN(DAY(AF148),DAY(EOMONTH((AJ148-1),0))),1,0))))</f>
        <v/>
      </c>
      <c r="AX148" s="12" t="str">
        <f aca="false">IF(AE148=0,"",IF(AN148="FT",IF(AS148&lt;FT_First,0,IF(AS148&lt;FT_Y5,1+INT((AS148-FT_First)/FT_Int1),FT_PreY5+FT_PerYear*INT((AS148-FT_Y5)/12)+FT_AnnivDays+INT(MOD(AS148-FT_Y5,12)/FT_Int2))),IF(AN148="PT",IF(AS148&lt;PT_First,0,1+INT((AS148-PT_First)/PT_Int)),0))+IF(AND(AG148&gt;=2,AI148&lt;=AsOfDate),IF(AO148="FT",IF(AT148&lt;FT_First,0,IF(AT148&lt;FT_Y5,1+INT((AT148-FT_First)/FT_Int1),FT_PreY5+FT_PerYear*INT((AT148-FT_Y5)/12)+FT_AnnivDays+INT(MOD(AT148-FT_Y5,12)/FT_Int2))),IF(AO148="PT",IF(AT148&lt;PT_First,0,1+INT((AT148-PT_First)/PT_Int)),0))-IF(AO148="FT",IF(AS148&lt;FT_First,0,IF(AS148&lt;FT_Y5,1+INT((AS148-FT_First)/FT_Int1),FT_PreY5+FT_PerYear*INT((AS148-FT_Y5)/12)+FT_AnnivDays+INT(MOD(AS148-FT_Y5,12)/FT_Int2))),IF(AO148="PT",IF(AS148&lt;PT_First,0,1+INT((AS148-PT_First)/PT_Int)),0)),0)+IF(AND(AG148&gt;=3,AJ148&lt;=AsOfDate),IF(AP148="FT",IF(AR148&lt;FT_First,0,IF(AR148&lt;FT_Y5,1+INT((AR148-FT_First)/FT_Int1),FT_PreY5+FT_PerYear*INT((AR148-FT_Y5)/12)+FT_AnnivDays+INT(MOD(AR148-FT_Y5,12)/FT_Int2))),IF(AP148="PT",IF(AR148&lt;PT_First,0,1+INT((AR148-PT_First)/PT_Int)),0))-IF(AP148="FT",IF(AT148&lt;FT_First,0,IF(AT148&lt;FT_Y5,1+INT((AT148-FT_First)/FT_Int1),FT_PreY5+FT_PerYear*INT((AT148-FT_Y5)/12)+FT_AnnivDays+INT(MOD(AT148-FT_Y5,12)/FT_Int2))),IF(AP148="PT",IF(AT148&lt;PT_First,0,1+INT((AT148-PT_First)/PT_Int)),0)),0))</f>
        <v/>
      </c>
      <c r="AY148" s="12" t="str">
        <f aca="false">IF(AE148=0,"",IF(AN148="FT",IF(AV148&lt;FT_First,0,IF(AV148&lt;FT_Y5,1+INT((AV148-FT_First)/FT_Int1),FT_PreY5+FT_PerYear*INT((AV148-FT_Y5)/12)+FT_AnnivDays+INT(MOD(AV148-FT_Y5,12)/FT_Int2))),IF(AN148="PT",IF(AV148&lt;PT_First,0,1+INT((AV148-PT_First)/PT_Int)),0))+IF(AND(AG148&gt;=2,AI148&lt;=PFYDate),IF(AO148="FT",IF(AW148&lt;FT_First,0,IF(AW148&lt;FT_Y5,1+INT((AW148-FT_First)/FT_Int1),FT_PreY5+FT_PerYear*INT((AW148-FT_Y5)/12)+FT_AnnivDays+INT(MOD(AW148-FT_Y5,12)/FT_Int2))),IF(AO148="PT",IF(AW148&lt;PT_First,0,1+INT((AW148-PT_First)/PT_Int)),0))-IF(AO148="FT",IF(AV148&lt;FT_First,0,IF(AV148&lt;FT_Y5,1+INT((AV148-FT_First)/FT_Int1),FT_PreY5+FT_PerYear*INT((AV148-FT_Y5)/12)+FT_AnnivDays+INT(MOD(AV148-FT_Y5,12)/FT_Int2))),IF(AO148="PT",IF(AV148&lt;PT_First,0,1+INT((AV148-PT_First)/PT_Int)),0)),0)+IF(AND(AG148&gt;=3,AJ148&lt;=PFYDate),IF(AP148="FT",IF(AU148&lt;FT_First,0,IF(AU148&lt;FT_Y5,1+INT((AU148-FT_First)/FT_Int1),FT_PreY5+FT_PerYear*INT((AU148-FT_Y5)/12)+FT_AnnivDays+INT(MOD(AU148-FT_Y5,12)/FT_Int2))),IF(AP148="PT",IF(AU148&lt;PT_First,0,1+INT((AU148-PT_First)/PT_Int)),0))-IF(AP148="FT",IF(AW148&lt;FT_First,0,IF(AW148&lt;FT_Y5,1+INT((AW148-FT_First)/FT_Int1),FT_PreY5+FT_PerYear*INT((AW148-FT_Y5)/12)+FT_AnnivDays+INT(MOD(AW148-FT_Y5,12)/FT_Int2))),IF(AP148="PT",IF(AW148&lt;PT_First,0,1+INT((AW148-PT_First)/PT_Int)),0)),0))</f>
        <v/>
      </c>
      <c r="AZ148" s="12" t="str">
        <f aca="false">IF(AE148=0,"",IF(AQ148="FT",IF(AR148&lt;FT_First,FT_First,IF(AR148&lt;FT_Y5,MIN(FT_Y5,FT_First+FT_Int1*(INT((AR148-FT_First)/FT_Int1)+1)),FT_Y5+12*INT((AR148-FT_Y5)/12)+FT_Int2*(INT(MOD(AR148-FT_Y5,12)/FT_Int2)+1))),IF(AQ148="PT",IF(AR148&lt;PT_First,PT_First,PT_First+PT_Int*(INT((AR148-PT_First)/PT_Int)+1)),"")))</f>
        <v/>
      </c>
      <c r="BA148" s="12" t="str">
        <f aca="false">IF(AE148=0,"",IF(NOT(LH_Ready),0,COUNTIFS(INDEX(LH_Data,0,LH_ColFirst),$A148,INDEX(LH_Data,0,LH_ColSur),$B148,INDEX(LH_Data,0,LH_ColCat),BonusCat)))</f>
        <v/>
      </c>
      <c r="BB148" s="12" t="str">
        <f aca="false">IF(AE148=0,"",IF(OR(NOT(LH_Ready),BA148=0),0,SUMPRODUCT(MAX((INDEX(LH_Data,0,LH_ColFirst)=$A148)*(INDEX(LH_Data,0,LH_ColSur)=$B148)*(INDEX(LH_Data,0,LH_ColCat)=BonusCat)*ROW(LH_Data)))))</f>
        <v/>
      </c>
    </row>
    <row r="149" customFormat="false" ht="15" hidden="false" customHeight="false" outlineLevel="0" collapsed="false">
      <c r="A149" s="15"/>
      <c r="B149" s="15"/>
      <c r="C149" s="15"/>
      <c r="D149" s="16"/>
      <c r="E149" s="10" t="str">
        <f aca="false">IF(OR(AE149=0,$D149=""),"",DATE(YEAR(AsOfDate)+IF(DATE(YEAR(AsOfDate),MONTH($D149),DAY($D149))&lt;=AsOfDate,1,0),MONTH($D149),DAY($D149)))</f>
        <v/>
      </c>
      <c r="F149" s="16"/>
      <c r="G149" s="16"/>
      <c r="H149" s="16"/>
      <c r="I149" s="16"/>
      <c r="J149" s="16"/>
      <c r="K149" s="10" t="str">
        <f aca="false">IF(AE149=0,"",DATE(YEAR(AsOfDate)+IF(DATE(YEAR(AsOfDate),MONTH($F149),DAY($F149))&lt;=AsOfDate,1,0),MONTH($F149),DAY($F149)))</f>
        <v/>
      </c>
      <c r="L149" s="11" t="str">
        <f aca="false">IF(AE149=0,"",ROUND((AsOfDate-$F149)/365.25,1))</f>
        <v/>
      </c>
      <c r="M149" s="12" t="str">
        <f aca="false">IF(AE149=0,"",IF(AsOfDate&lt;AF149,"-",DATEDIF(AF149,AsOfDate,"y")&amp;"y "&amp;DATEDIF(AF149,AsOfDate,"ym")&amp;"m "&amp;DATEDIF(AF149,AsOfDate,"md")&amp;"d"))</f>
        <v/>
      </c>
      <c r="N149" s="13" t="str">
        <f aca="false">IF(AE149=0,"",O149*HoursPerDay)</f>
        <v/>
      </c>
      <c r="O149" s="13" t="str">
        <f aca="false">IF(AE149=0,"",AX149)</f>
        <v/>
      </c>
      <c r="P149" s="17"/>
      <c r="Q149" s="12" t="str">
        <f aca="false">IF(AE149=0,"",IF(AG149&lt;2,"",AK149&amp;" to "&amp;AL149&amp;" on "&amp;TEXT(AI149,"dd/mm/yyyy")&amp;IF(AI149&gt;AsOfDate," (future)",IF(AN149=AO149,"",IF(AO149="None"," - STOPPED accruing",IF(AN149="None"," - now qualifying"," - pathway changed"))))&amp;IF(AG149&lt;3,"","; "&amp;AL149&amp;" to "&amp;AM149&amp;" on "&amp;TEXT(AJ149,"dd/mm/yyyy")&amp;IF(AJ149&gt;AsOfDate," (future)",IF(AO149=AP149,"",IF(AP149="None"," - STOPPED accruing",IF(AO149="None"," - now qualifying"," - pathway changed")))))))</f>
        <v/>
      </c>
      <c r="R149" s="12" t="str">
        <f aca="false">IF(AE149=0,"",IF(AQ149="None",IF(O149&gt;0,"No longer accruing","Not eligible - "&amp;IF(AND(OR(ISNUMBER(SEARCH("part",$C149)),UPPER(TRIM($C149))="PT",UPPER(TRIM($C149))="PTE"),$P149&lt;&gt;"",N($P149)&lt;PT_MinHours),"under "&amp;PT_MinHours&amp;" hrs",IF(IF($C149="","",IF(OR(ISNUMBER(SEARCH("full",$C149)),UPPER(TRIM($C149))="FT",UPPER(TRIM($C149))="FTE"),"Full-Time",IF(OR(ISNUMBER(SEARCH("part",$C149)),UPPER(TRIM($C149))="PT",UPPER(TRIM($C149))="PTE"),"Part-Time",IF(OR(ISNUMBER(SEARCH("cas",$C149)),UPPER(TRIM($C149))="CAS"),"Casual","Unknown"))))="Unknown","type not recognised",$C149))),IF(O149&gt;0,"Yes - accruing","Not yet - from "&amp;TEXT(S149,"dd/mm/yyyy"))))</f>
        <v/>
      </c>
      <c r="S149" s="10" t="str">
        <f aca="false">IF(AE149=0,"",IF(AQ149="None","",EDATE(AF149,AZ149)))</f>
        <v/>
      </c>
      <c r="T149" s="13" t="str">
        <f aca="false">IF(OR(AE149=0,W149=""),"",W149-U149+V149)</f>
        <v/>
      </c>
      <c r="U149" s="13" t="str">
        <f aca="false">IF(AE149=0,"",IF(NOT(LH_Ready),"",SUMIFS(INDEX(LH_Data,0,LH_ColAcc),INDEX(LH_Data,0,LH_ColFirst),$A149,INDEX(LH_Data,0,LH_ColSur),$B149,INDEX(LH_Data,0,LH_ColCat),BonusCat)*UnitFactor))</f>
        <v/>
      </c>
      <c r="V149" s="13" t="str">
        <f aca="false">IF(AE149=0,"",IF(NOT(LH_Ready),"",SUMIFS(INDEX(LH_Data,0,LH_ColTaken),INDEX(LH_Data,0,LH_ColFirst),$A149,INDEX(LH_Data,0,LH_ColSur),$B149,INDEX(LH_Data,0,LH_ColCat),BonusCat)*UnitFactor))</f>
        <v/>
      </c>
      <c r="W149" s="13" t="str">
        <f aca="false">IF(AE149=0,"",IF(NOT(LH_Ready),"",IF(BB149=0,0,INDEX(INDEX(LH_Data,0,LH_ColClose),BB149-1)*UnitFactor)))</f>
        <v/>
      </c>
      <c r="X149" s="13" t="str">
        <f aca="false">IF(AE149=0,"",(AX149-AY149)*HoursPerDay)</f>
        <v/>
      </c>
      <c r="Y149" s="13" t="str">
        <f aca="false">IF(AE149=0,"",IF(NOT(LH_Ready),"",IF(BA149=0,N149,X149-N(U149))))</f>
        <v/>
      </c>
      <c r="Z149" s="12" t="str">
        <f aca="false">IF(OR(AE149=0,Y149=""),"",IF(Y149&gt;0,"Yes","No"))</f>
        <v/>
      </c>
      <c r="AA149" s="12" t="str">
        <f aca="false">IF(AE149=0,IF(LEN($A149&amp;$B149)=0,"","FIX INPUT - StartDate missing"),IF(AD149&lt;&gt;"","FIX INPUT - "&amp;AD149,IF(NOT(LH_Ready),"Paste Leave History export (Settings must show YES)",IF(Y149&gt;0,"ACCRUE "&amp;ROUND(Y149,2)&amp;" hrs ("&amp;ROUND(Y149/HoursPerDay,2)&amp;" days)"&amp;IF(BA149=0," - no Bonus Leave in EH yet, full catch-up since start",""),IF(Y149&lt;0,"CHECK - EH accrued "&amp;ROUND(-Y149,2)&amp;""&amp;" hrs more than policy",IF(O149&gt;0,"OK - nothing to add",IF(AQ149="None",R149,"Not yet - first day on "&amp;TEXT(S149,"dd/mm/yyyy"))))))))</f>
        <v/>
      </c>
      <c r="AB149" s="13" t="str">
        <f aca="false">IF(OR(AE149=0,T149=""),"",AY149*HoursPerDay-T149)</f>
        <v/>
      </c>
      <c r="AC149" s="12" t="str">
        <f aca="false">IF(AE149=0,"",BA149)</f>
        <v/>
      </c>
      <c r="AD149" s="12" t="str">
        <f aca="false">IF(AE149=0,"",TRIM(IF(IF($C149="","",IF(OR(ISNUMBER(SEARCH("full",$C149)),UPPER(TRIM($C149))="FT",UPPER(TRIM($C149))="FTE"),"Full-Time",IF(OR(ISNUMBER(SEARCH("part",$C149)),UPPER(TRIM($C149))="PT",UPPER(TRIM($C149))="PTE"),"Part-Time",IF(OR(ISNUMBER(SEARCH("cas",$C149)),UPPER(TRIM($C149))="CAS"),"Casual","Unknown"))))="Unknown","EmploymentType not recognised - use Full-Time, Part-Time or Casual. ","")&amp;IF(AND(AG149&gt;=1,IF(AG149&gt;=3,AM149,IF(AG149=2,AL149,AK149))&lt;&gt;IF($C149="","",IF(OR(ISNUMBER(SEARCH("full",$C149)),UPPER(TRIM($C149))="FT",UPPER(TRIM($C149))="FTE"),"Full-Time",IF(OR(ISNUMBER(SEARCH("part",$C149)),UPPER(TRIM($C149))="PT",UPPER(TRIM($C149))="PTE"),"Part-Time",IF(OR(ISNUMBER(SEARCH("cas",$C149)),UPPER(TRIM($C149))="CAS"),"Casual","Unknown"))))),"EmploymentType does not match latest start date ("&amp;IF(AG149&gt;=3,AM149,IF(AG149=2,AL149,AK149))&amp;"). ","")&amp;IF(AND(AG149&gt;=1,AH149&lt;&gt;$F149),"Earliest type date should equal StartDate. ","")&amp;IF(AND(AG149&gt;=2,AH149=AI149),"Two types start on the same date. ","")&amp;IF(AND(OR(ISNUMBER(SEARCH("part",$C149)),UPPER(TRIM($C149))="PT",UPPER(TRIM($C149))="PTE"),$P149=""),"Part-time: enter PT Hrs/Week (blank = 24+). ","")))</f>
        <v/>
      </c>
      <c r="AE149" s="12" t="n">
        <f aca="false">IF(OR(LEN($A149&amp;$B149)=0,$F149=""),0,1)</f>
        <v>0</v>
      </c>
      <c r="AF149" s="10" t="str">
        <f aca="false">IF(AE149=0,"",IF($J149&lt;&gt;"",$J149,$F149))</f>
        <v/>
      </c>
      <c r="AG149" s="12" t="str">
        <f aca="false">IF(AE149=0,"",COUNT($G149:$I149))</f>
        <v/>
      </c>
      <c r="AH149" s="10" t="str">
        <f aca="false">IF(AE149=0,"",IFERROR(SMALL($G149:$I149,1),""))</f>
        <v/>
      </c>
      <c r="AI149" s="10" t="str">
        <f aca="false">IF(AE149=0,"",IFERROR(SMALL($G149:$I149,2),""))</f>
        <v/>
      </c>
      <c r="AJ149" s="10" t="str">
        <f aca="false">IF(AE149=0,"",IFERROR(SMALL($G149:$I149,3),""))</f>
        <v/>
      </c>
      <c r="AK149" s="12" t="str">
        <f aca="false">IF(AE149=0,"",IF(AH149="","",IF(AH149=$G149,"Part-Time",IF(AH149=$H149,"Full-Time","Casual"))))</f>
        <v/>
      </c>
      <c r="AL149" s="12" t="str">
        <f aca="false">IF(AE149=0,"",IF(AI149="","",IF(AI149=$G149,"Part-Time",IF(AI149=$H149,"Full-Time","Casual"))))</f>
        <v/>
      </c>
      <c r="AM149" s="12" t="str">
        <f aca="false">IF(AE149=0,"",IF(AJ149="","",IF(AJ149=$G149,"Part-Time",IF(AJ149=$H149,"Full-Time","Casual"))))</f>
        <v/>
      </c>
      <c r="AN149" s="12" t="str">
        <f aca="false">IF(AE149=0,"",IF(AG149=0,IF(OR(ISNUMBER(SEARCH("full",$C149)),UPPER(TRIM($C149))="FT",UPPER(TRIM($C149))="FTE"),"FT",IF(AND(OR(ISNUMBER(SEARCH("part",$C149)),UPPER(TRIM($C149))="PT",UPPER(TRIM($C149))="PTE"),OR($P149="",N($P149)&gt;=PT_MinHours)),"PT","None")),IF(OR(ISNUMBER(SEARCH("full",AK149)),UPPER(TRIM(AK149))="FT",UPPER(TRIM(AK149))="FTE"),"FT",IF(AND(OR(ISNUMBER(SEARCH("part",AK149)),UPPER(TRIM(AK149))="PT",UPPER(TRIM(AK149))="PTE"),OR($P149="",N($P149)&gt;=PT_MinHours)),"PT","None"))))</f>
        <v/>
      </c>
      <c r="AO149" s="12" t="str">
        <f aca="false">IF(AE149=0,"",IF(AG149&lt;2,"",IF(OR(ISNUMBER(SEARCH("full",AL149)),UPPER(TRIM(AL149))="FT",UPPER(TRIM(AL149))="FTE"),"FT",IF(AND(OR(ISNUMBER(SEARCH("part",AL149)),UPPER(TRIM(AL149))="PT",UPPER(TRIM(AL149))="PTE"),OR($P149="",N($P149)&gt;=PT_MinHours)),"PT","None"))))</f>
        <v/>
      </c>
      <c r="AP149" s="12" t="str">
        <f aca="false">IF(AE149=0,"",IF(AG149&lt;3,"",IF(OR(ISNUMBER(SEARCH("full",AM149)),UPPER(TRIM(AM149))="FT",UPPER(TRIM(AM149))="FTE"),"FT",IF(AND(OR(ISNUMBER(SEARCH("part",AM149)),UPPER(TRIM(AM149))="PT",UPPER(TRIM(AM149))="PTE"),OR($P149="",N($P149)&gt;=PT_MinHours)),"PT","None"))))</f>
        <v/>
      </c>
      <c r="AQ149" s="12" t="str">
        <f aca="false">IF(AE149=0,"",IF(AND(AG149&gt;=3,AJ149&lt;=AsOfDate),AP149,IF(AND(AG149&gt;=2,AI149&lt;=AsOfDate),AO149,AN149)))</f>
        <v/>
      </c>
      <c r="AR149" s="12" t="str">
        <f aca="false">IF(AE149=0,"",IF(AsOfDate&lt;AF149,-1,12*(YEAR(AsOfDate)-YEAR(AF149))+MONTH(AsOfDate)-MONTH(AF149)-IF(DAY(AsOfDate)&lt;MIN(DAY(AF149),DAY(EOMONTH(AsOfDate,0))),1,0)))</f>
        <v/>
      </c>
      <c r="AS149" s="12" t="str">
        <f aca="false">IF(AE149=0,"",IF(OR(AG149&lt;2,AI149&gt;AsOfDate),AR149,IF((AI149-1)&lt;AF149,-1,12*(YEAR((AI149-1))-YEAR(AF149))+MONTH((AI149-1))-MONTH(AF149)-IF(DAY((AI149-1))&lt;MIN(DAY(AF149),DAY(EOMONTH((AI149-1),0))),1,0))))</f>
        <v/>
      </c>
      <c r="AT149" s="12" t="str">
        <f aca="false">IF(AE149=0,"",IF(OR(AG149&lt;3,AJ149&gt;AsOfDate),AR149,IF((AJ149-1)&lt;AF149,-1,12*(YEAR((AJ149-1))-YEAR(AF149))+MONTH((AJ149-1))-MONTH(AF149)-IF(DAY((AJ149-1))&lt;MIN(DAY(AF149),DAY(EOMONTH((AJ149-1),0))),1,0))))</f>
        <v/>
      </c>
      <c r="AU149" s="12" t="str">
        <f aca="false">IF(AE149=0,"",IF(PFYDate&lt;AF149,-1,12*(YEAR(PFYDate)-YEAR(AF149))+MONTH(PFYDate)-MONTH(AF149)-IF(DAY(PFYDate)&lt;MIN(DAY(AF149),DAY(EOMONTH(PFYDate,0))),1,0)))</f>
        <v/>
      </c>
      <c r="AV149" s="12" t="str">
        <f aca="false">IF(AE149=0,"",IF(OR(AG149&lt;2,AI149&gt;PFYDate),AU149,IF((AI149-1)&lt;AF149,-1,12*(YEAR((AI149-1))-YEAR(AF149))+MONTH((AI149-1))-MONTH(AF149)-IF(DAY((AI149-1))&lt;MIN(DAY(AF149),DAY(EOMONTH((AI149-1),0))),1,0))))</f>
        <v/>
      </c>
      <c r="AW149" s="12" t="str">
        <f aca="false">IF(AE149=0,"",IF(OR(AG149&lt;3,AJ149&gt;PFYDate),AU149,IF((AJ149-1)&lt;AF149,-1,12*(YEAR((AJ149-1))-YEAR(AF149))+MONTH((AJ149-1))-MONTH(AF149)-IF(DAY((AJ149-1))&lt;MIN(DAY(AF149),DAY(EOMONTH((AJ149-1),0))),1,0))))</f>
        <v/>
      </c>
      <c r="AX149" s="12" t="str">
        <f aca="false">IF(AE149=0,"",IF(AN149="FT",IF(AS149&lt;FT_First,0,IF(AS149&lt;FT_Y5,1+INT((AS149-FT_First)/FT_Int1),FT_PreY5+FT_PerYear*INT((AS149-FT_Y5)/12)+FT_AnnivDays+INT(MOD(AS149-FT_Y5,12)/FT_Int2))),IF(AN149="PT",IF(AS149&lt;PT_First,0,1+INT((AS149-PT_First)/PT_Int)),0))+IF(AND(AG149&gt;=2,AI149&lt;=AsOfDate),IF(AO149="FT",IF(AT149&lt;FT_First,0,IF(AT149&lt;FT_Y5,1+INT((AT149-FT_First)/FT_Int1),FT_PreY5+FT_PerYear*INT((AT149-FT_Y5)/12)+FT_AnnivDays+INT(MOD(AT149-FT_Y5,12)/FT_Int2))),IF(AO149="PT",IF(AT149&lt;PT_First,0,1+INT((AT149-PT_First)/PT_Int)),0))-IF(AO149="FT",IF(AS149&lt;FT_First,0,IF(AS149&lt;FT_Y5,1+INT((AS149-FT_First)/FT_Int1),FT_PreY5+FT_PerYear*INT((AS149-FT_Y5)/12)+FT_AnnivDays+INT(MOD(AS149-FT_Y5,12)/FT_Int2))),IF(AO149="PT",IF(AS149&lt;PT_First,0,1+INT((AS149-PT_First)/PT_Int)),0)),0)+IF(AND(AG149&gt;=3,AJ149&lt;=AsOfDate),IF(AP149="FT",IF(AR149&lt;FT_First,0,IF(AR149&lt;FT_Y5,1+INT((AR149-FT_First)/FT_Int1),FT_PreY5+FT_PerYear*INT((AR149-FT_Y5)/12)+FT_AnnivDays+INT(MOD(AR149-FT_Y5,12)/FT_Int2))),IF(AP149="PT",IF(AR149&lt;PT_First,0,1+INT((AR149-PT_First)/PT_Int)),0))-IF(AP149="FT",IF(AT149&lt;FT_First,0,IF(AT149&lt;FT_Y5,1+INT((AT149-FT_First)/FT_Int1),FT_PreY5+FT_PerYear*INT((AT149-FT_Y5)/12)+FT_AnnivDays+INT(MOD(AT149-FT_Y5,12)/FT_Int2))),IF(AP149="PT",IF(AT149&lt;PT_First,0,1+INT((AT149-PT_First)/PT_Int)),0)),0))</f>
        <v/>
      </c>
      <c r="AY149" s="12" t="str">
        <f aca="false">IF(AE149=0,"",IF(AN149="FT",IF(AV149&lt;FT_First,0,IF(AV149&lt;FT_Y5,1+INT((AV149-FT_First)/FT_Int1),FT_PreY5+FT_PerYear*INT((AV149-FT_Y5)/12)+FT_AnnivDays+INT(MOD(AV149-FT_Y5,12)/FT_Int2))),IF(AN149="PT",IF(AV149&lt;PT_First,0,1+INT((AV149-PT_First)/PT_Int)),0))+IF(AND(AG149&gt;=2,AI149&lt;=PFYDate),IF(AO149="FT",IF(AW149&lt;FT_First,0,IF(AW149&lt;FT_Y5,1+INT((AW149-FT_First)/FT_Int1),FT_PreY5+FT_PerYear*INT((AW149-FT_Y5)/12)+FT_AnnivDays+INT(MOD(AW149-FT_Y5,12)/FT_Int2))),IF(AO149="PT",IF(AW149&lt;PT_First,0,1+INT((AW149-PT_First)/PT_Int)),0))-IF(AO149="FT",IF(AV149&lt;FT_First,0,IF(AV149&lt;FT_Y5,1+INT((AV149-FT_First)/FT_Int1),FT_PreY5+FT_PerYear*INT((AV149-FT_Y5)/12)+FT_AnnivDays+INT(MOD(AV149-FT_Y5,12)/FT_Int2))),IF(AO149="PT",IF(AV149&lt;PT_First,0,1+INT((AV149-PT_First)/PT_Int)),0)),0)+IF(AND(AG149&gt;=3,AJ149&lt;=PFYDate),IF(AP149="FT",IF(AU149&lt;FT_First,0,IF(AU149&lt;FT_Y5,1+INT((AU149-FT_First)/FT_Int1),FT_PreY5+FT_PerYear*INT((AU149-FT_Y5)/12)+FT_AnnivDays+INT(MOD(AU149-FT_Y5,12)/FT_Int2))),IF(AP149="PT",IF(AU149&lt;PT_First,0,1+INT((AU149-PT_First)/PT_Int)),0))-IF(AP149="FT",IF(AW149&lt;FT_First,0,IF(AW149&lt;FT_Y5,1+INT((AW149-FT_First)/FT_Int1),FT_PreY5+FT_PerYear*INT((AW149-FT_Y5)/12)+FT_AnnivDays+INT(MOD(AW149-FT_Y5,12)/FT_Int2))),IF(AP149="PT",IF(AW149&lt;PT_First,0,1+INT((AW149-PT_First)/PT_Int)),0)),0))</f>
        <v/>
      </c>
      <c r="AZ149" s="12" t="str">
        <f aca="false">IF(AE149=0,"",IF(AQ149="FT",IF(AR149&lt;FT_First,FT_First,IF(AR149&lt;FT_Y5,MIN(FT_Y5,FT_First+FT_Int1*(INT((AR149-FT_First)/FT_Int1)+1)),FT_Y5+12*INT((AR149-FT_Y5)/12)+FT_Int2*(INT(MOD(AR149-FT_Y5,12)/FT_Int2)+1))),IF(AQ149="PT",IF(AR149&lt;PT_First,PT_First,PT_First+PT_Int*(INT((AR149-PT_First)/PT_Int)+1)),"")))</f>
        <v/>
      </c>
      <c r="BA149" s="12" t="str">
        <f aca="false">IF(AE149=0,"",IF(NOT(LH_Ready),0,COUNTIFS(INDEX(LH_Data,0,LH_ColFirst),$A149,INDEX(LH_Data,0,LH_ColSur),$B149,INDEX(LH_Data,0,LH_ColCat),BonusCat)))</f>
        <v/>
      </c>
      <c r="BB149" s="12" t="str">
        <f aca="false">IF(AE149=0,"",IF(OR(NOT(LH_Ready),BA149=0),0,SUMPRODUCT(MAX((INDEX(LH_Data,0,LH_ColFirst)=$A149)*(INDEX(LH_Data,0,LH_ColSur)=$B149)*(INDEX(LH_Data,0,LH_ColCat)=BonusCat)*ROW(LH_Data)))))</f>
        <v/>
      </c>
    </row>
    <row r="150" customFormat="false" ht="15" hidden="false" customHeight="false" outlineLevel="0" collapsed="false">
      <c r="A150" s="15"/>
      <c r="B150" s="15"/>
      <c r="C150" s="15"/>
      <c r="D150" s="16"/>
      <c r="E150" s="10" t="str">
        <f aca="false">IF(OR(AE150=0,$D150=""),"",DATE(YEAR(AsOfDate)+IF(DATE(YEAR(AsOfDate),MONTH($D150),DAY($D150))&lt;=AsOfDate,1,0),MONTH($D150),DAY($D150)))</f>
        <v/>
      </c>
      <c r="F150" s="16"/>
      <c r="G150" s="16"/>
      <c r="H150" s="16"/>
      <c r="I150" s="16"/>
      <c r="J150" s="16"/>
      <c r="K150" s="10" t="str">
        <f aca="false">IF(AE150=0,"",DATE(YEAR(AsOfDate)+IF(DATE(YEAR(AsOfDate),MONTH($F150),DAY($F150))&lt;=AsOfDate,1,0),MONTH($F150),DAY($F150)))</f>
        <v/>
      </c>
      <c r="L150" s="11" t="str">
        <f aca="false">IF(AE150=0,"",ROUND((AsOfDate-$F150)/365.25,1))</f>
        <v/>
      </c>
      <c r="M150" s="12" t="str">
        <f aca="false">IF(AE150=0,"",IF(AsOfDate&lt;AF150,"-",DATEDIF(AF150,AsOfDate,"y")&amp;"y "&amp;DATEDIF(AF150,AsOfDate,"ym")&amp;"m "&amp;DATEDIF(AF150,AsOfDate,"md")&amp;"d"))</f>
        <v/>
      </c>
      <c r="N150" s="13" t="str">
        <f aca="false">IF(AE150=0,"",O150*HoursPerDay)</f>
        <v/>
      </c>
      <c r="O150" s="13" t="str">
        <f aca="false">IF(AE150=0,"",AX150)</f>
        <v/>
      </c>
      <c r="P150" s="17"/>
      <c r="Q150" s="12" t="str">
        <f aca="false">IF(AE150=0,"",IF(AG150&lt;2,"",AK150&amp;" to "&amp;AL150&amp;" on "&amp;TEXT(AI150,"dd/mm/yyyy")&amp;IF(AI150&gt;AsOfDate," (future)",IF(AN150=AO150,"",IF(AO150="None"," - STOPPED accruing",IF(AN150="None"," - now qualifying"," - pathway changed"))))&amp;IF(AG150&lt;3,"","; "&amp;AL150&amp;" to "&amp;AM150&amp;" on "&amp;TEXT(AJ150,"dd/mm/yyyy")&amp;IF(AJ150&gt;AsOfDate," (future)",IF(AO150=AP150,"",IF(AP150="None"," - STOPPED accruing",IF(AO150="None"," - now qualifying"," - pathway changed")))))))</f>
        <v/>
      </c>
      <c r="R150" s="12" t="str">
        <f aca="false">IF(AE150=0,"",IF(AQ150="None",IF(O150&gt;0,"No longer accruing","Not eligible - "&amp;IF(AND(OR(ISNUMBER(SEARCH("part",$C150)),UPPER(TRIM($C150))="PT",UPPER(TRIM($C150))="PTE"),$P150&lt;&gt;"",N($P150)&lt;PT_MinHours),"under "&amp;PT_MinHours&amp;" hrs",IF(IF($C150="","",IF(OR(ISNUMBER(SEARCH("full",$C150)),UPPER(TRIM($C150))="FT",UPPER(TRIM($C150))="FTE"),"Full-Time",IF(OR(ISNUMBER(SEARCH("part",$C150)),UPPER(TRIM($C150))="PT",UPPER(TRIM($C150))="PTE"),"Part-Time",IF(OR(ISNUMBER(SEARCH("cas",$C150)),UPPER(TRIM($C150))="CAS"),"Casual","Unknown"))))="Unknown","type not recognised",$C150))),IF(O150&gt;0,"Yes - accruing","Not yet - from "&amp;TEXT(S150,"dd/mm/yyyy"))))</f>
        <v/>
      </c>
      <c r="S150" s="10" t="str">
        <f aca="false">IF(AE150=0,"",IF(AQ150="None","",EDATE(AF150,AZ150)))</f>
        <v/>
      </c>
      <c r="T150" s="13" t="str">
        <f aca="false">IF(OR(AE150=0,W150=""),"",W150-U150+V150)</f>
        <v/>
      </c>
      <c r="U150" s="13" t="str">
        <f aca="false">IF(AE150=0,"",IF(NOT(LH_Ready),"",SUMIFS(INDEX(LH_Data,0,LH_ColAcc),INDEX(LH_Data,0,LH_ColFirst),$A150,INDEX(LH_Data,0,LH_ColSur),$B150,INDEX(LH_Data,0,LH_ColCat),BonusCat)*UnitFactor))</f>
        <v/>
      </c>
      <c r="V150" s="13" t="str">
        <f aca="false">IF(AE150=0,"",IF(NOT(LH_Ready),"",SUMIFS(INDEX(LH_Data,0,LH_ColTaken),INDEX(LH_Data,0,LH_ColFirst),$A150,INDEX(LH_Data,0,LH_ColSur),$B150,INDEX(LH_Data,0,LH_ColCat),BonusCat)*UnitFactor))</f>
        <v/>
      </c>
      <c r="W150" s="13" t="str">
        <f aca="false">IF(AE150=0,"",IF(NOT(LH_Ready),"",IF(BB150=0,0,INDEX(INDEX(LH_Data,0,LH_ColClose),BB150-1)*UnitFactor)))</f>
        <v/>
      </c>
      <c r="X150" s="13" t="str">
        <f aca="false">IF(AE150=0,"",(AX150-AY150)*HoursPerDay)</f>
        <v/>
      </c>
      <c r="Y150" s="13" t="str">
        <f aca="false">IF(AE150=0,"",IF(NOT(LH_Ready),"",IF(BA150=0,N150,X150-N(U150))))</f>
        <v/>
      </c>
      <c r="Z150" s="12" t="str">
        <f aca="false">IF(OR(AE150=0,Y150=""),"",IF(Y150&gt;0,"Yes","No"))</f>
        <v/>
      </c>
      <c r="AA150" s="12" t="str">
        <f aca="false">IF(AE150=0,IF(LEN($A150&amp;$B150)=0,"","FIX INPUT - StartDate missing"),IF(AD150&lt;&gt;"","FIX INPUT - "&amp;AD150,IF(NOT(LH_Ready),"Paste Leave History export (Settings must show YES)",IF(Y150&gt;0,"ACCRUE "&amp;ROUND(Y150,2)&amp;" hrs ("&amp;ROUND(Y150/HoursPerDay,2)&amp;" days)"&amp;IF(BA150=0," - no Bonus Leave in EH yet, full catch-up since start",""),IF(Y150&lt;0,"CHECK - EH accrued "&amp;ROUND(-Y150,2)&amp;""&amp;" hrs more than policy",IF(O150&gt;0,"OK - nothing to add",IF(AQ150="None",R150,"Not yet - first day on "&amp;TEXT(S150,"dd/mm/yyyy"))))))))</f>
        <v/>
      </c>
      <c r="AB150" s="13" t="str">
        <f aca="false">IF(OR(AE150=0,T150=""),"",AY150*HoursPerDay-T150)</f>
        <v/>
      </c>
      <c r="AC150" s="12" t="str">
        <f aca="false">IF(AE150=0,"",BA150)</f>
        <v/>
      </c>
      <c r="AD150" s="12" t="str">
        <f aca="false">IF(AE150=0,"",TRIM(IF(IF($C150="","",IF(OR(ISNUMBER(SEARCH("full",$C150)),UPPER(TRIM($C150))="FT",UPPER(TRIM($C150))="FTE"),"Full-Time",IF(OR(ISNUMBER(SEARCH("part",$C150)),UPPER(TRIM($C150))="PT",UPPER(TRIM($C150))="PTE"),"Part-Time",IF(OR(ISNUMBER(SEARCH("cas",$C150)),UPPER(TRIM($C150))="CAS"),"Casual","Unknown"))))="Unknown","EmploymentType not recognised - use Full-Time, Part-Time or Casual. ","")&amp;IF(AND(AG150&gt;=1,IF(AG150&gt;=3,AM150,IF(AG150=2,AL150,AK150))&lt;&gt;IF($C150="","",IF(OR(ISNUMBER(SEARCH("full",$C150)),UPPER(TRIM($C150))="FT",UPPER(TRIM($C150))="FTE"),"Full-Time",IF(OR(ISNUMBER(SEARCH("part",$C150)),UPPER(TRIM($C150))="PT",UPPER(TRIM($C150))="PTE"),"Part-Time",IF(OR(ISNUMBER(SEARCH("cas",$C150)),UPPER(TRIM($C150))="CAS"),"Casual","Unknown"))))),"EmploymentType does not match latest start date ("&amp;IF(AG150&gt;=3,AM150,IF(AG150=2,AL150,AK150))&amp;"). ","")&amp;IF(AND(AG150&gt;=1,AH150&lt;&gt;$F150),"Earliest type date should equal StartDate. ","")&amp;IF(AND(AG150&gt;=2,AH150=AI150),"Two types start on the same date. ","")&amp;IF(AND(OR(ISNUMBER(SEARCH("part",$C150)),UPPER(TRIM($C150))="PT",UPPER(TRIM($C150))="PTE"),$P150=""),"Part-time: enter PT Hrs/Week (blank = 24+). ","")))</f>
        <v/>
      </c>
      <c r="AE150" s="12" t="n">
        <f aca="false">IF(OR(LEN($A150&amp;$B150)=0,$F150=""),0,1)</f>
        <v>0</v>
      </c>
      <c r="AF150" s="10" t="str">
        <f aca="false">IF(AE150=0,"",IF($J150&lt;&gt;"",$J150,$F150))</f>
        <v/>
      </c>
      <c r="AG150" s="12" t="str">
        <f aca="false">IF(AE150=0,"",COUNT($G150:$I150))</f>
        <v/>
      </c>
      <c r="AH150" s="10" t="str">
        <f aca="false">IF(AE150=0,"",IFERROR(SMALL($G150:$I150,1),""))</f>
        <v/>
      </c>
      <c r="AI150" s="10" t="str">
        <f aca="false">IF(AE150=0,"",IFERROR(SMALL($G150:$I150,2),""))</f>
        <v/>
      </c>
      <c r="AJ150" s="10" t="str">
        <f aca="false">IF(AE150=0,"",IFERROR(SMALL($G150:$I150,3),""))</f>
        <v/>
      </c>
      <c r="AK150" s="12" t="str">
        <f aca="false">IF(AE150=0,"",IF(AH150="","",IF(AH150=$G150,"Part-Time",IF(AH150=$H150,"Full-Time","Casual"))))</f>
        <v/>
      </c>
      <c r="AL150" s="12" t="str">
        <f aca="false">IF(AE150=0,"",IF(AI150="","",IF(AI150=$G150,"Part-Time",IF(AI150=$H150,"Full-Time","Casual"))))</f>
        <v/>
      </c>
      <c r="AM150" s="12" t="str">
        <f aca="false">IF(AE150=0,"",IF(AJ150="","",IF(AJ150=$G150,"Part-Time",IF(AJ150=$H150,"Full-Time","Casual"))))</f>
        <v/>
      </c>
      <c r="AN150" s="12" t="str">
        <f aca="false">IF(AE150=0,"",IF(AG150=0,IF(OR(ISNUMBER(SEARCH("full",$C150)),UPPER(TRIM($C150))="FT",UPPER(TRIM($C150))="FTE"),"FT",IF(AND(OR(ISNUMBER(SEARCH("part",$C150)),UPPER(TRIM($C150))="PT",UPPER(TRIM($C150))="PTE"),OR($P150="",N($P150)&gt;=PT_MinHours)),"PT","None")),IF(OR(ISNUMBER(SEARCH("full",AK150)),UPPER(TRIM(AK150))="FT",UPPER(TRIM(AK150))="FTE"),"FT",IF(AND(OR(ISNUMBER(SEARCH("part",AK150)),UPPER(TRIM(AK150))="PT",UPPER(TRIM(AK150))="PTE"),OR($P150="",N($P150)&gt;=PT_MinHours)),"PT","None"))))</f>
        <v/>
      </c>
      <c r="AO150" s="12" t="str">
        <f aca="false">IF(AE150=0,"",IF(AG150&lt;2,"",IF(OR(ISNUMBER(SEARCH("full",AL150)),UPPER(TRIM(AL150))="FT",UPPER(TRIM(AL150))="FTE"),"FT",IF(AND(OR(ISNUMBER(SEARCH("part",AL150)),UPPER(TRIM(AL150))="PT",UPPER(TRIM(AL150))="PTE"),OR($P150="",N($P150)&gt;=PT_MinHours)),"PT","None"))))</f>
        <v/>
      </c>
      <c r="AP150" s="12" t="str">
        <f aca="false">IF(AE150=0,"",IF(AG150&lt;3,"",IF(OR(ISNUMBER(SEARCH("full",AM150)),UPPER(TRIM(AM150))="FT",UPPER(TRIM(AM150))="FTE"),"FT",IF(AND(OR(ISNUMBER(SEARCH("part",AM150)),UPPER(TRIM(AM150))="PT",UPPER(TRIM(AM150))="PTE"),OR($P150="",N($P150)&gt;=PT_MinHours)),"PT","None"))))</f>
        <v/>
      </c>
      <c r="AQ150" s="12" t="str">
        <f aca="false">IF(AE150=0,"",IF(AND(AG150&gt;=3,AJ150&lt;=AsOfDate),AP150,IF(AND(AG150&gt;=2,AI150&lt;=AsOfDate),AO150,AN150)))</f>
        <v/>
      </c>
      <c r="AR150" s="12" t="str">
        <f aca="false">IF(AE150=0,"",IF(AsOfDate&lt;AF150,-1,12*(YEAR(AsOfDate)-YEAR(AF150))+MONTH(AsOfDate)-MONTH(AF150)-IF(DAY(AsOfDate)&lt;MIN(DAY(AF150),DAY(EOMONTH(AsOfDate,0))),1,0)))</f>
        <v/>
      </c>
      <c r="AS150" s="12" t="str">
        <f aca="false">IF(AE150=0,"",IF(OR(AG150&lt;2,AI150&gt;AsOfDate),AR150,IF((AI150-1)&lt;AF150,-1,12*(YEAR((AI150-1))-YEAR(AF150))+MONTH((AI150-1))-MONTH(AF150)-IF(DAY((AI150-1))&lt;MIN(DAY(AF150),DAY(EOMONTH((AI150-1),0))),1,0))))</f>
        <v/>
      </c>
      <c r="AT150" s="12" t="str">
        <f aca="false">IF(AE150=0,"",IF(OR(AG150&lt;3,AJ150&gt;AsOfDate),AR150,IF((AJ150-1)&lt;AF150,-1,12*(YEAR((AJ150-1))-YEAR(AF150))+MONTH((AJ150-1))-MONTH(AF150)-IF(DAY((AJ150-1))&lt;MIN(DAY(AF150),DAY(EOMONTH((AJ150-1),0))),1,0))))</f>
        <v/>
      </c>
      <c r="AU150" s="12" t="str">
        <f aca="false">IF(AE150=0,"",IF(PFYDate&lt;AF150,-1,12*(YEAR(PFYDate)-YEAR(AF150))+MONTH(PFYDate)-MONTH(AF150)-IF(DAY(PFYDate)&lt;MIN(DAY(AF150),DAY(EOMONTH(PFYDate,0))),1,0)))</f>
        <v/>
      </c>
      <c r="AV150" s="12" t="str">
        <f aca="false">IF(AE150=0,"",IF(OR(AG150&lt;2,AI150&gt;PFYDate),AU150,IF((AI150-1)&lt;AF150,-1,12*(YEAR((AI150-1))-YEAR(AF150))+MONTH((AI150-1))-MONTH(AF150)-IF(DAY((AI150-1))&lt;MIN(DAY(AF150),DAY(EOMONTH((AI150-1),0))),1,0))))</f>
        <v/>
      </c>
      <c r="AW150" s="12" t="str">
        <f aca="false">IF(AE150=0,"",IF(OR(AG150&lt;3,AJ150&gt;PFYDate),AU150,IF((AJ150-1)&lt;AF150,-1,12*(YEAR((AJ150-1))-YEAR(AF150))+MONTH((AJ150-1))-MONTH(AF150)-IF(DAY((AJ150-1))&lt;MIN(DAY(AF150),DAY(EOMONTH((AJ150-1),0))),1,0))))</f>
        <v/>
      </c>
      <c r="AX150" s="12" t="str">
        <f aca="false">IF(AE150=0,"",IF(AN150="FT",IF(AS150&lt;FT_First,0,IF(AS150&lt;FT_Y5,1+INT((AS150-FT_First)/FT_Int1),FT_PreY5+FT_PerYear*INT((AS150-FT_Y5)/12)+FT_AnnivDays+INT(MOD(AS150-FT_Y5,12)/FT_Int2))),IF(AN150="PT",IF(AS150&lt;PT_First,0,1+INT((AS150-PT_First)/PT_Int)),0))+IF(AND(AG150&gt;=2,AI150&lt;=AsOfDate),IF(AO150="FT",IF(AT150&lt;FT_First,0,IF(AT150&lt;FT_Y5,1+INT((AT150-FT_First)/FT_Int1),FT_PreY5+FT_PerYear*INT((AT150-FT_Y5)/12)+FT_AnnivDays+INT(MOD(AT150-FT_Y5,12)/FT_Int2))),IF(AO150="PT",IF(AT150&lt;PT_First,0,1+INT((AT150-PT_First)/PT_Int)),0))-IF(AO150="FT",IF(AS150&lt;FT_First,0,IF(AS150&lt;FT_Y5,1+INT((AS150-FT_First)/FT_Int1),FT_PreY5+FT_PerYear*INT((AS150-FT_Y5)/12)+FT_AnnivDays+INT(MOD(AS150-FT_Y5,12)/FT_Int2))),IF(AO150="PT",IF(AS150&lt;PT_First,0,1+INT((AS150-PT_First)/PT_Int)),0)),0)+IF(AND(AG150&gt;=3,AJ150&lt;=AsOfDate),IF(AP150="FT",IF(AR150&lt;FT_First,0,IF(AR150&lt;FT_Y5,1+INT((AR150-FT_First)/FT_Int1),FT_PreY5+FT_PerYear*INT((AR150-FT_Y5)/12)+FT_AnnivDays+INT(MOD(AR150-FT_Y5,12)/FT_Int2))),IF(AP150="PT",IF(AR150&lt;PT_First,0,1+INT((AR150-PT_First)/PT_Int)),0))-IF(AP150="FT",IF(AT150&lt;FT_First,0,IF(AT150&lt;FT_Y5,1+INT((AT150-FT_First)/FT_Int1),FT_PreY5+FT_PerYear*INT((AT150-FT_Y5)/12)+FT_AnnivDays+INT(MOD(AT150-FT_Y5,12)/FT_Int2))),IF(AP150="PT",IF(AT150&lt;PT_First,0,1+INT((AT150-PT_First)/PT_Int)),0)),0))</f>
        <v/>
      </c>
      <c r="AY150" s="12" t="str">
        <f aca="false">IF(AE150=0,"",IF(AN150="FT",IF(AV150&lt;FT_First,0,IF(AV150&lt;FT_Y5,1+INT((AV150-FT_First)/FT_Int1),FT_PreY5+FT_PerYear*INT((AV150-FT_Y5)/12)+FT_AnnivDays+INT(MOD(AV150-FT_Y5,12)/FT_Int2))),IF(AN150="PT",IF(AV150&lt;PT_First,0,1+INT((AV150-PT_First)/PT_Int)),0))+IF(AND(AG150&gt;=2,AI150&lt;=PFYDate),IF(AO150="FT",IF(AW150&lt;FT_First,0,IF(AW150&lt;FT_Y5,1+INT((AW150-FT_First)/FT_Int1),FT_PreY5+FT_PerYear*INT((AW150-FT_Y5)/12)+FT_AnnivDays+INT(MOD(AW150-FT_Y5,12)/FT_Int2))),IF(AO150="PT",IF(AW150&lt;PT_First,0,1+INT((AW150-PT_First)/PT_Int)),0))-IF(AO150="FT",IF(AV150&lt;FT_First,0,IF(AV150&lt;FT_Y5,1+INT((AV150-FT_First)/FT_Int1),FT_PreY5+FT_PerYear*INT((AV150-FT_Y5)/12)+FT_AnnivDays+INT(MOD(AV150-FT_Y5,12)/FT_Int2))),IF(AO150="PT",IF(AV150&lt;PT_First,0,1+INT((AV150-PT_First)/PT_Int)),0)),0)+IF(AND(AG150&gt;=3,AJ150&lt;=PFYDate),IF(AP150="FT",IF(AU150&lt;FT_First,0,IF(AU150&lt;FT_Y5,1+INT((AU150-FT_First)/FT_Int1),FT_PreY5+FT_PerYear*INT((AU150-FT_Y5)/12)+FT_AnnivDays+INT(MOD(AU150-FT_Y5,12)/FT_Int2))),IF(AP150="PT",IF(AU150&lt;PT_First,0,1+INT((AU150-PT_First)/PT_Int)),0))-IF(AP150="FT",IF(AW150&lt;FT_First,0,IF(AW150&lt;FT_Y5,1+INT((AW150-FT_First)/FT_Int1),FT_PreY5+FT_PerYear*INT((AW150-FT_Y5)/12)+FT_AnnivDays+INT(MOD(AW150-FT_Y5,12)/FT_Int2))),IF(AP150="PT",IF(AW150&lt;PT_First,0,1+INT((AW150-PT_First)/PT_Int)),0)),0))</f>
        <v/>
      </c>
      <c r="AZ150" s="12" t="str">
        <f aca="false">IF(AE150=0,"",IF(AQ150="FT",IF(AR150&lt;FT_First,FT_First,IF(AR150&lt;FT_Y5,MIN(FT_Y5,FT_First+FT_Int1*(INT((AR150-FT_First)/FT_Int1)+1)),FT_Y5+12*INT((AR150-FT_Y5)/12)+FT_Int2*(INT(MOD(AR150-FT_Y5,12)/FT_Int2)+1))),IF(AQ150="PT",IF(AR150&lt;PT_First,PT_First,PT_First+PT_Int*(INT((AR150-PT_First)/PT_Int)+1)),"")))</f>
        <v/>
      </c>
      <c r="BA150" s="12" t="str">
        <f aca="false">IF(AE150=0,"",IF(NOT(LH_Ready),0,COUNTIFS(INDEX(LH_Data,0,LH_ColFirst),$A150,INDEX(LH_Data,0,LH_ColSur),$B150,INDEX(LH_Data,0,LH_ColCat),BonusCat)))</f>
        <v/>
      </c>
      <c r="BB150" s="12" t="str">
        <f aca="false">IF(AE150=0,"",IF(OR(NOT(LH_Ready),BA150=0),0,SUMPRODUCT(MAX((INDEX(LH_Data,0,LH_ColFirst)=$A150)*(INDEX(LH_Data,0,LH_ColSur)=$B150)*(INDEX(LH_Data,0,LH_ColCat)=BonusCat)*ROW(LH_Data)))))</f>
        <v/>
      </c>
    </row>
    <row r="151" customFormat="false" ht="15" hidden="false" customHeight="false" outlineLevel="0" collapsed="false">
      <c r="A151" s="15"/>
      <c r="B151" s="15"/>
      <c r="C151" s="15"/>
      <c r="D151" s="16"/>
      <c r="E151" s="10" t="str">
        <f aca="false">IF(OR(AE151=0,$D151=""),"",DATE(YEAR(AsOfDate)+IF(DATE(YEAR(AsOfDate),MONTH($D151),DAY($D151))&lt;=AsOfDate,1,0),MONTH($D151),DAY($D151)))</f>
        <v/>
      </c>
      <c r="F151" s="16"/>
      <c r="G151" s="16"/>
      <c r="H151" s="16"/>
      <c r="I151" s="16"/>
      <c r="J151" s="16"/>
      <c r="K151" s="10" t="str">
        <f aca="false">IF(AE151=0,"",DATE(YEAR(AsOfDate)+IF(DATE(YEAR(AsOfDate),MONTH($F151),DAY($F151))&lt;=AsOfDate,1,0),MONTH($F151),DAY($F151)))</f>
        <v/>
      </c>
      <c r="L151" s="11" t="str">
        <f aca="false">IF(AE151=0,"",ROUND((AsOfDate-$F151)/365.25,1))</f>
        <v/>
      </c>
      <c r="M151" s="12" t="str">
        <f aca="false">IF(AE151=0,"",IF(AsOfDate&lt;AF151,"-",DATEDIF(AF151,AsOfDate,"y")&amp;"y "&amp;DATEDIF(AF151,AsOfDate,"ym")&amp;"m "&amp;DATEDIF(AF151,AsOfDate,"md")&amp;"d"))</f>
        <v/>
      </c>
      <c r="N151" s="13" t="str">
        <f aca="false">IF(AE151=0,"",O151*HoursPerDay)</f>
        <v/>
      </c>
      <c r="O151" s="13" t="str">
        <f aca="false">IF(AE151=0,"",AX151)</f>
        <v/>
      </c>
      <c r="P151" s="17"/>
      <c r="Q151" s="12" t="str">
        <f aca="false">IF(AE151=0,"",IF(AG151&lt;2,"",AK151&amp;" to "&amp;AL151&amp;" on "&amp;TEXT(AI151,"dd/mm/yyyy")&amp;IF(AI151&gt;AsOfDate," (future)",IF(AN151=AO151,"",IF(AO151="None"," - STOPPED accruing",IF(AN151="None"," - now qualifying"," - pathway changed"))))&amp;IF(AG151&lt;3,"","; "&amp;AL151&amp;" to "&amp;AM151&amp;" on "&amp;TEXT(AJ151,"dd/mm/yyyy")&amp;IF(AJ151&gt;AsOfDate," (future)",IF(AO151=AP151,"",IF(AP151="None"," - STOPPED accruing",IF(AO151="None"," - now qualifying"," - pathway changed")))))))</f>
        <v/>
      </c>
      <c r="R151" s="12" t="str">
        <f aca="false">IF(AE151=0,"",IF(AQ151="None",IF(O151&gt;0,"No longer accruing","Not eligible - "&amp;IF(AND(OR(ISNUMBER(SEARCH("part",$C151)),UPPER(TRIM($C151))="PT",UPPER(TRIM($C151))="PTE"),$P151&lt;&gt;"",N($P151)&lt;PT_MinHours),"under "&amp;PT_MinHours&amp;" hrs",IF(IF($C151="","",IF(OR(ISNUMBER(SEARCH("full",$C151)),UPPER(TRIM($C151))="FT",UPPER(TRIM($C151))="FTE"),"Full-Time",IF(OR(ISNUMBER(SEARCH("part",$C151)),UPPER(TRIM($C151))="PT",UPPER(TRIM($C151))="PTE"),"Part-Time",IF(OR(ISNUMBER(SEARCH("cas",$C151)),UPPER(TRIM($C151))="CAS"),"Casual","Unknown"))))="Unknown","type not recognised",$C151))),IF(O151&gt;0,"Yes - accruing","Not yet - from "&amp;TEXT(S151,"dd/mm/yyyy"))))</f>
        <v/>
      </c>
      <c r="S151" s="10" t="str">
        <f aca="false">IF(AE151=0,"",IF(AQ151="None","",EDATE(AF151,AZ151)))</f>
        <v/>
      </c>
      <c r="T151" s="13" t="str">
        <f aca="false">IF(OR(AE151=0,W151=""),"",W151-U151+V151)</f>
        <v/>
      </c>
      <c r="U151" s="13" t="str">
        <f aca="false">IF(AE151=0,"",IF(NOT(LH_Ready),"",SUMIFS(INDEX(LH_Data,0,LH_ColAcc),INDEX(LH_Data,0,LH_ColFirst),$A151,INDEX(LH_Data,0,LH_ColSur),$B151,INDEX(LH_Data,0,LH_ColCat),BonusCat)*UnitFactor))</f>
        <v/>
      </c>
      <c r="V151" s="13" t="str">
        <f aca="false">IF(AE151=0,"",IF(NOT(LH_Ready),"",SUMIFS(INDEX(LH_Data,0,LH_ColTaken),INDEX(LH_Data,0,LH_ColFirst),$A151,INDEX(LH_Data,0,LH_ColSur),$B151,INDEX(LH_Data,0,LH_ColCat),BonusCat)*UnitFactor))</f>
        <v/>
      </c>
      <c r="W151" s="13" t="str">
        <f aca="false">IF(AE151=0,"",IF(NOT(LH_Ready),"",IF(BB151=0,0,INDEX(INDEX(LH_Data,0,LH_ColClose),BB151-1)*UnitFactor)))</f>
        <v/>
      </c>
      <c r="X151" s="13" t="str">
        <f aca="false">IF(AE151=0,"",(AX151-AY151)*HoursPerDay)</f>
        <v/>
      </c>
      <c r="Y151" s="13" t="str">
        <f aca="false">IF(AE151=0,"",IF(NOT(LH_Ready),"",IF(BA151=0,N151,X151-N(U151))))</f>
        <v/>
      </c>
      <c r="Z151" s="12" t="str">
        <f aca="false">IF(OR(AE151=0,Y151=""),"",IF(Y151&gt;0,"Yes","No"))</f>
        <v/>
      </c>
      <c r="AA151" s="12" t="str">
        <f aca="false">IF(AE151=0,IF(LEN($A151&amp;$B151)=0,"","FIX INPUT - StartDate missing"),IF(AD151&lt;&gt;"","FIX INPUT - "&amp;AD151,IF(NOT(LH_Ready),"Paste Leave History export (Settings must show YES)",IF(Y151&gt;0,"ACCRUE "&amp;ROUND(Y151,2)&amp;" hrs ("&amp;ROUND(Y151/HoursPerDay,2)&amp;" days)"&amp;IF(BA151=0," - no Bonus Leave in EH yet, full catch-up since start",""),IF(Y151&lt;0,"CHECK - EH accrued "&amp;ROUND(-Y151,2)&amp;""&amp;" hrs more than policy",IF(O151&gt;0,"OK - nothing to add",IF(AQ151="None",R151,"Not yet - first day on "&amp;TEXT(S151,"dd/mm/yyyy"))))))))</f>
        <v/>
      </c>
      <c r="AB151" s="13" t="str">
        <f aca="false">IF(OR(AE151=0,T151=""),"",AY151*HoursPerDay-T151)</f>
        <v/>
      </c>
      <c r="AC151" s="12" t="str">
        <f aca="false">IF(AE151=0,"",BA151)</f>
        <v/>
      </c>
      <c r="AD151" s="12" t="str">
        <f aca="false">IF(AE151=0,"",TRIM(IF(IF($C151="","",IF(OR(ISNUMBER(SEARCH("full",$C151)),UPPER(TRIM($C151))="FT",UPPER(TRIM($C151))="FTE"),"Full-Time",IF(OR(ISNUMBER(SEARCH("part",$C151)),UPPER(TRIM($C151))="PT",UPPER(TRIM($C151))="PTE"),"Part-Time",IF(OR(ISNUMBER(SEARCH("cas",$C151)),UPPER(TRIM($C151))="CAS"),"Casual","Unknown"))))="Unknown","EmploymentType not recognised - use Full-Time, Part-Time or Casual. ","")&amp;IF(AND(AG151&gt;=1,IF(AG151&gt;=3,AM151,IF(AG151=2,AL151,AK151))&lt;&gt;IF($C151="","",IF(OR(ISNUMBER(SEARCH("full",$C151)),UPPER(TRIM($C151))="FT",UPPER(TRIM($C151))="FTE"),"Full-Time",IF(OR(ISNUMBER(SEARCH("part",$C151)),UPPER(TRIM($C151))="PT",UPPER(TRIM($C151))="PTE"),"Part-Time",IF(OR(ISNUMBER(SEARCH("cas",$C151)),UPPER(TRIM($C151))="CAS"),"Casual","Unknown"))))),"EmploymentType does not match latest start date ("&amp;IF(AG151&gt;=3,AM151,IF(AG151=2,AL151,AK151))&amp;"). ","")&amp;IF(AND(AG151&gt;=1,AH151&lt;&gt;$F151),"Earliest type date should equal StartDate. ","")&amp;IF(AND(AG151&gt;=2,AH151=AI151),"Two types start on the same date. ","")&amp;IF(AND(OR(ISNUMBER(SEARCH("part",$C151)),UPPER(TRIM($C151))="PT",UPPER(TRIM($C151))="PTE"),$P151=""),"Part-time: enter PT Hrs/Week (blank = 24+). ","")))</f>
        <v/>
      </c>
      <c r="AE151" s="12" t="n">
        <f aca="false">IF(OR(LEN($A151&amp;$B151)=0,$F151=""),0,1)</f>
        <v>0</v>
      </c>
      <c r="AF151" s="10" t="str">
        <f aca="false">IF(AE151=0,"",IF($J151&lt;&gt;"",$J151,$F151))</f>
        <v/>
      </c>
      <c r="AG151" s="12" t="str">
        <f aca="false">IF(AE151=0,"",COUNT($G151:$I151))</f>
        <v/>
      </c>
      <c r="AH151" s="10" t="str">
        <f aca="false">IF(AE151=0,"",IFERROR(SMALL($G151:$I151,1),""))</f>
        <v/>
      </c>
      <c r="AI151" s="10" t="str">
        <f aca="false">IF(AE151=0,"",IFERROR(SMALL($G151:$I151,2),""))</f>
        <v/>
      </c>
      <c r="AJ151" s="10" t="str">
        <f aca="false">IF(AE151=0,"",IFERROR(SMALL($G151:$I151,3),""))</f>
        <v/>
      </c>
      <c r="AK151" s="12" t="str">
        <f aca="false">IF(AE151=0,"",IF(AH151="","",IF(AH151=$G151,"Part-Time",IF(AH151=$H151,"Full-Time","Casual"))))</f>
        <v/>
      </c>
      <c r="AL151" s="12" t="str">
        <f aca="false">IF(AE151=0,"",IF(AI151="","",IF(AI151=$G151,"Part-Time",IF(AI151=$H151,"Full-Time","Casual"))))</f>
        <v/>
      </c>
      <c r="AM151" s="12" t="str">
        <f aca="false">IF(AE151=0,"",IF(AJ151="","",IF(AJ151=$G151,"Part-Time",IF(AJ151=$H151,"Full-Time","Casual"))))</f>
        <v/>
      </c>
      <c r="AN151" s="12" t="str">
        <f aca="false">IF(AE151=0,"",IF(AG151=0,IF(OR(ISNUMBER(SEARCH("full",$C151)),UPPER(TRIM($C151))="FT",UPPER(TRIM($C151))="FTE"),"FT",IF(AND(OR(ISNUMBER(SEARCH("part",$C151)),UPPER(TRIM($C151))="PT",UPPER(TRIM($C151))="PTE"),OR($P151="",N($P151)&gt;=PT_MinHours)),"PT","None")),IF(OR(ISNUMBER(SEARCH("full",AK151)),UPPER(TRIM(AK151))="FT",UPPER(TRIM(AK151))="FTE"),"FT",IF(AND(OR(ISNUMBER(SEARCH("part",AK151)),UPPER(TRIM(AK151))="PT",UPPER(TRIM(AK151))="PTE"),OR($P151="",N($P151)&gt;=PT_MinHours)),"PT","None"))))</f>
        <v/>
      </c>
      <c r="AO151" s="12" t="str">
        <f aca="false">IF(AE151=0,"",IF(AG151&lt;2,"",IF(OR(ISNUMBER(SEARCH("full",AL151)),UPPER(TRIM(AL151))="FT",UPPER(TRIM(AL151))="FTE"),"FT",IF(AND(OR(ISNUMBER(SEARCH("part",AL151)),UPPER(TRIM(AL151))="PT",UPPER(TRIM(AL151))="PTE"),OR($P151="",N($P151)&gt;=PT_MinHours)),"PT","None"))))</f>
        <v/>
      </c>
      <c r="AP151" s="12" t="str">
        <f aca="false">IF(AE151=0,"",IF(AG151&lt;3,"",IF(OR(ISNUMBER(SEARCH("full",AM151)),UPPER(TRIM(AM151))="FT",UPPER(TRIM(AM151))="FTE"),"FT",IF(AND(OR(ISNUMBER(SEARCH("part",AM151)),UPPER(TRIM(AM151))="PT",UPPER(TRIM(AM151))="PTE"),OR($P151="",N($P151)&gt;=PT_MinHours)),"PT","None"))))</f>
        <v/>
      </c>
      <c r="AQ151" s="12" t="str">
        <f aca="false">IF(AE151=0,"",IF(AND(AG151&gt;=3,AJ151&lt;=AsOfDate),AP151,IF(AND(AG151&gt;=2,AI151&lt;=AsOfDate),AO151,AN151)))</f>
        <v/>
      </c>
      <c r="AR151" s="12" t="str">
        <f aca="false">IF(AE151=0,"",IF(AsOfDate&lt;AF151,-1,12*(YEAR(AsOfDate)-YEAR(AF151))+MONTH(AsOfDate)-MONTH(AF151)-IF(DAY(AsOfDate)&lt;MIN(DAY(AF151),DAY(EOMONTH(AsOfDate,0))),1,0)))</f>
        <v/>
      </c>
      <c r="AS151" s="12" t="str">
        <f aca="false">IF(AE151=0,"",IF(OR(AG151&lt;2,AI151&gt;AsOfDate),AR151,IF((AI151-1)&lt;AF151,-1,12*(YEAR((AI151-1))-YEAR(AF151))+MONTH((AI151-1))-MONTH(AF151)-IF(DAY((AI151-1))&lt;MIN(DAY(AF151),DAY(EOMONTH((AI151-1),0))),1,0))))</f>
        <v/>
      </c>
      <c r="AT151" s="12" t="str">
        <f aca="false">IF(AE151=0,"",IF(OR(AG151&lt;3,AJ151&gt;AsOfDate),AR151,IF((AJ151-1)&lt;AF151,-1,12*(YEAR((AJ151-1))-YEAR(AF151))+MONTH((AJ151-1))-MONTH(AF151)-IF(DAY((AJ151-1))&lt;MIN(DAY(AF151),DAY(EOMONTH((AJ151-1),0))),1,0))))</f>
        <v/>
      </c>
      <c r="AU151" s="12" t="str">
        <f aca="false">IF(AE151=0,"",IF(PFYDate&lt;AF151,-1,12*(YEAR(PFYDate)-YEAR(AF151))+MONTH(PFYDate)-MONTH(AF151)-IF(DAY(PFYDate)&lt;MIN(DAY(AF151),DAY(EOMONTH(PFYDate,0))),1,0)))</f>
        <v/>
      </c>
      <c r="AV151" s="12" t="str">
        <f aca="false">IF(AE151=0,"",IF(OR(AG151&lt;2,AI151&gt;PFYDate),AU151,IF((AI151-1)&lt;AF151,-1,12*(YEAR((AI151-1))-YEAR(AF151))+MONTH((AI151-1))-MONTH(AF151)-IF(DAY((AI151-1))&lt;MIN(DAY(AF151),DAY(EOMONTH((AI151-1),0))),1,0))))</f>
        <v/>
      </c>
      <c r="AW151" s="12" t="str">
        <f aca="false">IF(AE151=0,"",IF(OR(AG151&lt;3,AJ151&gt;PFYDate),AU151,IF((AJ151-1)&lt;AF151,-1,12*(YEAR((AJ151-1))-YEAR(AF151))+MONTH((AJ151-1))-MONTH(AF151)-IF(DAY((AJ151-1))&lt;MIN(DAY(AF151),DAY(EOMONTH((AJ151-1),0))),1,0))))</f>
        <v/>
      </c>
      <c r="AX151" s="12" t="str">
        <f aca="false">IF(AE151=0,"",IF(AN151="FT",IF(AS151&lt;FT_First,0,IF(AS151&lt;FT_Y5,1+INT((AS151-FT_First)/FT_Int1),FT_PreY5+FT_PerYear*INT((AS151-FT_Y5)/12)+FT_AnnivDays+INT(MOD(AS151-FT_Y5,12)/FT_Int2))),IF(AN151="PT",IF(AS151&lt;PT_First,0,1+INT((AS151-PT_First)/PT_Int)),0))+IF(AND(AG151&gt;=2,AI151&lt;=AsOfDate),IF(AO151="FT",IF(AT151&lt;FT_First,0,IF(AT151&lt;FT_Y5,1+INT((AT151-FT_First)/FT_Int1),FT_PreY5+FT_PerYear*INT((AT151-FT_Y5)/12)+FT_AnnivDays+INT(MOD(AT151-FT_Y5,12)/FT_Int2))),IF(AO151="PT",IF(AT151&lt;PT_First,0,1+INT((AT151-PT_First)/PT_Int)),0))-IF(AO151="FT",IF(AS151&lt;FT_First,0,IF(AS151&lt;FT_Y5,1+INT((AS151-FT_First)/FT_Int1),FT_PreY5+FT_PerYear*INT((AS151-FT_Y5)/12)+FT_AnnivDays+INT(MOD(AS151-FT_Y5,12)/FT_Int2))),IF(AO151="PT",IF(AS151&lt;PT_First,0,1+INT((AS151-PT_First)/PT_Int)),0)),0)+IF(AND(AG151&gt;=3,AJ151&lt;=AsOfDate),IF(AP151="FT",IF(AR151&lt;FT_First,0,IF(AR151&lt;FT_Y5,1+INT((AR151-FT_First)/FT_Int1),FT_PreY5+FT_PerYear*INT((AR151-FT_Y5)/12)+FT_AnnivDays+INT(MOD(AR151-FT_Y5,12)/FT_Int2))),IF(AP151="PT",IF(AR151&lt;PT_First,0,1+INT((AR151-PT_First)/PT_Int)),0))-IF(AP151="FT",IF(AT151&lt;FT_First,0,IF(AT151&lt;FT_Y5,1+INT((AT151-FT_First)/FT_Int1),FT_PreY5+FT_PerYear*INT((AT151-FT_Y5)/12)+FT_AnnivDays+INT(MOD(AT151-FT_Y5,12)/FT_Int2))),IF(AP151="PT",IF(AT151&lt;PT_First,0,1+INT((AT151-PT_First)/PT_Int)),0)),0))</f>
        <v/>
      </c>
      <c r="AY151" s="12" t="str">
        <f aca="false">IF(AE151=0,"",IF(AN151="FT",IF(AV151&lt;FT_First,0,IF(AV151&lt;FT_Y5,1+INT((AV151-FT_First)/FT_Int1),FT_PreY5+FT_PerYear*INT((AV151-FT_Y5)/12)+FT_AnnivDays+INT(MOD(AV151-FT_Y5,12)/FT_Int2))),IF(AN151="PT",IF(AV151&lt;PT_First,0,1+INT((AV151-PT_First)/PT_Int)),0))+IF(AND(AG151&gt;=2,AI151&lt;=PFYDate),IF(AO151="FT",IF(AW151&lt;FT_First,0,IF(AW151&lt;FT_Y5,1+INT((AW151-FT_First)/FT_Int1),FT_PreY5+FT_PerYear*INT((AW151-FT_Y5)/12)+FT_AnnivDays+INT(MOD(AW151-FT_Y5,12)/FT_Int2))),IF(AO151="PT",IF(AW151&lt;PT_First,0,1+INT((AW151-PT_First)/PT_Int)),0))-IF(AO151="FT",IF(AV151&lt;FT_First,0,IF(AV151&lt;FT_Y5,1+INT((AV151-FT_First)/FT_Int1),FT_PreY5+FT_PerYear*INT((AV151-FT_Y5)/12)+FT_AnnivDays+INT(MOD(AV151-FT_Y5,12)/FT_Int2))),IF(AO151="PT",IF(AV151&lt;PT_First,0,1+INT((AV151-PT_First)/PT_Int)),0)),0)+IF(AND(AG151&gt;=3,AJ151&lt;=PFYDate),IF(AP151="FT",IF(AU151&lt;FT_First,0,IF(AU151&lt;FT_Y5,1+INT((AU151-FT_First)/FT_Int1),FT_PreY5+FT_PerYear*INT((AU151-FT_Y5)/12)+FT_AnnivDays+INT(MOD(AU151-FT_Y5,12)/FT_Int2))),IF(AP151="PT",IF(AU151&lt;PT_First,0,1+INT((AU151-PT_First)/PT_Int)),0))-IF(AP151="FT",IF(AW151&lt;FT_First,0,IF(AW151&lt;FT_Y5,1+INT((AW151-FT_First)/FT_Int1),FT_PreY5+FT_PerYear*INT((AW151-FT_Y5)/12)+FT_AnnivDays+INT(MOD(AW151-FT_Y5,12)/FT_Int2))),IF(AP151="PT",IF(AW151&lt;PT_First,0,1+INT((AW151-PT_First)/PT_Int)),0)),0))</f>
        <v/>
      </c>
      <c r="AZ151" s="12" t="str">
        <f aca="false">IF(AE151=0,"",IF(AQ151="FT",IF(AR151&lt;FT_First,FT_First,IF(AR151&lt;FT_Y5,MIN(FT_Y5,FT_First+FT_Int1*(INT((AR151-FT_First)/FT_Int1)+1)),FT_Y5+12*INT((AR151-FT_Y5)/12)+FT_Int2*(INT(MOD(AR151-FT_Y5,12)/FT_Int2)+1))),IF(AQ151="PT",IF(AR151&lt;PT_First,PT_First,PT_First+PT_Int*(INT((AR151-PT_First)/PT_Int)+1)),"")))</f>
        <v/>
      </c>
      <c r="BA151" s="12" t="str">
        <f aca="false">IF(AE151=0,"",IF(NOT(LH_Ready),0,COUNTIFS(INDEX(LH_Data,0,LH_ColFirst),$A151,INDEX(LH_Data,0,LH_ColSur),$B151,INDEX(LH_Data,0,LH_ColCat),BonusCat)))</f>
        <v/>
      </c>
      <c r="BB151" s="12" t="str">
        <f aca="false">IF(AE151=0,"",IF(OR(NOT(LH_Ready),BA151=0),0,SUMPRODUCT(MAX((INDEX(LH_Data,0,LH_ColFirst)=$A151)*(INDEX(LH_Data,0,LH_ColSur)=$B151)*(INDEX(LH_Data,0,LH_ColCat)=BonusCat)*ROW(LH_Data)))))</f>
        <v/>
      </c>
    </row>
    <row r="152" customFormat="false" ht="15" hidden="false" customHeight="false" outlineLevel="0" collapsed="false">
      <c r="A152" s="15"/>
      <c r="B152" s="15"/>
      <c r="C152" s="15"/>
      <c r="D152" s="16"/>
      <c r="E152" s="10" t="str">
        <f aca="false">IF(OR(AE152=0,$D152=""),"",DATE(YEAR(AsOfDate)+IF(DATE(YEAR(AsOfDate),MONTH($D152),DAY($D152))&lt;=AsOfDate,1,0),MONTH($D152),DAY($D152)))</f>
        <v/>
      </c>
      <c r="F152" s="16"/>
      <c r="G152" s="16"/>
      <c r="H152" s="16"/>
      <c r="I152" s="16"/>
      <c r="J152" s="16"/>
      <c r="K152" s="10" t="str">
        <f aca="false">IF(AE152=0,"",DATE(YEAR(AsOfDate)+IF(DATE(YEAR(AsOfDate),MONTH($F152),DAY($F152))&lt;=AsOfDate,1,0),MONTH($F152),DAY($F152)))</f>
        <v/>
      </c>
      <c r="L152" s="11" t="str">
        <f aca="false">IF(AE152=0,"",ROUND((AsOfDate-$F152)/365.25,1))</f>
        <v/>
      </c>
      <c r="M152" s="12" t="str">
        <f aca="false">IF(AE152=0,"",IF(AsOfDate&lt;AF152,"-",DATEDIF(AF152,AsOfDate,"y")&amp;"y "&amp;DATEDIF(AF152,AsOfDate,"ym")&amp;"m "&amp;DATEDIF(AF152,AsOfDate,"md")&amp;"d"))</f>
        <v/>
      </c>
      <c r="N152" s="13" t="str">
        <f aca="false">IF(AE152=0,"",O152*HoursPerDay)</f>
        <v/>
      </c>
      <c r="O152" s="13" t="str">
        <f aca="false">IF(AE152=0,"",AX152)</f>
        <v/>
      </c>
      <c r="P152" s="17"/>
      <c r="Q152" s="12" t="str">
        <f aca="false">IF(AE152=0,"",IF(AG152&lt;2,"",AK152&amp;" to "&amp;AL152&amp;" on "&amp;TEXT(AI152,"dd/mm/yyyy")&amp;IF(AI152&gt;AsOfDate," (future)",IF(AN152=AO152,"",IF(AO152="None"," - STOPPED accruing",IF(AN152="None"," - now qualifying"," - pathway changed"))))&amp;IF(AG152&lt;3,"","; "&amp;AL152&amp;" to "&amp;AM152&amp;" on "&amp;TEXT(AJ152,"dd/mm/yyyy")&amp;IF(AJ152&gt;AsOfDate," (future)",IF(AO152=AP152,"",IF(AP152="None"," - STOPPED accruing",IF(AO152="None"," - now qualifying"," - pathway changed")))))))</f>
        <v/>
      </c>
      <c r="R152" s="12" t="str">
        <f aca="false">IF(AE152=0,"",IF(AQ152="None",IF(O152&gt;0,"No longer accruing","Not eligible - "&amp;IF(AND(OR(ISNUMBER(SEARCH("part",$C152)),UPPER(TRIM($C152))="PT",UPPER(TRIM($C152))="PTE"),$P152&lt;&gt;"",N($P152)&lt;PT_MinHours),"under "&amp;PT_MinHours&amp;" hrs",IF(IF($C152="","",IF(OR(ISNUMBER(SEARCH("full",$C152)),UPPER(TRIM($C152))="FT",UPPER(TRIM($C152))="FTE"),"Full-Time",IF(OR(ISNUMBER(SEARCH("part",$C152)),UPPER(TRIM($C152))="PT",UPPER(TRIM($C152))="PTE"),"Part-Time",IF(OR(ISNUMBER(SEARCH("cas",$C152)),UPPER(TRIM($C152))="CAS"),"Casual","Unknown"))))="Unknown","type not recognised",$C152))),IF(O152&gt;0,"Yes - accruing","Not yet - from "&amp;TEXT(S152,"dd/mm/yyyy"))))</f>
        <v/>
      </c>
      <c r="S152" s="10" t="str">
        <f aca="false">IF(AE152=0,"",IF(AQ152="None","",EDATE(AF152,AZ152)))</f>
        <v/>
      </c>
      <c r="T152" s="13" t="str">
        <f aca="false">IF(OR(AE152=0,W152=""),"",W152-U152+V152)</f>
        <v/>
      </c>
      <c r="U152" s="13" t="str">
        <f aca="false">IF(AE152=0,"",IF(NOT(LH_Ready),"",SUMIFS(INDEX(LH_Data,0,LH_ColAcc),INDEX(LH_Data,0,LH_ColFirst),$A152,INDEX(LH_Data,0,LH_ColSur),$B152,INDEX(LH_Data,0,LH_ColCat),BonusCat)*UnitFactor))</f>
        <v/>
      </c>
      <c r="V152" s="13" t="str">
        <f aca="false">IF(AE152=0,"",IF(NOT(LH_Ready),"",SUMIFS(INDEX(LH_Data,0,LH_ColTaken),INDEX(LH_Data,0,LH_ColFirst),$A152,INDEX(LH_Data,0,LH_ColSur),$B152,INDEX(LH_Data,0,LH_ColCat),BonusCat)*UnitFactor))</f>
        <v/>
      </c>
      <c r="W152" s="13" t="str">
        <f aca="false">IF(AE152=0,"",IF(NOT(LH_Ready),"",IF(BB152=0,0,INDEX(INDEX(LH_Data,0,LH_ColClose),BB152-1)*UnitFactor)))</f>
        <v/>
      </c>
      <c r="X152" s="13" t="str">
        <f aca="false">IF(AE152=0,"",(AX152-AY152)*HoursPerDay)</f>
        <v/>
      </c>
      <c r="Y152" s="13" t="str">
        <f aca="false">IF(AE152=0,"",IF(NOT(LH_Ready),"",IF(BA152=0,N152,X152-N(U152))))</f>
        <v/>
      </c>
      <c r="Z152" s="12" t="str">
        <f aca="false">IF(OR(AE152=0,Y152=""),"",IF(Y152&gt;0,"Yes","No"))</f>
        <v/>
      </c>
      <c r="AA152" s="12" t="str">
        <f aca="false">IF(AE152=0,IF(LEN($A152&amp;$B152)=0,"","FIX INPUT - StartDate missing"),IF(AD152&lt;&gt;"","FIX INPUT - "&amp;AD152,IF(NOT(LH_Ready),"Paste Leave History export (Settings must show YES)",IF(Y152&gt;0,"ACCRUE "&amp;ROUND(Y152,2)&amp;" hrs ("&amp;ROUND(Y152/HoursPerDay,2)&amp;" days)"&amp;IF(BA152=0," - no Bonus Leave in EH yet, full catch-up since start",""),IF(Y152&lt;0,"CHECK - EH accrued "&amp;ROUND(-Y152,2)&amp;""&amp;" hrs more than policy",IF(O152&gt;0,"OK - nothing to add",IF(AQ152="None",R152,"Not yet - first day on "&amp;TEXT(S152,"dd/mm/yyyy"))))))))</f>
        <v/>
      </c>
      <c r="AB152" s="13" t="str">
        <f aca="false">IF(OR(AE152=0,T152=""),"",AY152*HoursPerDay-T152)</f>
        <v/>
      </c>
      <c r="AC152" s="12" t="str">
        <f aca="false">IF(AE152=0,"",BA152)</f>
        <v/>
      </c>
      <c r="AD152" s="12" t="str">
        <f aca="false">IF(AE152=0,"",TRIM(IF(IF($C152="","",IF(OR(ISNUMBER(SEARCH("full",$C152)),UPPER(TRIM($C152))="FT",UPPER(TRIM($C152))="FTE"),"Full-Time",IF(OR(ISNUMBER(SEARCH("part",$C152)),UPPER(TRIM($C152))="PT",UPPER(TRIM($C152))="PTE"),"Part-Time",IF(OR(ISNUMBER(SEARCH("cas",$C152)),UPPER(TRIM($C152))="CAS"),"Casual","Unknown"))))="Unknown","EmploymentType not recognised - use Full-Time, Part-Time or Casual. ","")&amp;IF(AND(AG152&gt;=1,IF(AG152&gt;=3,AM152,IF(AG152=2,AL152,AK152))&lt;&gt;IF($C152="","",IF(OR(ISNUMBER(SEARCH("full",$C152)),UPPER(TRIM($C152))="FT",UPPER(TRIM($C152))="FTE"),"Full-Time",IF(OR(ISNUMBER(SEARCH("part",$C152)),UPPER(TRIM($C152))="PT",UPPER(TRIM($C152))="PTE"),"Part-Time",IF(OR(ISNUMBER(SEARCH("cas",$C152)),UPPER(TRIM($C152))="CAS"),"Casual","Unknown"))))),"EmploymentType does not match latest start date ("&amp;IF(AG152&gt;=3,AM152,IF(AG152=2,AL152,AK152))&amp;"). ","")&amp;IF(AND(AG152&gt;=1,AH152&lt;&gt;$F152),"Earliest type date should equal StartDate. ","")&amp;IF(AND(AG152&gt;=2,AH152=AI152),"Two types start on the same date. ","")&amp;IF(AND(OR(ISNUMBER(SEARCH("part",$C152)),UPPER(TRIM($C152))="PT",UPPER(TRIM($C152))="PTE"),$P152=""),"Part-time: enter PT Hrs/Week (blank = 24+). ","")))</f>
        <v/>
      </c>
      <c r="AE152" s="12" t="n">
        <f aca="false">IF(OR(LEN($A152&amp;$B152)=0,$F152=""),0,1)</f>
        <v>0</v>
      </c>
      <c r="AF152" s="10" t="str">
        <f aca="false">IF(AE152=0,"",IF($J152&lt;&gt;"",$J152,$F152))</f>
        <v/>
      </c>
      <c r="AG152" s="12" t="str">
        <f aca="false">IF(AE152=0,"",COUNT($G152:$I152))</f>
        <v/>
      </c>
      <c r="AH152" s="10" t="str">
        <f aca="false">IF(AE152=0,"",IFERROR(SMALL($G152:$I152,1),""))</f>
        <v/>
      </c>
      <c r="AI152" s="10" t="str">
        <f aca="false">IF(AE152=0,"",IFERROR(SMALL($G152:$I152,2),""))</f>
        <v/>
      </c>
      <c r="AJ152" s="10" t="str">
        <f aca="false">IF(AE152=0,"",IFERROR(SMALL($G152:$I152,3),""))</f>
        <v/>
      </c>
      <c r="AK152" s="12" t="str">
        <f aca="false">IF(AE152=0,"",IF(AH152="","",IF(AH152=$G152,"Part-Time",IF(AH152=$H152,"Full-Time","Casual"))))</f>
        <v/>
      </c>
      <c r="AL152" s="12" t="str">
        <f aca="false">IF(AE152=0,"",IF(AI152="","",IF(AI152=$G152,"Part-Time",IF(AI152=$H152,"Full-Time","Casual"))))</f>
        <v/>
      </c>
      <c r="AM152" s="12" t="str">
        <f aca="false">IF(AE152=0,"",IF(AJ152="","",IF(AJ152=$G152,"Part-Time",IF(AJ152=$H152,"Full-Time","Casual"))))</f>
        <v/>
      </c>
      <c r="AN152" s="12" t="str">
        <f aca="false">IF(AE152=0,"",IF(AG152=0,IF(OR(ISNUMBER(SEARCH("full",$C152)),UPPER(TRIM($C152))="FT",UPPER(TRIM($C152))="FTE"),"FT",IF(AND(OR(ISNUMBER(SEARCH("part",$C152)),UPPER(TRIM($C152))="PT",UPPER(TRIM($C152))="PTE"),OR($P152="",N($P152)&gt;=PT_MinHours)),"PT","None")),IF(OR(ISNUMBER(SEARCH("full",AK152)),UPPER(TRIM(AK152))="FT",UPPER(TRIM(AK152))="FTE"),"FT",IF(AND(OR(ISNUMBER(SEARCH("part",AK152)),UPPER(TRIM(AK152))="PT",UPPER(TRIM(AK152))="PTE"),OR($P152="",N($P152)&gt;=PT_MinHours)),"PT","None"))))</f>
        <v/>
      </c>
      <c r="AO152" s="12" t="str">
        <f aca="false">IF(AE152=0,"",IF(AG152&lt;2,"",IF(OR(ISNUMBER(SEARCH("full",AL152)),UPPER(TRIM(AL152))="FT",UPPER(TRIM(AL152))="FTE"),"FT",IF(AND(OR(ISNUMBER(SEARCH("part",AL152)),UPPER(TRIM(AL152))="PT",UPPER(TRIM(AL152))="PTE"),OR($P152="",N($P152)&gt;=PT_MinHours)),"PT","None"))))</f>
        <v/>
      </c>
      <c r="AP152" s="12" t="str">
        <f aca="false">IF(AE152=0,"",IF(AG152&lt;3,"",IF(OR(ISNUMBER(SEARCH("full",AM152)),UPPER(TRIM(AM152))="FT",UPPER(TRIM(AM152))="FTE"),"FT",IF(AND(OR(ISNUMBER(SEARCH("part",AM152)),UPPER(TRIM(AM152))="PT",UPPER(TRIM(AM152))="PTE"),OR($P152="",N($P152)&gt;=PT_MinHours)),"PT","None"))))</f>
        <v/>
      </c>
      <c r="AQ152" s="12" t="str">
        <f aca="false">IF(AE152=0,"",IF(AND(AG152&gt;=3,AJ152&lt;=AsOfDate),AP152,IF(AND(AG152&gt;=2,AI152&lt;=AsOfDate),AO152,AN152)))</f>
        <v/>
      </c>
      <c r="AR152" s="12" t="str">
        <f aca="false">IF(AE152=0,"",IF(AsOfDate&lt;AF152,-1,12*(YEAR(AsOfDate)-YEAR(AF152))+MONTH(AsOfDate)-MONTH(AF152)-IF(DAY(AsOfDate)&lt;MIN(DAY(AF152),DAY(EOMONTH(AsOfDate,0))),1,0)))</f>
        <v/>
      </c>
      <c r="AS152" s="12" t="str">
        <f aca="false">IF(AE152=0,"",IF(OR(AG152&lt;2,AI152&gt;AsOfDate),AR152,IF((AI152-1)&lt;AF152,-1,12*(YEAR((AI152-1))-YEAR(AF152))+MONTH((AI152-1))-MONTH(AF152)-IF(DAY((AI152-1))&lt;MIN(DAY(AF152),DAY(EOMONTH((AI152-1),0))),1,0))))</f>
        <v/>
      </c>
      <c r="AT152" s="12" t="str">
        <f aca="false">IF(AE152=0,"",IF(OR(AG152&lt;3,AJ152&gt;AsOfDate),AR152,IF((AJ152-1)&lt;AF152,-1,12*(YEAR((AJ152-1))-YEAR(AF152))+MONTH((AJ152-1))-MONTH(AF152)-IF(DAY((AJ152-1))&lt;MIN(DAY(AF152),DAY(EOMONTH((AJ152-1),0))),1,0))))</f>
        <v/>
      </c>
      <c r="AU152" s="12" t="str">
        <f aca="false">IF(AE152=0,"",IF(PFYDate&lt;AF152,-1,12*(YEAR(PFYDate)-YEAR(AF152))+MONTH(PFYDate)-MONTH(AF152)-IF(DAY(PFYDate)&lt;MIN(DAY(AF152),DAY(EOMONTH(PFYDate,0))),1,0)))</f>
        <v/>
      </c>
      <c r="AV152" s="12" t="str">
        <f aca="false">IF(AE152=0,"",IF(OR(AG152&lt;2,AI152&gt;PFYDate),AU152,IF((AI152-1)&lt;AF152,-1,12*(YEAR((AI152-1))-YEAR(AF152))+MONTH((AI152-1))-MONTH(AF152)-IF(DAY((AI152-1))&lt;MIN(DAY(AF152),DAY(EOMONTH((AI152-1),0))),1,0))))</f>
        <v/>
      </c>
      <c r="AW152" s="12" t="str">
        <f aca="false">IF(AE152=0,"",IF(OR(AG152&lt;3,AJ152&gt;PFYDate),AU152,IF((AJ152-1)&lt;AF152,-1,12*(YEAR((AJ152-1))-YEAR(AF152))+MONTH((AJ152-1))-MONTH(AF152)-IF(DAY((AJ152-1))&lt;MIN(DAY(AF152),DAY(EOMONTH((AJ152-1),0))),1,0))))</f>
        <v/>
      </c>
      <c r="AX152" s="12" t="str">
        <f aca="false">IF(AE152=0,"",IF(AN152="FT",IF(AS152&lt;FT_First,0,IF(AS152&lt;FT_Y5,1+INT((AS152-FT_First)/FT_Int1),FT_PreY5+FT_PerYear*INT((AS152-FT_Y5)/12)+FT_AnnivDays+INT(MOD(AS152-FT_Y5,12)/FT_Int2))),IF(AN152="PT",IF(AS152&lt;PT_First,0,1+INT((AS152-PT_First)/PT_Int)),0))+IF(AND(AG152&gt;=2,AI152&lt;=AsOfDate),IF(AO152="FT",IF(AT152&lt;FT_First,0,IF(AT152&lt;FT_Y5,1+INT((AT152-FT_First)/FT_Int1),FT_PreY5+FT_PerYear*INT((AT152-FT_Y5)/12)+FT_AnnivDays+INT(MOD(AT152-FT_Y5,12)/FT_Int2))),IF(AO152="PT",IF(AT152&lt;PT_First,0,1+INT((AT152-PT_First)/PT_Int)),0))-IF(AO152="FT",IF(AS152&lt;FT_First,0,IF(AS152&lt;FT_Y5,1+INT((AS152-FT_First)/FT_Int1),FT_PreY5+FT_PerYear*INT((AS152-FT_Y5)/12)+FT_AnnivDays+INT(MOD(AS152-FT_Y5,12)/FT_Int2))),IF(AO152="PT",IF(AS152&lt;PT_First,0,1+INT((AS152-PT_First)/PT_Int)),0)),0)+IF(AND(AG152&gt;=3,AJ152&lt;=AsOfDate),IF(AP152="FT",IF(AR152&lt;FT_First,0,IF(AR152&lt;FT_Y5,1+INT((AR152-FT_First)/FT_Int1),FT_PreY5+FT_PerYear*INT((AR152-FT_Y5)/12)+FT_AnnivDays+INT(MOD(AR152-FT_Y5,12)/FT_Int2))),IF(AP152="PT",IF(AR152&lt;PT_First,0,1+INT((AR152-PT_First)/PT_Int)),0))-IF(AP152="FT",IF(AT152&lt;FT_First,0,IF(AT152&lt;FT_Y5,1+INT((AT152-FT_First)/FT_Int1),FT_PreY5+FT_PerYear*INT((AT152-FT_Y5)/12)+FT_AnnivDays+INT(MOD(AT152-FT_Y5,12)/FT_Int2))),IF(AP152="PT",IF(AT152&lt;PT_First,0,1+INT((AT152-PT_First)/PT_Int)),0)),0))</f>
        <v/>
      </c>
      <c r="AY152" s="12" t="str">
        <f aca="false">IF(AE152=0,"",IF(AN152="FT",IF(AV152&lt;FT_First,0,IF(AV152&lt;FT_Y5,1+INT((AV152-FT_First)/FT_Int1),FT_PreY5+FT_PerYear*INT((AV152-FT_Y5)/12)+FT_AnnivDays+INT(MOD(AV152-FT_Y5,12)/FT_Int2))),IF(AN152="PT",IF(AV152&lt;PT_First,0,1+INT((AV152-PT_First)/PT_Int)),0))+IF(AND(AG152&gt;=2,AI152&lt;=PFYDate),IF(AO152="FT",IF(AW152&lt;FT_First,0,IF(AW152&lt;FT_Y5,1+INT((AW152-FT_First)/FT_Int1),FT_PreY5+FT_PerYear*INT((AW152-FT_Y5)/12)+FT_AnnivDays+INT(MOD(AW152-FT_Y5,12)/FT_Int2))),IF(AO152="PT",IF(AW152&lt;PT_First,0,1+INT((AW152-PT_First)/PT_Int)),0))-IF(AO152="FT",IF(AV152&lt;FT_First,0,IF(AV152&lt;FT_Y5,1+INT((AV152-FT_First)/FT_Int1),FT_PreY5+FT_PerYear*INT((AV152-FT_Y5)/12)+FT_AnnivDays+INT(MOD(AV152-FT_Y5,12)/FT_Int2))),IF(AO152="PT",IF(AV152&lt;PT_First,0,1+INT((AV152-PT_First)/PT_Int)),0)),0)+IF(AND(AG152&gt;=3,AJ152&lt;=PFYDate),IF(AP152="FT",IF(AU152&lt;FT_First,0,IF(AU152&lt;FT_Y5,1+INT((AU152-FT_First)/FT_Int1),FT_PreY5+FT_PerYear*INT((AU152-FT_Y5)/12)+FT_AnnivDays+INT(MOD(AU152-FT_Y5,12)/FT_Int2))),IF(AP152="PT",IF(AU152&lt;PT_First,0,1+INT((AU152-PT_First)/PT_Int)),0))-IF(AP152="FT",IF(AW152&lt;FT_First,0,IF(AW152&lt;FT_Y5,1+INT((AW152-FT_First)/FT_Int1),FT_PreY5+FT_PerYear*INT((AW152-FT_Y5)/12)+FT_AnnivDays+INT(MOD(AW152-FT_Y5,12)/FT_Int2))),IF(AP152="PT",IF(AW152&lt;PT_First,0,1+INT((AW152-PT_First)/PT_Int)),0)),0))</f>
        <v/>
      </c>
      <c r="AZ152" s="12" t="str">
        <f aca="false">IF(AE152=0,"",IF(AQ152="FT",IF(AR152&lt;FT_First,FT_First,IF(AR152&lt;FT_Y5,MIN(FT_Y5,FT_First+FT_Int1*(INT((AR152-FT_First)/FT_Int1)+1)),FT_Y5+12*INT((AR152-FT_Y5)/12)+FT_Int2*(INT(MOD(AR152-FT_Y5,12)/FT_Int2)+1))),IF(AQ152="PT",IF(AR152&lt;PT_First,PT_First,PT_First+PT_Int*(INT((AR152-PT_First)/PT_Int)+1)),"")))</f>
        <v/>
      </c>
      <c r="BA152" s="12" t="str">
        <f aca="false">IF(AE152=0,"",IF(NOT(LH_Ready),0,COUNTIFS(INDEX(LH_Data,0,LH_ColFirst),$A152,INDEX(LH_Data,0,LH_ColSur),$B152,INDEX(LH_Data,0,LH_ColCat),BonusCat)))</f>
        <v/>
      </c>
      <c r="BB152" s="12" t="str">
        <f aca="false">IF(AE152=0,"",IF(OR(NOT(LH_Ready),BA152=0),0,SUMPRODUCT(MAX((INDEX(LH_Data,0,LH_ColFirst)=$A152)*(INDEX(LH_Data,0,LH_ColSur)=$B152)*(INDEX(LH_Data,0,LH_ColCat)=BonusCat)*ROW(LH_Data)))))</f>
        <v/>
      </c>
    </row>
    <row r="153" customFormat="false" ht="15" hidden="false" customHeight="false" outlineLevel="0" collapsed="false">
      <c r="A153" s="15"/>
      <c r="B153" s="15"/>
      <c r="C153" s="15"/>
      <c r="D153" s="16"/>
      <c r="E153" s="10" t="str">
        <f aca="false">IF(OR(AE153=0,$D153=""),"",DATE(YEAR(AsOfDate)+IF(DATE(YEAR(AsOfDate),MONTH($D153),DAY($D153))&lt;=AsOfDate,1,0),MONTH($D153),DAY($D153)))</f>
        <v/>
      </c>
      <c r="F153" s="16"/>
      <c r="G153" s="16"/>
      <c r="H153" s="16"/>
      <c r="I153" s="16"/>
      <c r="J153" s="16"/>
      <c r="K153" s="10" t="str">
        <f aca="false">IF(AE153=0,"",DATE(YEAR(AsOfDate)+IF(DATE(YEAR(AsOfDate),MONTH($F153),DAY($F153))&lt;=AsOfDate,1,0),MONTH($F153),DAY($F153)))</f>
        <v/>
      </c>
      <c r="L153" s="11" t="str">
        <f aca="false">IF(AE153=0,"",ROUND((AsOfDate-$F153)/365.25,1))</f>
        <v/>
      </c>
      <c r="M153" s="12" t="str">
        <f aca="false">IF(AE153=0,"",IF(AsOfDate&lt;AF153,"-",DATEDIF(AF153,AsOfDate,"y")&amp;"y "&amp;DATEDIF(AF153,AsOfDate,"ym")&amp;"m "&amp;DATEDIF(AF153,AsOfDate,"md")&amp;"d"))</f>
        <v/>
      </c>
      <c r="N153" s="13" t="str">
        <f aca="false">IF(AE153=0,"",O153*HoursPerDay)</f>
        <v/>
      </c>
      <c r="O153" s="13" t="str">
        <f aca="false">IF(AE153=0,"",AX153)</f>
        <v/>
      </c>
      <c r="P153" s="17"/>
      <c r="Q153" s="12" t="str">
        <f aca="false">IF(AE153=0,"",IF(AG153&lt;2,"",AK153&amp;" to "&amp;AL153&amp;" on "&amp;TEXT(AI153,"dd/mm/yyyy")&amp;IF(AI153&gt;AsOfDate," (future)",IF(AN153=AO153,"",IF(AO153="None"," - STOPPED accruing",IF(AN153="None"," - now qualifying"," - pathway changed"))))&amp;IF(AG153&lt;3,"","; "&amp;AL153&amp;" to "&amp;AM153&amp;" on "&amp;TEXT(AJ153,"dd/mm/yyyy")&amp;IF(AJ153&gt;AsOfDate," (future)",IF(AO153=AP153,"",IF(AP153="None"," - STOPPED accruing",IF(AO153="None"," - now qualifying"," - pathway changed")))))))</f>
        <v/>
      </c>
      <c r="R153" s="12" t="str">
        <f aca="false">IF(AE153=0,"",IF(AQ153="None",IF(O153&gt;0,"No longer accruing","Not eligible - "&amp;IF(AND(OR(ISNUMBER(SEARCH("part",$C153)),UPPER(TRIM($C153))="PT",UPPER(TRIM($C153))="PTE"),$P153&lt;&gt;"",N($P153)&lt;PT_MinHours),"under "&amp;PT_MinHours&amp;" hrs",IF(IF($C153="","",IF(OR(ISNUMBER(SEARCH("full",$C153)),UPPER(TRIM($C153))="FT",UPPER(TRIM($C153))="FTE"),"Full-Time",IF(OR(ISNUMBER(SEARCH("part",$C153)),UPPER(TRIM($C153))="PT",UPPER(TRIM($C153))="PTE"),"Part-Time",IF(OR(ISNUMBER(SEARCH("cas",$C153)),UPPER(TRIM($C153))="CAS"),"Casual","Unknown"))))="Unknown","type not recognised",$C153))),IF(O153&gt;0,"Yes - accruing","Not yet - from "&amp;TEXT(S153,"dd/mm/yyyy"))))</f>
        <v/>
      </c>
      <c r="S153" s="10" t="str">
        <f aca="false">IF(AE153=0,"",IF(AQ153="None","",EDATE(AF153,AZ153)))</f>
        <v/>
      </c>
      <c r="T153" s="13" t="str">
        <f aca="false">IF(OR(AE153=0,W153=""),"",W153-U153+V153)</f>
        <v/>
      </c>
      <c r="U153" s="13" t="str">
        <f aca="false">IF(AE153=0,"",IF(NOT(LH_Ready),"",SUMIFS(INDEX(LH_Data,0,LH_ColAcc),INDEX(LH_Data,0,LH_ColFirst),$A153,INDEX(LH_Data,0,LH_ColSur),$B153,INDEX(LH_Data,0,LH_ColCat),BonusCat)*UnitFactor))</f>
        <v/>
      </c>
      <c r="V153" s="13" t="str">
        <f aca="false">IF(AE153=0,"",IF(NOT(LH_Ready),"",SUMIFS(INDEX(LH_Data,0,LH_ColTaken),INDEX(LH_Data,0,LH_ColFirst),$A153,INDEX(LH_Data,0,LH_ColSur),$B153,INDEX(LH_Data,0,LH_ColCat),BonusCat)*UnitFactor))</f>
        <v/>
      </c>
      <c r="W153" s="13" t="str">
        <f aca="false">IF(AE153=0,"",IF(NOT(LH_Ready),"",IF(BB153=0,0,INDEX(INDEX(LH_Data,0,LH_ColClose),BB153-1)*UnitFactor)))</f>
        <v/>
      </c>
      <c r="X153" s="13" t="str">
        <f aca="false">IF(AE153=0,"",(AX153-AY153)*HoursPerDay)</f>
        <v/>
      </c>
      <c r="Y153" s="13" t="str">
        <f aca="false">IF(AE153=0,"",IF(NOT(LH_Ready),"",IF(BA153=0,N153,X153-N(U153))))</f>
        <v/>
      </c>
      <c r="Z153" s="12" t="str">
        <f aca="false">IF(OR(AE153=0,Y153=""),"",IF(Y153&gt;0,"Yes","No"))</f>
        <v/>
      </c>
      <c r="AA153" s="12" t="str">
        <f aca="false">IF(AE153=0,IF(LEN($A153&amp;$B153)=0,"","FIX INPUT - StartDate missing"),IF(AD153&lt;&gt;"","FIX INPUT - "&amp;AD153,IF(NOT(LH_Ready),"Paste Leave History export (Settings must show YES)",IF(Y153&gt;0,"ACCRUE "&amp;ROUND(Y153,2)&amp;" hrs ("&amp;ROUND(Y153/HoursPerDay,2)&amp;" days)"&amp;IF(BA153=0," - no Bonus Leave in EH yet, full catch-up since start",""),IF(Y153&lt;0,"CHECK - EH accrued "&amp;ROUND(-Y153,2)&amp;""&amp;" hrs more than policy",IF(O153&gt;0,"OK - nothing to add",IF(AQ153="None",R153,"Not yet - first day on "&amp;TEXT(S153,"dd/mm/yyyy"))))))))</f>
        <v/>
      </c>
      <c r="AB153" s="13" t="str">
        <f aca="false">IF(OR(AE153=0,T153=""),"",AY153*HoursPerDay-T153)</f>
        <v/>
      </c>
      <c r="AC153" s="12" t="str">
        <f aca="false">IF(AE153=0,"",BA153)</f>
        <v/>
      </c>
      <c r="AD153" s="12" t="str">
        <f aca="false">IF(AE153=0,"",TRIM(IF(IF($C153="","",IF(OR(ISNUMBER(SEARCH("full",$C153)),UPPER(TRIM($C153))="FT",UPPER(TRIM($C153))="FTE"),"Full-Time",IF(OR(ISNUMBER(SEARCH("part",$C153)),UPPER(TRIM($C153))="PT",UPPER(TRIM($C153))="PTE"),"Part-Time",IF(OR(ISNUMBER(SEARCH("cas",$C153)),UPPER(TRIM($C153))="CAS"),"Casual","Unknown"))))="Unknown","EmploymentType not recognised - use Full-Time, Part-Time or Casual. ","")&amp;IF(AND(AG153&gt;=1,IF(AG153&gt;=3,AM153,IF(AG153=2,AL153,AK153))&lt;&gt;IF($C153="","",IF(OR(ISNUMBER(SEARCH("full",$C153)),UPPER(TRIM($C153))="FT",UPPER(TRIM($C153))="FTE"),"Full-Time",IF(OR(ISNUMBER(SEARCH("part",$C153)),UPPER(TRIM($C153))="PT",UPPER(TRIM($C153))="PTE"),"Part-Time",IF(OR(ISNUMBER(SEARCH("cas",$C153)),UPPER(TRIM($C153))="CAS"),"Casual","Unknown"))))),"EmploymentType does not match latest start date ("&amp;IF(AG153&gt;=3,AM153,IF(AG153=2,AL153,AK153))&amp;"). ","")&amp;IF(AND(AG153&gt;=1,AH153&lt;&gt;$F153),"Earliest type date should equal StartDate. ","")&amp;IF(AND(AG153&gt;=2,AH153=AI153),"Two types start on the same date. ","")&amp;IF(AND(OR(ISNUMBER(SEARCH("part",$C153)),UPPER(TRIM($C153))="PT",UPPER(TRIM($C153))="PTE"),$P153=""),"Part-time: enter PT Hrs/Week (blank = 24+). ","")))</f>
        <v/>
      </c>
      <c r="AE153" s="12" t="n">
        <f aca="false">IF(OR(LEN($A153&amp;$B153)=0,$F153=""),0,1)</f>
        <v>0</v>
      </c>
      <c r="AF153" s="10" t="str">
        <f aca="false">IF(AE153=0,"",IF($J153&lt;&gt;"",$J153,$F153))</f>
        <v/>
      </c>
      <c r="AG153" s="12" t="str">
        <f aca="false">IF(AE153=0,"",COUNT($G153:$I153))</f>
        <v/>
      </c>
      <c r="AH153" s="10" t="str">
        <f aca="false">IF(AE153=0,"",IFERROR(SMALL($G153:$I153,1),""))</f>
        <v/>
      </c>
      <c r="AI153" s="10" t="str">
        <f aca="false">IF(AE153=0,"",IFERROR(SMALL($G153:$I153,2),""))</f>
        <v/>
      </c>
      <c r="AJ153" s="10" t="str">
        <f aca="false">IF(AE153=0,"",IFERROR(SMALL($G153:$I153,3),""))</f>
        <v/>
      </c>
      <c r="AK153" s="12" t="str">
        <f aca="false">IF(AE153=0,"",IF(AH153="","",IF(AH153=$G153,"Part-Time",IF(AH153=$H153,"Full-Time","Casual"))))</f>
        <v/>
      </c>
      <c r="AL153" s="12" t="str">
        <f aca="false">IF(AE153=0,"",IF(AI153="","",IF(AI153=$G153,"Part-Time",IF(AI153=$H153,"Full-Time","Casual"))))</f>
        <v/>
      </c>
      <c r="AM153" s="12" t="str">
        <f aca="false">IF(AE153=0,"",IF(AJ153="","",IF(AJ153=$G153,"Part-Time",IF(AJ153=$H153,"Full-Time","Casual"))))</f>
        <v/>
      </c>
      <c r="AN153" s="12" t="str">
        <f aca="false">IF(AE153=0,"",IF(AG153=0,IF(OR(ISNUMBER(SEARCH("full",$C153)),UPPER(TRIM($C153))="FT",UPPER(TRIM($C153))="FTE"),"FT",IF(AND(OR(ISNUMBER(SEARCH("part",$C153)),UPPER(TRIM($C153))="PT",UPPER(TRIM($C153))="PTE"),OR($P153="",N($P153)&gt;=PT_MinHours)),"PT","None")),IF(OR(ISNUMBER(SEARCH("full",AK153)),UPPER(TRIM(AK153))="FT",UPPER(TRIM(AK153))="FTE"),"FT",IF(AND(OR(ISNUMBER(SEARCH("part",AK153)),UPPER(TRIM(AK153))="PT",UPPER(TRIM(AK153))="PTE"),OR($P153="",N($P153)&gt;=PT_MinHours)),"PT","None"))))</f>
        <v/>
      </c>
      <c r="AO153" s="12" t="str">
        <f aca="false">IF(AE153=0,"",IF(AG153&lt;2,"",IF(OR(ISNUMBER(SEARCH("full",AL153)),UPPER(TRIM(AL153))="FT",UPPER(TRIM(AL153))="FTE"),"FT",IF(AND(OR(ISNUMBER(SEARCH("part",AL153)),UPPER(TRIM(AL153))="PT",UPPER(TRIM(AL153))="PTE"),OR($P153="",N($P153)&gt;=PT_MinHours)),"PT","None"))))</f>
        <v/>
      </c>
      <c r="AP153" s="12" t="str">
        <f aca="false">IF(AE153=0,"",IF(AG153&lt;3,"",IF(OR(ISNUMBER(SEARCH("full",AM153)),UPPER(TRIM(AM153))="FT",UPPER(TRIM(AM153))="FTE"),"FT",IF(AND(OR(ISNUMBER(SEARCH("part",AM153)),UPPER(TRIM(AM153))="PT",UPPER(TRIM(AM153))="PTE"),OR($P153="",N($P153)&gt;=PT_MinHours)),"PT","None"))))</f>
        <v/>
      </c>
      <c r="AQ153" s="12" t="str">
        <f aca="false">IF(AE153=0,"",IF(AND(AG153&gt;=3,AJ153&lt;=AsOfDate),AP153,IF(AND(AG153&gt;=2,AI153&lt;=AsOfDate),AO153,AN153)))</f>
        <v/>
      </c>
      <c r="AR153" s="12" t="str">
        <f aca="false">IF(AE153=0,"",IF(AsOfDate&lt;AF153,-1,12*(YEAR(AsOfDate)-YEAR(AF153))+MONTH(AsOfDate)-MONTH(AF153)-IF(DAY(AsOfDate)&lt;MIN(DAY(AF153),DAY(EOMONTH(AsOfDate,0))),1,0)))</f>
        <v/>
      </c>
      <c r="AS153" s="12" t="str">
        <f aca="false">IF(AE153=0,"",IF(OR(AG153&lt;2,AI153&gt;AsOfDate),AR153,IF((AI153-1)&lt;AF153,-1,12*(YEAR((AI153-1))-YEAR(AF153))+MONTH((AI153-1))-MONTH(AF153)-IF(DAY((AI153-1))&lt;MIN(DAY(AF153),DAY(EOMONTH((AI153-1),0))),1,0))))</f>
        <v/>
      </c>
      <c r="AT153" s="12" t="str">
        <f aca="false">IF(AE153=0,"",IF(OR(AG153&lt;3,AJ153&gt;AsOfDate),AR153,IF((AJ153-1)&lt;AF153,-1,12*(YEAR((AJ153-1))-YEAR(AF153))+MONTH((AJ153-1))-MONTH(AF153)-IF(DAY((AJ153-1))&lt;MIN(DAY(AF153),DAY(EOMONTH((AJ153-1),0))),1,0))))</f>
        <v/>
      </c>
      <c r="AU153" s="12" t="str">
        <f aca="false">IF(AE153=0,"",IF(PFYDate&lt;AF153,-1,12*(YEAR(PFYDate)-YEAR(AF153))+MONTH(PFYDate)-MONTH(AF153)-IF(DAY(PFYDate)&lt;MIN(DAY(AF153),DAY(EOMONTH(PFYDate,0))),1,0)))</f>
        <v/>
      </c>
      <c r="AV153" s="12" t="str">
        <f aca="false">IF(AE153=0,"",IF(OR(AG153&lt;2,AI153&gt;PFYDate),AU153,IF((AI153-1)&lt;AF153,-1,12*(YEAR((AI153-1))-YEAR(AF153))+MONTH((AI153-1))-MONTH(AF153)-IF(DAY((AI153-1))&lt;MIN(DAY(AF153),DAY(EOMONTH((AI153-1),0))),1,0))))</f>
        <v/>
      </c>
      <c r="AW153" s="12" t="str">
        <f aca="false">IF(AE153=0,"",IF(OR(AG153&lt;3,AJ153&gt;PFYDate),AU153,IF((AJ153-1)&lt;AF153,-1,12*(YEAR((AJ153-1))-YEAR(AF153))+MONTH((AJ153-1))-MONTH(AF153)-IF(DAY((AJ153-1))&lt;MIN(DAY(AF153),DAY(EOMONTH((AJ153-1),0))),1,0))))</f>
        <v/>
      </c>
      <c r="AX153" s="12" t="str">
        <f aca="false">IF(AE153=0,"",IF(AN153="FT",IF(AS153&lt;FT_First,0,IF(AS153&lt;FT_Y5,1+INT((AS153-FT_First)/FT_Int1),FT_PreY5+FT_PerYear*INT((AS153-FT_Y5)/12)+FT_AnnivDays+INT(MOD(AS153-FT_Y5,12)/FT_Int2))),IF(AN153="PT",IF(AS153&lt;PT_First,0,1+INT((AS153-PT_First)/PT_Int)),0))+IF(AND(AG153&gt;=2,AI153&lt;=AsOfDate),IF(AO153="FT",IF(AT153&lt;FT_First,0,IF(AT153&lt;FT_Y5,1+INT((AT153-FT_First)/FT_Int1),FT_PreY5+FT_PerYear*INT((AT153-FT_Y5)/12)+FT_AnnivDays+INT(MOD(AT153-FT_Y5,12)/FT_Int2))),IF(AO153="PT",IF(AT153&lt;PT_First,0,1+INT((AT153-PT_First)/PT_Int)),0))-IF(AO153="FT",IF(AS153&lt;FT_First,0,IF(AS153&lt;FT_Y5,1+INT((AS153-FT_First)/FT_Int1),FT_PreY5+FT_PerYear*INT((AS153-FT_Y5)/12)+FT_AnnivDays+INT(MOD(AS153-FT_Y5,12)/FT_Int2))),IF(AO153="PT",IF(AS153&lt;PT_First,0,1+INT((AS153-PT_First)/PT_Int)),0)),0)+IF(AND(AG153&gt;=3,AJ153&lt;=AsOfDate),IF(AP153="FT",IF(AR153&lt;FT_First,0,IF(AR153&lt;FT_Y5,1+INT((AR153-FT_First)/FT_Int1),FT_PreY5+FT_PerYear*INT((AR153-FT_Y5)/12)+FT_AnnivDays+INT(MOD(AR153-FT_Y5,12)/FT_Int2))),IF(AP153="PT",IF(AR153&lt;PT_First,0,1+INT((AR153-PT_First)/PT_Int)),0))-IF(AP153="FT",IF(AT153&lt;FT_First,0,IF(AT153&lt;FT_Y5,1+INT((AT153-FT_First)/FT_Int1),FT_PreY5+FT_PerYear*INT((AT153-FT_Y5)/12)+FT_AnnivDays+INT(MOD(AT153-FT_Y5,12)/FT_Int2))),IF(AP153="PT",IF(AT153&lt;PT_First,0,1+INT((AT153-PT_First)/PT_Int)),0)),0))</f>
        <v/>
      </c>
      <c r="AY153" s="12" t="str">
        <f aca="false">IF(AE153=0,"",IF(AN153="FT",IF(AV153&lt;FT_First,0,IF(AV153&lt;FT_Y5,1+INT((AV153-FT_First)/FT_Int1),FT_PreY5+FT_PerYear*INT((AV153-FT_Y5)/12)+FT_AnnivDays+INT(MOD(AV153-FT_Y5,12)/FT_Int2))),IF(AN153="PT",IF(AV153&lt;PT_First,0,1+INT((AV153-PT_First)/PT_Int)),0))+IF(AND(AG153&gt;=2,AI153&lt;=PFYDate),IF(AO153="FT",IF(AW153&lt;FT_First,0,IF(AW153&lt;FT_Y5,1+INT((AW153-FT_First)/FT_Int1),FT_PreY5+FT_PerYear*INT((AW153-FT_Y5)/12)+FT_AnnivDays+INT(MOD(AW153-FT_Y5,12)/FT_Int2))),IF(AO153="PT",IF(AW153&lt;PT_First,0,1+INT((AW153-PT_First)/PT_Int)),0))-IF(AO153="FT",IF(AV153&lt;FT_First,0,IF(AV153&lt;FT_Y5,1+INT((AV153-FT_First)/FT_Int1),FT_PreY5+FT_PerYear*INT((AV153-FT_Y5)/12)+FT_AnnivDays+INT(MOD(AV153-FT_Y5,12)/FT_Int2))),IF(AO153="PT",IF(AV153&lt;PT_First,0,1+INT((AV153-PT_First)/PT_Int)),0)),0)+IF(AND(AG153&gt;=3,AJ153&lt;=PFYDate),IF(AP153="FT",IF(AU153&lt;FT_First,0,IF(AU153&lt;FT_Y5,1+INT((AU153-FT_First)/FT_Int1),FT_PreY5+FT_PerYear*INT((AU153-FT_Y5)/12)+FT_AnnivDays+INT(MOD(AU153-FT_Y5,12)/FT_Int2))),IF(AP153="PT",IF(AU153&lt;PT_First,0,1+INT((AU153-PT_First)/PT_Int)),0))-IF(AP153="FT",IF(AW153&lt;FT_First,0,IF(AW153&lt;FT_Y5,1+INT((AW153-FT_First)/FT_Int1),FT_PreY5+FT_PerYear*INT((AW153-FT_Y5)/12)+FT_AnnivDays+INT(MOD(AW153-FT_Y5,12)/FT_Int2))),IF(AP153="PT",IF(AW153&lt;PT_First,0,1+INT((AW153-PT_First)/PT_Int)),0)),0))</f>
        <v/>
      </c>
      <c r="AZ153" s="12" t="str">
        <f aca="false">IF(AE153=0,"",IF(AQ153="FT",IF(AR153&lt;FT_First,FT_First,IF(AR153&lt;FT_Y5,MIN(FT_Y5,FT_First+FT_Int1*(INT((AR153-FT_First)/FT_Int1)+1)),FT_Y5+12*INT((AR153-FT_Y5)/12)+FT_Int2*(INT(MOD(AR153-FT_Y5,12)/FT_Int2)+1))),IF(AQ153="PT",IF(AR153&lt;PT_First,PT_First,PT_First+PT_Int*(INT((AR153-PT_First)/PT_Int)+1)),"")))</f>
        <v/>
      </c>
      <c r="BA153" s="12" t="str">
        <f aca="false">IF(AE153=0,"",IF(NOT(LH_Ready),0,COUNTIFS(INDEX(LH_Data,0,LH_ColFirst),$A153,INDEX(LH_Data,0,LH_ColSur),$B153,INDEX(LH_Data,0,LH_ColCat),BonusCat)))</f>
        <v/>
      </c>
      <c r="BB153" s="12" t="str">
        <f aca="false">IF(AE153=0,"",IF(OR(NOT(LH_Ready),BA153=0),0,SUMPRODUCT(MAX((INDEX(LH_Data,0,LH_ColFirst)=$A153)*(INDEX(LH_Data,0,LH_ColSur)=$B153)*(INDEX(LH_Data,0,LH_ColCat)=BonusCat)*ROW(LH_Data)))))</f>
        <v/>
      </c>
    </row>
    <row r="154" customFormat="false" ht="15" hidden="false" customHeight="false" outlineLevel="0" collapsed="false">
      <c r="A154" s="15"/>
      <c r="B154" s="15"/>
      <c r="C154" s="15"/>
      <c r="D154" s="16"/>
      <c r="E154" s="10" t="str">
        <f aca="false">IF(OR(AE154=0,$D154=""),"",DATE(YEAR(AsOfDate)+IF(DATE(YEAR(AsOfDate),MONTH($D154),DAY($D154))&lt;=AsOfDate,1,0),MONTH($D154),DAY($D154)))</f>
        <v/>
      </c>
      <c r="F154" s="16"/>
      <c r="G154" s="16"/>
      <c r="H154" s="16"/>
      <c r="I154" s="16"/>
      <c r="J154" s="16"/>
      <c r="K154" s="10" t="str">
        <f aca="false">IF(AE154=0,"",DATE(YEAR(AsOfDate)+IF(DATE(YEAR(AsOfDate),MONTH($F154),DAY($F154))&lt;=AsOfDate,1,0),MONTH($F154),DAY($F154)))</f>
        <v/>
      </c>
      <c r="L154" s="11" t="str">
        <f aca="false">IF(AE154=0,"",ROUND((AsOfDate-$F154)/365.25,1))</f>
        <v/>
      </c>
      <c r="M154" s="12" t="str">
        <f aca="false">IF(AE154=0,"",IF(AsOfDate&lt;AF154,"-",DATEDIF(AF154,AsOfDate,"y")&amp;"y "&amp;DATEDIF(AF154,AsOfDate,"ym")&amp;"m "&amp;DATEDIF(AF154,AsOfDate,"md")&amp;"d"))</f>
        <v/>
      </c>
      <c r="N154" s="13" t="str">
        <f aca="false">IF(AE154=0,"",O154*HoursPerDay)</f>
        <v/>
      </c>
      <c r="O154" s="13" t="str">
        <f aca="false">IF(AE154=0,"",AX154)</f>
        <v/>
      </c>
      <c r="P154" s="17"/>
      <c r="Q154" s="12" t="str">
        <f aca="false">IF(AE154=0,"",IF(AG154&lt;2,"",AK154&amp;" to "&amp;AL154&amp;" on "&amp;TEXT(AI154,"dd/mm/yyyy")&amp;IF(AI154&gt;AsOfDate," (future)",IF(AN154=AO154,"",IF(AO154="None"," - STOPPED accruing",IF(AN154="None"," - now qualifying"," - pathway changed"))))&amp;IF(AG154&lt;3,"","; "&amp;AL154&amp;" to "&amp;AM154&amp;" on "&amp;TEXT(AJ154,"dd/mm/yyyy")&amp;IF(AJ154&gt;AsOfDate," (future)",IF(AO154=AP154,"",IF(AP154="None"," - STOPPED accruing",IF(AO154="None"," - now qualifying"," - pathway changed")))))))</f>
        <v/>
      </c>
      <c r="R154" s="12" t="str">
        <f aca="false">IF(AE154=0,"",IF(AQ154="None",IF(O154&gt;0,"No longer accruing","Not eligible - "&amp;IF(AND(OR(ISNUMBER(SEARCH("part",$C154)),UPPER(TRIM($C154))="PT",UPPER(TRIM($C154))="PTE"),$P154&lt;&gt;"",N($P154)&lt;PT_MinHours),"under "&amp;PT_MinHours&amp;" hrs",IF(IF($C154="","",IF(OR(ISNUMBER(SEARCH("full",$C154)),UPPER(TRIM($C154))="FT",UPPER(TRIM($C154))="FTE"),"Full-Time",IF(OR(ISNUMBER(SEARCH("part",$C154)),UPPER(TRIM($C154))="PT",UPPER(TRIM($C154))="PTE"),"Part-Time",IF(OR(ISNUMBER(SEARCH("cas",$C154)),UPPER(TRIM($C154))="CAS"),"Casual","Unknown"))))="Unknown","type not recognised",$C154))),IF(O154&gt;0,"Yes - accruing","Not yet - from "&amp;TEXT(S154,"dd/mm/yyyy"))))</f>
        <v/>
      </c>
      <c r="S154" s="10" t="str">
        <f aca="false">IF(AE154=0,"",IF(AQ154="None","",EDATE(AF154,AZ154)))</f>
        <v/>
      </c>
      <c r="T154" s="13" t="str">
        <f aca="false">IF(OR(AE154=0,W154=""),"",W154-U154+V154)</f>
        <v/>
      </c>
      <c r="U154" s="13" t="str">
        <f aca="false">IF(AE154=0,"",IF(NOT(LH_Ready),"",SUMIFS(INDEX(LH_Data,0,LH_ColAcc),INDEX(LH_Data,0,LH_ColFirst),$A154,INDEX(LH_Data,0,LH_ColSur),$B154,INDEX(LH_Data,0,LH_ColCat),BonusCat)*UnitFactor))</f>
        <v/>
      </c>
      <c r="V154" s="13" t="str">
        <f aca="false">IF(AE154=0,"",IF(NOT(LH_Ready),"",SUMIFS(INDEX(LH_Data,0,LH_ColTaken),INDEX(LH_Data,0,LH_ColFirst),$A154,INDEX(LH_Data,0,LH_ColSur),$B154,INDEX(LH_Data,0,LH_ColCat),BonusCat)*UnitFactor))</f>
        <v/>
      </c>
      <c r="W154" s="13" t="str">
        <f aca="false">IF(AE154=0,"",IF(NOT(LH_Ready),"",IF(BB154=0,0,INDEX(INDEX(LH_Data,0,LH_ColClose),BB154-1)*UnitFactor)))</f>
        <v/>
      </c>
      <c r="X154" s="13" t="str">
        <f aca="false">IF(AE154=0,"",(AX154-AY154)*HoursPerDay)</f>
        <v/>
      </c>
      <c r="Y154" s="13" t="str">
        <f aca="false">IF(AE154=0,"",IF(NOT(LH_Ready),"",IF(BA154=0,N154,X154-N(U154))))</f>
        <v/>
      </c>
      <c r="Z154" s="12" t="str">
        <f aca="false">IF(OR(AE154=0,Y154=""),"",IF(Y154&gt;0,"Yes","No"))</f>
        <v/>
      </c>
      <c r="AA154" s="12" t="str">
        <f aca="false">IF(AE154=0,IF(LEN($A154&amp;$B154)=0,"","FIX INPUT - StartDate missing"),IF(AD154&lt;&gt;"","FIX INPUT - "&amp;AD154,IF(NOT(LH_Ready),"Paste Leave History export (Settings must show YES)",IF(Y154&gt;0,"ACCRUE "&amp;ROUND(Y154,2)&amp;" hrs ("&amp;ROUND(Y154/HoursPerDay,2)&amp;" days)"&amp;IF(BA154=0," - no Bonus Leave in EH yet, full catch-up since start",""),IF(Y154&lt;0,"CHECK - EH accrued "&amp;ROUND(-Y154,2)&amp;""&amp;" hrs more than policy",IF(O154&gt;0,"OK - nothing to add",IF(AQ154="None",R154,"Not yet - first day on "&amp;TEXT(S154,"dd/mm/yyyy"))))))))</f>
        <v/>
      </c>
      <c r="AB154" s="13" t="str">
        <f aca="false">IF(OR(AE154=0,T154=""),"",AY154*HoursPerDay-T154)</f>
        <v/>
      </c>
      <c r="AC154" s="12" t="str">
        <f aca="false">IF(AE154=0,"",BA154)</f>
        <v/>
      </c>
      <c r="AD154" s="12" t="str">
        <f aca="false">IF(AE154=0,"",TRIM(IF(IF($C154="","",IF(OR(ISNUMBER(SEARCH("full",$C154)),UPPER(TRIM($C154))="FT",UPPER(TRIM($C154))="FTE"),"Full-Time",IF(OR(ISNUMBER(SEARCH("part",$C154)),UPPER(TRIM($C154))="PT",UPPER(TRIM($C154))="PTE"),"Part-Time",IF(OR(ISNUMBER(SEARCH("cas",$C154)),UPPER(TRIM($C154))="CAS"),"Casual","Unknown"))))="Unknown","EmploymentType not recognised - use Full-Time, Part-Time or Casual. ","")&amp;IF(AND(AG154&gt;=1,IF(AG154&gt;=3,AM154,IF(AG154=2,AL154,AK154))&lt;&gt;IF($C154="","",IF(OR(ISNUMBER(SEARCH("full",$C154)),UPPER(TRIM($C154))="FT",UPPER(TRIM($C154))="FTE"),"Full-Time",IF(OR(ISNUMBER(SEARCH("part",$C154)),UPPER(TRIM($C154))="PT",UPPER(TRIM($C154))="PTE"),"Part-Time",IF(OR(ISNUMBER(SEARCH("cas",$C154)),UPPER(TRIM($C154))="CAS"),"Casual","Unknown"))))),"EmploymentType does not match latest start date ("&amp;IF(AG154&gt;=3,AM154,IF(AG154=2,AL154,AK154))&amp;"). ","")&amp;IF(AND(AG154&gt;=1,AH154&lt;&gt;$F154),"Earliest type date should equal StartDate. ","")&amp;IF(AND(AG154&gt;=2,AH154=AI154),"Two types start on the same date. ","")&amp;IF(AND(OR(ISNUMBER(SEARCH("part",$C154)),UPPER(TRIM($C154))="PT",UPPER(TRIM($C154))="PTE"),$P154=""),"Part-time: enter PT Hrs/Week (blank = 24+). ","")))</f>
        <v/>
      </c>
      <c r="AE154" s="12" t="n">
        <f aca="false">IF(OR(LEN($A154&amp;$B154)=0,$F154=""),0,1)</f>
        <v>0</v>
      </c>
      <c r="AF154" s="10" t="str">
        <f aca="false">IF(AE154=0,"",IF($J154&lt;&gt;"",$J154,$F154))</f>
        <v/>
      </c>
      <c r="AG154" s="12" t="str">
        <f aca="false">IF(AE154=0,"",COUNT($G154:$I154))</f>
        <v/>
      </c>
      <c r="AH154" s="10" t="str">
        <f aca="false">IF(AE154=0,"",IFERROR(SMALL($G154:$I154,1),""))</f>
        <v/>
      </c>
      <c r="AI154" s="10" t="str">
        <f aca="false">IF(AE154=0,"",IFERROR(SMALL($G154:$I154,2),""))</f>
        <v/>
      </c>
      <c r="AJ154" s="10" t="str">
        <f aca="false">IF(AE154=0,"",IFERROR(SMALL($G154:$I154,3),""))</f>
        <v/>
      </c>
      <c r="AK154" s="12" t="str">
        <f aca="false">IF(AE154=0,"",IF(AH154="","",IF(AH154=$G154,"Part-Time",IF(AH154=$H154,"Full-Time","Casual"))))</f>
        <v/>
      </c>
      <c r="AL154" s="12" t="str">
        <f aca="false">IF(AE154=0,"",IF(AI154="","",IF(AI154=$G154,"Part-Time",IF(AI154=$H154,"Full-Time","Casual"))))</f>
        <v/>
      </c>
      <c r="AM154" s="12" t="str">
        <f aca="false">IF(AE154=0,"",IF(AJ154="","",IF(AJ154=$G154,"Part-Time",IF(AJ154=$H154,"Full-Time","Casual"))))</f>
        <v/>
      </c>
      <c r="AN154" s="12" t="str">
        <f aca="false">IF(AE154=0,"",IF(AG154=0,IF(OR(ISNUMBER(SEARCH("full",$C154)),UPPER(TRIM($C154))="FT",UPPER(TRIM($C154))="FTE"),"FT",IF(AND(OR(ISNUMBER(SEARCH("part",$C154)),UPPER(TRIM($C154))="PT",UPPER(TRIM($C154))="PTE"),OR($P154="",N($P154)&gt;=PT_MinHours)),"PT","None")),IF(OR(ISNUMBER(SEARCH("full",AK154)),UPPER(TRIM(AK154))="FT",UPPER(TRIM(AK154))="FTE"),"FT",IF(AND(OR(ISNUMBER(SEARCH("part",AK154)),UPPER(TRIM(AK154))="PT",UPPER(TRIM(AK154))="PTE"),OR($P154="",N($P154)&gt;=PT_MinHours)),"PT","None"))))</f>
        <v/>
      </c>
      <c r="AO154" s="12" t="str">
        <f aca="false">IF(AE154=0,"",IF(AG154&lt;2,"",IF(OR(ISNUMBER(SEARCH("full",AL154)),UPPER(TRIM(AL154))="FT",UPPER(TRIM(AL154))="FTE"),"FT",IF(AND(OR(ISNUMBER(SEARCH("part",AL154)),UPPER(TRIM(AL154))="PT",UPPER(TRIM(AL154))="PTE"),OR($P154="",N($P154)&gt;=PT_MinHours)),"PT","None"))))</f>
        <v/>
      </c>
      <c r="AP154" s="12" t="str">
        <f aca="false">IF(AE154=0,"",IF(AG154&lt;3,"",IF(OR(ISNUMBER(SEARCH("full",AM154)),UPPER(TRIM(AM154))="FT",UPPER(TRIM(AM154))="FTE"),"FT",IF(AND(OR(ISNUMBER(SEARCH("part",AM154)),UPPER(TRIM(AM154))="PT",UPPER(TRIM(AM154))="PTE"),OR($P154="",N($P154)&gt;=PT_MinHours)),"PT","None"))))</f>
        <v/>
      </c>
      <c r="AQ154" s="12" t="str">
        <f aca="false">IF(AE154=0,"",IF(AND(AG154&gt;=3,AJ154&lt;=AsOfDate),AP154,IF(AND(AG154&gt;=2,AI154&lt;=AsOfDate),AO154,AN154)))</f>
        <v/>
      </c>
      <c r="AR154" s="12" t="str">
        <f aca="false">IF(AE154=0,"",IF(AsOfDate&lt;AF154,-1,12*(YEAR(AsOfDate)-YEAR(AF154))+MONTH(AsOfDate)-MONTH(AF154)-IF(DAY(AsOfDate)&lt;MIN(DAY(AF154),DAY(EOMONTH(AsOfDate,0))),1,0)))</f>
        <v/>
      </c>
      <c r="AS154" s="12" t="str">
        <f aca="false">IF(AE154=0,"",IF(OR(AG154&lt;2,AI154&gt;AsOfDate),AR154,IF((AI154-1)&lt;AF154,-1,12*(YEAR((AI154-1))-YEAR(AF154))+MONTH((AI154-1))-MONTH(AF154)-IF(DAY((AI154-1))&lt;MIN(DAY(AF154),DAY(EOMONTH((AI154-1),0))),1,0))))</f>
        <v/>
      </c>
      <c r="AT154" s="12" t="str">
        <f aca="false">IF(AE154=0,"",IF(OR(AG154&lt;3,AJ154&gt;AsOfDate),AR154,IF((AJ154-1)&lt;AF154,-1,12*(YEAR((AJ154-1))-YEAR(AF154))+MONTH((AJ154-1))-MONTH(AF154)-IF(DAY((AJ154-1))&lt;MIN(DAY(AF154),DAY(EOMONTH((AJ154-1),0))),1,0))))</f>
        <v/>
      </c>
      <c r="AU154" s="12" t="str">
        <f aca="false">IF(AE154=0,"",IF(PFYDate&lt;AF154,-1,12*(YEAR(PFYDate)-YEAR(AF154))+MONTH(PFYDate)-MONTH(AF154)-IF(DAY(PFYDate)&lt;MIN(DAY(AF154),DAY(EOMONTH(PFYDate,0))),1,0)))</f>
        <v/>
      </c>
      <c r="AV154" s="12" t="str">
        <f aca="false">IF(AE154=0,"",IF(OR(AG154&lt;2,AI154&gt;PFYDate),AU154,IF((AI154-1)&lt;AF154,-1,12*(YEAR((AI154-1))-YEAR(AF154))+MONTH((AI154-1))-MONTH(AF154)-IF(DAY((AI154-1))&lt;MIN(DAY(AF154),DAY(EOMONTH((AI154-1),0))),1,0))))</f>
        <v/>
      </c>
      <c r="AW154" s="12" t="str">
        <f aca="false">IF(AE154=0,"",IF(OR(AG154&lt;3,AJ154&gt;PFYDate),AU154,IF((AJ154-1)&lt;AF154,-1,12*(YEAR((AJ154-1))-YEAR(AF154))+MONTH((AJ154-1))-MONTH(AF154)-IF(DAY((AJ154-1))&lt;MIN(DAY(AF154),DAY(EOMONTH((AJ154-1),0))),1,0))))</f>
        <v/>
      </c>
      <c r="AX154" s="12" t="str">
        <f aca="false">IF(AE154=0,"",IF(AN154="FT",IF(AS154&lt;FT_First,0,IF(AS154&lt;FT_Y5,1+INT((AS154-FT_First)/FT_Int1),FT_PreY5+FT_PerYear*INT((AS154-FT_Y5)/12)+FT_AnnivDays+INT(MOD(AS154-FT_Y5,12)/FT_Int2))),IF(AN154="PT",IF(AS154&lt;PT_First,0,1+INT((AS154-PT_First)/PT_Int)),0))+IF(AND(AG154&gt;=2,AI154&lt;=AsOfDate),IF(AO154="FT",IF(AT154&lt;FT_First,0,IF(AT154&lt;FT_Y5,1+INT((AT154-FT_First)/FT_Int1),FT_PreY5+FT_PerYear*INT((AT154-FT_Y5)/12)+FT_AnnivDays+INT(MOD(AT154-FT_Y5,12)/FT_Int2))),IF(AO154="PT",IF(AT154&lt;PT_First,0,1+INT((AT154-PT_First)/PT_Int)),0))-IF(AO154="FT",IF(AS154&lt;FT_First,0,IF(AS154&lt;FT_Y5,1+INT((AS154-FT_First)/FT_Int1),FT_PreY5+FT_PerYear*INT((AS154-FT_Y5)/12)+FT_AnnivDays+INT(MOD(AS154-FT_Y5,12)/FT_Int2))),IF(AO154="PT",IF(AS154&lt;PT_First,0,1+INT((AS154-PT_First)/PT_Int)),0)),0)+IF(AND(AG154&gt;=3,AJ154&lt;=AsOfDate),IF(AP154="FT",IF(AR154&lt;FT_First,0,IF(AR154&lt;FT_Y5,1+INT((AR154-FT_First)/FT_Int1),FT_PreY5+FT_PerYear*INT((AR154-FT_Y5)/12)+FT_AnnivDays+INT(MOD(AR154-FT_Y5,12)/FT_Int2))),IF(AP154="PT",IF(AR154&lt;PT_First,0,1+INT((AR154-PT_First)/PT_Int)),0))-IF(AP154="FT",IF(AT154&lt;FT_First,0,IF(AT154&lt;FT_Y5,1+INT((AT154-FT_First)/FT_Int1),FT_PreY5+FT_PerYear*INT((AT154-FT_Y5)/12)+FT_AnnivDays+INT(MOD(AT154-FT_Y5,12)/FT_Int2))),IF(AP154="PT",IF(AT154&lt;PT_First,0,1+INT((AT154-PT_First)/PT_Int)),0)),0))</f>
        <v/>
      </c>
      <c r="AY154" s="12" t="str">
        <f aca="false">IF(AE154=0,"",IF(AN154="FT",IF(AV154&lt;FT_First,0,IF(AV154&lt;FT_Y5,1+INT((AV154-FT_First)/FT_Int1),FT_PreY5+FT_PerYear*INT((AV154-FT_Y5)/12)+FT_AnnivDays+INT(MOD(AV154-FT_Y5,12)/FT_Int2))),IF(AN154="PT",IF(AV154&lt;PT_First,0,1+INT((AV154-PT_First)/PT_Int)),0))+IF(AND(AG154&gt;=2,AI154&lt;=PFYDate),IF(AO154="FT",IF(AW154&lt;FT_First,0,IF(AW154&lt;FT_Y5,1+INT((AW154-FT_First)/FT_Int1),FT_PreY5+FT_PerYear*INT((AW154-FT_Y5)/12)+FT_AnnivDays+INT(MOD(AW154-FT_Y5,12)/FT_Int2))),IF(AO154="PT",IF(AW154&lt;PT_First,0,1+INT((AW154-PT_First)/PT_Int)),0))-IF(AO154="FT",IF(AV154&lt;FT_First,0,IF(AV154&lt;FT_Y5,1+INT((AV154-FT_First)/FT_Int1),FT_PreY5+FT_PerYear*INT((AV154-FT_Y5)/12)+FT_AnnivDays+INT(MOD(AV154-FT_Y5,12)/FT_Int2))),IF(AO154="PT",IF(AV154&lt;PT_First,0,1+INT((AV154-PT_First)/PT_Int)),0)),0)+IF(AND(AG154&gt;=3,AJ154&lt;=PFYDate),IF(AP154="FT",IF(AU154&lt;FT_First,0,IF(AU154&lt;FT_Y5,1+INT((AU154-FT_First)/FT_Int1),FT_PreY5+FT_PerYear*INT((AU154-FT_Y5)/12)+FT_AnnivDays+INT(MOD(AU154-FT_Y5,12)/FT_Int2))),IF(AP154="PT",IF(AU154&lt;PT_First,0,1+INT((AU154-PT_First)/PT_Int)),0))-IF(AP154="FT",IF(AW154&lt;FT_First,0,IF(AW154&lt;FT_Y5,1+INT((AW154-FT_First)/FT_Int1),FT_PreY5+FT_PerYear*INT((AW154-FT_Y5)/12)+FT_AnnivDays+INT(MOD(AW154-FT_Y5,12)/FT_Int2))),IF(AP154="PT",IF(AW154&lt;PT_First,0,1+INT((AW154-PT_First)/PT_Int)),0)),0))</f>
        <v/>
      </c>
      <c r="AZ154" s="12" t="str">
        <f aca="false">IF(AE154=0,"",IF(AQ154="FT",IF(AR154&lt;FT_First,FT_First,IF(AR154&lt;FT_Y5,MIN(FT_Y5,FT_First+FT_Int1*(INT((AR154-FT_First)/FT_Int1)+1)),FT_Y5+12*INT((AR154-FT_Y5)/12)+FT_Int2*(INT(MOD(AR154-FT_Y5,12)/FT_Int2)+1))),IF(AQ154="PT",IF(AR154&lt;PT_First,PT_First,PT_First+PT_Int*(INT((AR154-PT_First)/PT_Int)+1)),"")))</f>
        <v/>
      </c>
      <c r="BA154" s="12" t="str">
        <f aca="false">IF(AE154=0,"",IF(NOT(LH_Ready),0,COUNTIFS(INDEX(LH_Data,0,LH_ColFirst),$A154,INDEX(LH_Data,0,LH_ColSur),$B154,INDEX(LH_Data,0,LH_ColCat),BonusCat)))</f>
        <v/>
      </c>
      <c r="BB154" s="12" t="str">
        <f aca="false">IF(AE154=0,"",IF(OR(NOT(LH_Ready),BA154=0),0,SUMPRODUCT(MAX((INDEX(LH_Data,0,LH_ColFirst)=$A154)*(INDEX(LH_Data,0,LH_ColSur)=$B154)*(INDEX(LH_Data,0,LH_ColCat)=BonusCat)*ROW(LH_Data)))))</f>
        <v/>
      </c>
    </row>
  </sheetData>
  <autoFilter ref="A4:AD154"/>
  <conditionalFormatting sqref="AA5:AA154">
    <cfRule type="expression" priority="2" aboveAverage="0" equalAverage="0" bottom="0" percent="0" rank="0" text="" dxfId="13">
      <formula>LEFT(AA5,6)="ACCRUE"</formula>
    </cfRule>
    <cfRule type="expression" priority="3" aboveAverage="0" equalAverage="0" bottom="0" percent="0" rank="0" text="" dxfId="14">
      <formula>LEFT(AA5,5)="CHECK"</formula>
    </cfRule>
    <cfRule type="expression" priority="4" aboveAverage="0" equalAverage="0" bottom="0" percent="0" rank="0" text="" dxfId="14">
      <formula>LEFT(AA5,3)="FIX"</formula>
    </cfRule>
    <cfRule type="expression" priority="5" aboveAverage="0" equalAverage="0" bottom="0" percent="0" rank="0" text="" dxfId="15">
      <formula>LEFT(AA5,2)="OK"</formula>
    </cfRule>
  </conditionalFormatting>
  <conditionalFormatting sqref="Z5:Z154">
    <cfRule type="expression" priority="6" aboveAverage="0" equalAverage="0" bottom="0" percent="0" rank="0" text="" dxfId="16">
      <formula>Z5="Yes"</formula>
    </cfRule>
  </conditionalFormatting>
  <conditionalFormatting sqref="R5:R154">
    <cfRule type="expression" priority="7" aboveAverage="0" equalAverage="0" bottom="0" percent="0" rank="0" text="" dxfId="17">
      <formula>LEFT(R5,3)="Yes"</formula>
    </cfRule>
  </conditionalFormatting>
  <conditionalFormatting sqref="Q5:Q154">
    <cfRule type="expression" priority="8" aboveAverage="0" equalAverage="0" bottom="0" percent="0" rank="0" text="" dxfId="18">
      <formula>Q5&lt;&gt;""</formula>
    </cfRule>
  </conditionalFormatting>
  <conditionalFormatting sqref="AD5:AD154">
    <cfRule type="expression" priority="9" aboveAverage="0" equalAverage="0" bottom="0" percent="0" rank="0" text="" dxfId="19">
      <formula>AD5&lt;&gt;""</formula>
    </cfRule>
  </conditionalFormatting>
  <dataValidations count="2">
    <dataValidation allowBlank="true" errorStyle="stop" operator="between" showDropDown="false" showErrorMessage="false" showInputMessage="false" sqref="C5:C154" type="list">
      <formula1>"Full-Time,Part-Time,Casual"</formula1>
      <formula2>0</formula2>
    </dataValidation>
    <dataValidation allowBlank="true" error="Enter a date" errorStyle="stop" operator="greaterThan" showDropDown="false" showErrorMessage="false" showInputMessage="false" sqref="D5:D154 F5:J154" type="date">
      <formula1>20000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N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4" min="3" style="0" width="12"/>
    <col collapsed="false" customWidth="true" hidden="false" outlineLevel="0" max="5" min="5" style="0" width="16"/>
    <col collapsed="false" customWidth="true" hidden="false" outlineLevel="0" max="7" min="6" style="0" width="12"/>
    <col collapsed="false" customWidth="true" hidden="false" outlineLevel="0" max="8" min="8" style="0" width="24"/>
    <col collapsed="false" customWidth="true" hidden="false" outlineLevel="0" max="9" min="9" style="0" width="10"/>
    <col collapsed="false" customWidth="true" hidden="false" outlineLevel="0" max="11" min="10" style="0" width="12"/>
    <col collapsed="false" customWidth="true" hidden="false" outlineLevel="0" max="12" min="12" style="0" width="10"/>
  </cols>
  <sheetData>
    <row r="1" customFormat="false" ht="15" hidden="false" customHeight="false" outlineLevel="0" collapsed="false">
      <c r="A1" s="2" t="s">
        <v>97</v>
      </c>
      <c r="B1" s="2" t="s">
        <v>98</v>
      </c>
      <c r="C1" s="2" t="s">
        <v>99</v>
      </c>
      <c r="D1" s="2" t="s">
        <v>25</v>
      </c>
      <c r="E1" s="2" t="s">
        <v>100</v>
      </c>
      <c r="F1" s="2" t="s">
        <v>101</v>
      </c>
      <c r="G1" s="2" t="s">
        <v>102</v>
      </c>
      <c r="H1" s="2" t="s">
        <v>103</v>
      </c>
      <c r="I1" s="2" t="s">
        <v>104</v>
      </c>
      <c r="J1" s="2" t="s">
        <v>105</v>
      </c>
      <c r="K1" s="2" t="s">
        <v>106</v>
      </c>
      <c r="L1" s="2" t="s">
        <v>107</v>
      </c>
      <c r="N1" s="18" t="s">
        <v>108</v>
      </c>
    </row>
    <row r="2" customFormat="false" ht="15" hidden="false" customHeight="false" outlineLevel="0" collapsed="false">
      <c r="A2" s="19" t="n">
        <v>101</v>
      </c>
      <c r="B2" s="19"/>
      <c r="C2" s="19" t="s">
        <v>78</v>
      </c>
      <c r="D2" s="19" t="s">
        <v>79</v>
      </c>
      <c r="E2" s="19" t="s">
        <v>109</v>
      </c>
      <c r="F2" s="19" t="n">
        <v>64</v>
      </c>
      <c r="G2" s="19" t="n">
        <v>64</v>
      </c>
      <c r="H2" s="19" t="s">
        <v>110</v>
      </c>
      <c r="I2" s="19"/>
      <c r="J2" s="19" t="n">
        <v>0</v>
      </c>
      <c r="K2" s="19" t="n">
        <v>0</v>
      </c>
      <c r="L2" s="19" t="s">
        <v>111</v>
      </c>
      <c r="N2" s="20" t="s">
        <v>112</v>
      </c>
    </row>
    <row r="3" customFormat="false" ht="15" hidden="false" customHeight="false" outlineLevel="0" collapsed="false">
      <c r="A3" s="19" t="n">
        <v>101</v>
      </c>
      <c r="B3" s="19"/>
      <c r="C3" s="19" t="s">
        <v>78</v>
      </c>
      <c r="D3" s="19" t="s">
        <v>79</v>
      </c>
      <c r="E3" s="19" t="s">
        <v>109</v>
      </c>
      <c r="F3" s="19" t="n">
        <v>64</v>
      </c>
      <c r="G3" s="19" t="n">
        <v>64</v>
      </c>
      <c r="H3" s="19" t="s">
        <v>113</v>
      </c>
      <c r="I3" s="19"/>
      <c r="J3" s="19" t="n">
        <v>0</v>
      </c>
      <c r="K3" s="19" t="n">
        <v>0</v>
      </c>
      <c r="L3" s="19" t="s">
        <v>111</v>
      </c>
    </row>
    <row r="4" customFormat="false" ht="15" hidden="false" customHeight="false" outlineLevel="0" collapsed="false">
      <c r="A4" s="19" t="n">
        <v>101</v>
      </c>
      <c r="B4" s="19"/>
      <c r="C4" s="19" t="s">
        <v>78</v>
      </c>
      <c r="D4" s="19" t="s">
        <v>79</v>
      </c>
      <c r="E4" s="19" t="s">
        <v>109</v>
      </c>
      <c r="F4" s="19" t="n">
        <v>64</v>
      </c>
      <c r="G4" s="19" t="n">
        <v>64</v>
      </c>
      <c r="H4" s="19" t="s">
        <v>114</v>
      </c>
      <c r="I4" s="19"/>
      <c r="J4" s="19" t="n">
        <v>0</v>
      </c>
      <c r="K4" s="19" t="n">
        <v>0</v>
      </c>
      <c r="L4" s="19" t="s">
        <v>111</v>
      </c>
    </row>
    <row r="5" customFormat="false" ht="15" hidden="false" customHeight="false" outlineLevel="0" collapsed="false">
      <c r="A5" s="19" t="n">
        <v>101</v>
      </c>
      <c r="B5" s="19"/>
      <c r="C5" s="19" t="s">
        <v>78</v>
      </c>
      <c r="D5" s="19" t="s">
        <v>79</v>
      </c>
      <c r="E5" s="19" t="s">
        <v>109</v>
      </c>
      <c r="F5" s="19" t="n">
        <v>64</v>
      </c>
      <c r="G5" s="19" t="n">
        <v>56</v>
      </c>
      <c r="H5" s="19" t="s">
        <v>115</v>
      </c>
      <c r="I5" s="19"/>
      <c r="J5" s="19" t="n">
        <v>0</v>
      </c>
      <c r="K5" s="19" t="n">
        <v>8</v>
      </c>
      <c r="L5" s="19" t="s">
        <v>111</v>
      </c>
    </row>
    <row r="6" customFormat="false" ht="15" hidden="false" customHeight="false" outlineLevel="0" collapsed="false">
      <c r="A6" s="19" t="n">
        <v>101</v>
      </c>
      <c r="B6" s="19"/>
      <c r="C6" s="19" t="s">
        <v>78</v>
      </c>
      <c r="D6" s="19" t="s">
        <v>79</v>
      </c>
      <c r="E6" s="19" t="s">
        <v>109</v>
      </c>
      <c r="F6" s="19" t="n">
        <v>56</v>
      </c>
      <c r="G6" s="19" t="n">
        <v>56</v>
      </c>
      <c r="H6" s="19" t="s">
        <v>116</v>
      </c>
      <c r="I6" s="19"/>
      <c r="J6" s="19" t="n">
        <v>0</v>
      </c>
      <c r="K6" s="19" t="n">
        <v>0</v>
      </c>
      <c r="L6" s="19" t="s">
        <v>111</v>
      </c>
    </row>
    <row r="7" customFormat="false" ht="15" hidden="false" customHeight="false" outlineLevel="0" collapsed="false">
      <c r="A7" s="19" t="n">
        <v>101</v>
      </c>
      <c r="B7" s="19"/>
      <c r="C7" s="19" t="s">
        <v>78</v>
      </c>
      <c r="D7" s="19" t="s">
        <v>79</v>
      </c>
      <c r="E7" s="19" t="s">
        <v>109</v>
      </c>
      <c r="F7" s="19" t="n">
        <v>56</v>
      </c>
      <c r="G7" s="19" t="n">
        <v>56</v>
      </c>
      <c r="H7" s="19" t="s">
        <v>117</v>
      </c>
      <c r="I7" s="19"/>
      <c r="J7" s="19" t="n">
        <v>0</v>
      </c>
      <c r="K7" s="19" t="n">
        <v>0</v>
      </c>
      <c r="L7" s="19" t="s">
        <v>111</v>
      </c>
    </row>
    <row r="8" customFormat="false" ht="15" hidden="false" customHeight="false" outlineLevel="0" collapsed="false">
      <c r="A8" s="19" t="n">
        <v>101</v>
      </c>
      <c r="B8" s="19"/>
      <c r="C8" s="19" t="s">
        <v>78</v>
      </c>
      <c r="D8" s="19" t="s">
        <v>79</v>
      </c>
      <c r="E8" s="19" t="s">
        <v>118</v>
      </c>
      <c r="F8" s="19" t="n">
        <v>120</v>
      </c>
      <c r="G8" s="19" t="n">
        <v>120</v>
      </c>
      <c r="H8" s="19" t="s">
        <v>110</v>
      </c>
      <c r="I8" s="19"/>
      <c r="J8" s="19" t="n">
        <v>0</v>
      </c>
      <c r="K8" s="19" t="n">
        <v>0</v>
      </c>
      <c r="L8" s="19" t="s">
        <v>111</v>
      </c>
    </row>
    <row r="9" customFormat="false" ht="15" hidden="false" customHeight="false" outlineLevel="0" collapsed="false">
      <c r="A9" s="19" t="n">
        <v>101</v>
      </c>
      <c r="B9" s="19"/>
      <c r="C9" s="19" t="s">
        <v>78</v>
      </c>
      <c r="D9" s="19" t="s">
        <v>79</v>
      </c>
      <c r="E9" s="19" t="s">
        <v>118</v>
      </c>
      <c r="F9" s="19" t="n">
        <v>120</v>
      </c>
      <c r="G9" s="19" t="n">
        <v>125.84</v>
      </c>
      <c r="H9" s="19" t="s">
        <v>113</v>
      </c>
      <c r="I9" s="19"/>
      <c r="J9" s="19" t="n">
        <v>5.84</v>
      </c>
      <c r="K9" s="19" t="n">
        <v>0</v>
      </c>
      <c r="L9" s="19" t="s">
        <v>111</v>
      </c>
    </row>
    <row r="10" customFormat="false" ht="15" hidden="false" customHeight="false" outlineLevel="0" collapsed="false">
      <c r="A10" s="19" t="n">
        <v>101</v>
      </c>
      <c r="B10" s="19"/>
      <c r="C10" s="19" t="s">
        <v>78</v>
      </c>
      <c r="D10" s="19" t="s">
        <v>79</v>
      </c>
      <c r="E10" s="19" t="s">
        <v>118</v>
      </c>
      <c r="F10" s="19" t="n">
        <v>125.84</v>
      </c>
      <c r="G10" s="19" t="n">
        <v>125.84</v>
      </c>
      <c r="H10" s="19" t="s">
        <v>114</v>
      </c>
      <c r="I10" s="19"/>
      <c r="J10" s="19" t="n">
        <v>0</v>
      </c>
      <c r="K10" s="19" t="n">
        <v>0</v>
      </c>
      <c r="L10" s="19" t="s">
        <v>111</v>
      </c>
    </row>
    <row r="11" customFormat="false" ht="15" hidden="false" customHeight="false" outlineLevel="0" collapsed="false">
      <c r="A11" s="19" t="n">
        <v>101</v>
      </c>
      <c r="B11" s="19"/>
      <c r="C11" s="19" t="s">
        <v>78</v>
      </c>
      <c r="D11" s="19" t="s">
        <v>79</v>
      </c>
      <c r="E11" s="19" t="s">
        <v>118</v>
      </c>
      <c r="F11" s="19" t="n">
        <v>125.84</v>
      </c>
      <c r="G11" s="19" t="n">
        <v>125.84</v>
      </c>
      <c r="H11" s="19" t="s">
        <v>115</v>
      </c>
      <c r="I11" s="19"/>
      <c r="J11" s="19" t="n">
        <v>0</v>
      </c>
      <c r="K11" s="19" t="n">
        <v>0</v>
      </c>
      <c r="L11" s="19" t="s">
        <v>111</v>
      </c>
    </row>
    <row r="12" customFormat="false" ht="15" hidden="false" customHeight="false" outlineLevel="0" collapsed="false">
      <c r="A12" s="19" t="n">
        <v>101</v>
      </c>
      <c r="B12" s="19"/>
      <c r="C12" s="19" t="s">
        <v>78</v>
      </c>
      <c r="D12" s="19" t="s">
        <v>79</v>
      </c>
      <c r="E12" s="19" t="s">
        <v>118</v>
      </c>
      <c r="F12" s="19" t="n">
        <v>125.84</v>
      </c>
      <c r="G12" s="19" t="n">
        <v>125.84</v>
      </c>
      <c r="H12" s="19" t="s">
        <v>116</v>
      </c>
      <c r="I12" s="19"/>
      <c r="J12" s="19" t="n">
        <v>0</v>
      </c>
      <c r="K12" s="19" t="n">
        <v>0</v>
      </c>
      <c r="L12" s="19" t="s">
        <v>111</v>
      </c>
    </row>
    <row r="13" customFormat="false" ht="15" hidden="false" customHeight="false" outlineLevel="0" collapsed="false">
      <c r="A13" s="19" t="n">
        <v>101</v>
      </c>
      <c r="B13" s="19"/>
      <c r="C13" s="19" t="s">
        <v>78</v>
      </c>
      <c r="D13" s="19" t="s">
        <v>79</v>
      </c>
      <c r="E13" s="19" t="s">
        <v>118</v>
      </c>
      <c r="F13" s="19" t="n">
        <v>125.84</v>
      </c>
      <c r="G13" s="19" t="n">
        <v>125.84</v>
      </c>
      <c r="H13" s="19" t="s">
        <v>117</v>
      </c>
      <c r="I13" s="19"/>
      <c r="J13" s="19" t="n">
        <v>0</v>
      </c>
      <c r="K13" s="19" t="n">
        <v>0</v>
      </c>
      <c r="L13" s="19" t="s">
        <v>111</v>
      </c>
    </row>
    <row r="14" customFormat="false" ht="15" hidden="false" customHeight="false" outlineLevel="0" collapsed="false">
      <c r="A14" s="19" t="n">
        <v>102</v>
      </c>
      <c r="B14" s="19"/>
      <c r="C14" s="19" t="s">
        <v>81</v>
      </c>
      <c r="D14" s="19" t="s">
        <v>82</v>
      </c>
      <c r="E14" s="19" t="s">
        <v>109</v>
      </c>
      <c r="F14" s="19" t="n">
        <v>32</v>
      </c>
      <c r="G14" s="19" t="n">
        <v>32</v>
      </c>
      <c r="H14" s="19" t="s">
        <v>110</v>
      </c>
      <c r="I14" s="19"/>
      <c r="J14" s="19" t="n">
        <v>0</v>
      </c>
      <c r="K14" s="19" t="n">
        <v>0</v>
      </c>
      <c r="L14" s="19" t="s">
        <v>111</v>
      </c>
    </row>
    <row r="15" customFormat="false" ht="15" hidden="false" customHeight="false" outlineLevel="0" collapsed="false">
      <c r="A15" s="19" t="n">
        <v>102</v>
      </c>
      <c r="B15" s="19"/>
      <c r="C15" s="19" t="s">
        <v>81</v>
      </c>
      <c r="D15" s="19" t="s">
        <v>82</v>
      </c>
      <c r="E15" s="19" t="s">
        <v>109</v>
      </c>
      <c r="F15" s="19" t="n">
        <v>32</v>
      </c>
      <c r="G15" s="19" t="n">
        <v>32</v>
      </c>
      <c r="H15" s="19" t="s">
        <v>113</v>
      </c>
      <c r="I15" s="19"/>
      <c r="J15" s="19" t="n">
        <v>0</v>
      </c>
      <c r="K15" s="19" t="n">
        <v>0</v>
      </c>
      <c r="L15" s="19" t="s">
        <v>111</v>
      </c>
    </row>
    <row r="16" customFormat="false" ht="15" hidden="false" customHeight="false" outlineLevel="0" collapsed="false">
      <c r="A16" s="19" t="n">
        <v>102</v>
      </c>
      <c r="B16" s="19"/>
      <c r="C16" s="19" t="s">
        <v>81</v>
      </c>
      <c r="D16" s="19" t="s">
        <v>82</v>
      </c>
      <c r="E16" s="19" t="s">
        <v>109</v>
      </c>
      <c r="F16" s="19" t="n">
        <v>32</v>
      </c>
      <c r="G16" s="19" t="n">
        <v>32</v>
      </c>
      <c r="H16" s="19" t="s">
        <v>114</v>
      </c>
      <c r="I16" s="19"/>
      <c r="J16" s="19" t="n">
        <v>0</v>
      </c>
      <c r="K16" s="19" t="n">
        <v>0</v>
      </c>
      <c r="L16" s="19" t="s">
        <v>111</v>
      </c>
    </row>
    <row r="17" customFormat="false" ht="15" hidden="false" customHeight="false" outlineLevel="0" collapsed="false">
      <c r="A17" s="19" t="n">
        <v>102</v>
      </c>
      <c r="B17" s="19"/>
      <c r="C17" s="19" t="s">
        <v>81</v>
      </c>
      <c r="D17" s="19" t="s">
        <v>82</v>
      </c>
      <c r="E17" s="19" t="s">
        <v>109</v>
      </c>
      <c r="F17" s="19" t="n">
        <v>32</v>
      </c>
      <c r="G17" s="19" t="n">
        <v>32</v>
      </c>
      <c r="H17" s="19" t="s">
        <v>115</v>
      </c>
      <c r="I17" s="19"/>
      <c r="J17" s="19" t="n">
        <v>0</v>
      </c>
      <c r="K17" s="19" t="n">
        <v>0</v>
      </c>
      <c r="L17" s="19" t="s">
        <v>111</v>
      </c>
    </row>
    <row r="18" customFormat="false" ht="15" hidden="false" customHeight="false" outlineLevel="0" collapsed="false">
      <c r="A18" s="19" t="n">
        <v>102</v>
      </c>
      <c r="B18" s="19"/>
      <c r="C18" s="19" t="s">
        <v>81</v>
      </c>
      <c r="D18" s="19" t="s">
        <v>82</v>
      </c>
      <c r="E18" s="19" t="s">
        <v>109</v>
      </c>
      <c r="F18" s="19" t="n">
        <v>32</v>
      </c>
      <c r="G18" s="19" t="n">
        <v>32</v>
      </c>
      <c r="H18" s="19" t="s">
        <v>116</v>
      </c>
      <c r="I18" s="19"/>
      <c r="J18" s="19" t="n">
        <v>0</v>
      </c>
      <c r="K18" s="19" t="n">
        <v>0</v>
      </c>
      <c r="L18" s="19" t="s">
        <v>111</v>
      </c>
    </row>
    <row r="19" customFormat="false" ht="15" hidden="false" customHeight="false" outlineLevel="0" collapsed="false">
      <c r="A19" s="19" t="n">
        <v>102</v>
      </c>
      <c r="B19" s="19"/>
      <c r="C19" s="19" t="s">
        <v>81</v>
      </c>
      <c r="D19" s="19" t="s">
        <v>82</v>
      </c>
      <c r="E19" s="19" t="s">
        <v>109</v>
      </c>
      <c r="F19" s="19" t="n">
        <v>32</v>
      </c>
      <c r="G19" s="19" t="n">
        <v>32</v>
      </c>
      <c r="H19" s="19" t="s">
        <v>117</v>
      </c>
      <c r="I19" s="19"/>
      <c r="J19" s="19" t="n">
        <v>0</v>
      </c>
      <c r="K19" s="19" t="n">
        <v>0</v>
      </c>
      <c r="L19" s="19" t="s">
        <v>111</v>
      </c>
    </row>
    <row r="20" customFormat="false" ht="15" hidden="false" customHeight="false" outlineLevel="0" collapsed="false">
      <c r="A20" s="19" t="n">
        <v>104</v>
      </c>
      <c r="B20" s="19"/>
      <c r="C20" s="19" t="s">
        <v>87</v>
      </c>
      <c r="D20" s="19" t="s">
        <v>88</v>
      </c>
      <c r="E20" s="19" t="s">
        <v>109</v>
      </c>
      <c r="F20" s="19" t="n">
        <v>8</v>
      </c>
      <c r="G20" s="19" t="n">
        <v>8</v>
      </c>
      <c r="H20" s="19" t="s">
        <v>110</v>
      </c>
      <c r="I20" s="19"/>
      <c r="J20" s="19" t="n">
        <v>0</v>
      </c>
      <c r="K20" s="19" t="n">
        <v>0</v>
      </c>
      <c r="L20" s="19" t="s">
        <v>111</v>
      </c>
    </row>
    <row r="21" customFormat="false" ht="15" hidden="false" customHeight="false" outlineLevel="0" collapsed="false">
      <c r="A21" s="19" t="n">
        <v>104</v>
      </c>
      <c r="B21" s="19"/>
      <c r="C21" s="19" t="s">
        <v>87</v>
      </c>
      <c r="D21" s="19" t="s">
        <v>88</v>
      </c>
      <c r="E21" s="19" t="s">
        <v>109</v>
      </c>
      <c r="F21" s="19" t="n">
        <v>8</v>
      </c>
      <c r="G21" s="19" t="n">
        <v>8</v>
      </c>
      <c r="H21" s="19" t="s">
        <v>113</v>
      </c>
      <c r="I21" s="19"/>
      <c r="J21" s="19" t="n">
        <v>0</v>
      </c>
      <c r="K21" s="19" t="n">
        <v>0</v>
      </c>
      <c r="L21" s="19" t="s">
        <v>111</v>
      </c>
    </row>
    <row r="22" customFormat="false" ht="15" hidden="false" customHeight="false" outlineLevel="0" collapsed="false">
      <c r="A22" s="19" t="n">
        <v>104</v>
      </c>
      <c r="B22" s="19"/>
      <c r="C22" s="19" t="s">
        <v>87</v>
      </c>
      <c r="D22" s="19" t="s">
        <v>88</v>
      </c>
      <c r="E22" s="19" t="s">
        <v>109</v>
      </c>
      <c r="F22" s="19" t="n">
        <v>8</v>
      </c>
      <c r="G22" s="19" t="n">
        <v>0</v>
      </c>
      <c r="H22" s="19" t="s">
        <v>114</v>
      </c>
      <c r="I22" s="19"/>
      <c r="J22" s="19" t="n">
        <v>0</v>
      </c>
      <c r="K22" s="19" t="n">
        <v>8</v>
      </c>
      <c r="L22" s="19" t="s">
        <v>111</v>
      </c>
    </row>
    <row r="23" customFormat="false" ht="15" hidden="false" customHeight="false" outlineLevel="0" collapsed="false">
      <c r="A23" s="19" t="n">
        <v>104</v>
      </c>
      <c r="B23" s="19"/>
      <c r="C23" s="19" t="s">
        <v>87</v>
      </c>
      <c r="D23" s="19" t="s">
        <v>88</v>
      </c>
      <c r="E23" s="19" t="s">
        <v>109</v>
      </c>
      <c r="F23" s="19" t="n">
        <v>0</v>
      </c>
      <c r="G23" s="19" t="n">
        <v>0</v>
      </c>
      <c r="H23" s="19" t="s">
        <v>115</v>
      </c>
      <c r="I23" s="19"/>
      <c r="J23" s="19" t="n">
        <v>0</v>
      </c>
      <c r="K23" s="19" t="n">
        <v>0</v>
      </c>
      <c r="L23" s="19" t="s">
        <v>111</v>
      </c>
    </row>
    <row r="24" customFormat="false" ht="15" hidden="false" customHeight="false" outlineLevel="0" collapsed="false">
      <c r="A24" s="19" t="n">
        <v>104</v>
      </c>
      <c r="B24" s="19"/>
      <c r="C24" s="19" t="s">
        <v>87</v>
      </c>
      <c r="D24" s="19" t="s">
        <v>88</v>
      </c>
      <c r="E24" s="19" t="s">
        <v>109</v>
      </c>
      <c r="F24" s="19" t="n">
        <v>0</v>
      </c>
      <c r="G24" s="19" t="n">
        <v>0</v>
      </c>
      <c r="H24" s="19" t="s">
        <v>116</v>
      </c>
      <c r="I24" s="19"/>
      <c r="J24" s="19" t="n">
        <v>0</v>
      </c>
      <c r="K24" s="19" t="n">
        <v>0</v>
      </c>
      <c r="L24" s="19" t="s">
        <v>111</v>
      </c>
    </row>
    <row r="25" customFormat="false" ht="15" hidden="false" customHeight="false" outlineLevel="0" collapsed="false">
      <c r="A25" s="19" t="n">
        <v>104</v>
      </c>
      <c r="B25" s="19"/>
      <c r="C25" s="19" t="s">
        <v>87</v>
      </c>
      <c r="D25" s="19" t="s">
        <v>88</v>
      </c>
      <c r="E25" s="19" t="s">
        <v>109</v>
      </c>
      <c r="F25" s="19" t="n">
        <v>0</v>
      </c>
      <c r="G25" s="19" t="n">
        <v>0</v>
      </c>
      <c r="H25" s="19" t="s">
        <v>117</v>
      </c>
      <c r="I25" s="19"/>
      <c r="J25" s="19" t="n">
        <v>0</v>
      </c>
      <c r="K25" s="19" t="n">
        <v>0</v>
      </c>
      <c r="L25" s="19" t="s">
        <v>111</v>
      </c>
    </row>
    <row r="26" customFormat="false" ht="15" hidden="false" customHeight="false" outlineLevel="0" collapsed="false">
      <c r="A26" s="19" t="n">
        <v>105</v>
      </c>
      <c r="B26" s="19"/>
      <c r="C26" s="19" t="s">
        <v>89</v>
      </c>
      <c r="D26" s="19" t="s">
        <v>90</v>
      </c>
      <c r="E26" s="19" t="s">
        <v>109</v>
      </c>
      <c r="F26" s="19" t="n">
        <v>72</v>
      </c>
      <c r="G26" s="19" t="n">
        <v>72</v>
      </c>
      <c r="H26" s="19" t="s">
        <v>110</v>
      </c>
      <c r="I26" s="19"/>
      <c r="J26" s="19" t="n">
        <v>0</v>
      </c>
      <c r="K26" s="19" t="n">
        <v>0</v>
      </c>
      <c r="L26" s="19" t="s">
        <v>111</v>
      </c>
    </row>
    <row r="27" customFormat="false" ht="15" hidden="false" customHeight="false" outlineLevel="0" collapsed="false">
      <c r="A27" s="19" t="n">
        <v>105</v>
      </c>
      <c r="B27" s="19"/>
      <c r="C27" s="19" t="s">
        <v>89</v>
      </c>
      <c r="D27" s="19" t="s">
        <v>90</v>
      </c>
      <c r="E27" s="19" t="s">
        <v>109</v>
      </c>
      <c r="F27" s="19" t="n">
        <v>72</v>
      </c>
      <c r="G27" s="19" t="n">
        <v>72</v>
      </c>
      <c r="H27" s="19" t="s">
        <v>113</v>
      </c>
      <c r="I27" s="19"/>
      <c r="J27" s="19" t="n">
        <v>0</v>
      </c>
      <c r="K27" s="19" t="n">
        <v>0</v>
      </c>
      <c r="L27" s="19" t="s">
        <v>111</v>
      </c>
    </row>
    <row r="28" customFormat="false" ht="15" hidden="false" customHeight="false" outlineLevel="0" collapsed="false">
      <c r="A28" s="19" t="n">
        <v>105</v>
      </c>
      <c r="B28" s="19"/>
      <c r="C28" s="19" t="s">
        <v>89</v>
      </c>
      <c r="D28" s="19" t="s">
        <v>90</v>
      </c>
      <c r="E28" s="19" t="s">
        <v>109</v>
      </c>
      <c r="F28" s="19" t="n">
        <v>72</v>
      </c>
      <c r="G28" s="19" t="n">
        <v>72</v>
      </c>
      <c r="H28" s="19" t="s">
        <v>114</v>
      </c>
      <c r="I28" s="19"/>
      <c r="J28" s="19" t="n">
        <v>0</v>
      </c>
      <c r="K28" s="19" t="n">
        <v>0</v>
      </c>
      <c r="L28" s="19" t="s">
        <v>111</v>
      </c>
    </row>
    <row r="29" customFormat="false" ht="15" hidden="false" customHeight="false" outlineLevel="0" collapsed="false">
      <c r="A29" s="19" t="n">
        <v>105</v>
      </c>
      <c r="B29" s="19"/>
      <c r="C29" s="19" t="s">
        <v>89</v>
      </c>
      <c r="D29" s="19" t="s">
        <v>90</v>
      </c>
      <c r="E29" s="19" t="s">
        <v>109</v>
      </c>
      <c r="F29" s="19" t="n">
        <v>72</v>
      </c>
      <c r="G29" s="19" t="n">
        <v>72</v>
      </c>
      <c r="H29" s="19" t="s">
        <v>115</v>
      </c>
      <c r="I29" s="19"/>
      <c r="J29" s="19" t="n">
        <v>0</v>
      </c>
      <c r="K29" s="19" t="n">
        <v>0</v>
      </c>
      <c r="L29" s="19" t="s">
        <v>111</v>
      </c>
    </row>
    <row r="30" customFormat="false" ht="15" hidden="false" customHeight="false" outlineLevel="0" collapsed="false">
      <c r="A30" s="19" t="n">
        <v>105</v>
      </c>
      <c r="B30" s="19"/>
      <c r="C30" s="19" t="s">
        <v>89</v>
      </c>
      <c r="D30" s="19" t="s">
        <v>90</v>
      </c>
      <c r="E30" s="19" t="s">
        <v>109</v>
      </c>
      <c r="F30" s="19" t="n">
        <v>72</v>
      </c>
      <c r="G30" s="19" t="n">
        <v>80</v>
      </c>
      <c r="H30" s="19" t="s">
        <v>116</v>
      </c>
      <c r="I30" s="19"/>
      <c r="J30" s="19" t="n">
        <v>8</v>
      </c>
      <c r="K30" s="19" t="n">
        <v>0</v>
      </c>
      <c r="L30" s="19" t="s">
        <v>111</v>
      </c>
    </row>
    <row r="31" customFormat="false" ht="15" hidden="false" customHeight="false" outlineLevel="0" collapsed="false">
      <c r="A31" s="19" t="n">
        <v>105</v>
      </c>
      <c r="B31" s="19"/>
      <c r="C31" s="19" t="s">
        <v>89</v>
      </c>
      <c r="D31" s="19" t="s">
        <v>90</v>
      </c>
      <c r="E31" s="19" t="s">
        <v>109</v>
      </c>
      <c r="F31" s="19" t="n">
        <v>80</v>
      </c>
      <c r="G31" s="19" t="n">
        <v>80</v>
      </c>
      <c r="H31" s="19" t="s">
        <v>117</v>
      </c>
      <c r="I31" s="19"/>
      <c r="J31" s="19" t="n">
        <v>0</v>
      </c>
      <c r="K31" s="19" t="n">
        <v>0</v>
      </c>
      <c r="L31" s="19" t="s">
        <v>111</v>
      </c>
    </row>
    <row r="32" customFormat="false" ht="15" hidden="false" customHeight="false" outlineLevel="0" collapsed="false">
      <c r="A32" s="19" t="n">
        <v>108</v>
      </c>
      <c r="B32" s="19"/>
      <c r="C32" s="19" t="s">
        <v>95</v>
      </c>
      <c r="D32" s="19" t="s">
        <v>96</v>
      </c>
      <c r="E32" s="19" t="s">
        <v>109</v>
      </c>
      <c r="F32" s="19" t="n">
        <v>16</v>
      </c>
      <c r="G32" s="19" t="n">
        <v>16</v>
      </c>
      <c r="H32" s="19" t="s">
        <v>110</v>
      </c>
      <c r="I32" s="19"/>
      <c r="J32" s="19" t="n">
        <v>0</v>
      </c>
      <c r="K32" s="19" t="n">
        <v>0</v>
      </c>
      <c r="L32" s="19" t="s">
        <v>111</v>
      </c>
    </row>
    <row r="33" customFormat="false" ht="15" hidden="false" customHeight="false" outlineLevel="0" collapsed="false">
      <c r="A33" s="19" t="n">
        <v>108</v>
      </c>
      <c r="B33" s="19"/>
      <c r="C33" s="19" t="s">
        <v>95</v>
      </c>
      <c r="D33" s="19" t="s">
        <v>96</v>
      </c>
      <c r="E33" s="19" t="s">
        <v>109</v>
      </c>
      <c r="F33" s="19" t="n">
        <v>16</v>
      </c>
      <c r="G33" s="19" t="n">
        <v>16</v>
      </c>
      <c r="H33" s="19" t="s">
        <v>113</v>
      </c>
      <c r="I33" s="19"/>
      <c r="J33" s="19" t="n">
        <v>0</v>
      </c>
      <c r="K33" s="19" t="n">
        <v>0</v>
      </c>
      <c r="L33" s="19" t="s">
        <v>111</v>
      </c>
    </row>
    <row r="34" customFormat="false" ht="15" hidden="false" customHeight="false" outlineLevel="0" collapsed="false">
      <c r="A34" s="19" t="n">
        <v>108</v>
      </c>
      <c r="B34" s="19"/>
      <c r="C34" s="19" t="s">
        <v>95</v>
      </c>
      <c r="D34" s="19" t="s">
        <v>96</v>
      </c>
      <c r="E34" s="19" t="s">
        <v>109</v>
      </c>
      <c r="F34" s="19" t="n">
        <v>16</v>
      </c>
      <c r="G34" s="19" t="n">
        <v>16</v>
      </c>
      <c r="H34" s="19" t="s">
        <v>114</v>
      </c>
      <c r="I34" s="19"/>
      <c r="J34" s="19" t="n">
        <v>0</v>
      </c>
      <c r="K34" s="19" t="n">
        <v>0</v>
      </c>
      <c r="L34" s="19" t="s">
        <v>111</v>
      </c>
    </row>
    <row r="35" customFormat="false" ht="15" hidden="false" customHeight="false" outlineLevel="0" collapsed="false">
      <c r="A35" s="19" t="n">
        <v>108</v>
      </c>
      <c r="B35" s="19"/>
      <c r="C35" s="19" t="s">
        <v>95</v>
      </c>
      <c r="D35" s="19" t="s">
        <v>96</v>
      </c>
      <c r="E35" s="19" t="s">
        <v>109</v>
      </c>
      <c r="F35" s="19" t="n">
        <v>16</v>
      </c>
      <c r="G35" s="19" t="n">
        <v>16</v>
      </c>
      <c r="H35" s="19" t="s">
        <v>115</v>
      </c>
      <c r="I35" s="19"/>
      <c r="J35" s="19" t="n">
        <v>0</v>
      </c>
      <c r="K35" s="19" t="n">
        <v>0</v>
      </c>
      <c r="L35" s="19" t="s">
        <v>111</v>
      </c>
    </row>
    <row r="36" customFormat="false" ht="15" hidden="false" customHeight="false" outlineLevel="0" collapsed="false">
      <c r="A36" s="19" t="n">
        <v>108</v>
      </c>
      <c r="B36" s="19"/>
      <c r="C36" s="19" t="s">
        <v>95</v>
      </c>
      <c r="D36" s="19" t="s">
        <v>96</v>
      </c>
      <c r="E36" s="19" t="s">
        <v>109</v>
      </c>
      <c r="F36" s="19" t="n">
        <v>16</v>
      </c>
      <c r="G36" s="19" t="n">
        <v>16</v>
      </c>
      <c r="H36" s="19" t="s">
        <v>116</v>
      </c>
      <c r="I36" s="19"/>
      <c r="J36" s="19" t="n">
        <v>0</v>
      </c>
      <c r="K36" s="19" t="n">
        <v>0</v>
      </c>
      <c r="L36" s="19" t="s">
        <v>111</v>
      </c>
    </row>
    <row r="37" customFormat="false" ht="15" hidden="false" customHeight="false" outlineLevel="0" collapsed="false">
      <c r="A37" s="19" t="n">
        <v>108</v>
      </c>
      <c r="B37" s="19"/>
      <c r="C37" s="19" t="s">
        <v>95</v>
      </c>
      <c r="D37" s="19" t="s">
        <v>96</v>
      </c>
      <c r="E37" s="19" t="s">
        <v>109</v>
      </c>
      <c r="F37" s="19" t="n">
        <v>16</v>
      </c>
      <c r="G37" s="19" t="n">
        <v>16</v>
      </c>
      <c r="H37" s="19" t="s">
        <v>117</v>
      </c>
      <c r="I37" s="19"/>
      <c r="J37" s="19" t="n">
        <v>0</v>
      </c>
      <c r="K37" s="19" t="n">
        <v>0</v>
      </c>
      <c r="L37" s="19" t="s">
        <v>111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22"/>
    <col collapsed="false" customWidth="true" hidden="false" outlineLevel="0" max="5" min="4" style="0" width="10"/>
    <col collapsed="false" customWidth="true" hidden="false" outlineLevel="0" max="6" min="6" style="0" width="70"/>
    <col collapsed="false" customWidth="true" hidden="false" outlineLevel="0" max="8" min="7" style="0" width="3"/>
  </cols>
  <sheetData>
    <row r="2" customFormat="false" ht="17.35" hidden="false" customHeight="false" outlineLevel="0" collapsed="false">
      <c r="B2" s="1" t="s">
        <v>119</v>
      </c>
    </row>
    <row r="4" customFormat="false" ht="15" hidden="false" customHeight="false" outlineLevel="0" collapsed="false">
      <c r="B4" s="5" t="s">
        <v>120</v>
      </c>
      <c r="C4" s="5" t="s">
        <v>121</v>
      </c>
    </row>
    <row r="5" customFormat="false" ht="15" hidden="false" customHeight="false" outlineLevel="0" collapsed="false">
      <c r="B5" s="19" t="s">
        <v>122</v>
      </c>
      <c r="C5" s="16" t="n">
        <f aca="true">TODAY()</f>
        <v>46296</v>
      </c>
      <c r="F5" s="20" t="s">
        <v>123</v>
      </c>
    </row>
    <row r="6" customFormat="false" ht="15" hidden="false" customHeight="false" outlineLevel="0" collapsed="false">
      <c r="B6" s="19" t="s">
        <v>124</v>
      </c>
      <c r="C6" s="16" t="n">
        <v>46203</v>
      </c>
      <c r="F6" s="20" t="s">
        <v>125</v>
      </c>
    </row>
    <row r="7" customFormat="false" ht="15" hidden="false" customHeight="false" outlineLevel="0" collapsed="false">
      <c r="B7" s="19" t="s">
        <v>126</v>
      </c>
      <c r="C7" s="15" t="n">
        <v>8</v>
      </c>
      <c r="F7" s="20" t="s">
        <v>127</v>
      </c>
    </row>
    <row r="8" customFormat="false" ht="15" hidden="false" customHeight="false" outlineLevel="0" collapsed="false">
      <c r="B8" s="19" t="s">
        <v>128</v>
      </c>
      <c r="C8" s="15" t="s">
        <v>109</v>
      </c>
      <c r="F8" s="20" t="s">
        <v>129</v>
      </c>
    </row>
    <row r="9" customFormat="false" ht="15" hidden="false" customHeight="false" outlineLevel="0" collapsed="false">
      <c r="B9" s="19" t="s">
        <v>130</v>
      </c>
      <c r="C9" s="15" t="s">
        <v>111</v>
      </c>
      <c r="F9" s="20" t="s">
        <v>131</v>
      </c>
      <c r="G9" s="20" t="n">
        <f aca="false">IF(LHUnit="Days",HoursPerDay,1)</f>
        <v>1</v>
      </c>
    </row>
    <row r="11" customFormat="false" ht="15" hidden="false" customHeight="false" outlineLevel="0" collapsed="false">
      <c r="B11" s="5" t="s">
        <v>132</v>
      </c>
      <c r="C11" s="5" t="s">
        <v>133</v>
      </c>
      <c r="D11" s="5" t="s">
        <v>134</v>
      </c>
    </row>
    <row r="12" customFormat="false" ht="15" hidden="false" customHeight="false" outlineLevel="0" collapsed="false">
      <c r="B12" s="19" t="s">
        <v>135</v>
      </c>
      <c r="C12" s="15" t="s">
        <v>99</v>
      </c>
      <c r="D12" s="21" t="str">
        <f aca="false">IF(ISNUMBER(MATCH($C12,LH_Hdr,0)),"Yes","NO")</f>
        <v>Yes</v>
      </c>
      <c r="F12" s="20" t="s">
        <v>136</v>
      </c>
      <c r="G12" s="20" t="n">
        <f aca="false">IFERROR(MATCH($C12,LH_Hdr,0),0)</f>
        <v>3</v>
      </c>
    </row>
    <row r="13" customFormat="false" ht="15" hidden="false" customHeight="false" outlineLevel="0" collapsed="false">
      <c r="B13" s="19" t="s">
        <v>25</v>
      </c>
      <c r="C13" s="15" t="s">
        <v>25</v>
      </c>
      <c r="D13" s="21" t="str">
        <f aca="false">IF(ISNUMBER(MATCH($C13,LH_Hdr,0)),"Yes","NO")</f>
        <v>Yes</v>
      </c>
      <c r="G13" s="20" t="n">
        <f aca="false">IFERROR(MATCH($C13,LH_Hdr,0),0)</f>
        <v>4</v>
      </c>
    </row>
    <row r="14" customFormat="false" ht="15" hidden="false" customHeight="false" outlineLevel="0" collapsed="false">
      <c r="B14" s="19" t="s">
        <v>137</v>
      </c>
      <c r="C14" s="15" t="s">
        <v>100</v>
      </c>
      <c r="D14" s="21" t="str">
        <f aca="false">IF(ISNUMBER(MATCH($C14,LH_Hdr,0)),"Yes","NO")</f>
        <v>Yes</v>
      </c>
      <c r="G14" s="20" t="n">
        <f aca="false">IFERROR(MATCH($C14,LH_Hdr,0),0)</f>
        <v>5</v>
      </c>
    </row>
    <row r="15" customFormat="false" ht="15" hidden="false" customHeight="false" outlineLevel="0" collapsed="false">
      <c r="B15" s="19" t="s">
        <v>138</v>
      </c>
      <c r="C15" s="15" t="s">
        <v>105</v>
      </c>
      <c r="D15" s="21" t="str">
        <f aca="false">IF(ISNUMBER(MATCH($C15,LH_Hdr,0)),"Yes","NO")</f>
        <v>Yes</v>
      </c>
      <c r="G15" s="20" t="n">
        <f aca="false">IFERROR(MATCH($C15,LH_Hdr,0),0)</f>
        <v>10</v>
      </c>
    </row>
    <row r="16" customFormat="false" ht="15" hidden="false" customHeight="false" outlineLevel="0" collapsed="false">
      <c r="B16" s="19" t="s">
        <v>139</v>
      </c>
      <c r="C16" s="15" t="s">
        <v>106</v>
      </c>
      <c r="D16" s="21" t="str">
        <f aca="false">IF(ISNUMBER(MATCH($C16,LH_Hdr,0)),"Yes","NO")</f>
        <v>Yes</v>
      </c>
      <c r="G16" s="20" t="n">
        <f aca="false">IFERROR(MATCH($C16,LH_Hdr,0),0)</f>
        <v>11</v>
      </c>
    </row>
    <row r="17" customFormat="false" ht="15" hidden="false" customHeight="false" outlineLevel="0" collapsed="false">
      <c r="B17" s="19" t="s">
        <v>140</v>
      </c>
      <c r="C17" s="15" t="s">
        <v>102</v>
      </c>
      <c r="D17" s="21" t="str">
        <f aca="false">IF(ISNUMBER(MATCH($C17,LH_Hdr,0)),"Yes","NO")</f>
        <v>Yes</v>
      </c>
      <c r="G17" s="20" t="n">
        <f aca="false">IFERROR(MATCH($C17,LH_Hdr,0),0)</f>
        <v>7</v>
      </c>
    </row>
    <row r="18" customFormat="false" ht="15" hidden="false" customHeight="false" outlineLevel="0" collapsed="false">
      <c r="B18" s="2" t="s">
        <v>141</v>
      </c>
      <c r="D18" s="21" t="str">
        <f aca="false">IF(LH_Ready,"YES","NO")</f>
        <v>YES</v>
      </c>
      <c r="G18" s="22" t="b">
        <f aca="false">AND(LH_ColFirst&gt;0,LH_ColSur&gt;0,LH_ColCat&gt;0,LH_ColAcc&gt;0,LH_ColTaken&gt;0,LH_ColClose&gt;0)</f>
        <v>1</v>
      </c>
    </row>
    <row r="20" customFormat="false" ht="15" hidden="false" customHeight="false" outlineLevel="0" collapsed="false">
      <c r="B20" s="5" t="s">
        <v>142</v>
      </c>
      <c r="C20" s="5" t="s">
        <v>121</v>
      </c>
    </row>
    <row r="21" customFormat="false" ht="15" hidden="false" customHeight="false" outlineLevel="0" collapsed="false">
      <c r="B21" s="19" t="s">
        <v>143</v>
      </c>
      <c r="C21" s="15" t="n">
        <v>36</v>
      </c>
      <c r="F21" s="20" t="s">
        <v>144</v>
      </c>
    </row>
    <row r="22" customFormat="false" ht="15" hidden="false" customHeight="false" outlineLevel="0" collapsed="false">
      <c r="B22" s="19" t="s">
        <v>145</v>
      </c>
      <c r="C22" s="15" t="n">
        <v>4</v>
      </c>
      <c r="F22" s="20" t="s">
        <v>146</v>
      </c>
    </row>
    <row r="23" customFormat="false" ht="15" hidden="false" customHeight="false" outlineLevel="0" collapsed="false">
      <c r="B23" s="19" t="s">
        <v>147</v>
      </c>
      <c r="C23" s="15" t="n">
        <v>60</v>
      </c>
      <c r="F23" s="20" t="s">
        <v>148</v>
      </c>
    </row>
    <row r="24" customFormat="false" ht="15" hidden="false" customHeight="false" outlineLevel="0" collapsed="false">
      <c r="B24" s="19" t="s">
        <v>149</v>
      </c>
      <c r="C24" s="15" t="n">
        <v>2</v>
      </c>
      <c r="F24" s="20" t="s">
        <v>148</v>
      </c>
    </row>
    <row r="25" customFormat="false" ht="15" hidden="false" customHeight="false" outlineLevel="0" collapsed="false">
      <c r="B25" s="19" t="s">
        <v>150</v>
      </c>
      <c r="C25" s="15" t="n">
        <v>3</v>
      </c>
      <c r="F25" s="20" t="s">
        <v>151</v>
      </c>
    </row>
    <row r="26" customFormat="false" ht="15" hidden="false" customHeight="false" outlineLevel="0" collapsed="false">
      <c r="B26" s="19" t="s">
        <v>152</v>
      </c>
      <c r="C26" s="15" t="n">
        <v>60</v>
      </c>
      <c r="F26" s="20" t="s">
        <v>153</v>
      </c>
    </row>
    <row r="27" customFormat="false" ht="15" hidden="false" customHeight="false" outlineLevel="0" collapsed="false">
      <c r="B27" s="19" t="s">
        <v>154</v>
      </c>
      <c r="C27" s="15" t="n">
        <v>4</v>
      </c>
      <c r="F27" s="20" t="s">
        <v>155</v>
      </c>
    </row>
    <row r="28" customFormat="false" ht="15" hidden="false" customHeight="false" outlineLevel="0" collapsed="false">
      <c r="B28" s="19" t="s">
        <v>156</v>
      </c>
      <c r="C28" s="15" t="n">
        <v>24</v>
      </c>
      <c r="F28" s="20" t="s">
        <v>157</v>
      </c>
    </row>
    <row r="29" customFormat="false" ht="15" hidden="false" customHeight="false" outlineLevel="0" collapsed="false">
      <c r="B29" s="19" t="s">
        <v>158</v>
      </c>
      <c r="C29" s="12" t="n">
        <f aca="false">1+INT((FT_Y5-1-FT_First)/FT_Int1)</f>
        <v>6</v>
      </c>
    </row>
    <row r="30" customFormat="false" ht="15" hidden="false" customHeight="false" outlineLevel="0" collapsed="false">
      <c r="B30" s="19" t="s">
        <v>159</v>
      </c>
      <c r="C30" s="12" t="n">
        <f aca="false">FT_AnnivDays+INT(11/FT_Int2)</f>
        <v>5</v>
      </c>
    </row>
    <row r="33" customFormat="false" ht="15" hidden="false" customHeight="true" outlineLevel="0" collapsed="false">
      <c r="B33" s="23" t="s">
        <v>160</v>
      </c>
      <c r="C33" s="23"/>
      <c r="D33" s="23"/>
      <c r="E33" s="23"/>
      <c r="F33" s="23"/>
    </row>
    <row r="34" customFormat="false" ht="15" hidden="false" customHeight="true" outlineLevel="0" collapsed="false">
      <c r="B34" s="24" t="s">
        <v>161</v>
      </c>
      <c r="C34" s="24"/>
      <c r="D34" s="24"/>
      <c r="E34" s="24"/>
      <c r="F34" s="24"/>
    </row>
    <row r="35" customFormat="false" ht="43.5" hidden="false" customHeight="true" outlineLevel="0" collapsed="false">
      <c r="B35" s="24" t="s">
        <v>162</v>
      </c>
      <c r="C35" s="24"/>
      <c r="D35" s="24"/>
      <c r="E35" s="24"/>
      <c r="F35" s="24"/>
    </row>
    <row r="36" customFormat="false" ht="30" hidden="false" customHeight="true" outlineLevel="0" collapsed="false">
      <c r="B36" s="24" t="s">
        <v>163</v>
      </c>
      <c r="C36" s="24"/>
      <c r="D36" s="24"/>
      <c r="E36" s="24"/>
      <c r="F36" s="24"/>
    </row>
    <row r="37" customFormat="false" ht="30" hidden="false" customHeight="true" outlineLevel="0" collapsed="false">
      <c r="B37" s="24" t="s">
        <v>164</v>
      </c>
      <c r="C37" s="24"/>
      <c r="D37" s="24"/>
      <c r="E37" s="24"/>
      <c r="F37" s="24"/>
    </row>
    <row r="38" customFormat="false" ht="30" hidden="false" customHeight="true" outlineLevel="0" collapsed="false">
      <c r="B38" s="24" t="s">
        <v>165</v>
      </c>
      <c r="C38" s="24"/>
      <c r="D38" s="24"/>
      <c r="E38" s="24"/>
      <c r="F38" s="24"/>
    </row>
    <row r="39" customFormat="false" ht="43.5" hidden="false" customHeight="true" outlineLevel="0" collapsed="false">
      <c r="B39" s="24" t="s">
        <v>166</v>
      </c>
      <c r="C39" s="24"/>
      <c r="D39" s="24"/>
      <c r="E39" s="24"/>
      <c r="F39" s="24"/>
    </row>
    <row r="40" customFormat="false" ht="43.5" hidden="false" customHeight="true" outlineLevel="0" collapsed="false">
      <c r="B40" s="24" t="s">
        <v>167</v>
      </c>
      <c r="C40" s="24"/>
      <c r="D40" s="24"/>
      <c r="E40" s="24"/>
      <c r="F40" s="24"/>
    </row>
    <row r="41" customFormat="false" ht="30" hidden="false" customHeight="true" outlineLevel="0" collapsed="false">
      <c r="B41" s="24" t="s">
        <v>168</v>
      </c>
      <c r="C41" s="24"/>
      <c r="D41" s="24"/>
      <c r="E41" s="24"/>
      <c r="F41" s="24"/>
    </row>
    <row r="42" customFormat="false" ht="15" hidden="false" customHeight="false" outlineLevel="0" collapsed="false">
      <c r="B42" s="24"/>
      <c r="C42" s="24"/>
      <c r="D42" s="24"/>
      <c r="E42" s="24"/>
      <c r="F42" s="24"/>
    </row>
    <row r="43" customFormat="false" ht="15" hidden="false" customHeight="true" outlineLevel="0" collapsed="false">
      <c r="B43" s="23" t="s">
        <v>169</v>
      </c>
      <c r="C43" s="23"/>
      <c r="D43" s="23"/>
      <c r="E43" s="23"/>
      <c r="F43" s="23"/>
    </row>
    <row r="44" customFormat="false" ht="30" hidden="false" customHeight="true" outlineLevel="0" collapsed="false">
      <c r="B44" s="24" t="s">
        <v>170</v>
      </c>
      <c r="C44" s="24"/>
      <c r="D44" s="24"/>
      <c r="E44" s="24"/>
      <c r="F44" s="24"/>
    </row>
    <row r="45" customFormat="false" ht="15" hidden="false" customHeight="true" outlineLevel="0" collapsed="false">
      <c r="B45" s="24" t="s">
        <v>171</v>
      </c>
      <c r="C45" s="24"/>
      <c r="D45" s="24"/>
      <c r="E45" s="24"/>
      <c r="F45" s="24"/>
    </row>
    <row r="46" customFormat="false" ht="43.5" hidden="false" customHeight="true" outlineLevel="0" collapsed="false">
      <c r="B46" s="24" t="s">
        <v>172</v>
      </c>
      <c r="C46" s="24"/>
      <c r="D46" s="24"/>
      <c r="E46" s="24"/>
      <c r="F46" s="24"/>
    </row>
    <row r="47" customFormat="false" ht="15" hidden="false" customHeight="false" outlineLevel="0" collapsed="false">
      <c r="B47" s="24"/>
      <c r="C47" s="24"/>
      <c r="D47" s="24"/>
      <c r="E47" s="24"/>
      <c r="F47" s="24"/>
    </row>
    <row r="48" customFormat="false" ht="43.5" hidden="false" customHeight="true" outlineLevel="0" collapsed="false">
      <c r="B48" s="23" t="s">
        <v>173</v>
      </c>
      <c r="C48" s="23"/>
      <c r="D48" s="23"/>
      <c r="E48" s="23"/>
      <c r="F48" s="23"/>
    </row>
  </sheetData>
  <mergeCells count="16">
    <mergeCell ref="B33:F33"/>
    <mergeCell ref="B34:F34"/>
    <mergeCell ref="B35:F35"/>
    <mergeCell ref="B36:F36"/>
    <mergeCell ref="B37:F37"/>
    <mergeCell ref="B38:F38"/>
    <mergeCell ref="B39:F39"/>
    <mergeCell ref="B40:F40"/>
    <mergeCell ref="B41:F41"/>
    <mergeCell ref="B42:F42"/>
    <mergeCell ref="B43:F43"/>
    <mergeCell ref="B44:F44"/>
    <mergeCell ref="B45:F45"/>
    <mergeCell ref="B46:F46"/>
    <mergeCell ref="B47:F47"/>
    <mergeCell ref="B48:F48"/>
  </mergeCells>
  <conditionalFormatting sqref="D12:D18">
    <cfRule type="expression" priority="2" aboveAverage="0" equalAverage="0" bottom="0" percent="0" rank="0" text="" dxfId="19">
      <formula>D12="NO"</formula>
    </cfRule>
    <cfRule type="expression" priority="3" aboveAverage="0" equalAverage="0" bottom="0" percent="0" rank="0" text="" dxfId="17">
      <formula>OR(D12="Yes",D12="YES")</formula>
    </cfRule>
  </conditionalFormatting>
  <dataValidations count="1">
    <dataValidation allowBlank="true" errorStyle="stop" operator="between" showDropDown="false" showErrorMessage="false" showInputMessage="false" sqref="C9" type="list">
      <formula1>"Hours,Days"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2026-10-01T02:52:58Z</dcterms:created>
  <dc:creator>openpyxl</dc:creator>
  <dc:description/>
  <dc:language>en-US</dc:language>
  <cp:lastModifiedBy/>
  <dcterms:modified xsi:type="dcterms:W3CDTF">2026-10-01T02:52:58Z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